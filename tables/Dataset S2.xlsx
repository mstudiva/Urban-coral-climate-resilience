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Users/michael.studivan/Downloads/"/>
    </mc:Choice>
  </mc:AlternateContent>
  <xr:revisionPtr revIDLastSave="0" documentId="8_{18AA75D2-54E5-E242-BFCC-134996D8CC2F}" xr6:coauthVersionLast="47" xr6:coauthVersionMax="47" xr10:uidLastSave="{00000000-0000-0000-0000-000000000000}"/>
  <bookViews>
    <workbookView xWindow="5580" yWindow="2380" windowWidth="27640" windowHeight="16680" xr2:uid="{D4C835C9-00F0-D64C-9206-253D5F17B299}"/>
  </bookViews>
  <sheets>
    <sheet name="Sheet1" sheetId="1" r:id="rId1"/>
  </sheets>
  <calcPr calcId="181029"/>
  <pivotCaches>
    <pivotCache cacheId="33" r:id="rId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380" i="1" l="1"/>
  <c r="G5379" i="1"/>
  <c r="G5378" i="1"/>
  <c r="G5377" i="1"/>
  <c r="G5376" i="1"/>
  <c r="G5375" i="1"/>
  <c r="G5374" i="1"/>
  <c r="G5373" i="1"/>
  <c r="G5372" i="1"/>
  <c r="G5371" i="1"/>
  <c r="G5370" i="1"/>
  <c r="G5369" i="1"/>
  <c r="G5368" i="1"/>
  <c r="G5367" i="1"/>
  <c r="G5366" i="1"/>
  <c r="G5365" i="1"/>
  <c r="G5364" i="1"/>
  <c r="G5363" i="1"/>
  <c r="G5362" i="1"/>
  <c r="G5361" i="1"/>
  <c r="G5360" i="1"/>
  <c r="G5359" i="1"/>
  <c r="G5358" i="1"/>
  <c r="G5357" i="1"/>
  <c r="G5356" i="1"/>
  <c r="G5355" i="1"/>
  <c r="G5354" i="1"/>
  <c r="G5353" i="1"/>
  <c r="G5352" i="1"/>
  <c r="G5351" i="1"/>
  <c r="G5350" i="1"/>
  <c r="G5349" i="1"/>
  <c r="G5348" i="1"/>
  <c r="G5347" i="1"/>
  <c r="G5346" i="1"/>
  <c r="G5345" i="1"/>
  <c r="G5344" i="1"/>
  <c r="G5343" i="1"/>
  <c r="G5342" i="1"/>
  <c r="G5341" i="1"/>
  <c r="G5340" i="1"/>
  <c r="G5339" i="1"/>
  <c r="G5338" i="1"/>
  <c r="G5337" i="1"/>
  <c r="G5336" i="1"/>
  <c r="G5335" i="1"/>
  <c r="G5334" i="1"/>
  <c r="G5333" i="1"/>
  <c r="G5332" i="1"/>
  <c r="G5331" i="1"/>
  <c r="G5330" i="1"/>
  <c r="G5329" i="1"/>
  <c r="G5328" i="1"/>
  <c r="G5327" i="1"/>
  <c r="G5326" i="1"/>
  <c r="G5325" i="1"/>
  <c r="G5324" i="1"/>
  <c r="G5323" i="1"/>
  <c r="G5322" i="1"/>
  <c r="G5321" i="1"/>
  <c r="G5320" i="1"/>
  <c r="G5319" i="1"/>
  <c r="G5318" i="1"/>
  <c r="G5317" i="1"/>
  <c r="G5316" i="1"/>
  <c r="G5315" i="1"/>
  <c r="G5314" i="1"/>
  <c r="G5313" i="1"/>
  <c r="G5312" i="1"/>
  <c r="G5311" i="1"/>
  <c r="G5310" i="1"/>
  <c r="G5309" i="1"/>
  <c r="G5308" i="1"/>
  <c r="G5307" i="1"/>
  <c r="G5306" i="1"/>
  <c r="G5305" i="1"/>
  <c r="G5304" i="1"/>
  <c r="G5303" i="1"/>
  <c r="G5302" i="1"/>
  <c r="G5301" i="1"/>
  <c r="G5300" i="1"/>
  <c r="G5299" i="1"/>
  <c r="G5298" i="1"/>
  <c r="G5297" i="1"/>
  <c r="G5296" i="1"/>
  <c r="G5295" i="1"/>
  <c r="G5294" i="1"/>
  <c r="G5293" i="1"/>
  <c r="G5292" i="1"/>
  <c r="G5291" i="1"/>
  <c r="G5290" i="1"/>
  <c r="G5289" i="1"/>
  <c r="G5288" i="1"/>
  <c r="G5287" i="1"/>
  <c r="G5286" i="1"/>
  <c r="G5285" i="1"/>
  <c r="G5284" i="1"/>
  <c r="G5283" i="1"/>
  <c r="G5282" i="1"/>
  <c r="G5281" i="1"/>
  <c r="G5280" i="1"/>
  <c r="G5279" i="1"/>
  <c r="G5278" i="1"/>
  <c r="G5277" i="1"/>
  <c r="G5276" i="1"/>
  <c r="G5275" i="1"/>
  <c r="G5274" i="1"/>
  <c r="G5273" i="1"/>
  <c r="G5272" i="1"/>
  <c r="G5271" i="1"/>
  <c r="G5270" i="1"/>
  <c r="G5269" i="1"/>
  <c r="G5268" i="1"/>
  <c r="G5267" i="1"/>
  <c r="G5266" i="1"/>
  <c r="G5265" i="1"/>
  <c r="G5264" i="1"/>
  <c r="G5263" i="1"/>
  <c r="G5262" i="1"/>
  <c r="G5261" i="1"/>
  <c r="G5260" i="1"/>
  <c r="G5259" i="1"/>
  <c r="G5258" i="1"/>
  <c r="G5257" i="1"/>
  <c r="G5256" i="1"/>
  <c r="G5255" i="1"/>
  <c r="G5254" i="1"/>
  <c r="G5253" i="1"/>
  <c r="G5252" i="1"/>
  <c r="G5251" i="1"/>
  <c r="G5250" i="1"/>
  <c r="G5249" i="1"/>
  <c r="G5248" i="1"/>
  <c r="G5247" i="1"/>
  <c r="G5246" i="1"/>
  <c r="G5245" i="1"/>
  <c r="G5244" i="1"/>
  <c r="G5243" i="1"/>
  <c r="G5242" i="1"/>
  <c r="G5241" i="1"/>
  <c r="G5240" i="1"/>
  <c r="G5239" i="1"/>
  <c r="G5238" i="1"/>
  <c r="G5237" i="1"/>
  <c r="G5236" i="1"/>
  <c r="G5235" i="1"/>
  <c r="G5234" i="1"/>
  <c r="G5233" i="1"/>
  <c r="G5232" i="1"/>
  <c r="G5231" i="1"/>
  <c r="G5230" i="1"/>
  <c r="G5229" i="1"/>
  <c r="G5228" i="1"/>
  <c r="G5227" i="1"/>
  <c r="G5226" i="1"/>
  <c r="G5225" i="1"/>
  <c r="G5224" i="1"/>
  <c r="G5223" i="1"/>
  <c r="G5222" i="1"/>
  <c r="G5221" i="1"/>
  <c r="G5220" i="1"/>
  <c r="G5219" i="1"/>
  <c r="G5218" i="1"/>
  <c r="G5217" i="1"/>
  <c r="G5216" i="1"/>
  <c r="G5215" i="1"/>
  <c r="G5214" i="1"/>
  <c r="G5213" i="1"/>
  <c r="G5212" i="1"/>
  <c r="G5211" i="1"/>
  <c r="G5210" i="1"/>
  <c r="G5209" i="1"/>
  <c r="G5208" i="1"/>
  <c r="G5207" i="1"/>
  <c r="G5206" i="1"/>
  <c r="G5205" i="1"/>
  <c r="G5204" i="1"/>
  <c r="G5203" i="1"/>
  <c r="G5202" i="1"/>
  <c r="G5201" i="1"/>
  <c r="G5200" i="1"/>
  <c r="G5199" i="1"/>
  <c r="G5198" i="1"/>
  <c r="G5197" i="1"/>
  <c r="G5196" i="1"/>
  <c r="G5195" i="1"/>
  <c r="G5194" i="1"/>
  <c r="G5193" i="1"/>
  <c r="G5192" i="1"/>
  <c r="G5191" i="1"/>
  <c r="G5190" i="1"/>
  <c r="G5189" i="1"/>
  <c r="G5188" i="1"/>
  <c r="G5187" i="1"/>
  <c r="G5186" i="1"/>
  <c r="G5185" i="1"/>
  <c r="G5184" i="1"/>
  <c r="G5183" i="1"/>
  <c r="G5182" i="1"/>
  <c r="G5181" i="1"/>
  <c r="G5180" i="1"/>
  <c r="G5179" i="1"/>
  <c r="G5178" i="1"/>
  <c r="G5177" i="1"/>
  <c r="G5176" i="1"/>
  <c r="G5175" i="1"/>
  <c r="G5174" i="1"/>
  <c r="G5173" i="1"/>
  <c r="G5172" i="1"/>
  <c r="G5171" i="1"/>
  <c r="G5170" i="1"/>
  <c r="G5169" i="1"/>
  <c r="G5168" i="1"/>
  <c r="G5167" i="1"/>
  <c r="G5166" i="1"/>
  <c r="G5165" i="1"/>
  <c r="G5164" i="1"/>
  <c r="G5163" i="1"/>
  <c r="G5162" i="1"/>
  <c r="G5161" i="1"/>
  <c r="G5160" i="1"/>
  <c r="G5159" i="1"/>
  <c r="G5158" i="1"/>
  <c r="G5157" i="1"/>
  <c r="G5156" i="1"/>
  <c r="G5155" i="1"/>
  <c r="G5154" i="1"/>
  <c r="G5153" i="1"/>
  <c r="G5152" i="1"/>
  <c r="G5151" i="1"/>
  <c r="G5150" i="1"/>
  <c r="G5149" i="1"/>
  <c r="G5148" i="1"/>
  <c r="G5147" i="1"/>
  <c r="G5146" i="1"/>
  <c r="G5145" i="1"/>
  <c r="G5144" i="1"/>
  <c r="G5143" i="1"/>
  <c r="G5142" i="1"/>
  <c r="G5141" i="1"/>
  <c r="G5140" i="1"/>
  <c r="G5139" i="1"/>
  <c r="G5138" i="1"/>
  <c r="G5137" i="1"/>
  <c r="G5136" i="1"/>
  <c r="G5135" i="1"/>
  <c r="G5134" i="1"/>
  <c r="G5133" i="1"/>
  <c r="G5132" i="1"/>
  <c r="G5131" i="1"/>
  <c r="G5130" i="1"/>
  <c r="G5129" i="1"/>
  <c r="G5128" i="1"/>
  <c r="G5127" i="1"/>
  <c r="G5126" i="1"/>
  <c r="G5125" i="1"/>
  <c r="G5124" i="1"/>
  <c r="G5123" i="1"/>
  <c r="G5122" i="1"/>
  <c r="G5121" i="1"/>
  <c r="G5120" i="1"/>
  <c r="G5119" i="1"/>
  <c r="G5118" i="1"/>
  <c r="G5117" i="1"/>
  <c r="G5116" i="1"/>
  <c r="G5115" i="1"/>
  <c r="G5114" i="1"/>
  <c r="G5113" i="1"/>
  <c r="G5112" i="1"/>
  <c r="G5111" i="1"/>
  <c r="G5110" i="1"/>
  <c r="G5109" i="1"/>
  <c r="G5108" i="1"/>
  <c r="G5107" i="1"/>
  <c r="G5106" i="1"/>
  <c r="G5105" i="1"/>
  <c r="G5104" i="1"/>
  <c r="G5103" i="1"/>
  <c r="G5102" i="1"/>
  <c r="G5101" i="1"/>
  <c r="G5100" i="1"/>
  <c r="G5099" i="1"/>
  <c r="G5098" i="1"/>
  <c r="G5097" i="1"/>
  <c r="G5096" i="1"/>
  <c r="G5095" i="1"/>
  <c r="G5094" i="1"/>
  <c r="G5093" i="1"/>
  <c r="G5092" i="1"/>
  <c r="G5091" i="1"/>
  <c r="G5090" i="1"/>
  <c r="G5089" i="1"/>
  <c r="G5088" i="1"/>
  <c r="G5087" i="1"/>
  <c r="G5086" i="1"/>
  <c r="G5085" i="1"/>
  <c r="G5084" i="1"/>
  <c r="G5083" i="1"/>
  <c r="G5082" i="1"/>
  <c r="G5081" i="1"/>
  <c r="G5080" i="1"/>
  <c r="G5079" i="1"/>
  <c r="G5078" i="1"/>
  <c r="G5077" i="1"/>
  <c r="G5076" i="1"/>
  <c r="G5075" i="1"/>
  <c r="G5074" i="1"/>
  <c r="G5073" i="1"/>
  <c r="G5072" i="1"/>
  <c r="G5071" i="1"/>
  <c r="G5070" i="1"/>
  <c r="G5069" i="1"/>
  <c r="G5068" i="1"/>
  <c r="G5067" i="1"/>
  <c r="G5066" i="1"/>
  <c r="G5065" i="1"/>
  <c r="G5064" i="1"/>
  <c r="G5063" i="1"/>
  <c r="G5062" i="1"/>
  <c r="G5061" i="1"/>
  <c r="G5060" i="1"/>
  <c r="G5059" i="1"/>
  <c r="G5058" i="1"/>
  <c r="G5057" i="1"/>
  <c r="G5056" i="1"/>
  <c r="G5055" i="1"/>
  <c r="G5054" i="1"/>
  <c r="G5053" i="1"/>
  <c r="G5052" i="1"/>
  <c r="G5051" i="1"/>
  <c r="G5050" i="1"/>
  <c r="G5049" i="1"/>
  <c r="G5048" i="1"/>
  <c r="G5047" i="1"/>
  <c r="G5046" i="1"/>
  <c r="G5045" i="1"/>
  <c r="G5044" i="1"/>
  <c r="G5043" i="1"/>
  <c r="G5042" i="1"/>
  <c r="G5041" i="1"/>
  <c r="G5040" i="1"/>
  <c r="G5039" i="1"/>
  <c r="G5038" i="1"/>
  <c r="G5037" i="1"/>
  <c r="G5036" i="1"/>
  <c r="G5035" i="1"/>
  <c r="G5034" i="1"/>
  <c r="G5033" i="1"/>
  <c r="G5032" i="1"/>
  <c r="G5031" i="1"/>
  <c r="G5030" i="1"/>
  <c r="G5029" i="1"/>
  <c r="G5028" i="1"/>
  <c r="G5027" i="1"/>
  <c r="G5026" i="1"/>
  <c r="G5025" i="1"/>
  <c r="G5024" i="1"/>
  <c r="G5023" i="1"/>
  <c r="G5022" i="1"/>
  <c r="G5021" i="1"/>
  <c r="G5020" i="1"/>
  <c r="G5019" i="1"/>
  <c r="G5018" i="1"/>
  <c r="G5017" i="1"/>
  <c r="G5016" i="1"/>
  <c r="G5015" i="1"/>
  <c r="G5014" i="1"/>
  <c r="G5013" i="1"/>
  <c r="G5012" i="1"/>
  <c r="G5011" i="1"/>
  <c r="G5010" i="1"/>
  <c r="G5009" i="1"/>
  <c r="G5008" i="1"/>
  <c r="G5007" i="1"/>
  <c r="G5006" i="1"/>
  <c r="G5005" i="1"/>
  <c r="G5004" i="1"/>
  <c r="G5003" i="1"/>
  <c r="G5002" i="1"/>
  <c r="G5001" i="1"/>
  <c r="G5000" i="1"/>
  <c r="G4999" i="1"/>
  <c r="G4998" i="1"/>
  <c r="G4997" i="1"/>
  <c r="G4996" i="1"/>
  <c r="G4995" i="1"/>
  <c r="G4994" i="1"/>
  <c r="G4993" i="1"/>
  <c r="G4992" i="1"/>
  <c r="G4991" i="1"/>
  <c r="G4990" i="1"/>
  <c r="G4989" i="1"/>
  <c r="G4988" i="1"/>
  <c r="G4987" i="1"/>
  <c r="G4986" i="1"/>
  <c r="G4985" i="1"/>
  <c r="G4984" i="1"/>
  <c r="G4983" i="1"/>
  <c r="G4982" i="1"/>
  <c r="G4981" i="1"/>
  <c r="G4980" i="1"/>
  <c r="G4979" i="1"/>
  <c r="G4978" i="1"/>
  <c r="G4977" i="1"/>
  <c r="G4976" i="1"/>
  <c r="G4975" i="1"/>
  <c r="G4974" i="1"/>
  <c r="G4973" i="1"/>
  <c r="G4972" i="1"/>
  <c r="G4971" i="1"/>
  <c r="G4970" i="1"/>
  <c r="G4969" i="1"/>
  <c r="G4968" i="1"/>
  <c r="G4967" i="1"/>
  <c r="G4966" i="1"/>
  <c r="G4965" i="1"/>
  <c r="G4964" i="1"/>
  <c r="G4963" i="1"/>
  <c r="G4962" i="1"/>
  <c r="G4961" i="1"/>
  <c r="G4960" i="1"/>
  <c r="G4959" i="1"/>
  <c r="G4958" i="1"/>
  <c r="G4957" i="1"/>
  <c r="G4956" i="1"/>
  <c r="G4955" i="1"/>
  <c r="G4954" i="1"/>
  <c r="G4953" i="1"/>
  <c r="G4952" i="1"/>
  <c r="G4951" i="1"/>
  <c r="G4950" i="1"/>
  <c r="G4949" i="1"/>
  <c r="G4948" i="1"/>
  <c r="G4947" i="1"/>
  <c r="G4946" i="1"/>
  <c r="G4945" i="1"/>
  <c r="G4944" i="1"/>
  <c r="G4943" i="1"/>
  <c r="G4942" i="1"/>
  <c r="G4941" i="1"/>
  <c r="G4940" i="1"/>
  <c r="G4939" i="1"/>
  <c r="G4938" i="1"/>
  <c r="G4937" i="1"/>
  <c r="G4936" i="1"/>
  <c r="G4935" i="1"/>
  <c r="G4934" i="1"/>
  <c r="G4933" i="1"/>
  <c r="G4932" i="1"/>
  <c r="G4931" i="1"/>
  <c r="G4930" i="1"/>
  <c r="G4929" i="1"/>
  <c r="G4928" i="1"/>
  <c r="G4927" i="1"/>
  <c r="G4926" i="1"/>
  <c r="G4925" i="1"/>
  <c r="G4924" i="1"/>
  <c r="G4923" i="1"/>
  <c r="G4922" i="1"/>
  <c r="G4921" i="1"/>
  <c r="G4920" i="1"/>
  <c r="G4919" i="1"/>
  <c r="G4918" i="1"/>
  <c r="G4917" i="1"/>
  <c r="G4916" i="1"/>
  <c r="G4915" i="1"/>
  <c r="G4914" i="1"/>
  <c r="G4913" i="1"/>
  <c r="G4912" i="1"/>
  <c r="G4911" i="1"/>
  <c r="G4910" i="1"/>
  <c r="G4909" i="1"/>
  <c r="G4908" i="1"/>
  <c r="G4907" i="1"/>
  <c r="G4906" i="1"/>
  <c r="G4905" i="1"/>
  <c r="G4904" i="1"/>
  <c r="G4903" i="1"/>
  <c r="G4902" i="1"/>
  <c r="G4901" i="1"/>
  <c r="G4900" i="1"/>
  <c r="G4899" i="1"/>
  <c r="G4898" i="1"/>
  <c r="G4897" i="1"/>
  <c r="G4896" i="1"/>
  <c r="G4895" i="1"/>
  <c r="G4894" i="1"/>
  <c r="G4893" i="1"/>
  <c r="G4892" i="1"/>
  <c r="G4891" i="1"/>
  <c r="G4890" i="1"/>
  <c r="G4889" i="1"/>
  <c r="G4888" i="1"/>
  <c r="G4887" i="1"/>
  <c r="G4886" i="1"/>
  <c r="G4885" i="1"/>
  <c r="G4884" i="1"/>
  <c r="G4883" i="1"/>
  <c r="G4882" i="1"/>
  <c r="G4881" i="1"/>
  <c r="G4880" i="1"/>
  <c r="G4879" i="1"/>
  <c r="G4878" i="1"/>
  <c r="G4877" i="1"/>
  <c r="G4876" i="1"/>
  <c r="G4875" i="1"/>
  <c r="G4874" i="1"/>
  <c r="G4873" i="1"/>
  <c r="G4872" i="1"/>
  <c r="G4871" i="1"/>
  <c r="G4870" i="1"/>
  <c r="G4869" i="1"/>
  <c r="G4868" i="1"/>
  <c r="G4867" i="1"/>
  <c r="G4866" i="1"/>
  <c r="G4865" i="1"/>
  <c r="G4864" i="1"/>
  <c r="G4863" i="1"/>
  <c r="G4862" i="1"/>
  <c r="G4861" i="1"/>
  <c r="G4860" i="1"/>
  <c r="G4859" i="1"/>
  <c r="G4858" i="1"/>
  <c r="G4857" i="1"/>
  <c r="G4856" i="1"/>
  <c r="G4855" i="1"/>
  <c r="G4854" i="1"/>
  <c r="G4853" i="1"/>
  <c r="G4852" i="1"/>
  <c r="G4851" i="1"/>
  <c r="G4850" i="1"/>
  <c r="G4849" i="1"/>
  <c r="G4848" i="1"/>
  <c r="G4847" i="1"/>
  <c r="G4846" i="1"/>
  <c r="G4845" i="1"/>
  <c r="G4844" i="1"/>
  <c r="G4843" i="1"/>
  <c r="G4842" i="1"/>
  <c r="G4841" i="1"/>
  <c r="G4840" i="1"/>
  <c r="G4839" i="1"/>
  <c r="G4838" i="1"/>
  <c r="G4837" i="1"/>
  <c r="G4836" i="1"/>
  <c r="G4835" i="1"/>
  <c r="G4834" i="1"/>
  <c r="G4833" i="1"/>
  <c r="G4832" i="1"/>
  <c r="G4831" i="1"/>
  <c r="G4830" i="1"/>
  <c r="G4829" i="1"/>
  <c r="G4828" i="1"/>
  <c r="G4827" i="1"/>
  <c r="G4826" i="1"/>
  <c r="G4825" i="1"/>
  <c r="G4824" i="1"/>
  <c r="G4823" i="1"/>
  <c r="G4822" i="1"/>
  <c r="G4821" i="1"/>
  <c r="G4820" i="1"/>
  <c r="G4819" i="1"/>
  <c r="G4818" i="1"/>
  <c r="G4817" i="1"/>
  <c r="G4816" i="1"/>
  <c r="G4815" i="1"/>
  <c r="G4814" i="1"/>
  <c r="G4813" i="1"/>
  <c r="G4812" i="1"/>
  <c r="G4811" i="1"/>
  <c r="G4810" i="1"/>
  <c r="G4809" i="1"/>
  <c r="G4808" i="1"/>
  <c r="G4807" i="1"/>
  <c r="G4806" i="1"/>
  <c r="G4805" i="1"/>
  <c r="G4804" i="1"/>
  <c r="G4803" i="1"/>
  <c r="G4802" i="1"/>
  <c r="G4801" i="1"/>
  <c r="G4800" i="1"/>
  <c r="G4799" i="1"/>
  <c r="G4798" i="1"/>
  <c r="G4797" i="1"/>
  <c r="G4796" i="1"/>
  <c r="G4795" i="1"/>
  <c r="G4794" i="1"/>
  <c r="G4793" i="1"/>
  <c r="G4792" i="1"/>
  <c r="G4791" i="1"/>
  <c r="G4790" i="1"/>
  <c r="G4789" i="1"/>
  <c r="G4788" i="1"/>
  <c r="G4787" i="1"/>
  <c r="G4786" i="1"/>
  <c r="G4785" i="1"/>
  <c r="G4784" i="1"/>
  <c r="G4783" i="1"/>
  <c r="G4782" i="1"/>
  <c r="G4781" i="1"/>
  <c r="G4780" i="1"/>
  <c r="G4779" i="1"/>
  <c r="G4778" i="1"/>
  <c r="G4777" i="1"/>
  <c r="G4776" i="1"/>
  <c r="G4775" i="1"/>
  <c r="G4774" i="1"/>
  <c r="G4773" i="1"/>
  <c r="G4772" i="1"/>
  <c r="G4771" i="1"/>
  <c r="G4770" i="1"/>
  <c r="G4769" i="1"/>
  <c r="G4768" i="1"/>
  <c r="G4767" i="1"/>
  <c r="G4766" i="1"/>
  <c r="G4765" i="1"/>
  <c r="G4764" i="1"/>
  <c r="G4763" i="1"/>
  <c r="G4762" i="1"/>
  <c r="G4761" i="1"/>
  <c r="G4760" i="1"/>
  <c r="G4759" i="1"/>
  <c r="G4758" i="1"/>
  <c r="G4757" i="1"/>
  <c r="G4756" i="1"/>
  <c r="G4755" i="1"/>
  <c r="G4754" i="1"/>
  <c r="G4753" i="1"/>
  <c r="G4752" i="1"/>
  <c r="G4751" i="1"/>
  <c r="G4750" i="1"/>
  <c r="G4749" i="1"/>
  <c r="G4748" i="1"/>
  <c r="G4747" i="1"/>
  <c r="G4746" i="1"/>
  <c r="G4745" i="1"/>
  <c r="G4744" i="1"/>
  <c r="G4743" i="1"/>
  <c r="G4742" i="1"/>
  <c r="G4741" i="1"/>
  <c r="G4740" i="1"/>
  <c r="G4739" i="1"/>
  <c r="G4738" i="1"/>
  <c r="G4737" i="1"/>
  <c r="G4736" i="1"/>
  <c r="G4735" i="1"/>
  <c r="G4734" i="1"/>
  <c r="G4733" i="1"/>
  <c r="G4732" i="1"/>
  <c r="G4731" i="1"/>
  <c r="G4730" i="1"/>
  <c r="G4729" i="1"/>
  <c r="G4728" i="1"/>
  <c r="G4727" i="1"/>
  <c r="G4726" i="1"/>
  <c r="G4725" i="1"/>
  <c r="G4724" i="1"/>
  <c r="G4723" i="1"/>
  <c r="G4722" i="1"/>
  <c r="G4721" i="1"/>
  <c r="G4720" i="1"/>
  <c r="G4719" i="1"/>
  <c r="G4718" i="1"/>
  <c r="G4717" i="1"/>
  <c r="G4716" i="1"/>
  <c r="G4715" i="1"/>
  <c r="G4714" i="1"/>
  <c r="G4713" i="1"/>
  <c r="G4712" i="1"/>
  <c r="G4711" i="1"/>
  <c r="G4710" i="1"/>
  <c r="G4709" i="1"/>
  <c r="G4708" i="1"/>
  <c r="G4707" i="1"/>
  <c r="G4706" i="1"/>
  <c r="G4705" i="1"/>
  <c r="G4704" i="1"/>
  <c r="G4703" i="1"/>
  <c r="G4702" i="1"/>
  <c r="G4701" i="1"/>
  <c r="G4700" i="1"/>
  <c r="G4699" i="1"/>
  <c r="G4698" i="1"/>
  <c r="G4697" i="1"/>
  <c r="G4696" i="1"/>
  <c r="G4695" i="1"/>
  <c r="G4694" i="1"/>
  <c r="G4693" i="1"/>
  <c r="G4692" i="1"/>
  <c r="G4691" i="1"/>
  <c r="G4690" i="1"/>
  <c r="G4689" i="1"/>
  <c r="G4688" i="1"/>
  <c r="G4687" i="1"/>
  <c r="G4686" i="1"/>
  <c r="G4685" i="1"/>
  <c r="G4684" i="1"/>
  <c r="G4683" i="1"/>
  <c r="G4682" i="1"/>
  <c r="G4681" i="1"/>
  <c r="G4680" i="1"/>
  <c r="G4679" i="1"/>
  <c r="G4678" i="1"/>
  <c r="G4677" i="1"/>
  <c r="G4676" i="1"/>
  <c r="G4675" i="1"/>
  <c r="G4674" i="1"/>
  <c r="G4673" i="1"/>
  <c r="G4672" i="1"/>
  <c r="G4671" i="1"/>
  <c r="G4670" i="1"/>
  <c r="G4669" i="1"/>
  <c r="G4668" i="1"/>
  <c r="G4667" i="1"/>
  <c r="G4666" i="1"/>
  <c r="G4665" i="1"/>
  <c r="G4664" i="1"/>
  <c r="G4663" i="1"/>
  <c r="G4662" i="1"/>
  <c r="G4661" i="1"/>
  <c r="G4660" i="1"/>
  <c r="G4659" i="1"/>
  <c r="G4658" i="1"/>
  <c r="G4657" i="1"/>
  <c r="G4656" i="1"/>
  <c r="G4655" i="1"/>
  <c r="G4654" i="1"/>
  <c r="G4653" i="1"/>
  <c r="G4652" i="1"/>
  <c r="G4651" i="1"/>
  <c r="G4650" i="1"/>
  <c r="G4649" i="1"/>
  <c r="G4648" i="1"/>
  <c r="G4647" i="1"/>
  <c r="G4646" i="1"/>
  <c r="G4645" i="1"/>
  <c r="G4644" i="1"/>
  <c r="G4643" i="1"/>
  <c r="G4642" i="1"/>
  <c r="G4641" i="1"/>
  <c r="G4640" i="1"/>
  <c r="G4639" i="1"/>
  <c r="G4638" i="1"/>
  <c r="G4637" i="1"/>
  <c r="G4636" i="1"/>
  <c r="G4635" i="1"/>
  <c r="G4634" i="1"/>
  <c r="G4633" i="1"/>
  <c r="G4632" i="1"/>
  <c r="G4631" i="1"/>
  <c r="G4630" i="1"/>
  <c r="G4629" i="1"/>
  <c r="G4628" i="1"/>
  <c r="G4627" i="1"/>
  <c r="G4626" i="1"/>
  <c r="G4625" i="1"/>
  <c r="G4624" i="1"/>
  <c r="G4623" i="1"/>
  <c r="G4622" i="1"/>
  <c r="G4621" i="1"/>
  <c r="G4620" i="1"/>
  <c r="G4619" i="1"/>
  <c r="G4618" i="1"/>
  <c r="G4617" i="1"/>
  <c r="G4616" i="1"/>
  <c r="G4615" i="1"/>
  <c r="G4614" i="1"/>
  <c r="G4613" i="1"/>
  <c r="G4612" i="1"/>
  <c r="G4611" i="1"/>
  <c r="G4610" i="1"/>
  <c r="G4609" i="1"/>
  <c r="G4608" i="1"/>
  <c r="G4607" i="1"/>
  <c r="G4606" i="1"/>
  <c r="G4605" i="1"/>
  <c r="G4604" i="1"/>
  <c r="G4603" i="1"/>
  <c r="G4602" i="1"/>
  <c r="G4601" i="1"/>
  <c r="G4600" i="1"/>
  <c r="G4599" i="1"/>
  <c r="G4598" i="1"/>
  <c r="G4597" i="1"/>
  <c r="G4596" i="1"/>
  <c r="G4595" i="1"/>
  <c r="G4594" i="1"/>
  <c r="G4593" i="1"/>
  <c r="G4592" i="1"/>
  <c r="G4591" i="1"/>
  <c r="G4590" i="1"/>
  <c r="G4589" i="1"/>
  <c r="G4588" i="1"/>
  <c r="G4587" i="1"/>
  <c r="G4586" i="1"/>
  <c r="G4585" i="1"/>
  <c r="G4584" i="1"/>
  <c r="G4583" i="1"/>
  <c r="G4582" i="1"/>
  <c r="G4581" i="1"/>
  <c r="G4580" i="1"/>
  <c r="G4579" i="1"/>
  <c r="G4578" i="1"/>
  <c r="G4577" i="1"/>
  <c r="G4576" i="1"/>
  <c r="G4575" i="1"/>
  <c r="G4574" i="1"/>
  <c r="G4573" i="1"/>
  <c r="G4572" i="1"/>
  <c r="G4571" i="1"/>
  <c r="G4570" i="1"/>
  <c r="G4569" i="1"/>
  <c r="G4568" i="1"/>
  <c r="G4567" i="1"/>
  <c r="G4566" i="1"/>
  <c r="G4565" i="1"/>
  <c r="G4564" i="1"/>
  <c r="G4563" i="1"/>
  <c r="G4562" i="1"/>
  <c r="G4561" i="1"/>
  <c r="G4560" i="1"/>
  <c r="G4559" i="1"/>
  <c r="G4558" i="1"/>
  <c r="G4557" i="1"/>
  <c r="G4556" i="1"/>
  <c r="G4555" i="1"/>
  <c r="G4554" i="1"/>
  <c r="G4553" i="1"/>
  <c r="G4552" i="1"/>
  <c r="G4551" i="1"/>
  <c r="G4550" i="1"/>
  <c r="G4549" i="1"/>
  <c r="G4548" i="1"/>
  <c r="G4547" i="1"/>
  <c r="G4546" i="1"/>
  <c r="G4545" i="1"/>
  <c r="G4544" i="1"/>
  <c r="G4543" i="1"/>
  <c r="G4542" i="1"/>
  <c r="G4541" i="1"/>
  <c r="G4540" i="1"/>
  <c r="G4539" i="1"/>
  <c r="G4538" i="1"/>
  <c r="G4537" i="1"/>
  <c r="G4536" i="1"/>
  <c r="G4535" i="1"/>
  <c r="G4534" i="1"/>
  <c r="G4533" i="1"/>
  <c r="G4532" i="1"/>
  <c r="G4531" i="1"/>
  <c r="G4530" i="1"/>
  <c r="G4529" i="1"/>
  <c r="G4528" i="1"/>
  <c r="G4527" i="1"/>
  <c r="G4526" i="1"/>
  <c r="G4525" i="1"/>
  <c r="G4524" i="1"/>
  <c r="G4523" i="1"/>
  <c r="G4522" i="1"/>
  <c r="G4521" i="1"/>
  <c r="G4520" i="1"/>
  <c r="G4519" i="1"/>
  <c r="G4518" i="1"/>
  <c r="G4517" i="1"/>
  <c r="G4516" i="1"/>
  <c r="G4515" i="1"/>
  <c r="G4514" i="1"/>
  <c r="G4513" i="1"/>
  <c r="G4512" i="1"/>
  <c r="G4511" i="1"/>
  <c r="G4510" i="1"/>
  <c r="G4509" i="1"/>
  <c r="G4508" i="1"/>
  <c r="G4507" i="1"/>
  <c r="G4506" i="1"/>
  <c r="G4505" i="1"/>
  <c r="G4504" i="1"/>
  <c r="G4503" i="1"/>
  <c r="G4502" i="1"/>
  <c r="G4501" i="1"/>
  <c r="G4500" i="1"/>
  <c r="G4499" i="1"/>
  <c r="G4498" i="1"/>
  <c r="G4497" i="1"/>
  <c r="G4496" i="1"/>
  <c r="G4495" i="1"/>
  <c r="G4494" i="1"/>
  <c r="G4493" i="1"/>
  <c r="G4492" i="1"/>
  <c r="G4491" i="1"/>
  <c r="G4490" i="1"/>
  <c r="G4489" i="1"/>
  <c r="G4488" i="1"/>
  <c r="G4487" i="1"/>
  <c r="G4486" i="1"/>
  <c r="G4485" i="1"/>
  <c r="G4484" i="1"/>
  <c r="G4483" i="1"/>
  <c r="G4482" i="1"/>
  <c r="G4481" i="1"/>
  <c r="G4480" i="1"/>
  <c r="G4479" i="1"/>
  <c r="G4478" i="1"/>
  <c r="G4477" i="1"/>
  <c r="G4476" i="1"/>
  <c r="G4475" i="1"/>
  <c r="G4474" i="1"/>
  <c r="G4473" i="1"/>
  <c r="G4472" i="1"/>
  <c r="G4471" i="1"/>
  <c r="G4470" i="1"/>
  <c r="G4469" i="1"/>
  <c r="G4468" i="1"/>
  <c r="G4467" i="1"/>
  <c r="G4466" i="1"/>
  <c r="G4465" i="1"/>
  <c r="G4464" i="1"/>
  <c r="G4463" i="1"/>
  <c r="G4462" i="1"/>
  <c r="G4461" i="1"/>
  <c r="G4460" i="1"/>
  <c r="G4459" i="1"/>
  <c r="G4458" i="1"/>
  <c r="G4457" i="1"/>
  <c r="G4456" i="1"/>
  <c r="G4455" i="1"/>
  <c r="G4454" i="1"/>
  <c r="G4453" i="1"/>
  <c r="G4452" i="1"/>
  <c r="G4451" i="1"/>
  <c r="G4450" i="1"/>
  <c r="G4449" i="1"/>
  <c r="G4448" i="1"/>
  <c r="G4447" i="1"/>
  <c r="G4446" i="1"/>
  <c r="G4445" i="1"/>
  <c r="G4444" i="1"/>
  <c r="G4443" i="1"/>
  <c r="G4442" i="1"/>
  <c r="G4441" i="1"/>
  <c r="G4440" i="1"/>
  <c r="G4439" i="1"/>
  <c r="G4438" i="1"/>
  <c r="G4437" i="1"/>
  <c r="G4436" i="1"/>
  <c r="G4435" i="1"/>
  <c r="G4434" i="1"/>
  <c r="G4433" i="1"/>
  <c r="G4432" i="1"/>
  <c r="G4431" i="1"/>
  <c r="G4430" i="1"/>
  <c r="G4429" i="1"/>
  <c r="G4428" i="1"/>
  <c r="G4427" i="1"/>
  <c r="G4426" i="1"/>
  <c r="G4425" i="1"/>
  <c r="G4424" i="1"/>
  <c r="G4423" i="1"/>
  <c r="G4422" i="1"/>
  <c r="G4421" i="1"/>
  <c r="G4420" i="1"/>
  <c r="G4419" i="1"/>
  <c r="G4418" i="1"/>
  <c r="G4417" i="1"/>
  <c r="G4416" i="1"/>
  <c r="G4415" i="1"/>
  <c r="G4414" i="1"/>
  <c r="G4413" i="1"/>
  <c r="G4412" i="1"/>
  <c r="G4411" i="1"/>
  <c r="G4410" i="1"/>
  <c r="G4409" i="1"/>
  <c r="G4408" i="1"/>
  <c r="G4407" i="1"/>
  <c r="G4406" i="1"/>
  <c r="G4405" i="1"/>
  <c r="G4404" i="1"/>
  <c r="G4403" i="1"/>
  <c r="G4402" i="1"/>
  <c r="G4401" i="1"/>
  <c r="G4400" i="1"/>
  <c r="G4399" i="1"/>
  <c r="G4398" i="1"/>
  <c r="G4397" i="1"/>
  <c r="G4396" i="1"/>
  <c r="G4395" i="1"/>
  <c r="G4394" i="1"/>
  <c r="G4393" i="1"/>
  <c r="G4392" i="1"/>
  <c r="G4391" i="1"/>
  <c r="G4390" i="1"/>
  <c r="G4389" i="1"/>
  <c r="G4388" i="1"/>
  <c r="G4387" i="1"/>
  <c r="G4386" i="1"/>
  <c r="G4385" i="1"/>
  <c r="G4384" i="1"/>
  <c r="G4383" i="1"/>
  <c r="G4382" i="1"/>
  <c r="G4381" i="1"/>
  <c r="G4380" i="1"/>
  <c r="G4379" i="1"/>
  <c r="G4378" i="1"/>
  <c r="G4377" i="1"/>
  <c r="G4376" i="1"/>
  <c r="G4375" i="1"/>
  <c r="G4374" i="1"/>
  <c r="G4373" i="1"/>
  <c r="G4372" i="1"/>
  <c r="G4371" i="1"/>
  <c r="G4370" i="1"/>
  <c r="G4369" i="1"/>
  <c r="G4368" i="1"/>
  <c r="G4367" i="1"/>
  <c r="G4366" i="1"/>
  <c r="G4365" i="1"/>
  <c r="G4364" i="1"/>
  <c r="G4363" i="1"/>
  <c r="G4362" i="1"/>
  <c r="G4361" i="1"/>
  <c r="G4360" i="1"/>
  <c r="G4359" i="1"/>
  <c r="G4358" i="1"/>
  <c r="G4357" i="1"/>
  <c r="G4356" i="1"/>
  <c r="G4355" i="1"/>
  <c r="G4354" i="1"/>
  <c r="G4353" i="1"/>
  <c r="G4352" i="1"/>
  <c r="G4351" i="1"/>
  <c r="G4350" i="1"/>
  <c r="G4349" i="1"/>
  <c r="G4348" i="1"/>
  <c r="G4347" i="1"/>
  <c r="G4346" i="1"/>
  <c r="G4345" i="1"/>
  <c r="G4344" i="1"/>
  <c r="G4343" i="1"/>
  <c r="G4342" i="1"/>
  <c r="G4341" i="1"/>
  <c r="G4340" i="1"/>
  <c r="G4339" i="1"/>
  <c r="G4338" i="1"/>
  <c r="G4337" i="1"/>
  <c r="G4336" i="1"/>
  <c r="G4335" i="1"/>
  <c r="G4334" i="1"/>
  <c r="G4333" i="1"/>
  <c r="G4332" i="1"/>
  <c r="G4331" i="1"/>
  <c r="G4330" i="1"/>
  <c r="G4329" i="1"/>
  <c r="G4328" i="1"/>
  <c r="G4327" i="1"/>
  <c r="G4326" i="1"/>
  <c r="G4325" i="1"/>
  <c r="G4324" i="1"/>
  <c r="G4323" i="1"/>
  <c r="G4322" i="1"/>
  <c r="G4321" i="1"/>
  <c r="G4320" i="1"/>
  <c r="G4319" i="1"/>
  <c r="G4318" i="1"/>
  <c r="G4317" i="1"/>
  <c r="G4316" i="1"/>
  <c r="G4315" i="1"/>
  <c r="G4314" i="1"/>
  <c r="G4313" i="1"/>
  <c r="G4312" i="1"/>
  <c r="G4311" i="1"/>
  <c r="G4310" i="1"/>
  <c r="G4309" i="1"/>
  <c r="G4308" i="1"/>
  <c r="G4307" i="1"/>
  <c r="G4306" i="1"/>
  <c r="G4305" i="1"/>
  <c r="G4304" i="1"/>
  <c r="G4303" i="1"/>
  <c r="G4302" i="1"/>
  <c r="G4301" i="1"/>
  <c r="G4300" i="1"/>
  <c r="G4299" i="1"/>
  <c r="G4298" i="1"/>
  <c r="G4297" i="1"/>
  <c r="G4296" i="1"/>
  <c r="G4295" i="1"/>
  <c r="G4294" i="1"/>
  <c r="G4293" i="1"/>
  <c r="G4292" i="1"/>
  <c r="G4291" i="1"/>
  <c r="G4290" i="1"/>
  <c r="G4289" i="1"/>
  <c r="G4288" i="1"/>
  <c r="G4287" i="1"/>
  <c r="G4286" i="1"/>
  <c r="G4285" i="1"/>
  <c r="G4284" i="1"/>
  <c r="G4283" i="1"/>
  <c r="G4282" i="1"/>
  <c r="G4281" i="1"/>
  <c r="G4280" i="1"/>
  <c r="G4279" i="1"/>
  <c r="G4278" i="1"/>
  <c r="G4277" i="1"/>
  <c r="G4276" i="1"/>
  <c r="G4275" i="1"/>
  <c r="G4274" i="1"/>
  <c r="G4273" i="1"/>
  <c r="G4272" i="1"/>
  <c r="G4271" i="1"/>
  <c r="G4270" i="1"/>
  <c r="G4269" i="1"/>
  <c r="G4268" i="1"/>
  <c r="G4267" i="1"/>
  <c r="G4266" i="1"/>
  <c r="G4265" i="1"/>
  <c r="G4264" i="1"/>
  <c r="G4263" i="1"/>
  <c r="G4262" i="1"/>
  <c r="G4261" i="1"/>
  <c r="G4260" i="1"/>
  <c r="G4259" i="1"/>
  <c r="G4258" i="1"/>
  <c r="G4257" i="1"/>
  <c r="G4256" i="1"/>
  <c r="G4255" i="1"/>
  <c r="G4254" i="1"/>
  <c r="G4253" i="1"/>
  <c r="G4252" i="1"/>
  <c r="G4251" i="1"/>
  <c r="G4250" i="1"/>
  <c r="G4249" i="1"/>
  <c r="G4248" i="1"/>
  <c r="G4247" i="1"/>
  <c r="G4246" i="1"/>
  <c r="G4245" i="1"/>
  <c r="G4244" i="1"/>
  <c r="G4243" i="1"/>
  <c r="G4242" i="1"/>
  <c r="G4241" i="1"/>
  <c r="G4240" i="1"/>
  <c r="G4239" i="1"/>
  <c r="G4238" i="1"/>
  <c r="G4237" i="1"/>
  <c r="G4236" i="1"/>
  <c r="G4235" i="1"/>
  <c r="G4234" i="1"/>
  <c r="G4233" i="1"/>
  <c r="G4232" i="1"/>
  <c r="G4231" i="1"/>
  <c r="G4230" i="1"/>
  <c r="G4229" i="1"/>
  <c r="G4228" i="1"/>
  <c r="G4227" i="1"/>
  <c r="G4226" i="1"/>
  <c r="G4225" i="1"/>
  <c r="G4224" i="1"/>
  <c r="G4223" i="1"/>
  <c r="G4222" i="1"/>
  <c r="G4221" i="1"/>
  <c r="G4220" i="1"/>
  <c r="G4219" i="1"/>
  <c r="G4218" i="1"/>
  <c r="G4217" i="1"/>
  <c r="G4216" i="1"/>
  <c r="G4215" i="1"/>
  <c r="G4214" i="1"/>
  <c r="G4213" i="1"/>
  <c r="G4212" i="1"/>
  <c r="G4211" i="1"/>
  <c r="G4210" i="1"/>
  <c r="G4209" i="1"/>
  <c r="G4208" i="1"/>
  <c r="G4207" i="1"/>
  <c r="G4206" i="1"/>
  <c r="G4205" i="1"/>
  <c r="G4204" i="1"/>
  <c r="G4203" i="1"/>
  <c r="G4202" i="1"/>
  <c r="G4201" i="1"/>
  <c r="G4200" i="1"/>
  <c r="G4199" i="1"/>
  <c r="G4198" i="1"/>
  <c r="G4197" i="1"/>
  <c r="G4196" i="1"/>
  <c r="G4195" i="1"/>
  <c r="G4194" i="1"/>
  <c r="G4193" i="1"/>
  <c r="G4192" i="1"/>
  <c r="G4191" i="1"/>
  <c r="G4190" i="1"/>
  <c r="G4189" i="1"/>
  <c r="G4188" i="1"/>
  <c r="G4187" i="1"/>
  <c r="G4186" i="1"/>
  <c r="G4185" i="1"/>
  <c r="G4184" i="1"/>
  <c r="G4183" i="1"/>
  <c r="G4182" i="1"/>
  <c r="G4181" i="1"/>
  <c r="G4180" i="1"/>
  <c r="G4179" i="1"/>
  <c r="G4178" i="1"/>
  <c r="G4177" i="1"/>
  <c r="G4176" i="1"/>
  <c r="G4175" i="1"/>
  <c r="G4174" i="1"/>
  <c r="G4173" i="1"/>
  <c r="G4172" i="1"/>
  <c r="G4171" i="1"/>
  <c r="G4170" i="1"/>
  <c r="G4169" i="1"/>
  <c r="G4168" i="1"/>
  <c r="G4167" i="1"/>
  <c r="G4166" i="1"/>
  <c r="G4165" i="1"/>
  <c r="G4164" i="1"/>
  <c r="G4163" i="1"/>
  <c r="G4162" i="1"/>
  <c r="G4161" i="1"/>
  <c r="G4160" i="1"/>
  <c r="G4159" i="1"/>
  <c r="G4158" i="1"/>
  <c r="G4157" i="1"/>
  <c r="G4156" i="1"/>
  <c r="G4155" i="1"/>
  <c r="G4154" i="1"/>
  <c r="G4153" i="1"/>
  <c r="G4152" i="1"/>
  <c r="G4151" i="1"/>
  <c r="G4150" i="1"/>
  <c r="G4149" i="1"/>
  <c r="G4148" i="1"/>
  <c r="G4147" i="1"/>
  <c r="G4146" i="1"/>
  <c r="G4145" i="1"/>
  <c r="G4144" i="1"/>
  <c r="G4143" i="1"/>
  <c r="G4142" i="1"/>
  <c r="G4141" i="1"/>
  <c r="G4140" i="1"/>
  <c r="G4139" i="1"/>
  <c r="G4138" i="1"/>
  <c r="G4137" i="1"/>
  <c r="G4136" i="1"/>
  <c r="G4135" i="1"/>
  <c r="G4134" i="1"/>
  <c r="G4133" i="1"/>
  <c r="G4132" i="1"/>
  <c r="G4131" i="1"/>
  <c r="G4130" i="1"/>
  <c r="G4129" i="1"/>
  <c r="G4128" i="1"/>
  <c r="G4127" i="1"/>
  <c r="G4126" i="1"/>
  <c r="G4125" i="1"/>
  <c r="G4124" i="1"/>
  <c r="G4123" i="1"/>
  <c r="G4122" i="1"/>
  <c r="G4121" i="1"/>
  <c r="G4120" i="1"/>
  <c r="G4119" i="1"/>
  <c r="G4118" i="1"/>
  <c r="G4117" i="1"/>
  <c r="G4116" i="1"/>
  <c r="G4115" i="1"/>
  <c r="G4114" i="1"/>
  <c r="G4113" i="1"/>
  <c r="G4112" i="1"/>
  <c r="G4111" i="1"/>
  <c r="G4110" i="1"/>
  <c r="G4109" i="1"/>
  <c r="G4108" i="1"/>
  <c r="G4107" i="1"/>
  <c r="G4106" i="1"/>
  <c r="G4105" i="1"/>
  <c r="G4104" i="1"/>
  <c r="G4103" i="1"/>
  <c r="G4102" i="1"/>
  <c r="G4101" i="1"/>
  <c r="G4100" i="1"/>
  <c r="G4099" i="1"/>
  <c r="G4098" i="1"/>
  <c r="G4097" i="1"/>
  <c r="G4096" i="1"/>
  <c r="G4095" i="1"/>
  <c r="G4094" i="1"/>
  <c r="G4093" i="1"/>
  <c r="G4092" i="1"/>
  <c r="G4091" i="1"/>
  <c r="G4090" i="1"/>
  <c r="G4089" i="1"/>
  <c r="G4088" i="1"/>
  <c r="G4087" i="1"/>
  <c r="G4086" i="1"/>
  <c r="G4085" i="1"/>
  <c r="G4084" i="1"/>
  <c r="G4083" i="1"/>
  <c r="G4082" i="1"/>
  <c r="G4081" i="1"/>
  <c r="G4080" i="1"/>
  <c r="G4079" i="1"/>
  <c r="G4078" i="1"/>
  <c r="G4077" i="1"/>
  <c r="G4076" i="1"/>
  <c r="G4075" i="1"/>
  <c r="G4074" i="1"/>
  <c r="G4073" i="1"/>
  <c r="G4072" i="1"/>
  <c r="G4071" i="1"/>
  <c r="G4070" i="1"/>
  <c r="G4069" i="1"/>
  <c r="G4068" i="1"/>
  <c r="G4067" i="1"/>
  <c r="G4066" i="1"/>
  <c r="G4065" i="1"/>
  <c r="G4064" i="1"/>
  <c r="G4063" i="1"/>
  <c r="G4062" i="1"/>
  <c r="G4061" i="1"/>
  <c r="G4060" i="1"/>
  <c r="G4059" i="1"/>
  <c r="G4058" i="1"/>
  <c r="G4057" i="1"/>
  <c r="G4056" i="1"/>
  <c r="G4055" i="1"/>
  <c r="G4054" i="1"/>
  <c r="G4053" i="1"/>
  <c r="G4052" i="1"/>
  <c r="G4051" i="1"/>
  <c r="G4050" i="1"/>
  <c r="G4049" i="1"/>
  <c r="G4048" i="1"/>
  <c r="G4047" i="1"/>
  <c r="G4046" i="1"/>
  <c r="G4045" i="1"/>
  <c r="G4044" i="1"/>
  <c r="G4043" i="1"/>
  <c r="G4042" i="1"/>
  <c r="G4041" i="1"/>
  <c r="G4040" i="1"/>
  <c r="G4039" i="1"/>
  <c r="G4038" i="1"/>
  <c r="G4037" i="1"/>
  <c r="G4036" i="1"/>
  <c r="G4035" i="1"/>
  <c r="G4034" i="1"/>
  <c r="G4033" i="1"/>
  <c r="G4032" i="1"/>
  <c r="G4031" i="1"/>
  <c r="G4030" i="1"/>
  <c r="G4029" i="1"/>
  <c r="G4028" i="1"/>
  <c r="G4027" i="1"/>
  <c r="G4026" i="1"/>
  <c r="G4025" i="1"/>
  <c r="G4024" i="1"/>
  <c r="G4023" i="1"/>
  <c r="G4022" i="1"/>
  <c r="G4021" i="1"/>
  <c r="G4020" i="1"/>
  <c r="G4019" i="1"/>
  <c r="G4018" i="1"/>
  <c r="G4017" i="1"/>
  <c r="G4016" i="1"/>
  <c r="G4015" i="1"/>
  <c r="G4014" i="1"/>
  <c r="G4013" i="1"/>
  <c r="G4012" i="1"/>
  <c r="G4011" i="1"/>
  <c r="G4010" i="1"/>
  <c r="G4009" i="1"/>
  <c r="G4008" i="1"/>
  <c r="G4007" i="1"/>
  <c r="G4006" i="1"/>
  <c r="G4005" i="1"/>
  <c r="G4004" i="1"/>
  <c r="G4003" i="1"/>
  <c r="G4002" i="1"/>
  <c r="G4001" i="1"/>
  <c r="G4000" i="1"/>
  <c r="G3999" i="1"/>
  <c r="G3998" i="1"/>
  <c r="G3997" i="1"/>
  <c r="G3996" i="1"/>
  <c r="G3995" i="1"/>
  <c r="G3994" i="1"/>
  <c r="G3993" i="1"/>
  <c r="G3992" i="1"/>
  <c r="G3991" i="1"/>
  <c r="G3990" i="1"/>
  <c r="G3989" i="1"/>
  <c r="G3988" i="1"/>
  <c r="G3987" i="1"/>
  <c r="G3986" i="1"/>
  <c r="G3985" i="1"/>
  <c r="G3984" i="1"/>
  <c r="G3983" i="1"/>
  <c r="G3982" i="1"/>
  <c r="G3981" i="1"/>
  <c r="G3980" i="1"/>
  <c r="G3979" i="1"/>
  <c r="G3978" i="1"/>
  <c r="G3977" i="1"/>
  <c r="G3976" i="1"/>
  <c r="G3975" i="1"/>
  <c r="G3974" i="1"/>
  <c r="G3973" i="1"/>
  <c r="G3972" i="1"/>
  <c r="G3971" i="1"/>
  <c r="G3970" i="1"/>
  <c r="G3969" i="1"/>
  <c r="G3968" i="1"/>
  <c r="G3967" i="1"/>
  <c r="G3966" i="1"/>
  <c r="G3965" i="1"/>
  <c r="G3964" i="1"/>
  <c r="G3963" i="1"/>
  <c r="G3962" i="1"/>
  <c r="G3961" i="1"/>
  <c r="N7" i="1" s="1"/>
  <c r="G3960" i="1"/>
  <c r="G3959" i="1"/>
  <c r="G3958" i="1"/>
  <c r="G3957" i="1"/>
  <c r="G3956" i="1"/>
  <c r="G3955" i="1"/>
  <c r="G3954" i="1"/>
  <c r="G3953" i="1"/>
  <c r="G3952" i="1"/>
  <c r="G3951" i="1"/>
  <c r="G3950" i="1"/>
  <c r="G3949" i="1"/>
  <c r="G3948" i="1"/>
  <c r="G3947" i="1"/>
  <c r="G3946" i="1"/>
  <c r="G3945" i="1"/>
  <c r="G3944" i="1"/>
  <c r="G3943" i="1"/>
  <c r="G3942" i="1"/>
  <c r="G3941" i="1"/>
  <c r="G3940" i="1"/>
  <c r="G3939" i="1"/>
  <c r="G3938" i="1"/>
  <c r="G3937" i="1"/>
  <c r="G3936" i="1"/>
  <c r="G3935" i="1"/>
  <c r="G3934" i="1"/>
  <c r="G3933" i="1"/>
  <c r="G3932" i="1"/>
  <c r="G3931" i="1"/>
  <c r="G3930" i="1"/>
  <c r="G3929" i="1"/>
  <c r="G3928" i="1"/>
  <c r="G3927" i="1"/>
  <c r="G3926" i="1"/>
  <c r="G3925" i="1"/>
  <c r="G3924" i="1"/>
  <c r="G3923" i="1"/>
  <c r="G3922" i="1"/>
  <c r="G3921" i="1"/>
  <c r="G3920" i="1"/>
  <c r="G3919" i="1"/>
  <c r="G3918" i="1"/>
  <c r="G3917" i="1"/>
  <c r="G3916" i="1"/>
  <c r="G3915" i="1"/>
  <c r="G3914" i="1"/>
  <c r="G3913" i="1"/>
  <c r="G3912" i="1"/>
  <c r="G3911" i="1"/>
  <c r="G3910" i="1"/>
  <c r="G3909" i="1"/>
  <c r="G3908" i="1"/>
  <c r="G3907" i="1"/>
  <c r="G3906" i="1"/>
  <c r="G3905" i="1"/>
  <c r="G3904" i="1"/>
  <c r="G3903" i="1"/>
  <c r="G3902" i="1"/>
  <c r="G3901" i="1"/>
  <c r="G3900" i="1"/>
  <c r="G3899" i="1"/>
  <c r="G3898" i="1"/>
  <c r="G3897" i="1"/>
  <c r="G3896" i="1"/>
  <c r="G3895" i="1"/>
  <c r="G3894" i="1"/>
  <c r="G3893" i="1"/>
  <c r="G3892" i="1"/>
  <c r="G3891" i="1"/>
  <c r="G3890" i="1"/>
  <c r="G3889" i="1"/>
  <c r="G3888" i="1"/>
  <c r="G3887" i="1"/>
  <c r="G3886" i="1"/>
  <c r="G3885" i="1"/>
  <c r="G3884" i="1"/>
  <c r="G3883" i="1"/>
  <c r="G3882" i="1"/>
  <c r="G3881" i="1"/>
  <c r="G3880" i="1"/>
  <c r="G3879" i="1"/>
  <c r="G3878" i="1"/>
  <c r="G3877" i="1"/>
  <c r="G3876" i="1"/>
  <c r="G3875" i="1"/>
  <c r="G3874" i="1"/>
  <c r="G3873" i="1"/>
  <c r="G3872" i="1"/>
  <c r="G3871" i="1"/>
  <c r="G3870" i="1"/>
  <c r="G3869" i="1"/>
  <c r="G3868" i="1"/>
  <c r="G3867" i="1"/>
  <c r="G3866" i="1"/>
  <c r="G3865" i="1"/>
  <c r="G3864" i="1"/>
  <c r="G3863" i="1"/>
  <c r="G3862" i="1"/>
  <c r="G3861" i="1"/>
  <c r="G3860" i="1"/>
  <c r="G3859" i="1"/>
  <c r="G3858" i="1"/>
  <c r="G3857" i="1"/>
  <c r="G3856" i="1"/>
  <c r="G3855" i="1"/>
  <c r="G3854" i="1"/>
  <c r="G3853" i="1"/>
  <c r="G3852" i="1"/>
  <c r="G3851" i="1"/>
  <c r="G3850" i="1"/>
  <c r="G3849" i="1"/>
  <c r="G3848" i="1"/>
  <c r="G3847" i="1"/>
  <c r="G3846" i="1"/>
  <c r="G3845" i="1"/>
  <c r="G3844" i="1"/>
  <c r="G3843" i="1"/>
  <c r="G3842" i="1"/>
  <c r="G3841" i="1"/>
  <c r="G3840" i="1"/>
  <c r="G3839" i="1"/>
  <c r="G3838" i="1"/>
  <c r="G3837" i="1"/>
  <c r="G3836" i="1"/>
  <c r="G3835" i="1"/>
  <c r="G3834" i="1"/>
  <c r="G3833" i="1"/>
  <c r="G3832" i="1"/>
  <c r="G3831" i="1"/>
  <c r="G3830" i="1"/>
  <c r="G3829" i="1"/>
  <c r="G3828" i="1"/>
  <c r="G3827" i="1"/>
  <c r="G3826" i="1"/>
  <c r="G3825" i="1"/>
  <c r="G3824" i="1"/>
  <c r="G3823" i="1"/>
  <c r="G3822" i="1"/>
  <c r="G3821" i="1"/>
  <c r="G3820" i="1"/>
  <c r="G3819" i="1"/>
  <c r="G3818" i="1"/>
  <c r="G3817" i="1"/>
  <c r="G3816" i="1"/>
  <c r="G3815" i="1"/>
  <c r="G3814" i="1"/>
  <c r="G3813" i="1"/>
  <c r="G3812" i="1"/>
  <c r="G3811" i="1"/>
  <c r="G3810" i="1"/>
  <c r="G3809" i="1"/>
  <c r="G3808" i="1"/>
  <c r="G3807" i="1"/>
  <c r="G3806" i="1"/>
  <c r="G3805" i="1"/>
  <c r="G3804" i="1"/>
  <c r="G3803" i="1"/>
  <c r="G3802" i="1"/>
  <c r="G3801" i="1"/>
  <c r="G3800" i="1"/>
  <c r="G3799" i="1"/>
  <c r="G3798" i="1"/>
  <c r="G3797" i="1"/>
  <c r="G3796" i="1"/>
  <c r="G3795" i="1"/>
  <c r="G3794" i="1"/>
  <c r="G3793" i="1"/>
  <c r="G3792" i="1"/>
  <c r="G3791" i="1"/>
  <c r="G3790" i="1"/>
  <c r="G3789" i="1"/>
  <c r="G3788" i="1"/>
  <c r="G3787" i="1"/>
  <c r="G3786" i="1"/>
  <c r="G3785" i="1"/>
  <c r="G3784" i="1"/>
  <c r="G3783" i="1"/>
  <c r="G3782" i="1"/>
  <c r="G3781" i="1"/>
  <c r="G3780" i="1"/>
  <c r="G3779" i="1"/>
  <c r="G3778" i="1"/>
  <c r="G3777" i="1"/>
  <c r="G3776" i="1"/>
  <c r="G3775" i="1"/>
  <c r="G3774" i="1"/>
  <c r="G3773" i="1"/>
  <c r="G3772" i="1"/>
  <c r="G3771" i="1"/>
  <c r="G3770" i="1"/>
  <c r="G3769" i="1"/>
  <c r="G3768" i="1"/>
  <c r="G3767" i="1"/>
  <c r="G3766" i="1"/>
  <c r="G3765" i="1"/>
  <c r="G3764" i="1"/>
  <c r="G3763" i="1"/>
  <c r="G3762" i="1"/>
  <c r="G3761" i="1"/>
  <c r="G3760" i="1"/>
  <c r="G3759" i="1"/>
  <c r="G3758" i="1"/>
  <c r="G3757" i="1"/>
  <c r="G3756" i="1"/>
  <c r="G3755" i="1"/>
  <c r="G3754" i="1"/>
  <c r="G3753" i="1"/>
  <c r="G3752" i="1"/>
  <c r="G3751" i="1"/>
  <c r="G3750" i="1"/>
  <c r="G3749" i="1"/>
  <c r="G3748" i="1"/>
  <c r="G3747" i="1"/>
  <c r="G3746" i="1"/>
  <c r="G3745" i="1"/>
  <c r="G3744" i="1"/>
  <c r="G3743" i="1"/>
  <c r="G3742" i="1"/>
  <c r="G3741" i="1"/>
  <c r="G3740" i="1"/>
  <c r="G3739" i="1"/>
  <c r="G3738" i="1"/>
  <c r="G3737" i="1"/>
  <c r="G3736" i="1"/>
  <c r="G3735" i="1"/>
  <c r="G3734" i="1"/>
  <c r="G3733" i="1"/>
  <c r="G3732" i="1"/>
  <c r="G3731" i="1"/>
  <c r="G3730" i="1"/>
  <c r="G3729" i="1"/>
  <c r="G3728" i="1"/>
  <c r="G3727" i="1"/>
  <c r="G3726" i="1"/>
  <c r="G3725" i="1"/>
  <c r="G3724" i="1"/>
  <c r="G3723" i="1"/>
  <c r="G3722" i="1"/>
  <c r="G3721" i="1"/>
  <c r="G3720" i="1"/>
  <c r="G3719" i="1"/>
  <c r="G3718" i="1"/>
  <c r="G3717" i="1"/>
  <c r="G3716" i="1"/>
  <c r="G3715" i="1"/>
  <c r="G3714" i="1"/>
  <c r="G3713" i="1"/>
  <c r="G3712" i="1"/>
  <c r="G3711" i="1"/>
  <c r="G3710" i="1"/>
  <c r="G3709" i="1"/>
  <c r="G3708" i="1"/>
  <c r="G3707" i="1"/>
  <c r="G3706" i="1"/>
  <c r="G3705" i="1"/>
  <c r="G3704" i="1"/>
  <c r="G3703" i="1"/>
  <c r="G3702" i="1"/>
  <c r="G3701" i="1"/>
  <c r="G3700" i="1"/>
  <c r="G3699" i="1"/>
  <c r="G3698" i="1"/>
  <c r="G3697" i="1"/>
  <c r="G3696" i="1"/>
  <c r="G3695" i="1"/>
  <c r="G3694" i="1"/>
  <c r="G3693" i="1"/>
  <c r="G3692" i="1"/>
  <c r="G3691" i="1"/>
  <c r="G3690" i="1"/>
  <c r="G3689" i="1"/>
  <c r="G3688" i="1"/>
  <c r="G3687" i="1"/>
  <c r="G3686" i="1"/>
  <c r="G3685" i="1"/>
  <c r="G3684" i="1"/>
  <c r="G3683" i="1"/>
  <c r="G3682" i="1"/>
  <c r="G3681" i="1"/>
  <c r="G3680" i="1"/>
  <c r="G3679" i="1"/>
  <c r="G3678" i="1"/>
  <c r="G3677" i="1"/>
  <c r="G3676" i="1"/>
  <c r="G3675" i="1"/>
  <c r="G3674" i="1"/>
  <c r="G3673" i="1"/>
  <c r="G3672" i="1"/>
  <c r="G3671" i="1"/>
  <c r="G3670" i="1"/>
  <c r="G3669" i="1"/>
  <c r="G3668" i="1"/>
  <c r="G3667" i="1"/>
  <c r="G3666" i="1"/>
  <c r="G3665" i="1"/>
  <c r="G3664" i="1"/>
  <c r="G3663" i="1"/>
  <c r="G3662" i="1"/>
  <c r="G3661" i="1"/>
  <c r="G3660" i="1"/>
  <c r="G3659" i="1"/>
  <c r="G3658" i="1"/>
  <c r="G3657" i="1"/>
  <c r="G3656" i="1"/>
  <c r="G3655" i="1"/>
  <c r="G3654" i="1"/>
  <c r="G3653" i="1"/>
  <c r="G3652" i="1"/>
  <c r="G3651" i="1"/>
  <c r="G3650" i="1"/>
  <c r="G3649" i="1"/>
  <c r="G3648" i="1"/>
  <c r="G3647" i="1"/>
  <c r="G3646" i="1"/>
  <c r="G3645" i="1"/>
  <c r="G3644" i="1"/>
  <c r="G3643" i="1"/>
  <c r="G3642" i="1"/>
  <c r="G3641" i="1"/>
  <c r="G3640" i="1"/>
  <c r="G3639" i="1"/>
  <c r="G3638" i="1"/>
  <c r="G3637" i="1"/>
  <c r="G3636" i="1"/>
  <c r="G3635" i="1"/>
  <c r="G3634" i="1"/>
  <c r="G3633" i="1"/>
  <c r="G3632" i="1"/>
  <c r="G3631" i="1"/>
  <c r="G3630" i="1"/>
  <c r="G3629" i="1"/>
  <c r="G3628" i="1"/>
  <c r="G3627" i="1"/>
  <c r="G3626" i="1"/>
  <c r="G3625" i="1"/>
  <c r="G3624" i="1"/>
  <c r="G3623" i="1"/>
  <c r="G3622" i="1"/>
  <c r="G3621" i="1"/>
  <c r="G3620" i="1"/>
  <c r="G3619" i="1"/>
  <c r="G3618" i="1"/>
  <c r="G3617" i="1"/>
  <c r="G3616" i="1"/>
  <c r="G3615" i="1"/>
  <c r="G3614" i="1"/>
  <c r="G3613" i="1"/>
  <c r="G3612" i="1"/>
  <c r="G3611" i="1"/>
  <c r="G3610" i="1"/>
  <c r="G3609" i="1"/>
  <c r="G3608" i="1"/>
  <c r="G3607" i="1"/>
  <c r="G3606" i="1"/>
  <c r="G3605" i="1"/>
  <c r="G3604" i="1"/>
  <c r="G3603" i="1"/>
  <c r="G3602" i="1"/>
  <c r="G3601" i="1"/>
  <c r="G3600" i="1"/>
  <c r="G3599" i="1"/>
  <c r="G3598" i="1"/>
  <c r="G3597" i="1"/>
  <c r="G3596" i="1"/>
  <c r="G3595" i="1"/>
  <c r="G3594" i="1"/>
  <c r="G3593" i="1"/>
  <c r="G3592" i="1"/>
  <c r="G3591" i="1"/>
  <c r="G3590" i="1"/>
  <c r="G3589" i="1"/>
  <c r="G3588" i="1"/>
  <c r="G3587" i="1"/>
  <c r="G3586" i="1"/>
  <c r="G3585" i="1"/>
  <c r="G3584" i="1"/>
  <c r="G3583" i="1"/>
  <c r="G3582" i="1"/>
  <c r="G3581" i="1"/>
  <c r="G3580" i="1"/>
  <c r="G3579" i="1"/>
  <c r="G3578" i="1"/>
  <c r="G3577" i="1"/>
  <c r="G3576" i="1"/>
  <c r="G3575" i="1"/>
  <c r="G3574" i="1"/>
  <c r="G3573" i="1"/>
  <c r="G3572" i="1"/>
  <c r="G3571" i="1"/>
  <c r="G3570" i="1"/>
  <c r="G3569" i="1"/>
  <c r="G3568" i="1"/>
  <c r="G3567" i="1"/>
  <c r="G3566" i="1"/>
  <c r="G3565" i="1"/>
  <c r="G3564" i="1"/>
  <c r="G3563" i="1"/>
  <c r="G3562" i="1"/>
  <c r="G3561" i="1"/>
  <c r="G3560" i="1"/>
  <c r="G3559" i="1"/>
  <c r="G3558" i="1"/>
  <c r="G3557" i="1"/>
  <c r="G3556" i="1"/>
  <c r="G3555" i="1"/>
  <c r="G3554" i="1"/>
  <c r="G3553" i="1"/>
  <c r="G3552" i="1"/>
  <c r="G3551" i="1"/>
  <c r="G3550" i="1"/>
  <c r="G3549" i="1"/>
  <c r="G3548" i="1"/>
  <c r="G3547" i="1"/>
  <c r="G3546" i="1"/>
  <c r="G3545" i="1"/>
  <c r="G3544" i="1"/>
  <c r="G3543" i="1"/>
  <c r="G3542" i="1"/>
  <c r="G3541" i="1"/>
  <c r="G3540" i="1"/>
  <c r="G3539" i="1"/>
  <c r="G3538" i="1"/>
  <c r="G3537" i="1"/>
  <c r="G3536" i="1"/>
  <c r="G3535" i="1"/>
  <c r="G3534" i="1"/>
  <c r="G3533" i="1"/>
  <c r="G3532" i="1"/>
  <c r="G3531" i="1"/>
  <c r="G3530" i="1"/>
  <c r="G3529" i="1"/>
  <c r="G3528" i="1"/>
  <c r="G3527" i="1"/>
  <c r="G3526" i="1"/>
  <c r="G3525" i="1"/>
  <c r="G3524" i="1"/>
  <c r="G3523" i="1"/>
  <c r="G3522" i="1"/>
  <c r="G3521" i="1"/>
  <c r="G3520" i="1"/>
  <c r="G3519" i="1"/>
  <c r="G3518" i="1"/>
  <c r="G3517" i="1"/>
  <c r="G3516" i="1"/>
  <c r="G3515" i="1"/>
  <c r="G3514" i="1"/>
  <c r="G3513" i="1"/>
  <c r="G3512" i="1"/>
  <c r="G3511" i="1"/>
  <c r="G3510" i="1"/>
  <c r="G3509" i="1"/>
  <c r="G3508" i="1"/>
  <c r="G3507" i="1"/>
  <c r="G3506" i="1"/>
  <c r="G3505" i="1"/>
  <c r="G3504" i="1"/>
  <c r="G3503" i="1"/>
  <c r="G3502" i="1"/>
  <c r="G3501" i="1"/>
  <c r="G3500" i="1"/>
  <c r="G3499" i="1"/>
  <c r="G3498" i="1"/>
  <c r="G3497" i="1"/>
  <c r="G3496" i="1"/>
  <c r="G3495" i="1"/>
  <c r="M15" i="1" s="1"/>
  <c r="G3494" i="1"/>
  <c r="G3493" i="1"/>
  <c r="G3492" i="1"/>
  <c r="G3491" i="1"/>
  <c r="G3490" i="1"/>
  <c r="G3489" i="1"/>
  <c r="G3488" i="1"/>
  <c r="G3487" i="1"/>
  <c r="G3486" i="1"/>
  <c r="G3485" i="1"/>
  <c r="G3484" i="1"/>
  <c r="G3483" i="1"/>
  <c r="G3482" i="1"/>
  <c r="G3481" i="1"/>
  <c r="G3480" i="1"/>
  <c r="G3479" i="1"/>
  <c r="G3478" i="1"/>
  <c r="G3477" i="1"/>
  <c r="G3476" i="1"/>
  <c r="G3475" i="1"/>
  <c r="G3474" i="1"/>
  <c r="G3473" i="1"/>
  <c r="G3472" i="1"/>
  <c r="G3471" i="1"/>
  <c r="G3470" i="1"/>
  <c r="G3469" i="1"/>
  <c r="G3468" i="1"/>
  <c r="G3467" i="1"/>
  <c r="G3466" i="1"/>
  <c r="G3465" i="1"/>
  <c r="G3464" i="1"/>
  <c r="G3463" i="1"/>
  <c r="G3462" i="1"/>
  <c r="G3461" i="1"/>
  <c r="G3460" i="1"/>
  <c r="G3459" i="1"/>
  <c r="G3458" i="1"/>
  <c r="G3457" i="1"/>
  <c r="G3456" i="1"/>
  <c r="G3455" i="1"/>
  <c r="G3454" i="1"/>
  <c r="G3453" i="1"/>
  <c r="G3452" i="1"/>
  <c r="G3451" i="1"/>
  <c r="G3450" i="1"/>
  <c r="G3449" i="1"/>
  <c r="G3448" i="1"/>
  <c r="G3447" i="1"/>
  <c r="G3446" i="1"/>
  <c r="G3445" i="1"/>
  <c r="G3444" i="1"/>
  <c r="G3443" i="1"/>
  <c r="G3442" i="1"/>
  <c r="G3441" i="1"/>
  <c r="G3440" i="1"/>
  <c r="G3439" i="1"/>
  <c r="G3438" i="1"/>
  <c r="G3437" i="1"/>
  <c r="G3436" i="1"/>
  <c r="G3435" i="1"/>
  <c r="G3434" i="1"/>
  <c r="G3433" i="1"/>
  <c r="G3432" i="1"/>
  <c r="G3431" i="1"/>
  <c r="G3430" i="1"/>
  <c r="G3429" i="1"/>
  <c r="G3428" i="1"/>
  <c r="G3427" i="1"/>
  <c r="G3426" i="1"/>
  <c r="G3425" i="1"/>
  <c r="G3424" i="1"/>
  <c r="G3423" i="1"/>
  <c r="G3422" i="1"/>
  <c r="G3421" i="1"/>
  <c r="G3420" i="1"/>
  <c r="G3419" i="1"/>
  <c r="G3418" i="1"/>
  <c r="G3417" i="1"/>
  <c r="G3416" i="1"/>
  <c r="G3415" i="1"/>
  <c r="G3414" i="1"/>
  <c r="G3413" i="1"/>
  <c r="G3412" i="1"/>
  <c r="G3411" i="1"/>
  <c r="G3410" i="1"/>
  <c r="G3409" i="1"/>
  <c r="G3408" i="1"/>
  <c r="G3407" i="1"/>
  <c r="G3406" i="1"/>
  <c r="G3405" i="1"/>
  <c r="G3404" i="1"/>
  <c r="G3403" i="1"/>
  <c r="G3402" i="1"/>
  <c r="G3401" i="1"/>
  <c r="G3400" i="1"/>
  <c r="G3399" i="1"/>
  <c r="G3398" i="1"/>
  <c r="G3397" i="1"/>
  <c r="G3396" i="1"/>
  <c r="G3395" i="1"/>
  <c r="G3394" i="1"/>
  <c r="G3393" i="1"/>
  <c r="G3392" i="1"/>
  <c r="G3391" i="1"/>
  <c r="G3390" i="1"/>
  <c r="G3389" i="1"/>
  <c r="G3388" i="1"/>
  <c r="G3387" i="1"/>
  <c r="G3386" i="1"/>
  <c r="G3385" i="1"/>
  <c r="G3384" i="1"/>
  <c r="G3383" i="1"/>
  <c r="G3382" i="1"/>
  <c r="G3381" i="1"/>
  <c r="G3380" i="1"/>
  <c r="G3379" i="1"/>
  <c r="G3378" i="1"/>
  <c r="G3377" i="1"/>
  <c r="G3376" i="1"/>
  <c r="G3375" i="1"/>
  <c r="G3374" i="1"/>
  <c r="G3373" i="1"/>
  <c r="G3372" i="1"/>
  <c r="G3371" i="1"/>
  <c r="G3370" i="1"/>
  <c r="G3369" i="1"/>
  <c r="G3368" i="1"/>
  <c r="G3367" i="1"/>
  <c r="G3366" i="1"/>
  <c r="G3365" i="1"/>
  <c r="G3364" i="1"/>
  <c r="G3363" i="1"/>
  <c r="G3362" i="1"/>
  <c r="G3361" i="1"/>
  <c r="G3360" i="1"/>
  <c r="G3359" i="1"/>
  <c r="G3358" i="1"/>
  <c r="G3357" i="1"/>
  <c r="G3356" i="1"/>
  <c r="G3355" i="1"/>
  <c r="G3354" i="1"/>
  <c r="G3353" i="1"/>
  <c r="G3352" i="1"/>
  <c r="G3351" i="1"/>
  <c r="G3350" i="1"/>
  <c r="G3349" i="1"/>
  <c r="G3348" i="1"/>
  <c r="G3347" i="1"/>
  <c r="G3346" i="1"/>
  <c r="G3345" i="1"/>
  <c r="G3344" i="1"/>
  <c r="G3343" i="1"/>
  <c r="G3342" i="1"/>
  <c r="G3341" i="1"/>
  <c r="G3340" i="1"/>
  <c r="G3339" i="1"/>
  <c r="G3338" i="1"/>
  <c r="G3337" i="1"/>
  <c r="G3336" i="1"/>
  <c r="G3335" i="1"/>
  <c r="G3334" i="1"/>
  <c r="G3333" i="1"/>
  <c r="G3332" i="1"/>
  <c r="G3331" i="1"/>
  <c r="G3330" i="1"/>
  <c r="G3329" i="1"/>
  <c r="G3328" i="1"/>
  <c r="G3327" i="1"/>
  <c r="G3326" i="1"/>
  <c r="G3325" i="1"/>
  <c r="G3324" i="1"/>
  <c r="G3323" i="1"/>
  <c r="G3322" i="1"/>
  <c r="G3321" i="1"/>
  <c r="G3320" i="1"/>
  <c r="G3319" i="1"/>
  <c r="G3318" i="1"/>
  <c r="G3317" i="1"/>
  <c r="G3316" i="1"/>
  <c r="G3315" i="1"/>
  <c r="G3314" i="1"/>
  <c r="G3313" i="1"/>
  <c r="G3312" i="1"/>
  <c r="G3311" i="1"/>
  <c r="G3310" i="1"/>
  <c r="G3309" i="1"/>
  <c r="G3308" i="1"/>
  <c r="G3307" i="1"/>
  <c r="G3306" i="1"/>
  <c r="G3305" i="1"/>
  <c r="G3304" i="1"/>
  <c r="G3303" i="1"/>
  <c r="G3302" i="1"/>
  <c r="G3301" i="1"/>
  <c r="G3300" i="1"/>
  <c r="G3299" i="1"/>
  <c r="G3298" i="1"/>
  <c r="G3297" i="1"/>
  <c r="G3296" i="1"/>
  <c r="G3295" i="1"/>
  <c r="G3294" i="1"/>
  <c r="G3293" i="1"/>
  <c r="G3292" i="1"/>
  <c r="G3291" i="1"/>
  <c r="G3290" i="1"/>
  <c r="G3289" i="1"/>
  <c r="G3288" i="1"/>
  <c r="G3287" i="1"/>
  <c r="G3286" i="1"/>
  <c r="G3285" i="1"/>
  <c r="G3284" i="1"/>
  <c r="G3283" i="1"/>
  <c r="G3282" i="1"/>
  <c r="G3281" i="1"/>
  <c r="G3280" i="1"/>
  <c r="G3279" i="1"/>
  <c r="G3278" i="1"/>
  <c r="G3277" i="1"/>
  <c r="G3276" i="1"/>
  <c r="G3275" i="1"/>
  <c r="G3274" i="1"/>
  <c r="G3273" i="1"/>
  <c r="G3272" i="1"/>
  <c r="G3271" i="1"/>
  <c r="G3270" i="1"/>
  <c r="G3269" i="1"/>
  <c r="G3268" i="1"/>
  <c r="G3267" i="1"/>
  <c r="G3266" i="1"/>
  <c r="G3265" i="1"/>
  <c r="G3264" i="1"/>
  <c r="G3263" i="1"/>
  <c r="G3262" i="1"/>
  <c r="G3261" i="1"/>
  <c r="G3260" i="1"/>
  <c r="G3259" i="1"/>
  <c r="G3258" i="1"/>
  <c r="G3257" i="1"/>
  <c r="G3256" i="1"/>
  <c r="G3255" i="1"/>
  <c r="G3254" i="1"/>
  <c r="G3253" i="1"/>
  <c r="G3252" i="1"/>
  <c r="G3251" i="1"/>
  <c r="G3250" i="1"/>
  <c r="G3249" i="1"/>
  <c r="G3248" i="1"/>
  <c r="G3247" i="1"/>
  <c r="G3246" i="1"/>
  <c r="G3245" i="1"/>
  <c r="G3244" i="1"/>
  <c r="G3243" i="1"/>
  <c r="G3242" i="1"/>
  <c r="G3241" i="1"/>
  <c r="G3240" i="1"/>
  <c r="G3239" i="1"/>
  <c r="G3238" i="1"/>
  <c r="G3237" i="1"/>
  <c r="G3236" i="1"/>
  <c r="G3235" i="1"/>
  <c r="G3234" i="1"/>
  <c r="G3233" i="1"/>
  <c r="G3232" i="1"/>
  <c r="G3231" i="1"/>
  <c r="G3230" i="1"/>
  <c r="G3229" i="1"/>
  <c r="G3228" i="1"/>
  <c r="G3227" i="1"/>
  <c r="G3226" i="1"/>
  <c r="G3225" i="1"/>
  <c r="G3224" i="1"/>
  <c r="G3223" i="1"/>
  <c r="G3222" i="1"/>
  <c r="G3221" i="1"/>
  <c r="G3220" i="1"/>
  <c r="G3219" i="1"/>
  <c r="G3218" i="1"/>
  <c r="G3217" i="1"/>
  <c r="G3216" i="1"/>
  <c r="G3215" i="1"/>
  <c r="G3214" i="1"/>
  <c r="G3213" i="1"/>
  <c r="G3212" i="1"/>
  <c r="G3211" i="1"/>
  <c r="G3210" i="1"/>
  <c r="G3209" i="1"/>
  <c r="G3208" i="1"/>
  <c r="G3207" i="1"/>
  <c r="G3206" i="1"/>
  <c r="G3205" i="1"/>
  <c r="G3204" i="1"/>
  <c r="G3203" i="1"/>
  <c r="G3202" i="1"/>
  <c r="G3201" i="1"/>
  <c r="G3200" i="1"/>
  <c r="G3199" i="1"/>
  <c r="G3198" i="1"/>
  <c r="G3197" i="1"/>
  <c r="G3196" i="1"/>
  <c r="G3195" i="1"/>
  <c r="G3194" i="1"/>
  <c r="G3193" i="1"/>
  <c r="G3192" i="1"/>
  <c r="G3191" i="1"/>
  <c r="G3190" i="1"/>
  <c r="G3189" i="1"/>
  <c r="G3188" i="1"/>
  <c r="G3187" i="1"/>
  <c r="G3186" i="1"/>
  <c r="G3185" i="1"/>
  <c r="G3184" i="1"/>
  <c r="G3183" i="1"/>
  <c r="G3182" i="1"/>
  <c r="G3181" i="1"/>
  <c r="G3180" i="1"/>
  <c r="G3179" i="1"/>
  <c r="G3178" i="1"/>
  <c r="G3177" i="1"/>
  <c r="G3176" i="1"/>
  <c r="G3175" i="1"/>
  <c r="G3174" i="1"/>
  <c r="G3173" i="1"/>
  <c r="G3172" i="1"/>
  <c r="G3171" i="1"/>
  <c r="G3170" i="1"/>
  <c r="G3169" i="1"/>
  <c r="G3168" i="1"/>
  <c r="G3167" i="1"/>
  <c r="G3166" i="1"/>
  <c r="G3165" i="1"/>
  <c r="G3164" i="1"/>
  <c r="G3163" i="1"/>
  <c r="G3162" i="1"/>
  <c r="G3161" i="1"/>
  <c r="G3160" i="1"/>
  <c r="G3159" i="1"/>
  <c r="G3158" i="1"/>
  <c r="G3157" i="1"/>
  <c r="G3156" i="1"/>
  <c r="G3155" i="1"/>
  <c r="G3154" i="1"/>
  <c r="G3153" i="1"/>
  <c r="G3152" i="1"/>
  <c r="G3151" i="1"/>
  <c r="G3150" i="1"/>
  <c r="G3149" i="1"/>
  <c r="G3148" i="1"/>
  <c r="G3147" i="1"/>
  <c r="G3146" i="1"/>
  <c r="G3145" i="1"/>
  <c r="G3144" i="1"/>
  <c r="G3143" i="1"/>
  <c r="G3142" i="1"/>
  <c r="G3141" i="1"/>
  <c r="G3140" i="1"/>
  <c r="G3139" i="1"/>
  <c r="G3138" i="1"/>
  <c r="G3137" i="1"/>
  <c r="G3136" i="1"/>
  <c r="G3135" i="1"/>
  <c r="G3134" i="1"/>
  <c r="G3133" i="1"/>
  <c r="G3132" i="1"/>
  <c r="G3131" i="1"/>
  <c r="G3130" i="1"/>
  <c r="G3129" i="1"/>
  <c r="G3128" i="1"/>
  <c r="G3127" i="1"/>
  <c r="G3126" i="1"/>
  <c r="G3125" i="1"/>
  <c r="G3124" i="1"/>
  <c r="G3123" i="1"/>
  <c r="G3122" i="1"/>
  <c r="G3121" i="1"/>
  <c r="G3120" i="1"/>
  <c r="G3119" i="1"/>
  <c r="G3118" i="1"/>
  <c r="G3117" i="1"/>
  <c r="G3116" i="1"/>
  <c r="G3115" i="1"/>
  <c r="G3114" i="1"/>
  <c r="G3113" i="1"/>
  <c r="G3112" i="1"/>
  <c r="G3111" i="1"/>
  <c r="G3110" i="1"/>
  <c r="G3109" i="1"/>
  <c r="G3108" i="1"/>
  <c r="G3107" i="1"/>
  <c r="G3106" i="1"/>
  <c r="G3105" i="1"/>
  <c r="G3104" i="1"/>
  <c r="G3103" i="1"/>
  <c r="G3102" i="1"/>
  <c r="G3101" i="1"/>
  <c r="G3100" i="1"/>
  <c r="G3099" i="1"/>
  <c r="G3098" i="1"/>
  <c r="G3097" i="1"/>
  <c r="G3096" i="1"/>
  <c r="G3095" i="1"/>
  <c r="G3094" i="1"/>
  <c r="G3093" i="1"/>
  <c r="G3092" i="1"/>
  <c r="G3091" i="1"/>
  <c r="G3090" i="1"/>
  <c r="G3089" i="1"/>
  <c r="G3088" i="1"/>
  <c r="G3087" i="1"/>
  <c r="G3086" i="1"/>
  <c r="G3085" i="1"/>
  <c r="G3084" i="1"/>
  <c r="G3083" i="1"/>
  <c r="G3082" i="1"/>
  <c r="G3081" i="1"/>
  <c r="G3080" i="1"/>
  <c r="G3079" i="1"/>
  <c r="G3078" i="1"/>
  <c r="G3077" i="1"/>
  <c r="G3076" i="1"/>
  <c r="G3075" i="1"/>
  <c r="G3074" i="1"/>
  <c r="G3073" i="1"/>
  <c r="G3072" i="1"/>
  <c r="G3071" i="1"/>
  <c r="G3070" i="1"/>
  <c r="G3069" i="1"/>
  <c r="G3068" i="1"/>
  <c r="G3067" i="1"/>
  <c r="G3066" i="1"/>
  <c r="G3065" i="1"/>
  <c r="G3064" i="1"/>
  <c r="G3063" i="1"/>
  <c r="G3062" i="1"/>
  <c r="G3061" i="1"/>
  <c r="G3060" i="1"/>
  <c r="G3059" i="1"/>
  <c r="G3058" i="1"/>
  <c r="G3057" i="1"/>
  <c r="G3056" i="1"/>
  <c r="G3055" i="1"/>
  <c r="G3054" i="1"/>
  <c r="G3053" i="1"/>
  <c r="G3052" i="1"/>
  <c r="G3051" i="1"/>
  <c r="G3050" i="1"/>
  <c r="G3049" i="1"/>
  <c r="G3048" i="1"/>
  <c r="G3047" i="1"/>
  <c r="G3046" i="1"/>
  <c r="G3045" i="1"/>
  <c r="G3044" i="1"/>
  <c r="G3043" i="1"/>
  <c r="G3042" i="1"/>
  <c r="G3041" i="1"/>
  <c r="G3040" i="1"/>
  <c r="G3039" i="1"/>
  <c r="G3038" i="1"/>
  <c r="G3037" i="1"/>
  <c r="G3036" i="1"/>
  <c r="G3035" i="1"/>
  <c r="G3034" i="1"/>
  <c r="G3033" i="1"/>
  <c r="G3032" i="1"/>
  <c r="G3031" i="1"/>
  <c r="G3030" i="1"/>
  <c r="G3029" i="1"/>
  <c r="G3028" i="1"/>
  <c r="G3027" i="1"/>
  <c r="G3026" i="1"/>
  <c r="G3025" i="1"/>
  <c r="G3024" i="1"/>
  <c r="G3023" i="1"/>
  <c r="G3022" i="1"/>
  <c r="G3021" i="1"/>
  <c r="G3020" i="1"/>
  <c r="G3019" i="1"/>
  <c r="G3018" i="1"/>
  <c r="G3017" i="1"/>
  <c r="G3016" i="1"/>
  <c r="G3015" i="1"/>
  <c r="G3014" i="1"/>
  <c r="G3013" i="1"/>
  <c r="G3012" i="1"/>
  <c r="G3011" i="1"/>
  <c r="G3010" i="1"/>
  <c r="G3009" i="1"/>
  <c r="G3008" i="1"/>
  <c r="G3007" i="1"/>
  <c r="G3006" i="1"/>
  <c r="G3005" i="1"/>
  <c r="G3004" i="1"/>
  <c r="G3003" i="1"/>
  <c r="G3002" i="1"/>
  <c r="G3001" i="1"/>
  <c r="G3000" i="1"/>
  <c r="G2999" i="1"/>
  <c r="G2998" i="1"/>
  <c r="G2997" i="1"/>
  <c r="G2996" i="1"/>
  <c r="G2995" i="1"/>
  <c r="G2994" i="1"/>
  <c r="G2993" i="1"/>
  <c r="G2992" i="1"/>
  <c r="G2991" i="1"/>
  <c r="G2990" i="1"/>
  <c r="G2989" i="1"/>
  <c r="G2988" i="1"/>
  <c r="G2987" i="1"/>
  <c r="G2986" i="1"/>
  <c r="G2985" i="1"/>
  <c r="G2984" i="1"/>
  <c r="G2983" i="1"/>
  <c r="G2982" i="1"/>
  <c r="G2981" i="1"/>
  <c r="G2980" i="1"/>
  <c r="G2979" i="1"/>
  <c r="G2978" i="1"/>
  <c r="G2977" i="1"/>
  <c r="G2976" i="1"/>
  <c r="G2975" i="1"/>
  <c r="G2974" i="1"/>
  <c r="G2973" i="1"/>
  <c r="G2972" i="1"/>
  <c r="G2971" i="1"/>
  <c r="G2970" i="1"/>
  <c r="G2969" i="1"/>
  <c r="G2968" i="1"/>
  <c r="G2967" i="1"/>
  <c r="G2966" i="1"/>
  <c r="G2965" i="1"/>
  <c r="G2964" i="1"/>
  <c r="G2963" i="1"/>
  <c r="G2962" i="1"/>
  <c r="G2961" i="1"/>
  <c r="G2960" i="1"/>
  <c r="G2959" i="1"/>
  <c r="G2958" i="1"/>
  <c r="G2957" i="1"/>
  <c r="G2956" i="1"/>
  <c r="G2955" i="1"/>
  <c r="G2954" i="1"/>
  <c r="G2953" i="1"/>
  <c r="G2952" i="1"/>
  <c r="G2951" i="1"/>
  <c r="G2950" i="1"/>
  <c r="G2949" i="1"/>
  <c r="G2948" i="1"/>
  <c r="G2947" i="1"/>
  <c r="G2946" i="1"/>
  <c r="G2945" i="1"/>
  <c r="G2944" i="1"/>
  <c r="G2943" i="1"/>
  <c r="G2942" i="1"/>
  <c r="G2941" i="1"/>
  <c r="G2940" i="1"/>
  <c r="G2939" i="1"/>
  <c r="G2938" i="1"/>
  <c r="G2937" i="1"/>
  <c r="G2936" i="1"/>
  <c r="G2935" i="1"/>
  <c r="G2934" i="1"/>
  <c r="G2933" i="1"/>
  <c r="G2932" i="1"/>
  <c r="G2931" i="1"/>
  <c r="G2930" i="1"/>
  <c r="G2929" i="1"/>
  <c r="G2928" i="1"/>
  <c r="G2927" i="1"/>
  <c r="G2926" i="1"/>
  <c r="G2925" i="1"/>
  <c r="G2924" i="1"/>
  <c r="G2923" i="1"/>
  <c r="G2922" i="1"/>
  <c r="G2921" i="1"/>
  <c r="G2920" i="1"/>
  <c r="G2919" i="1"/>
  <c r="G2918" i="1"/>
  <c r="G2917" i="1"/>
  <c r="G2916" i="1"/>
  <c r="G2915" i="1"/>
  <c r="G2914" i="1"/>
  <c r="G2913" i="1"/>
  <c r="G2912" i="1"/>
  <c r="G2911" i="1"/>
  <c r="G2910" i="1"/>
  <c r="G2909" i="1"/>
  <c r="G2908" i="1"/>
  <c r="G2907" i="1"/>
  <c r="G2906" i="1"/>
  <c r="G2905" i="1"/>
  <c r="G2904" i="1"/>
  <c r="G2903" i="1"/>
  <c r="G2902" i="1"/>
  <c r="G2901" i="1"/>
  <c r="G2900" i="1"/>
  <c r="G2899" i="1"/>
  <c r="G2898" i="1"/>
  <c r="G2897" i="1"/>
  <c r="G2896" i="1"/>
  <c r="G2895" i="1"/>
  <c r="G2894" i="1"/>
  <c r="G2893" i="1"/>
  <c r="G2892" i="1"/>
  <c r="G2891" i="1"/>
  <c r="G2890" i="1"/>
  <c r="G2889" i="1"/>
  <c r="G2888" i="1"/>
  <c r="G2887" i="1"/>
  <c r="G2886" i="1"/>
  <c r="G2885" i="1"/>
  <c r="G2884" i="1"/>
  <c r="G2883" i="1"/>
  <c r="G2882" i="1"/>
  <c r="G2881" i="1"/>
  <c r="G2880" i="1"/>
  <c r="G2879" i="1"/>
  <c r="G2878" i="1"/>
  <c r="G2877" i="1"/>
  <c r="G2876" i="1"/>
  <c r="G2875" i="1"/>
  <c r="G2874" i="1"/>
  <c r="G2873" i="1"/>
  <c r="G2872" i="1"/>
  <c r="G2871" i="1"/>
  <c r="G2870" i="1"/>
  <c r="G2869" i="1"/>
  <c r="G2868" i="1"/>
  <c r="G2867" i="1"/>
  <c r="G2866" i="1"/>
  <c r="G2865" i="1"/>
  <c r="G2864" i="1"/>
  <c r="G2863" i="1"/>
  <c r="G2862" i="1"/>
  <c r="G2861" i="1"/>
  <c r="G2860" i="1"/>
  <c r="G2859" i="1"/>
  <c r="G2858" i="1"/>
  <c r="G2857" i="1"/>
  <c r="G2856" i="1"/>
  <c r="G2855" i="1"/>
  <c r="G2854" i="1"/>
  <c r="G2853" i="1"/>
  <c r="G2852" i="1"/>
  <c r="G2851" i="1"/>
  <c r="G2850" i="1"/>
  <c r="G2849" i="1"/>
  <c r="G2848" i="1"/>
  <c r="G2847" i="1"/>
  <c r="G2846" i="1"/>
  <c r="G2845" i="1"/>
  <c r="G2844" i="1"/>
  <c r="G2843" i="1"/>
  <c r="G2842" i="1"/>
  <c r="G2841" i="1"/>
  <c r="G2840" i="1"/>
  <c r="G2839" i="1"/>
  <c r="G2838" i="1"/>
  <c r="G2837" i="1"/>
  <c r="G2836" i="1"/>
  <c r="G2835" i="1"/>
  <c r="G2834" i="1"/>
  <c r="G2833" i="1"/>
  <c r="G2832" i="1"/>
  <c r="G2831" i="1"/>
  <c r="G2830" i="1"/>
  <c r="G2829" i="1"/>
  <c r="G2828" i="1"/>
  <c r="G2827" i="1"/>
  <c r="G2826" i="1"/>
  <c r="G2825" i="1"/>
  <c r="G2824" i="1"/>
  <c r="G2823" i="1"/>
  <c r="G2822" i="1"/>
  <c r="G2821" i="1"/>
  <c r="G2820" i="1"/>
  <c r="G2819" i="1"/>
  <c r="G2818" i="1"/>
  <c r="G2817" i="1"/>
  <c r="G2816" i="1"/>
  <c r="G2815" i="1"/>
  <c r="G2814" i="1"/>
  <c r="G2813" i="1"/>
  <c r="G2812" i="1"/>
  <c r="G2811" i="1"/>
  <c r="G2810" i="1"/>
  <c r="G2809" i="1"/>
  <c r="G2808" i="1"/>
  <c r="G2807" i="1"/>
  <c r="G2806" i="1"/>
  <c r="G2805" i="1"/>
  <c r="G2804" i="1"/>
  <c r="G2803" i="1"/>
  <c r="G2802" i="1"/>
  <c r="G2801" i="1"/>
  <c r="G2800" i="1"/>
  <c r="G2799" i="1"/>
  <c r="G2798" i="1"/>
  <c r="G2797" i="1"/>
  <c r="G2796" i="1"/>
  <c r="G2795" i="1"/>
  <c r="G2794" i="1"/>
  <c r="G2793" i="1"/>
  <c r="G2792" i="1"/>
  <c r="G2791" i="1"/>
  <c r="G2790" i="1"/>
  <c r="G2789" i="1"/>
  <c r="G2788" i="1"/>
  <c r="G2787" i="1"/>
  <c r="G2786" i="1"/>
  <c r="G2785" i="1"/>
  <c r="G2784" i="1"/>
  <c r="G2783" i="1"/>
  <c r="G2782" i="1"/>
  <c r="G2781" i="1"/>
  <c r="G2780" i="1"/>
  <c r="G2779" i="1"/>
  <c r="G2778" i="1"/>
  <c r="G2777" i="1"/>
  <c r="G2776" i="1"/>
  <c r="G2775" i="1"/>
  <c r="G2774" i="1"/>
  <c r="G2773" i="1"/>
  <c r="G2772" i="1"/>
  <c r="G2771" i="1"/>
  <c r="G2770" i="1"/>
  <c r="G2769" i="1"/>
  <c r="G2768" i="1"/>
  <c r="G2767" i="1"/>
  <c r="G2766" i="1"/>
  <c r="G2765" i="1"/>
  <c r="G2764" i="1"/>
  <c r="G2763" i="1"/>
  <c r="G2762" i="1"/>
  <c r="G2761" i="1"/>
  <c r="G2760" i="1"/>
  <c r="G2759" i="1"/>
  <c r="G2758" i="1"/>
  <c r="G2757" i="1"/>
  <c r="G2756" i="1"/>
  <c r="G2755" i="1"/>
  <c r="G2754" i="1"/>
  <c r="G2753" i="1"/>
  <c r="G2752" i="1"/>
  <c r="G2751" i="1"/>
  <c r="G2750" i="1"/>
  <c r="G2749" i="1"/>
  <c r="G2748" i="1"/>
  <c r="G2747" i="1"/>
  <c r="G2746" i="1"/>
  <c r="G2745" i="1"/>
  <c r="G2744" i="1"/>
  <c r="G2743" i="1"/>
  <c r="G2742" i="1"/>
  <c r="G2741" i="1"/>
  <c r="G2740" i="1"/>
  <c r="G2739" i="1"/>
  <c r="G2738" i="1"/>
  <c r="G2737" i="1"/>
  <c r="G2736" i="1"/>
  <c r="G2735" i="1"/>
  <c r="G2734" i="1"/>
  <c r="G2733" i="1"/>
  <c r="G2732" i="1"/>
  <c r="G2731" i="1"/>
  <c r="G2730" i="1"/>
  <c r="G2729" i="1"/>
  <c r="G2728" i="1"/>
  <c r="G2727" i="1"/>
  <c r="G2726" i="1"/>
  <c r="G2725" i="1"/>
  <c r="G2724" i="1"/>
  <c r="G2723" i="1"/>
  <c r="G2722" i="1"/>
  <c r="G2721" i="1"/>
  <c r="G2720" i="1"/>
  <c r="G2719" i="1"/>
  <c r="G2718" i="1"/>
  <c r="G2717" i="1"/>
  <c r="G2716" i="1"/>
  <c r="G2715" i="1"/>
  <c r="G2714" i="1"/>
  <c r="G2713" i="1"/>
  <c r="G2712" i="1"/>
  <c r="G2711" i="1"/>
  <c r="G2710" i="1"/>
  <c r="G2709" i="1"/>
  <c r="G2708" i="1"/>
  <c r="G2707" i="1"/>
  <c r="G2706" i="1"/>
  <c r="G2705" i="1"/>
  <c r="G2704" i="1"/>
  <c r="G2703" i="1"/>
  <c r="G2702" i="1"/>
  <c r="G2701" i="1"/>
  <c r="G2700" i="1"/>
  <c r="G2699" i="1"/>
  <c r="G2698" i="1"/>
  <c r="G2697" i="1"/>
  <c r="G2696" i="1"/>
  <c r="G2695" i="1"/>
  <c r="G2694" i="1"/>
  <c r="G2693" i="1"/>
  <c r="G2692" i="1"/>
  <c r="G2691" i="1"/>
  <c r="G2690" i="1"/>
  <c r="G2689" i="1"/>
  <c r="G2688" i="1"/>
  <c r="G2687" i="1"/>
  <c r="G2686" i="1"/>
  <c r="G2685" i="1"/>
  <c r="G2684" i="1"/>
  <c r="G2683" i="1"/>
  <c r="G2682" i="1"/>
  <c r="G2681" i="1"/>
  <c r="G2680" i="1"/>
  <c r="G2679" i="1"/>
  <c r="G2678" i="1"/>
  <c r="G2677" i="1"/>
  <c r="G2676" i="1"/>
  <c r="G2675" i="1"/>
  <c r="G2674" i="1"/>
  <c r="G2673" i="1"/>
  <c r="G2672" i="1"/>
  <c r="G2671" i="1"/>
  <c r="G2670" i="1"/>
  <c r="G2669" i="1"/>
  <c r="G2668" i="1"/>
  <c r="G2667" i="1"/>
  <c r="G2666" i="1"/>
  <c r="G2665" i="1"/>
  <c r="G2664" i="1"/>
  <c r="G2663" i="1"/>
  <c r="G2662" i="1"/>
  <c r="G2661" i="1"/>
  <c r="G2660" i="1"/>
  <c r="G2659" i="1"/>
  <c r="G2658" i="1"/>
  <c r="G2657" i="1"/>
  <c r="G2656" i="1"/>
  <c r="G2655" i="1"/>
  <c r="G2654" i="1"/>
  <c r="G2653" i="1"/>
  <c r="G2652" i="1"/>
  <c r="G2651" i="1"/>
  <c r="G2650" i="1"/>
  <c r="G2649" i="1"/>
  <c r="G2648" i="1"/>
  <c r="G2647" i="1"/>
  <c r="G2646" i="1"/>
  <c r="G2645" i="1"/>
  <c r="G2644" i="1"/>
  <c r="G2643" i="1"/>
  <c r="G2642" i="1"/>
  <c r="G2641" i="1"/>
  <c r="G2640" i="1"/>
  <c r="G2639" i="1"/>
  <c r="G2638" i="1"/>
  <c r="G2637" i="1"/>
  <c r="G2636" i="1"/>
  <c r="G2635" i="1"/>
  <c r="G2634" i="1"/>
  <c r="G2633" i="1"/>
  <c r="G2632" i="1"/>
  <c r="G2631" i="1"/>
  <c r="G2630" i="1"/>
  <c r="G2629" i="1"/>
  <c r="G2628" i="1"/>
  <c r="G2627" i="1"/>
  <c r="G2626" i="1"/>
  <c r="G2625" i="1"/>
  <c r="G2624" i="1"/>
  <c r="G2623" i="1"/>
  <c r="G2622" i="1"/>
  <c r="G2621" i="1"/>
  <c r="G2620" i="1"/>
  <c r="G2619" i="1"/>
  <c r="G2618" i="1"/>
  <c r="G2617" i="1"/>
  <c r="G2616" i="1"/>
  <c r="G2615" i="1"/>
  <c r="G2614" i="1"/>
  <c r="G2613" i="1"/>
  <c r="G2612" i="1"/>
  <c r="G2611" i="1"/>
  <c r="G2610" i="1"/>
  <c r="G2609" i="1"/>
  <c r="G2608" i="1"/>
  <c r="G2607" i="1"/>
  <c r="G2606" i="1"/>
  <c r="G2605" i="1"/>
  <c r="G2604" i="1"/>
  <c r="G2603" i="1"/>
  <c r="G2602" i="1"/>
  <c r="G2601" i="1"/>
  <c r="G2600" i="1"/>
  <c r="G2599" i="1"/>
  <c r="G2598" i="1"/>
  <c r="G2597" i="1"/>
  <c r="G2596" i="1"/>
  <c r="G2595" i="1"/>
  <c r="G2594" i="1"/>
  <c r="G2593" i="1"/>
  <c r="G2592" i="1"/>
  <c r="G2591" i="1"/>
  <c r="G2590" i="1"/>
  <c r="G2589" i="1"/>
  <c r="G2588" i="1"/>
  <c r="G2587" i="1"/>
  <c r="G2586" i="1"/>
  <c r="G2585" i="1"/>
  <c r="G2584" i="1"/>
  <c r="G2583" i="1"/>
  <c r="G2582" i="1"/>
  <c r="G2581" i="1"/>
  <c r="G2580" i="1"/>
  <c r="G2579" i="1"/>
  <c r="G2578" i="1"/>
  <c r="G2577" i="1"/>
  <c r="G2576" i="1"/>
  <c r="G2575" i="1"/>
  <c r="G2574" i="1"/>
  <c r="G2573" i="1"/>
  <c r="G2572" i="1"/>
  <c r="G2571" i="1"/>
  <c r="G2570" i="1"/>
  <c r="G2569" i="1"/>
  <c r="G2568" i="1"/>
  <c r="G2567" i="1"/>
  <c r="G2566" i="1"/>
  <c r="G2565" i="1"/>
  <c r="G2564" i="1"/>
  <c r="G2563" i="1"/>
  <c r="G2562" i="1"/>
  <c r="G2561" i="1"/>
  <c r="G2560" i="1"/>
  <c r="G2559" i="1"/>
  <c r="G2558" i="1"/>
  <c r="G2557" i="1"/>
  <c r="G2556" i="1"/>
  <c r="G2555" i="1"/>
  <c r="G2554" i="1"/>
  <c r="G2553" i="1"/>
  <c r="G2552" i="1"/>
  <c r="G2551" i="1"/>
  <c r="G2550" i="1"/>
  <c r="G2549" i="1"/>
  <c r="G2548" i="1"/>
  <c r="G2547" i="1"/>
  <c r="G2546" i="1"/>
  <c r="G2545" i="1"/>
  <c r="G2544" i="1"/>
  <c r="G2543" i="1"/>
  <c r="G2542" i="1"/>
  <c r="G2541" i="1"/>
  <c r="G2540" i="1"/>
  <c r="G2539" i="1"/>
  <c r="G2538" i="1"/>
  <c r="G2537" i="1"/>
  <c r="G2536" i="1"/>
  <c r="G2535" i="1"/>
  <c r="G2534" i="1"/>
  <c r="G2533" i="1"/>
  <c r="G2532" i="1"/>
  <c r="G2531" i="1"/>
  <c r="G2530" i="1"/>
  <c r="G2529" i="1"/>
  <c r="G2528" i="1"/>
  <c r="G2527" i="1"/>
  <c r="G2526" i="1"/>
  <c r="G2525" i="1"/>
  <c r="G2524" i="1"/>
  <c r="G2523" i="1"/>
  <c r="G2522" i="1"/>
  <c r="G2521" i="1"/>
  <c r="G2520" i="1"/>
  <c r="G2519" i="1"/>
  <c r="G2518" i="1"/>
  <c r="G2517" i="1"/>
  <c r="G2516" i="1"/>
  <c r="G2515" i="1"/>
  <c r="G2514" i="1"/>
  <c r="G2513" i="1"/>
  <c r="G2512" i="1"/>
  <c r="G2511" i="1"/>
  <c r="G2510" i="1"/>
  <c r="G2509" i="1"/>
  <c r="G2508" i="1"/>
  <c r="G2507" i="1"/>
  <c r="G2506" i="1"/>
  <c r="G2505" i="1"/>
  <c r="G2504" i="1"/>
  <c r="G2503" i="1"/>
  <c r="G2502" i="1"/>
  <c r="G2501" i="1"/>
  <c r="G2500" i="1"/>
  <c r="G2499" i="1"/>
  <c r="G2498" i="1"/>
  <c r="G2497" i="1"/>
  <c r="G2496" i="1"/>
  <c r="G2495" i="1"/>
  <c r="G2494" i="1"/>
  <c r="G2493" i="1"/>
  <c r="G2492" i="1"/>
  <c r="G2491" i="1"/>
  <c r="G2490" i="1"/>
  <c r="G2489" i="1"/>
  <c r="G2488" i="1"/>
  <c r="G2487" i="1"/>
  <c r="G2486" i="1"/>
  <c r="G2485" i="1"/>
  <c r="G2484" i="1"/>
  <c r="G2483" i="1"/>
  <c r="G2482" i="1"/>
  <c r="G2481" i="1"/>
  <c r="G2480" i="1"/>
  <c r="G2479" i="1"/>
  <c r="G2478" i="1"/>
  <c r="G2477" i="1"/>
  <c r="G2476" i="1"/>
  <c r="G2475" i="1"/>
  <c r="G2474" i="1"/>
  <c r="G2473" i="1"/>
  <c r="G2472" i="1"/>
  <c r="G2471" i="1"/>
  <c r="G2470" i="1"/>
  <c r="G2469" i="1"/>
  <c r="G2468" i="1"/>
  <c r="G2467" i="1"/>
  <c r="G2466" i="1"/>
  <c r="G2465" i="1"/>
  <c r="G2464" i="1"/>
  <c r="G2463" i="1"/>
  <c r="G2462" i="1"/>
  <c r="G2461" i="1"/>
  <c r="G2460" i="1"/>
  <c r="G2459" i="1"/>
  <c r="G2458" i="1"/>
  <c r="G2457" i="1"/>
  <c r="G2456" i="1"/>
  <c r="G2455" i="1"/>
  <c r="G2454" i="1"/>
  <c r="G2453" i="1"/>
  <c r="G2452" i="1"/>
  <c r="G2451" i="1"/>
  <c r="G2450" i="1"/>
  <c r="G2449" i="1"/>
  <c r="G2448" i="1"/>
  <c r="G2447" i="1"/>
  <c r="G2446" i="1"/>
  <c r="G2445" i="1"/>
  <c r="G2444" i="1"/>
  <c r="G2443" i="1"/>
  <c r="G2442" i="1"/>
  <c r="G2441" i="1"/>
  <c r="G2440" i="1"/>
  <c r="G2439" i="1"/>
  <c r="G2438" i="1"/>
  <c r="G2437" i="1"/>
  <c r="G2436" i="1"/>
  <c r="G2435" i="1"/>
  <c r="G2434" i="1"/>
  <c r="G2433" i="1"/>
  <c r="G2432" i="1"/>
  <c r="G2431" i="1"/>
  <c r="G2430" i="1"/>
  <c r="G2429" i="1"/>
  <c r="G2428" i="1"/>
  <c r="G2427" i="1"/>
  <c r="G2426" i="1"/>
  <c r="G2425" i="1"/>
  <c r="G2424" i="1"/>
  <c r="G2423" i="1"/>
  <c r="G2422" i="1"/>
  <c r="G2421" i="1"/>
  <c r="G2420" i="1"/>
  <c r="G2419" i="1"/>
  <c r="G2418" i="1"/>
  <c r="G2417" i="1"/>
  <c r="G2416" i="1"/>
  <c r="G2415" i="1"/>
  <c r="G2414" i="1"/>
  <c r="G2413" i="1"/>
  <c r="G2412" i="1"/>
  <c r="G2411" i="1"/>
  <c r="G2410" i="1"/>
  <c r="G2409" i="1"/>
  <c r="G2408" i="1"/>
  <c r="G2407" i="1"/>
  <c r="G2406" i="1"/>
  <c r="G2405" i="1"/>
  <c r="G2404" i="1"/>
  <c r="G2403" i="1"/>
  <c r="G2402" i="1"/>
  <c r="G2401" i="1"/>
  <c r="G2400" i="1"/>
  <c r="G2399" i="1"/>
  <c r="G2398" i="1"/>
  <c r="G2397" i="1"/>
  <c r="G2396" i="1"/>
  <c r="G2395" i="1"/>
  <c r="G2394" i="1"/>
  <c r="G2393" i="1"/>
  <c r="G2392" i="1"/>
  <c r="G2391" i="1"/>
  <c r="G2390" i="1"/>
  <c r="G2389" i="1"/>
  <c r="G2388" i="1"/>
  <c r="G2387" i="1"/>
  <c r="G2386" i="1"/>
  <c r="G2385" i="1"/>
  <c r="G2384" i="1"/>
  <c r="G2383" i="1"/>
  <c r="G2382" i="1"/>
  <c r="G2381" i="1"/>
  <c r="G2380" i="1"/>
  <c r="G2379" i="1"/>
  <c r="G2378" i="1"/>
  <c r="G2377" i="1"/>
  <c r="G2376" i="1"/>
  <c r="G2375" i="1"/>
  <c r="G2374" i="1"/>
  <c r="G2373" i="1"/>
  <c r="G2372" i="1"/>
  <c r="G2371" i="1"/>
  <c r="G2370" i="1"/>
  <c r="G2369" i="1"/>
  <c r="G2368" i="1"/>
  <c r="G2367" i="1"/>
  <c r="G2366" i="1"/>
  <c r="G2365" i="1"/>
  <c r="G2364" i="1"/>
  <c r="G2363" i="1"/>
  <c r="G2362" i="1"/>
  <c r="G2361" i="1"/>
  <c r="G2360" i="1"/>
  <c r="G2359" i="1"/>
  <c r="G2358" i="1"/>
  <c r="G2357" i="1"/>
  <c r="G2356" i="1"/>
  <c r="G2355" i="1"/>
  <c r="G2354" i="1"/>
  <c r="G2353" i="1"/>
  <c r="G2352" i="1"/>
  <c r="G2351" i="1"/>
  <c r="G2350" i="1"/>
  <c r="G2349" i="1"/>
  <c r="G2348" i="1"/>
  <c r="G2347" i="1"/>
  <c r="G2346" i="1"/>
  <c r="G2345" i="1"/>
  <c r="G2344" i="1"/>
  <c r="G2343" i="1"/>
  <c r="G2342" i="1"/>
  <c r="G2341" i="1"/>
  <c r="G2340" i="1"/>
  <c r="G2339" i="1"/>
  <c r="G2338" i="1"/>
  <c r="G2337" i="1"/>
  <c r="G2336" i="1"/>
  <c r="G2335" i="1"/>
  <c r="G2334" i="1"/>
  <c r="G2333" i="1"/>
  <c r="G2332" i="1"/>
  <c r="G2331" i="1"/>
  <c r="G2330" i="1"/>
  <c r="G2329" i="1"/>
  <c r="G2328" i="1"/>
  <c r="G2327" i="1"/>
  <c r="G2326" i="1"/>
  <c r="G2325" i="1"/>
  <c r="G2324" i="1"/>
  <c r="G2323" i="1"/>
  <c r="G2322" i="1"/>
  <c r="G2321" i="1"/>
  <c r="G2320" i="1"/>
  <c r="G2319" i="1"/>
  <c r="G2318" i="1"/>
  <c r="G2317" i="1"/>
  <c r="G2316" i="1"/>
  <c r="G2315" i="1"/>
  <c r="G2314" i="1"/>
  <c r="G2313" i="1"/>
  <c r="G2312" i="1"/>
  <c r="G2311" i="1"/>
  <c r="G2310" i="1"/>
  <c r="G2309" i="1"/>
  <c r="G2308" i="1"/>
  <c r="G2307" i="1"/>
  <c r="G2306" i="1"/>
  <c r="G2305" i="1"/>
  <c r="G2304" i="1"/>
  <c r="G2303" i="1"/>
  <c r="G2302" i="1"/>
  <c r="G2301" i="1"/>
  <c r="G2300" i="1"/>
  <c r="G2299" i="1"/>
  <c r="G2298" i="1"/>
  <c r="G2297" i="1"/>
  <c r="G2296" i="1"/>
  <c r="G2295" i="1"/>
  <c r="G2294" i="1"/>
  <c r="G2293" i="1"/>
  <c r="G2292" i="1"/>
  <c r="G2291" i="1"/>
  <c r="G2290" i="1"/>
  <c r="G2289" i="1"/>
  <c r="G2288" i="1"/>
  <c r="G2287" i="1"/>
  <c r="G2286" i="1"/>
  <c r="G2285" i="1"/>
  <c r="G2284" i="1"/>
  <c r="G2283" i="1"/>
  <c r="G2282" i="1"/>
  <c r="G2281" i="1"/>
  <c r="G2280" i="1"/>
  <c r="G2279" i="1"/>
  <c r="G2278" i="1"/>
  <c r="G2277" i="1"/>
  <c r="G2276" i="1"/>
  <c r="G2275" i="1"/>
  <c r="G2274" i="1"/>
  <c r="G2273" i="1"/>
  <c r="G2272" i="1"/>
  <c r="G2271" i="1"/>
  <c r="G2270" i="1"/>
  <c r="G2269" i="1"/>
  <c r="G2268" i="1"/>
  <c r="G2267" i="1"/>
  <c r="G2266" i="1"/>
  <c r="G2265" i="1"/>
  <c r="G2264" i="1"/>
  <c r="G2263" i="1"/>
  <c r="G2262" i="1"/>
  <c r="G2261" i="1"/>
  <c r="G2260" i="1"/>
  <c r="G2259" i="1"/>
  <c r="G2258" i="1"/>
  <c r="G2257" i="1"/>
  <c r="G2256" i="1"/>
  <c r="G2255" i="1"/>
  <c r="G2254" i="1"/>
  <c r="G2253" i="1"/>
  <c r="G2252" i="1"/>
  <c r="G2251" i="1"/>
  <c r="G2250" i="1"/>
  <c r="G2249" i="1"/>
  <c r="G2248" i="1"/>
  <c r="G2247" i="1"/>
  <c r="G2246" i="1"/>
  <c r="G2245" i="1"/>
  <c r="G2244" i="1"/>
  <c r="G2243" i="1"/>
  <c r="G2242" i="1"/>
  <c r="G2241" i="1"/>
  <c r="G2240" i="1"/>
  <c r="G2239" i="1"/>
  <c r="G2238" i="1"/>
  <c r="G2237" i="1"/>
  <c r="G2236" i="1"/>
  <c r="G2235" i="1"/>
  <c r="G2234" i="1"/>
  <c r="G2233" i="1"/>
  <c r="G2232" i="1"/>
  <c r="G2231" i="1"/>
  <c r="G2230" i="1"/>
  <c r="G2229" i="1"/>
  <c r="G2228" i="1"/>
  <c r="G2227" i="1"/>
  <c r="G2226" i="1"/>
  <c r="G2225" i="1"/>
  <c r="G2224" i="1"/>
  <c r="G2223" i="1"/>
  <c r="G2222" i="1"/>
  <c r="G2221" i="1"/>
  <c r="G2220" i="1"/>
  <c r="G2219" i="1"/>
  <c r="G2218" i="1"/>
  <c r="G2217" i="1"/>
  <c r="G2216" i="1"/>
  <c r="G2215" i="1"/>
  <c r="G2214" i="1"/>
  <c r="G2213" i="1"/>
  <c r="G2212" i="1"/>
  <c r="G2211" i="1"/>
  <c r="G2210" i="1"/>
  <c r="G2209" i="1"/>
  <c r="G2208" i="1"/>
  <c r="G2207" i="1"/>
  <c r="G2206" i="1"/>
  <c r="G2205" i="1"/>
  <c r="G2204" i="1"/>
  <c r="G2203" i="1"/>
  <c r="G2202" i="1"/>
  <c r="G2201" i="1"/>
  <c r="G2200" i="1"/>
  <c r="G2199" i="1"/>
  <c r="G2198" i="1"/>
  <c r="G2197" i="1"/>
  <c r="G2196" i="1"/>
  <c r="G2195" i="1"/>
  <c r="G2194" i="1"/>
  <c r="G2193" i="1"/>
  <c r="G2192" i="1"/>
  <c r="G2191" i="1"/>
  <c r="G2190" i="1"/>
  <c r="G2189" i="1"/>
  <c r="G2188" i="1"/>
  <c r="G2187" i="1"/>
  <c r="G2186" i="1"/>
  <c r="G2185" i="1"/>
  <c r="G2184" i="1"/>
  <c r="G2183" i="1"/>
  <c r="G2182" i="1"/>
  <c r="G2181" i="1"/>
  <c r="G2180" i="1"/>
  <c r="G2179" i="1"/>
  <c r="G2178" i="1"/>
  <c r="G2177" i="1"/>
  <c r="G2176" i="1"/>
  <c r="G2175" i="1"/>
  <c r="G2174" i="1"/>
  <c r="G2173" i="1"/>
  <c r="G2172" i="1"/>
  <c r="G2171" i="1"/>
  <c r="G2170" i="1"/>
  <c r="G2169" i="1"/>
  <c r="G2168" i="1"/>
  <c r="G2167" i="1"/>
  <c r="G2166" i="1"/>
  <c r="G2165" i="1"/>
  <c r="G2164" i="1"/>
  <c r="G2163" i="1"/>
  <c r="G2162" i="1"/>
  <c r="G2161" i="1"/>
  <c r="G2160" i="1"/>
  <c r="G2159" i="1"/>
  <c r="G2158" i="1"/>
  <c r="G2157" i="1"/>
  <c r="G2156" i="1"/>
  <c r="G2155" i="1"/>
  <c r="G2154" i="1"/>
  <c r="G2153" i="1"/>
  <c r="G2152" i="1"/>
  <c r="G2151" i="1"/>
  <c r="G2150" i="1"/>
  <c r="G2149" i="1"/>
  <c r="G2148" i="1"/>
  <c r="G2147" i="1"/>
  <c r="G2146" i="1"/>
  <c r="G2145" i="1"/>
  <c r="G2144" i="1"/>
  <c r="G2143" i="1"/>
  <c r="G2142" i="1"/>
  <c r="G2141" i="1"/>
  <c r="G2140" i="1"/>
  <c r="G2139" i="1"/>
  <c r="G2138" i="1"/>
  <c r="G2137" i="1"/>
  <c r="G2136" i="1"/>
  <c r="G2135" i="1"/>
  <c r="G2134" i="1"/>
  <c r="G2133" i="1"/>
  <c r="G2132" i="1"/>
  <c r="G2131" i="1"/>
  <c r="G2130" i="1"/>
  <c r="G2129" i="1"/>
  <c r="G2128" i="1"/>
  <c r="G2127" i="1"/>
  <c r="G2126" i="1"/>
  <c r="G2125" i="1"/>
  <c r="G2124" i="1"/>
  <c r="G2123" i="1"/>
  <c r="G2122" i="1"/>
  <c r="G2121" i="1"/>
  <c r="G2120" i="1"/>
  <c r="G2119" i="1"/>
  <c r="G2118" i="1"/>
  <c r="G2117" i="1"/>
  <c r="G2116" i="1"/>
  <c r="G2115" i="1"/>
  <c r="G2114" i="1"/>
  <c r="G2113" i="1"/>
  <c r="G2112" i="1"/>
  <c r="G2111" i="1"/>
  <c r="G2110" i="1"/>
  <c r="G2109" i="1"/>
  <c r="G2108" i="1"/>
  <c r="G2107" i="1"/>
  <c r="G2106" i="1"/>
  <c r="G2105" i="1"/>
  <c r="G2104" i="1"/>
  <c r="G2103" i="1"/>
  <c r="G2102" i="1"/>
  <c r="G2101" i="1"/>
  <c r="G2100" i="1"/>
  <c r="G2099" i="1"/>
  <c r="G2098" i="1"/>
  <c r="G2097" i="1"/>
  <c r="G2096" i="1"/>
  <c r="G2095" i="1"/>
  <c r="G2094" i="1"/>
  <c r="G2093" i="1"/>
  <c r="G2092" i="1"/>
  <c r="G2091" i="1"/>
  <c r="G2090" i="1"/>
  <c r="G2089" i="1"/>
  <c r="G2088" i="1"/>
  <c r="G2087" i="1"/>
  <c r="G2086" i="1"/>
  <c r="G2085" i="1"/>
  <c r="G2084" i="1"/>
  <c r="G2083" i="1"/>
  <c r="G2082" i="1"/>
  <c r="G2081" i="1"/>
  <c r="G2080" i="1"/>
  <c r="G2079" i="1"/>
  <c r="G2078" i="1"/>
  <c r="G2077" i="1"/>
  <c r="G2076" i="1"/>
  <c r="G2075" i="1"/>
  <c r="G2074" i="1"/>
  <c r="G2073" i="1"/>
  <c r="G2072" i="1"/>
  <c r="G2071" i="1"/>
  <c r="G2070" i="1"/>
  <c r="G2069" i="1"/>
  <c r="G2068" i="1"/>
  <c r="G2067" i="1"/>
  <c r="G2066" i="1"/>
  <c r="G2065" i="1"/>
  <c r="G2064" i="1"/>
  <c r="G2063" i="1"/>
  <c r="G2062" i="1"/>
  <c r="G2061" i="1"/>
  <c r="G2060" i="1"/>
  <c r="G2059" i="1"/>
  <c r="G2058" i="1"/>
  <c r="G2057" i="1"/>
  <c r="G2056" i="1"/>
  <c r="G2055" i="1"/>
  <c r="G2054" i="1"/>
  <c r="G2053" i="1"/>
  <c r="G2052" i="1"/>
  <c r="G2051" i="1"/>
  <c r="G2050" i="1"/>
  <c r="G2049" i="1"/>
  <c r="G2048" i="1"/>
  <c r="G2047" i="1"/>
  <c r="G2046" i="1"/>
  <c r="G2045" i="1"/>
  <c r="G2044" i="1"/>
  <c r="G2043" i="1"/>
  <c r="G2042" i="1"/>
  <c r="G2041" i="1"/>
  <c r="G2040" i="1"/>
  <c r="G2039" i="1"/>
  <c r="G2038" i="1"/>
  <c r="G2037" i="1"/>
  <c r="G2036" i="1"/>
  <c r="G2035" i="1"/>
  <c r="G2034" i="1"/>
  <c r="G2033" i="1"/>
  <c r="G2032" i="1"/>
  <c r="G2031" i="1"/>
  <c r="G2030" i="1"/>
  <c r="G2029" i="1"/>
  <c r="G2028" i="1"/>
  <c r="G2027" i="1"/>
  <c r="G2026" i="1"/>
  <c r="G2025" i="1"/>
  <c r="G2024" i="1"/>
  <c r="G2023" i="1"/>
  <c r="G2022" i="1"/>
  <c r="G2021" i="1"/>
  <c r="G2020" i="1"/>
  <c r="G2019" i="1"/>
  <c r="G2018" i="1"/>
  <c r="G2017" i="1"/>
  <c r="G2016" i="1"/>
  <c r="G2015" i="1"/>
  <c r="G2014" i="1"/>
  <c r="G2013" i="1"/>
  <c r="G2012" i="1"/>
  <c r="G2011" i="1"/>
  <c r="G2010" i="1"/>
  <c r="G2009" i="1"/>
  <c r="G2008" i="1"/>
  <c r="G2007" i="1"/>
  <c r="G2006" i="1"/>
  <c r="G2005" i="1"/>
  <c r="G2004" i="1"/>
  <c r="G2003" i="1"/>
  <c r="G2002" i="1"/>
  <c r="G2001" i="1"/>
  <c r="G2000" i="1"/>
  <c r="G1999" i="1"/>
  <c r="G1998" i="1"/>
  <c r="G1997" i="1"/>
  <c r="G1996" i="1"/>
  <c r="G1995" i="1"/>
  <c r="G1994" i="1"/>
  <c r="G1993" i="1"/>
  <c r="G1992" i="1"/>
  <c r="G1991" i="1"/>
  <c r="G1990" i="1"/>
  <c r="G1989" i="1"/>
  <c r="G1988" i="1"/>
  <c r="G1987" i="1"/>
  <c r="G1986" i="1"/>
  <c r="G1985" i="1"/>
  <c r="G1984" i="1"/>
  <c r="G1983" i="1"/>
  <c r="G1982" i="1"/>
  <c r="G1981" i="1"/>
  <c r="G1980" i="1"/>
  <c r="G1979" i="1"/>
  <c r="G1978" i="1"/>
  <c r="G1977" i="1"/>
  <c r="G1976" i="1"/>
  <c r="G1975" i="1"/>
  <c r="G1974" i="1"/>
  <c r="G1973" i="1"/>
  <c r="G1972" i="1"/>
  <c r="G1971" i="1"/>
  <c r="G1970" i="1"/>
  <c r="G1969" i="1"/>
  <c r="G1968" i="1"/>
  <c r="G1967" i="1"/>
  <c r="G1966" i="1"/>
  <c r="G1965" i="1"/>
  <c r="G1964" i="1"/>
  <c r="G1963" i="1"/>
  <c r="G1962" i="1"/>
  <c r="G1961" i="1"/>
  <c r="G1960" i="1"/>
  <c r="G1959" i="1"/>
  <c r="G1958" i="1"/>
  <c r="G1957" i="1"/>
  <c r="G1956" i="1"/>
  <c r="G1955" i="1"/>
  <c r="G1954" i="1"/>
  <c r="G1953" i="1"/>
  <c r="G1952" i="1"/>
  <c r="G1951" i="1"/>
  <c r="G1950" i="1"/>
  <c r="G1949" i="1"/>
  <c r="G1948" i="1"/>
  <c r="G1947" i="1"/>
  <c r="G1946" i="1"/>
  <c r="G1945" i="1"/>
  <c r="G1944" i="1"/>
  <c r="G1943" i="1"/>
  <c r="G1942" i="1"/>
  <c r="G1941" i="1"/>
  <c r="G1940" i="1"/>
  <c r="G1939" i="1"/>
  <c r="G1938" i="1"/>
  <c r="G1937" i="1"/>
  <c r="G1936" i="1"/>
  <c r="G1935" i="1"/>
  <c r="G1934" i="1"/>
  <c r="G1933" i="1"/>
  <c r="G1932" i="1"/>
  <c r="G1931" i="1"/>
  <c r="G1930" i="1"/>
  <c r="G1929" i="1"/>
  <c r="G1928" i="1"/>
  <c r="G1927" i="1"/>
  <c r="G1926" i="1"/>
  <c r="G1925" i="1"/>
  <c r="G1924" i="1"/>
  <c r="G1923" i="1"/>
  <c r="G1922" i="1"/>
  <c r="G1921" i="1"/>
  <c r="G1920" i="1"/>
  <c r="G1919" i="1"/>
  <c r="G1918" i="1"/>
  <c r="G1917" i="1"/>
  <c r="G1916" i="1"/>
  <c r="G1915" i="1"/>
  <c r="G1914" i="1"/>
  <c r="G1913" i="1"/>
  <c r="G1912" i="1"/>
  <c r="G1911" i="1"/>
  <c r="G1910" i="1"/>
  <c r="G1909" i="1"/>
  <c r="G1908" i="1"/>
  <c r="G1907" i="1"/>
  <c r="G1906" i="1"/>
  <c r="G1905" i="1"/>
  <c r="G1904" i="1"/>
  <c r="G1903" i="1"/>
  <c r="G1902" i="1"/>
  <c r="G1901" i="1"/>
  <c r="G1900" i="1"/>
  <c r="G1899" i="1"/>
  <c r="G1898" i="1"/>
  <c r="G1897" i="1"/>
  <c r="G1896" i="1"/>
  <c r="G1895" i="1"/>
  <c r="G1894" i="1"/>
  <c r="G1893" i="1"/>
  <c r="G1892" i="1"/>
  <c r="G1891" i="1"/>
  <c r="G1890" i="1"/>
  <c r="G1889" i="1"/>
  <c r="G1888" i="1"/>
  <c r="G1887" i="1"/>
  <c r="G1886" i="1"/>
  <c r="G1885" i="1"/>
  <c r="G1884" i="1"/>
  <c r="G1883" i="1"/>
  <c r="G1882" i="1"/>
  <c r="G1881" i="1"/>
  <c r="G1880" i="1"/>
  <c r="G1879" i="1"/>
  <c r="G1878" i="1"/>
  <c r="G1877" i="1"/>
  <c r="G1876" i="1"/>
  <c r="G1875" i="1"/>
  <c r="G1874" i="1"/>
  <c r="G1873" i="1"/>
  <c r="G1872" i="1"/>
  <c r="G1871" i="1"/>
  <c r="G1870" i="1"/>
  <c r="G1869" i="1"/>
  <c r="G1868" i="1"/>
  <c r="G1867" i="1"/>
  <c r="G1866" i="1"/>
  <c r="G1865" i="1"/>
  <c r="G1864" i="1"/>
  <c r="G1863" i="1"/>
  <c r="G1862" i="1"/>
  <c r="G1861" i="1"/>
  <c r="G1860" i="1"/>
  <c r="G1859" i="1"/>
  <c r="G1858" i="1"/>
  <c r="G1857" i="1"/>
  <c r="G1856" i="1"/>
  <c r="G1855" i="1"/>
  <c r="G1854" i="1"/>
  <c r="G1853" i="1"/>
  <c r="G1852" i="1"/>
  <c r="G1851" i="1"/>
  <c r="G1850" i="1"/>
  <c r="G1849" i="1"/>
  <c r="G1848" i="1"/>
  <c r="G1847" i="1"/>
  <c r="G1846" i="1"/>
  <c r="G1845" i="1"/>
  <c r="G1844" i="1"/>
  <c r="G1843" i="1"/>
  <c r="G1842" i="1"/>
  <c r="G1841" i="1"/>
  <c r="G1840" i="1"/>
  <c r="G1839" i="1"/>
  <c r="G1838" i="1"/>
  <c r="G1837" i="1"/>
  <c r="G1836" i="1"/>
  <c r="G1835" i="1"/>
  <c r="G1834" i="1"/>
  <c r="G1833" i="1"/>
  <c r="G1832" i="1"/>
  <c r="G1831" i="1"/>
  <c r="G1830" i="1"/>
  <c r="G1829" i="1"/>
  <c r="G1828" i="1"/>
  <c r="G1827" i="1"/>
  <c r="G1826" i="1"/>
  <c r="G1825" i="1"/>
  <c r="G1824" i="1"/>
  <c r="G1823" i="1"/>
  <c r="G1822" i="1"/>
  <c r="G1821" i="1"/>
  <c r="G1820" i="1"/>
  <c r="G1819" i="1"/>
  <c r="G1818" i="1"/>
  <c r="G1817" i="1"/>
  <c r="G1816" i="1"/>
  <c r="G1815" i="1"/>
  <c r="G1814" i="1"/>
  <c r="G1813" i="1"/>
  <c r="G1812" i="1"/>
  <c r="G1811" i="1"/>
  <c r="G1810" i="1"/>
  <c r="G1809" i="1"/>
  <c r="G1808" i="1"/>
  <c r="G1807" i="1"/>
  <c r="G1806" i="1"/>
  <c r="G1805" i="1"/>
  <c r="G1804" i="1"/>
  <c r="G1803" i="1"/>
  <c r="G1802" i="1"/>
  <c r="G1801" i="1"/>
  <c r="G1800" i="1"/>
  <c r="G1799" i="1"/>
  <c r="G1798" i="1"/>
  <c r="G1797" i="1"/>
  <c r="G1796" i="1"/>
  <c r="G1795" i="1"/>
  <c r="G1794" i="1"/>
  <c r="G1793" i="1"/>
  <c r="G1792" i="1"/>
  <c r="G1791" i="1"/>
  <c r="G1790" i="1"/>
  <c r="G1789" i="1"/>
  <c r="G1788" i="1"/>
  <c r="G1787" i="1"/>
  <c r="G1786" i="1"/>
  <c r="G1785" i="1"/>
  <c r="G1784" i="1"/>
  <c r="G1783" i="1"/>
  <c r="G1782" i="1"/>
  <c r="G1781" i="1"/>
  <c r="G1780" i="1"/>
  <c r="G1779" i="1"/>
  <c r="G1778" i="1"/>
  <c r="G1777" i="1"/>
  <c r="G1776" i="1"/>
  <c r="G1775" i="1"/>
  <c r="G1774" i="1"/>
  <c r="G1773" i="1"/>
  <c r="G1772" i="1"/>
  <c r="G1771" i="1"/>
  <c r="G1770" i="1"/>
  <c r="G1769" i="1"/>
  <c r="G1768" i="1"/>
  <c r="G1767" i="1"/>
  <c r="G1766" i="1"/>
  <c r="G1765" i="1"/>
  <c r="G1764" i="1"/>
  <c r="G1763" i="1"/>
  <c r="G1762" i="1"/>
  <c r="G1761" i="1"/>
  <c r="G1760" i="1"/>
  <c r="G1759" i="1"/>
  <c r="G1758" i="1"/>
  <c r="G1757" i="1"/>
  <c r="G1756" i="1"/>
  <c r="G1755" i="1"/>
  <c r="G1754" i="1"/>
  <c r="G1753" i="1"/>
  <c r="G1752" i="1"/>
  <c r="G1751" i="1"/>
  <c r="G1750" i="1"/>
  <c r="G1749" i="1"/>
  <c r="G1748" i="1"/>
  <c r="G1747" i="1"/>
  <c r="G1746" i="1"/>
  <c r="G1745" i="1"/>
  <c r="G1744" i="1"/>
  <c r="G1743" i="1"/>
  <c r="G1742" i="1"/>
  <c r="G1741" i="1"/>
  <c r="G1740" i="1"/>
  <c r="G1739" i="1"/>
  <c r="G1738" i="1"/>
  <c r="G1737" i="1"/>
  <c r="G1736" i="1"/>
  <c r="G1735" i="1"/>
  <c r="G1734" i="1"/>
  <c r="G1733" i="1"/>
  <c r="G1732" i="1"/>
  <c r="G1731" i="1"/>
  <c r="G1730" i="1"/>
  <c r="G1729" i="1"/>
  <c r="G1728" i="1"/>
  <c r="G1727" i="1"/>
  <c r="G1726" i="1"/>
  <c r="G1725" i="1"/>
  <c r="G1724" i="1"/>
  <c r="G1723" i="1"/>
  <c r="G1722" i="1"/>
  <c r="G1721" i="1"/>
  <c r="G1720" i="1"/>
  <c r="G1719" i="1"/>
  <c r="G1718" i="1"/>
  <c r="G1717" i="1"/>
  <c r="G1716" i="1"/>
  <c r="G1715" i="1"/>
  <c r="G1714" i="1"/>
  <c r="G1713" i="1"/>
  <c r="G1712" i="1"/>
  <c r="G1711" i="1"/>
  <c r="G1710" i="1"/>
  <c r="G1709" i="1"/>
  <c r="G1708" i="1"/>
  <c r="G1707" i="1"/>
  <c r="G1706" i="1"/>
  <c r="G1705" i="1"/>
  <c r="G1704" i="1"/>
  <c r="G1703" i="1"/>
  <c r="G1702" i="1"/>
  <c r="G1701" i="1"/>
  <c r="G1700" i="1"/>
  <c r="G1699" i="1"/>
  <c r="G1698" i="1"/>
  <c r="G1697" i="1"/>
  <c r="G1696" i="1"/>
  <c r="G1695" i="1"/>
  <c r="G1694" i="1"/>
  <c r="G1693" i="1"/>
  <c r="G1692" i="1"/>
  <c r="G1691" i="1"/>
  <c r="G1690" i="1"/>
  <c r="G1689" i="1"/>
  <c r="G1688" i="1"/>
  <c r="G1687" i="1"/>
  <c r="G1686" i="1"/>
  <c r="G1685" i="1"/>
  <c r="G1684" i="1"/>
  <c r="G1683" i="1"/>
  <c r="G1682" i="1"/>
  <c r="G1681" i="1"/>
  <c r="G1680" i="1"/>
  <c r="G1679" i="1"/>
  <c r="G1678" i="1"/>
  <c r="G1677" i="1"/>
  <c r="G1676" i="1"/>
  <c r="G1675" i="1"/>
  <c r="G1674" i="1"/>
  <c r="G1673" i="1"/>
  <c r="G1672" i="1"/>
  <c r="G1671" i="1"/>
  <c r="G1670" i="1"/>
  <c r="G1669" i="1"/>
  <c r="G1668" i="1"/>
  <c r="G1667" i="1"/>
  <c r="G1666" i="1"/>
  <c r="G1665" i="1"/>
  <c r="G1664" i="1"/>
  <c r="G1663" i="1"/>
  <c r="G1662" i="1"/>
  <c r="G1661" i="1"/>
  <c r="G1660" i="1"/>
  <c r="G1659" i="1"/>
  <c r="G1658" i="1"/>
  <c r="G1657" i="1"/>
  <c r="G1656" i="1"/>
  <c r="G1655" i="1"/>
  <c r="G1654" i="1"/>
  <c r="G1653" i="1"/>
  <c r="G1652" i="1"/>
  <c r="G1651" i="1"/>
  <c r="G1650" i="1"/>
  <c r="G1649" i="1"/>
  <c r="G1648" i="1"/>
  <c r="G1647" i="1"/>
  <c r="G1646" i="1"/>
  <c r="G1645" i="1"/>
  <c r="G1644" i="1"/>
  <c r="G1643" i="1"/>
  <c r="G1642" i="1"/>
  <c r="G1641" i="1"/>
  <c r="G1640" i="1"/>
  <c r="G1639" i="1"/>
  <c r="G1638" i="1"/>
  <c r="G1637" i="1"/>
  <c r="G1636" i="1"/>
  <c r="G1635" i="1"/>
  <c r="G1634" i="1"/>
  <c r="G1633" i="1"/>
  <c r="G1632" i="1"/>
  <c r="G1631" i="1"/>
  <c r="G1630" i="1"/>
  <c r="G1629" i="1"/>
  <c r="G1628" i="1"/>
  <c r="G1627" i="1"/>
  <c r="G1626" i="1"/>
  <c r="G1625" i="1"/>
  <c r="G1624" i="1"/>
  <c r="G1623" i="1"/>
  <c r="G1622" i="1"/>
  <c r="G1621" i="1"/>
  <c r="G1620" i="1"/>
  <c r="G1619" i="1"/>
  <c r="G1618" i="1"/>
  <c r="G1617" i="1"/>
  <c r="G1616" i="1"/>
  <c r="G1615" i="1"/>
  <c r="G1614" i="1"/>
  <c r="G1613" i="1"/>
  <c r="G1612" i="1"/>
  <c r="G1611" i="1"/>
  <c r="G1610" i="1"/>
  <c r="G1609" i="1"/>
  <c r="G1608" i="1"/>
  <c r="G1607" i="1"/>
  <c r="G1606" i="1"/>
  <c r="G1605" i="1"/>
  <c r="G1604" i="1"/>
  <c r="G1603" i="1"/>
  <c r="G1602" i="1"/>
  <c r="G1601" i="1"/>
  <c r="G1600" i="1"/>
  <c r="G1599" i="1"/>
  <c r="G1598" i="1"/>
  <c r="G1597" i="1"/>
  <c r="G1596" i="1"/>
  <c r="G1595" i="1"/>
  <c r="G1594" i="1"/>
  <c r="G1593" i="1"/>
  <c r="G1592" i="1"/>
  <c r="G1591" i="1"/>
  <c r="G1590" i="1"/>
  <c r="G1589" i="1"/>
  <c r="G1588" i="1"/>
  <c r="G1587" i="1"/>
  <c r="G1586" i="1"/>
  <c r="G1585" i="1"/>
  <c r="G1584" i="1"/>
  <c r="G1583" i="1"/>
  <c r="G1582" i="1"/>
  <c r="G1581" i="1"/>
  <c r="G1580" i="1"/>
  <c r="G1579" i="1"/>
  <c r="G1578" i="1"/>
  <c r="G1577" i="1"/>
  <c r="G1576" i="1"/>
  <c r="G1575" i="1"/>
  <c r="G1574" i="1"/>
  <c r="G1573" i="1"/>
  <c r="G1572" i="1"/>
  <c r="G1571" i="1"/>
  <c r="G1570" i="1"/>
  <c r="G1569" i="1"/>
  <c r="G1568" i="1"/>
  <c r="G1567" i="1"/>
  <c r="G1566" i="1"/>
  <c r="G1565" i="1"/>
  <c r="G1564" i="1"/>
  <c r="G1563" i="1"/>
  <c r="G1562" i="1"/>
  <c r="G1561" i="1"/>
  <c r="G1560" i="1"/>
  <c r="G1559" i="1"/>
  <c r="G1558" i="1"/>
  <c r="G1557" i="1"/>
  <c r="G1556" i="1"/>
  <c r="G1555" i="1"/>
  <c r="G1554" i="1"/>
  <c r="G1553" i="1"/>
  <c r="G1552" i="1"/>
  <c r="G1551" i="1"/>
  <c r="G1550" i="1"/>
  <c r="G1549" i="1"/>
  <c r="G1548" i="1"/>
  <c r="G1547" i="1"/>
  <c r="G1546" i="1"/>
  <c r="G1545" i="1"/>
  <c r="G1544" i="1"/>
  <c r="G1543" i="1"/>
  <c r="G1542" i="1"/>
  <c r="G1541" i="1"/>
  <c r="G1540" i="1"/>
  <c r="G1539" i="1"/>
  <c r="G1538" i="1"/>
  <c r="G1537" i="1"/>
  <c r="G1536" i="1"/>
  <c r="G1535" i="1"/>
  <c r="G1534" i="1"/>
  <c r="G1533" i="1"/>
  <c r="G1532" i="1"/>
  <c r="G1531" i="1"/>
  <c r="G1530" i="1"/>
  <c r="G1529" i="1"/>
  <c r="G1528" i="1"/>
  <c r="G1527" i="1"/>
  <c r="G1526" i="1"/>
  <c r="G1525" i="1"/>
  <c r="G1524" i="1"/>
  <c r="G1523" i="1"/>
  <c r="G1522" i="1"/>
  <c r="G1521" i="1"/>
  <c r="G1520" i="1"/>
  <c r="G1519" i="1"/>
  <c r="G1518" i="1"/>
  <c r="G1517" i="1"/>
  <c r="G1516" i="1"/>
  <c r="G1515" i="1"/>
  <c r="G1514" i="1"/>
  <c r="G1513" i="1"/>
  <c r="G1512" i="1"/>
  <c r="G1511" i="1"/>
  <c r="G1510" i="1"/>
  <c r="G1509" i="1"/>
  <c r="G1508" i="1"/>
  <c r="G1507" i="1"/>
  <c r="G1506" i="1"/>
  <c r="G1505" i="1"/>
  <c r="G1504" i="1"/>
  <c r="G1503" i="1"/>
  <c r="G1502" i="1"/>
  <c r="G1501" i="1"/>
  <c r="G1500" i="1"/>
  <c r="G1499" i="1"/>
  <c r="G1498" i="1"/>
  <c r="G1497" i="1"/>
  <c r="G1496" i="1"/>
  <c r="G1495" i="1"/>
  <c r="G1494" i="1"/>
  <c r="G1493" i="1"/>
  <c r="G1492" i="1"/>
  <c r="G1491" i="1"/>
  <c r="G1490" i="1"/>
  <c r="G1489" i="1"/>
  <c r="G1488" i="1"/>
  <c r="G1487" i="1"/>
  <c r="G1486" i="1"/>
  <c r="G1485" i="1"/>
  <c r="G1484" i="1"/>
  <c r="G1483" i="1"/>
  <c r="G1482" i="1"/>
  <c r="G1481" i="1"/>
  <c r="G1480" i="1"/>
  <c r="G1479" i="1"/>
  <c r="G1478" i="1"/>
  <c r="G1477" i="1"/>
  <c r="G1476" i="1"/>
  <c r="G1475" i="1"/>
  <c r="G1474" i="1"/>
  <c r="G1473" i="1"/>
  <c r="G1472" i="1"/>
  <c r="G1471" i="1"/>
  <c r="G1470" i="1"/>
  <c r="G1469" i="1"/>
  <c r="G1468" i="1"/>
  <c r="G1467" i="1"/>
  <c r="G1466" i="1"/>
  <c r="G1465" i="1"/>
  <c r="G1464" i="1"/>
  <c r="G1463" i="1"/>
  <c r="G1462" i="1"/>
  <c r="G1461" i="1"/>
  <c r="G1460" i="1"/>
  <c r="G1459" i="1"/>
  <c r="G1458" i="1"/>
  <c r="G1457" i="1"/>
  <c r="G1456" i="1"/>
  <c r="G1455" i="1"/>
  <c r="G1454" i="1"/>
  <c r="G1453" i="1"/>
  <c r="G1452" i="1"/>
  <c r="G1451" i="1"/>
  <c r="G1450" i="1"/>
  <c r="G1449" i="1"/>
  <c r="G1448" i="1"/>
  <c r="G1447" i="1"/>
  <c r="G1446" i="1"/>
  <c r="G1445" i="1"/>
  <c r="G1444" i="1"/>
  <c r="G1443" i="1"/>
  <c r="G1442" i="1"/>
  <c r="G1441" i="1"/>
  <c r="G1440" i="1"/>
  <c r="G1439" i="1"/>
  <c r="G1438" i="1"/>
  <c r="G1437" i="1"/>
  <c r="G1436" i="1"/>
  <c r="G1435" i="1"/>
  <c r="G1434" i="1"/>
  <c r="G1433" i="1"/>
  <c r="G1432" i="1"/>
  <c r="G1431" i="1"/>
  <c r="G1430" i="1"/>
  <c r="G1429" i="1"/>
  <c r="G1428" i="1"/>
  <c r="G1427" i="1"/>
  <c r="G1426" i="1"/>
  <c r="G1425" i="1"/>
  <c r="G1424" i="1"/>
  <c r="G1423" i="1"/>
  <c r="G1422" i="1"/>
  <c r="G1421" i="1"/>
  <c r="G1420" i="1"/>
  <c r="G1419" i="1"/>
  <c r="G1418" i="1"/>
  <c r="G1417" i="1"/>
  <c r="G1416" i="1"/>
  <c r="G1415" i="1"/>
  <c r="G1414" i="1"/>
  <c r="G1413" i="1"/>
  <c r="G1412" i="1"/>
  <c r="G1411" i="1"/>
  <c r="G1410" i="1"/>
  <c r="G1409" i="1"/>
  <c r="G1408" i="1"/>
  <c r="G1407" i="1"/>
  <c r="G1406" i="1"/>
  <c r="G1405" i="1"/>
  <c r="G1404" i="1"/>
  <c r="G1403" i="1"/>
  <c r="G1402" i="1"/>
  <c r="G1401" i="1"/>
  <c r="G1400" i="1"/>
  <c r="G1399" i="1"/>
  <c r="G1398" i="1"/>
  <c r="G1397" i="1"/>
  <c r="G1396" i="1"/>
  <c r="G1395" i="1"/>
  <c r="G1394" i="1"/>
  <c r="G1393" i="1"/>
  <c r="G1392" i="1"/>
  <c r="G1391" i="1"/>
  <c r="G1390" i="1"/>
  <c r="G1389"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G1360" i="1"/>
  <c r="G1359" i="1"/>
  <c r="G1358" i="1"/>
  <c r="G1357" i="1"/>
  <c r="G1356" i="1"/>
  <c r="G1355" i="1"/>
  <c r="G1354" i="1"/>
  <c r="G1353" i="1"/>
  <c r="G1352" i="1"/>
  <c r="G1351" i="1"/>
  <c r="G135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G1152" i="1"/>
  <c r="G1151" i="1"/>
  <c r="G1150" i="1"/>
  <c r="G1149" i="1"/>
  <c r="G1148" i="1"/>
  <c r="G1147" i="1"/>
  <c r="G1146" i="1"/>
  <c r="G1145" i="1"/>
  <c r="G1144" i="1"/>
  <c r="G1143" i="1"/>
  <c r="G114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7" i="1"/>
  <c r="G726" i="1"/>
  <c r="G725" i="1"/>
  <c r="G724" i="1"/>
  <c r="G723" i="1"/>
  <c r="G722" i="1"/>
  <c r="G721" i="1"/>
  <c r="G720" i="1"/>
  <c r="G719" i="1"/>
  <c r="G718" i="1"/>
  <c r="G717" i="1"/>
  <c r="G716" i="1"/>
  <c r="G715" i="1"/>
  <c r="G714" i="1"/>
  <c r="G713" i="1"/>
  <c r="G712" i="1"/>
  <c r="G711" i="1"/>
  <c r="G710" i="1"/>
  <c r="G709" i="1"/>
  <c r="G708" i="1"/>
  <c r="G707" i="1"/>
  <c r="G706" i="1"/>
  <c r="G705" i="1"/>
  <c r="G704" i="1"/>
  <c r="G703" i="1"/>
  <c r="G702" i="1"/>
  <c r="G701" i="1"/>
  <c r="G700" i="1"/>
  <c r="G699" i="1"/>
  <c r="G698" i="1"/>
  <c r="G697" i="1"/>
  <c r="G696" i="1"/>
  <c r="G695" i="1"/>
  <c r="G694" i="1"/>
  <c r="G693" i="1"/>
  <c r="G692" i="1"/>
  <c r="G691" i="1"/>
  <c r="G690" i="1"/>
  <c r="G689" i="1"/>
  <c r="G688" i="1"/>
  <c r="G687" i="1"/>
  <c r="G686" i="1"/>
  <c r="G685" i="1"/>
  <c r="G684" i="1"/>
  <c r="G683" i="1"/>
  <c r="G682" i="1"/>
  <c r="G681" i="1"/>
  <c r="G680" i="1"/>
  <c r="G679" i="1"/>
  <c r="G678" i="1"/>
  <c r="G677" i="1"/>
  <c r="G676" i="1"/>
  <c r="G675" i="1"/>
  <c r="G674" i="1"/>
  <c r="G673" i="1"/>
  <c r="G672" i="1"/>
  <c r="G671" i="1"/>
  <c r="G670"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2"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9" i="1"/>
  <c r="G558" i="1"/>
  <c r="G557" i="1"/>
  <c r="G556" i="1"/>
  <c r="G555" i="1"/>
  <c r="G554" i="1"/>
  <c r="G553" i="1"/>
  <c r="G552" i="1"/>
  <c r="G551" i="1"/>
  <c r="G550" i="1"/>
  <c r="G549" i="1"/>
  <c r="G548" i="1"/>
  <c r="G547" i="1"/>
  <c r="G546" i="1"/>
  <c r="G545" i="1"/>
  <c r="G544" i="1"/>
  <c r="G543" i="1"/>
  <c r="G542" i="1"/>
  <c r="G541" i="1"/>
  <c r="G540" i="1"/>
  <c r="G539" i="1"/>
  <c r="G538" i="1"/>
  <c r="G537" i="1"/>
  <c r="G536" i="1"/>
  <c r="G535" i="1"/>
  <c r="G534" i="1"/>
  <c r="G533" i="1"/>
  <c r="G532" i="1"/>
  <c r="G531" i="1"/>
  <c r="G530" i="1"/>
  <c r="G529" i="1"/>
  <c r="G528" i="1"/>
  <c r="G527" i="1"/>
  <c r="G526" i="1"/>
  <c r="G525" i="1"/>
  <c r="G524" i="1"/>
  <c r="G523" i="1"/>
  <c r="G522" i="1"/>
  <c r="G521" i="1"/>
  <c r="G520" i="1"/>
  <c r="G519" i="1"/>
  <c r="G518" i="1"/>
  <c r="G517" i="1"/>
  <c r="G516" i="1"/>
  <c r="G515" i="1"/>
  <c r="G514" i="1"/>
  <c r="G513" i="1"/>
  <c r="G512" i="1"/>
  <c r="G511" i="1"/>
  <c r="G510" i="1"/>
  <c r="G509" i="1"/>
  <c r="G508" i="1"/>
  <c r="G507" i="1"/>
  <c r="G506" i="1"/>
  <c r="G505" i="1"/>
  <c r="G504" i="1"/>
  <c r="G503" i="1"/>
  <c r="G502" i="1"/>
  <c r="G501" i="1"/>
  <c r="G500" i="1"/>
  <c r="G499" i="1"/>
  <c r="G498" i="1"/>
  <c r="G497" i="1"/>
  <c r="G496" i="1"/>
  <c r="G495" i="1"/>
  <c r="G494" i="1"/>
  <c r="G493" i="1"/>
  <c r="N4" i="1" s="1"/>
  <c r="O4" i="1" s="1"/>
  <c r="G492" i="1"/>
  <c r="G491" i="1"/>
  <c r="G490" i="1"/>
  <c r="G489" i="1"/>
  <c r="G488" i="1"/>
  <c r="G487" i="1"/>
  <c r="G486" i="1"/>
  <c r="G485" i="1"/>
  <c r="G484" i="1"/>
  <c r="G483" i="1"/>
  <c r="G482" i="1"/>
  <c r="G481" i="1"/>
  <c r="G480" i="1"/>
  <c r="G479" i="1"/>
  <c r="G478" i="1"/>
  <c r="G477" i="1"/>
  <c r="G476" i="1"/>
  <c r="G475" i="1"/>
  <c r="G474" i="1"/>
  <c r="G473" i="1"/>
  <c r="G472" i="1"/>
  <c r="G471" i="1"/>
  <c r="G470" i="1"/>
  <c r="G469" i="1"/>
  <c r="G468" i="1"/>
  <c r="G467"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9" i="1"/>
  <c r="G378" i="1"/>
  <c r="G377" i="1"/>
  <c r="G376" i="1"/>
  <c r="G375" i="1"/>
  <c r="G374" i="1"/>
  <c r="G373" i="1"/>
  <c r="G372" i="1"/>
  <c r="G371" i="1"/>
  <c r="G370" i="1"/>
  <c r="G369" i="1"/>
  <c r="G368" i="1"/>
  <c r="G367" i="1"/>
  <c r="G366" i="1"/>
  <c r="G365" i="1"/>
  <c r="G364" i="1"/>
  <c r="G363" i="1"/>
  <c r="G362" i="1"/>
  <c r="G361" i="1"/>
  <c r="G360" i="1"/>
  <c r="G359" i="1"/>
  <c r="G358" i="1"/>
  <c r="G357" i="1"/>
  <c r="G356" i="1"/>
  <c r="G355" i="1"/>
  <c r="G354" i="1"/>
  <c r="G353" i="1"/>
  <c r="G352" i="1"/>
  <c r="G351" i="1"/>
  <c r="G350" i="1"/>
  <c r="G349" i="1"/>
  <c r="G348"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315" i="1"/>
  <c r="G314" i="1"/>
  <c r="G313" i="1"/>
  <c r="G312" i="1"/>
  <c r="G311" i="1"/>
  <c r="G310" i="1"/>
  <c r="G309" i="1"/>
  <c r="G308" i="1"/>
  <c r="G307" i="1"/>
  <c r="G306" i="1"/>
  <c r="G305" i="1"/>
  <c r="G304" i="1"/>
  <c r="G303" i="1"/>
  <c r="G302" i="1"/>
  <c r="G301" i="1"/>
  <c r="G300" i="1"/>
  <c r="G299" i="1"/>
  <c r="G298" i="1"/>
  <c r="G297" i="1"/>
  <c r="G296" i="1"/>
  <c r="G295" i="1"/>
  <c r="G294" i="1"/>
  <c r="G293" i="1"/>
  <c r="G292" i="1"/>
  <c r="G291" i="1"/>
  <c r="G290" i="1"/>
  <c r="G289" i="1"/>
  <c r="G288" i="1"/>
  <c r="G287" i="1"/>
  <c r="G286" i="1"/>
  <c r="G285"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51" i="1"/>
  <c r="G250" i="1"/>
  <c r="G249" i="1"/>
  <c r="G248" i="1"/>
  <c r="G247" i="1"/>
  <c r="G246" i="1"/>
  <c r="G245" i="1"/>
  <c r="G244" i="1"/>
  <c r="G243" i="1"/>
  <c r="G242" i="1"/>
  <c r="G241" i="1"/>
  <c r="G240" i="1"/>
  <c r="G239" i="1"/>
  <c r="G238" i="1"/>
  <c r="G237" i="1"/>
  <c r="G236"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L22" i="1"/>
  <c r="G22" i="1"/>
  <c r="L21" i="1"/>
  <c r="G21" i="1"/>
  <c r="G20" i="1"/>
  <c r="G19" i="1"/>
  <c r="G18" i="1"/>
  <c r="G17" i="1"/>
  <c r="G16" i="1"/>
  <c r="G15" i="1"/>
  <c r="M14" i="1"/>
  <c r="M17" i="1" s="1"/>
  <c r="L14" i="1"/>
  <c r="L17" i="1" s="1"/>
  <c r="G14" i="1"/>
  <c r="G13" i="1"/>
  <c r="G12" i="1"/>
  <c r="G11" i="1"/>
  <c r="G10" i="1"/>
  <c r="G9" i="1"/>
  <c r="P8" i="1"/>
  <c r="Q8" i="1" s="1"/>
  <c r="N8" i="1"/>
  <c r="O8" i="1" s="1"/>
  <c r="G8" i="1"/>
  <c r="G7" i="1"/>
  <c r="P6" i="1"/>
  <c r="Q6" i="1" s="1"/>
  <c r="N6" i="1"/>
  <c r="O6" i="1" s="1"/>
  <c r="G6" i="1"/>
  <c r="G5" i="1"/>
  <c r="P4" i="1"/>
  <c r="G4" i="1"/>
  <c r="P3" i="1"/>
  <c r="Q3" i="1" s="1"/>
  <c r="O3" i="1"/>
  <c r="N3" i="1"/>
  <c r="G3" i="1"/>
  <c r="P2" i="1" s="1"/>
  <c r="Q2" i="1" s="1"/>
  <c r="G2" i="1"/>
  <c r="N2" i="1" s="1"/>
  <c r="Q4" i="1" l="1"/>
  <c r="O2" i="1"/>
  <c r="P7" i="1"/>
  <c r="Q7" i="1" s="1"/>
  <c r="L15" i="1"/>
  <c r="L18" i="1" s="1"/>
  <c r="M18" i="1" l="1"/>
  <c r="O7" i="1"/>
</calcChain>
</file>

<file path=xl/sharedStrings.xml><?xml version="1.0" encoding="utf-8"?>
<sst xmlns="http://schemas.openxmlformats.org/spreadsheetml/2006/main" count="21553" uniqueCount="6068">
  <si>
    <t>Species</t>
  </si>
  <si>
    <t>Comparison</t>
  </si>
  <si>
    <t>Gene ID</t>
  </si>
  <si>
    <t>OA lpv</t>
  </si>
  <si>
    <t>Bleaching lpv</t>
  </si>
  <si>
    <t>OA + Bleaching lpv</t>
  </si>
  <si>
    <t>Relationship</t>
  </si>
  <si>
    <t>Gene Annotation</t>
  </si>
  <si>
    <t>COUNTA of Gene ID</t>
  </si>
  <si>
    <t>Direct</t>
  </si>
  <si>
    <t>Direct%</t>
  </si>
  <si>
    <t>Inverse</t>
  </si>
  <si>
    <t>Inverse%</t>
  </si>
  <si>
    <t>Orbicella faveolata</t>
  </si>
  <si>
    <t>Bleaching vs OA</t>
  </si>
  <si>
    <t>Ofaveolata000010</t>
  </si>
  <si>
    <t>NA</t>
  </si>
  <si>
    <t>Ofaveolata000015</t>
  </si>
  <si>
    <t>protein dimerization activity</t>
  </si>
  <si>
    <t>OA + Bleaching vs Bleaching</t>
  </si>
  <si>
    <t>Ofaveolata000053</t>
  </si>
  <si>
    <t>protein-disulfide reductase (glutathione) activity</t>
  </si>
  <si>
    <t>OA + Bleaching vs OA</t>
  </si>
  <si>
    <t>Ofaveolata000104</t>
  </si>
  <si>
    <t>PX domain</t>
  </si>
  <si>
    <t>Orbicella faveolata Total</t>
  </si>
  <si>
    <t>Ofaveolata000139</t>
  </si>
  <si>
    <t>Siderastrea siderea</t>
  </si>
  <si>
    <t>Ofaveolata000216</t>
  </si>
  <si>
    <t>cellular zinc ion homeostasis</t>
  </si>
  <si>
    <t>Ofaveolata000414</t>
  </si>
  <si>
    <t>Ofaveolata000449</t>
  </si>
  <si>
    <t>Lactose-binding lectin l-2-like</t>
  </si>
  <si>
    <t>Siderastrea siderea Total</t>
  </si>
  <si>
    <t>Ofaveolata000572</t>
  </si>
  <si>
    <t>Cobalamin-independent synthase, Catalytic domain</t>
  </si>
  <si>
    <t>Grand Total</t>
  </si>
  <si>
    <t>Ofaveolata000592</t>
  </si>
  <si>
    <t>Transmembrane protein 173</t>
  </si>
  <si>
    <t>Ofaveolata000719</t>
  </si>
  <si>
    <t>alpha1-adrenergic receptor activity</t>
  </si>
  <si>
    <t>Ofaveolata000742</t>
  </si>
  <si>
    <t>peptidase inhibitor activity</t>
  </si>
  <si>
    <t>Ofaveolata000882</t>
  </si>
  <si>
    <t>cortical actin cytoskeleton organization</t>
  </si>
  <si>
    <t>Ofaveolata000921</t>
  </si>
  <si>
    <t>histone H4-K16 acetylation</t>
  </si>
  <si>
    <t>Ofaveolata000952</t>
  </si>
  <si>
    <t>Ofaveolata000959</t>
  </si>
  <si>
    <t>Ofaveolata000962</t>
  </si>
  <si>
    <t>Ofaveolata000965</t>
  </si>
  <si>
    <t>Ofaveolata001202</t>
  </si>
  <si>
    <t>Unique DEGs</t>
  </si>
  <si>
    <t>Ofaveolata001229</t>
  </si>
  <si>
    <t>Ofaveolata001235</t>
  </si>
  <si>
    <t>Ofaveolata001402</t>
  </si>
  <si>
    <t>Calcineurin-like phosphoesterase</t>
  </si>
  <si>
    <t>Ofaveolata001455</t>
  </si>
  <si>
    <t>transmembrane transport</t>
  </si>
  <si>
    <t>Ofaveolata001490</t>
  </si>
  <si>
    <t>ATP binding</t>
  </si>
  <si>
    <t>Ofaveolata001520</t>
  </si>
  <si>
    <t>metallocarboxypeptidase activity</t>
  </si>
  <si>
    <t>Ofaveolata001563</t>
  </si>
  <si>
    <t>Belongs to the carnitine choline acetyltransferase family</t>
  </si>
  <si>
    <t>Ofaveolata001594</t>
  </si>
  <si>
    <t>Ofaveolata001608</t>
  </si>
  <si>
    <t>Ofaveolata001666</t>
  </si>
  <si>
    <t>eukaryotic initiation factor 4E binding</t>
  </si>
  <si>
    <t>Ofaveolata001668</t>
  </si>
  <si>
    <t>Ofaveolata001713</t>
  </si>
  <si>
    <t>Ofaveolata001714</t>
  </si>
  <si>
    <t>Ofaveolata001715</t>
  </si>
  <si>
    <t>Ofaveolata001721</t>
  </si>
  <si>
    <t>Ofaveolata001724</t>
  </si>
  <si>
    <t>Ofaveolata001725</t>
  </si>
  <si>
    <t>Ofaveolata001730</t>
  </si>
  <si>
    <t>Ofaveolata001732</t>
  </si>
  <si>
    <t>Ofaveolata001733</t>
  </si>
  <si>
    <t>Ofaveolata001734</t>
  </si>
  <si>
    <t>Ofaveolata001805</t>
  </si>
  <si>
    <t>Ligand for members of the frizzled family of seven transmembrane receptors</t>
  </si>
  <si>
    <t>Ofaveolata001823</t>
  </si>
  <si>
    <t>Ofaveolata001858</t>
  </si>
  <si>
    <t>Ofaveolata001887</t>
  </si>
  <si>
    <t>negative regulation of canonical Wnt signaling pathway involved in cardiac muscle cell fate commitment</t>
  </si>
  <si>
    <t>Ofaveolata001889</t>
  </si>
  <si>
    <t>Ofaveolata001952</t>
  </si>
  <si>
    <t>G-protein coupled receptor activity</t>
  </si>
  <si>
    <t>Ofaveolata002017</t>
  </si>
  <si>
    <t>phospholipase A2 activity (consuming 1,2-dipalmitoylphosphatidylcholine)</t>
  </si>
  <si>
    <t>Ofaveolata002142</t>
  </si>
  <si>
    <t>positive regulation of epithelial to mesenchymal transition</t>
  </si>
  <si>
    <t>Ofaveolata002144</t>
  </si>
  <si>
    <t>Transmembrane protein 258</t>
  </si>
  <si>
    <t>Ofaveolata002172</t>
  </si>
  <si>
    <t>carboxypeptidase Q</t>
  </si>
  <si>
    <t>Ofaveolata002239</t>
  </si>
  <si>
    <t>Ofaveolata002242</t>
  </si>
  <si>
    <t>Ofaveolata002291</t>
  </si>
  <si>
    <t>oxidoreductase activity</t>
  </si>
  <si>
    <t>Ofaveolata002345</t>
  </si>
  <si>
    <t>Ofaveolata002376</t>
  </si>
  <si>
    <t>Ofaveolata002478</t>
  </si>
  <si>
    <t>Ofaveolata002551</t>
  </si>
  <si>
    <t>Ofaveolata002574</t>
  </si>
  <si>
    <t>Ofaveolata002642</t>
  </si>
  <si>
    <t>Fes/CIP4 homology domain</t>
  </si>
  <si>
    <t>Ofaveolata002736</t>
  </si>
  <si>
    <t>Ofaveolata002772</t>
  </si>
  <si>
    <t>Nidogen-like</t>
  </si>
  <si>
    <t>Ofaveolata002774</t>
  </si>
  <si>
    <t>Astacin (Peptidase family M12A)</t>
  </si>
  <si>
    <t>Ofaveolata002788</t>
  </si>
  <si>
    <t>Ofaveolata002790</t>
  </si>
  <si>
    <t>Ofaveolata002794</t>
  </si>
  <si>
    <t>Ofaveolata002898</t>
  </si>
  <si>
    <t>Ofaveolata002916</t>
  </si>
  <si>
    <t>Ofaveolata002917</t>
  </si>
  <si>
    <t>Ofaveolata002981</t>
  </si>
  <si>
    <t>Ofaveolata003085</t>
  </si>
  <si>
    <t>Ofaveolata003086</t>
  </si>
  <si>
    <t>Ofaveolata003181</t>
  </si>
  <si>
    <t>neurexin family protein binding</t>
  </si>
  <si>
    <t>Ofaveolata003229</t>
  </si>
  <si>
    <t>coreceptor activity involved in Wnt signaling pathway, planar cell polarity pathway</t>
  </si>
  <si>
    <t>Ofaveolata003232</t>
  </si>
  <si>
    <t>Ofaveolata003233</t>
  </si>
  <si>
    <t>Ofaveolata003357</t>
  </si>
  <si>
    <t>macromolecule localization</t>
  </si>
  <si>
    <t>Ofaveolata003472</t>
  </si>
  <si>
    <t>cell division</t>
  </si>
  <si>
    <t>Ofaveolata003478</t>
  </si>
  <si>
    <t>MMPL family</t>
  </si>
  <si>
    <t>Ofaveolata003589</t>
  </si>
  <si>
    <t>Ofaveolata003608</t>
  </si>
  <si>
    <t>Ofaveolata003639</t>
  </si>
  <si>
    <t>ephrin receptor activity</t>
  </si>
  <si>
    <t>Ofaveolata003645</t>
  </si>
  <si>
    <t>serine-type endopeptidase activity</t>
  </si>
  <si>
    <t>Ofaveolata003648</t>
  </si>
  <si>
    <t>Ofaveolata003661</t>
  </si>
  <si>
    <t>Belongs to the peptidase M10A family</t>
  </si>
  <si>
    <t>Ofaveolata003751</t>
  </si>
  <si>
    <t>Tachylectin</t>
  </si>
  <si>
    <t>Ofaveolata003857</t>
  </si>
  <si>
    <t>Ofaveolata003932</t>
  </si>
  <si>
    <t>Tissue factor pathway inhibitor</t>
  </si>
  <si>
    <t>Ofaveolata003972</t>
  </si>
  <si>
    <t>Ofaveolata003974</t>
  </si>
  <si>
    <t>Ofaveolata003976</t>
  </si>
  <si>
    <t>Ofaveolata003977</t>
  </si>
  <si>
    <t>Ofaveolata004231</t>
  </si>
  <si>
    <t>Ofaveolata004405</t>
  </si>
  <si>
    <t>Ofaveolata004474</t>
  </si>
  <si>
    <t>ubiquitin-like protein ligase activity</t>
  </si>
  <si>
    <t>Ofaveolata004508</t>
  </si>
  <si>
    <t>Thrombospondin type 1 repeats</t>
  </si>
  <si>
    <t>Ofaveolata004537</t>
  </si>
  <si>
    <t>Ofaveolata004538</t>
  </si>
  <si>
    <t>Transmembrane protein 181</t>
  </si>
  <si>
    <t>Ofaveolata004540</t>
  </si>
  <si>
    <t>unfolded protein binding</t>
  </si>
  <si>
    <t>Ofaveolata004807</t>
  </si>
  <si>
    <t>Ofaveolata004811</t>
  </si>
  <si>
    <t>Ofaveolata004828</t>
  </si>
  <si>
    <t>Ofaveolata004830</t>
  </si>
  <si>
    <t>Ofaveolata004859</t>
  </si>
  <si>
    <t>Ofaveolata004949</t>
  </si>
  <si>
    <t>Ofaveolata004990</t>
  </si>
  <si>
    <t>Ofaveolata005158</t>
  </si>
  <si>
    <t>Ofaveolata005198</t>
  </si>
  <si>
    <t>calcium ion binding</t>
  </si>
  <si>
    <t>Ofaveolata005263</t>
  </si>
  <si>
    <t>negative chemotaxis</t>
  </si>
  <si>
    <t>Ofaveolata005301</t>
  </si>
  <si>
    <t>iron-sulfur transferase activity</t>
  </si>
  <si>
    <t>Ofaveolata005305</t>
  </si>
  <si>
    <t>zinc ion binding</t>
  </si>
  <si>
    <t>Ofaveolata005370</t>
  </si>
  <si>
    <t>cellular iron ion homeostasis</t>
  </si>
  <si>
    <t>Ofaveolata005418</t>
  </si>
  <si>
    <t>molting cycle, collagen and cuticulin-based cuticle</t>
  </si>
  <si>
    <t>Ofaveolata005419</t>
  </si>
  <si>
    <t>Ofaveolata005486</t>
  </si>
  <si>
    <t>L-iditol 2-dehydrogenase activity</t>
  </si>
  <si>
    <t>Ofaveolata005513</t>
  </si>
  <si>
    <t>Hemimethylated DNA-binding protein YccV like</t>
  </si>
  <si>
    <t>Ofaveolata005554</t>
  </si>
  <si>
    <t>Ofaveolata005736</t>
  </si>
  <si>
    <t>Kinesin motor, catalytic domain. ATPase.</t>
  </si>
  <si>
    <t>Ofaveolata005887</t>
  </si>
  <si>
    <t>Dienelactone hydrolase family</t>
  </si>
  <si>
    <t>Ofaveolata005955</t>
  </si>
  <si>
    <t>endosomal transport</t>
  </si>
  <si>
    <t>Ofaveolata005956</t>
  </si>
  <si>
    <t>skeletal muscle fiber development</t>
  </si>
  <si>
    <t>Ofaveolata005964</t>
  </si>
  <si>
    <t>Ofaveolata005998</t>
  </si>
  <si>
    <t>CAAX-box protein maturation</t>
  </si>
  <si>
    <t>Ofaveolata006107</t>
  </si>
  <si>
    <t>bisphosphoglycerate 3-phosphatase activity</t>
  </si>
  <si>
    <t>Ofaveolata006198</t>
  </si>
  <si>
    <t>Ofaveolata006253</t>
  </si>
  <si>
    <t>Ofaveolata006256</t>
  </si>
  <si>
    <t>Ofaveolata006294</t>
  </si>
  <si>
    <t>cell-matrix adhesion</t>
  </si>
  <si>
    <t>Ofaveolata006370</t>
  </si>
  <si>
    <t>Ofaveolata006376</t>
  </si>
  <si>
    <t>Ofaveolata006433</t>
  </si>
  <si>
    <t>Ofaveolata006443</t>
  </si>
  <si>
    <t>Ofaveolata006566</t>
  </si>
  <si>
    <t>barrier to autointegration factor 1</t>
  </si>
  <si>
    <t>Ofaveolata006598</t>
  </si>
  <si>
    <t>glutaminyl-peptide cyclotransferase activity</t>
  </si>
  <si>
    <t>Ofaveolata006691</t>
  </si>
  <si>
    <t>rRNA (uridine-2'-O-)-methyltransferase activity</t>
  </si>
  <si>
    <t>Ofaveolata006897</t>
  </si>
  <si>
    <t>Ofaveolata006910</t>
  </si>
  <si>
    <t>Ofaveolata007062</t>
  </si>
  <si>
    <t>Pentafunctional AROM polypeptide-like</t>
  </si>
  <si>
    <t>Ofaveolata007104</t>
  </si>
  <si>
    <t>dynactin binding</t>
  </si>
  <si>
    <t>Ofaveolata007437</t>
  </si>
  <si>
    <t>acetyl-CoA metabolic process</t>
  </si>
  <si>
    <t>Ofaveolata007460</t>
  </si>
  <si>
    <t>Ofaveolata007795</t>
  </si>
  <si>
    <t>polycystic kidney disease protein 1-like</t>
  </si>
  <si>
    <t>Ofaveolata007927</t>
  </si>
  <si>
    <t>asparaginase activity</t>
  </si>
  <si>
    <t>Ofaveolata007940</t>
  </si>
  <si>
    <t>Globin</t>
  </si>
  <si>
    <t>Ofaveolata007956</t>
  </si>
  <si>
    <t>E3 ubiquitin-protein ligase synoviolin</t>
  </si>
  <si>
    <t>Ofaveolata007983</t>
  </si>
  <si>
    <t>Ofaveolata007989</t>
  </si>
  <si>
    <t>subunit of the gamma-secretase complex, an endoprotease complex that catalyzes the intramembrane cleavage of integral membrane proteins such as Notch receptors</t>
  </si>
  <si>
    <t>Ofaveolata008090</t>
  </si>
  <si>
    <t>Ofaveolata008149</t>
  </si>
  <si>
    <t>Ofaveolata008257</t>
  </si>
  <si>
    <t>Ofaveolata008267</t>
  </si>
  <si>
    <t>peroxidase activity</t>
  </si>
  <si>
    <t>Ofaveolata008394</t>
  </si>
  <si>
    <t>peptidyl-prolyl cis-trans isomerase activity</t>
  </si>
  <si>
    <t>Ofaveolata008535</t>
  </si>
  <si>
    <t>Ofaveolata009043</t>
  </si>
  <si>
    <t>Ofaveolata009049</t>
  </si>
  <si>
    <t>Ofaveolata009102</t>
  </si>
  <si>
    <t>fibroblast growth factor-activated receptor activity</t>
  </si>
  <si>
    <t>Ofaveolata009257</t>
  </si>
  <si>
    <t>Belongs to the glycosyltransferase 43 family</t>
  </si>
  <si>
    <t>Ofaveolata009302</t>
  </si>
  <si>
    <t>neurogenic locus notch homolog protein</t>
  </si>
  <si>
    <t>Ofaveolata009338</t>
  </si>
  <si>
    <t>Ofaveolata009407</t>
  </si>
  <si>
    <t>Ofaveolata009599</t>
  </si>
  <si>
    <t>Ofaveolata009607</t>
  </si>
  <si>
    <t>Ofaveolata009609</t>
  </si>
  <si>
    <t>RNA binding motif protein</t>
  </si>
  <si>
    <t>Ofaveolata009789</t>
  </si>
  <si>
    <t>Ofaveolata010071</t>
  </si>
  <si>
    <t>Ofaveolata010190</t>
  </si>
  <si>
    <t>neurotrophin receptor activity</t>
  </si>
  <si>
    <t>Ofaveolata010222</t>
  </si>
  <si>
    <t>Ofaveolata010287</t>
  </si>
  <si>
    <t>Ofaveolata010299</t>
  </si>
  <si>
    <t>acyl-coenzyme A thioesterase</t>
  </si>
  <si>
    <t>Ofaveolata010384</t>
  </si>
  <si>
    <t>procollagen-proline 3-dioxygenase activity</t>
  </si>
  <si>
    <t>Ofaveolata010491</t>
  </si>
  <si>
    <t>Arrestin (or S-antigen), N-terminal domain</t>
  </si>
  <si>
    <t>Ofaveolata010511</t>
  </si>
  <si>
    <t>Ofaveolata010570</t>
  </si>
  <si>
    <t>Ofaveolata010732</t>
  </si>
  <si>
    <t>positive regulation of TOR signaling</t>
  </si>
  <si>
    <t>Ofaveolata010794</t>
  </si>
  <si>
    <t>D-arabinitol dehydrogenase 1-like</t>
  </si>
  <si>
    <t>Ofaveolata010796</t>
  </si>
  <si>
    <t>glutathione peroxidase activity</t>
  </si>
  <si>
    <t>Ofaveolata010797</t>
  </si>
  <si>
    <t>Ofaveolata011077</t>
  </si>
  <si>
    <t>neuronal</t>
  </si>
  <si>
    <t>Ofaveolata011147</t>
  </si>
  <si>
    <t>cysteine-type endopeptidase inhibitor activity</t>
  </si>
  <si>
    <t>Ofaveolata011228</t>
  </si>
  <si>
    <t>negative regulation of protein localization to centrosome</t>
  </si>
  <si>
    <t>Ofaveolata011375</t>
  </si>
  <si>
    <t>Universal stress protein family</t>
  </si>
  <si>
    <t>Ofaveolata011707</t>
  </si>
  <si>
    <t>Ofaveolata012632</t>
  </si>
  <si>
    <t>Ofaveolata012655</t>
  </si>
  <si>
    <t>Ofaveolata012694</t>
  </si>
  <si>
    <t>Ofaveolata012700</t>
  </si>
  <si>
    <t>Ofaveolata012701</t>
  </si>
  <si>
    <t>Ofaveolata012705</t>
  </si>
  <si>
    <t>Ofaveolata012707</t>
  </si>
  <si>
    <t>Ofaveolata012708</t>
  </si>
  <si>
    <t>Ofaveolata012743</t>
  </si>
  <si>
    <t>Ofaveolata012750</t>
  </si>
  <si>
    <t>Ofaveolata012781</t>
  </si>
  <si>
    <t>Ofaveolata012899</t>
  </si>
  <si>
    <t>sulfuric ester hydrolase activity</t>
  </si>
  <si>
    <t>Ofaveolata012935</t>
  </si>
  <si>
    <t>histone binding</t>
  </si>
  <si>
    <t>Ofaveolata012985</t>
  </si>
  <si>
    <t>Ofaveolata013005</t>
  </si>
  <si>
    <t>Belongs to the sodium solute symporter (SSF) (TC 2.A.21) family</t>
  </si>
  <si>
    <t>Ofaveolata013087</t>
  </si>
  <si>
    <t>Ofaveolata013095</t>
  </si>
  <si>
    <t>Ofaveolata013130</t>
  </si>
  <si>
    <t>Ofaveolata013287</t>
  </si>
  <si>
    <t>Si dkey-5i3.5</t>
  </si>
  <si>
    <t>Ofaveolata013335</t>
  </si>
  <si>
    <t>Ofaveolata013348</t>
  </si>
  <si>
    <t>Ofaveolata013368</t>
  </si>
  <si>
    <t>Ofaveolata013370</t>
  </si>
  <si>
    <t>Ofaveolata013386</t>
  </si>
  <si>
    <t>Ofaveolata013485</t>
  </si>
  <si>
    <t>glycogen (starch) synthase activity</t>
  </si>
  <si>
    <t>Ofaveolata013730</t>
  </si>
  <si>
    <t>Ofaveolata013818</t>
  </si>
  <si>
    <t>Glutathione S-transferase, N-terminal domain</t>
  </si>
  <si>
    <t>Ofaveolata013894</t>
  </si>
  <si>
    <t>cilium disassembly</t>
  </si>
  <si>
    <t>Ofaveolata013958</t>
  </si>
  <si>
    <t>TENA/THI-4/PQQC family</t>
  </si>
  <si>
    <t>Ofaveolata013965</t>
  </si>
  <si>
    <t>Ofaveolata014189</t>
  </si>
  <si>
    <t>alpha-L-fucosidase activity</t>
  </si>
  <si>
    <t>Ofaveolata014321</t>
  </si>
  <si>
    <t>Ofaveolata014545</t>
  </si>
  <si>
    <t>Meiosis expressed gene 1 protein homolog</t>
  </si>
  <si>
    <t>Ofaveolata014737</t>
  </si>
  <si>
    <t>7 transmembrane receptor (rhodopsin family)</t>
  </si>
  <si>
    <t>Ofaveolata014914</t>
  </si>
  <si>
    <t>Dermatopontin</t>
  </si>
  <si>
    <t>Ofaveolata014970</t>
  </si>
  <si>
    <t>negative regulation of protein localization to ciliary membrane</t>
  </si>
  <si>
    <t>Ofaveolata014975</t>
  </si>
  <si>
    <t>Ofaveolata014995</t>
  </si>
  <si>
    <t>Functions as actin-binding component of the Arp2 3 complex which is involved in regulation of actin polymerization and together with an activating nucleation-promoting factor (NPF) mediates the formation of branched actin networks</t>
  </si>
  <si>
    <t>Ofaveolata015101</t>
  </si>
  <si>
    <t>Ofaveolata015217</t>
  </si>
  <si>
    <t>O-fucosyltransferase 2</t>
  </si>
  <si>
    <t>Ofaveolata015357</t>
  </si>
  <si>
    <t>vesicle fusion with Golgi apparatus</t>
  </si>
  <si>
    <t>Ofaveolata015516</t>
  </si>
  <si>
    <t>Ofaveolata015525</t>
  </si>
  <si>
    <t>Ofaveolata015532</t>
  </si>
  <si>
    <t>ATPase activity, coupled to transmembrane movement of substances</t>
  </si>
  <si>
    <t>Ofaveolata015761</t>
  </si>
  <si>
    <t>carbohydrate binding</t>
  </si>
  <si>
    <t>Ofaveolata015856</t>
  </si>
  <si>
    <t>Ofaveolata016020</t>
  </si>
  <si>
    <t>Ofaveolata016131</t>
  </si>
  <si>
    <t>Ofaveolata016157</t>
  </si>
  <si>
    <t>Ofaveolata016206</t>
  </si>
  <si>
    <t>myo-inositol transport</t>
  </si>
  <si>
    <t>Ofaveolata016235</t>
  </si>
  <si>
    <t>Ofaveolata016246</t>
  </si>
  <si>
    <t>Ofaveolata016252</t>
  </si>
  <si>
    <t>Ofaveolata016255</t>
  </si>
  <si>
    <t>Ofaveolata016258</t>
  </si>
  <si>
    <t>Ofaveolata016260</t>
  </si>
  <si>
    <t>Ofaveolata016327</t>
  </si>
  <si>
    <t>ubiquitin-protein transferase activity</t>
  </si>
  <si>
    <t>Ofaveolata016434</t>
  </si>
  <si>
    <t>Ofaveolata016491</t>
  </si>
  <si>
    <t>Ofaveolata016588</t>
  </si>
  <si>
    <t>Ofaveolata016589</t>
  </si>
  <si>
    <t>Ofaveolata016590</t>
  </si>
  <si>
    <t>Ofaveolata016591</t>
  </si>
  <si>
    <t>Ofaveolata016596</t>
  </si>
  <si>
    <t>Ofaveolata016643</t>
  </si>
  <si>
    <t>Ofaveolata016659</t>
  </si>
  <si>
    <t>mitochondrial electron transport, NADH to ubiquinone</t>
  </si>
  <si>
    <t>Ofaveolata016671</t>
  </si>
  <si>
    <t>NADH dehydrogenase ubiquinone 1 alpha subcomplex subunit 4</t>
  </si>
  <si>
    <t>Ofaveolata016958</t>
  </si>
  <si>
    <t>organic anion transmembrane transporter activity</t>
  </si>
  <si>
    <t>Ofaveolata016995</t>
  </si>
  <si>
    <t>Thiamin pyrophosphokinase 1</t>
  </si>
  <si>
    <t>Ofaveolata017051</t>
  </si>
  <si>
    <t>protein transport to vacuole involved in ubiquitin-dependent protein catabolic process via the multivesicular body sorting pathway</t>
  </si>
  <si>
    <t>Ofaveolata017057</t>
  </si>
  <si>
    <t>Ofaveolata017058</t>
  </si>
  <si>
    <t>Ofaveolata017062</t>
  </si>
  <si>
    <t>Ofaveolata017075</t>
  </si>
  <si>
    <t>Ofaveolata017130</t>
  </si>
  <si>
    <t>Ofaveolata017133</t>
  </si>
  <si>
    <t>Ofaveolata017138</t>
  </si>
  <si>
    <t>Ofaveolata017139</t>
  </si>
  <si>
    <t>Ofaveolata017140</t>
  </si>
  <si>
    <t>Ofaveolata017141</t>
  </si>
  <si>
    <t>Ofaveolata017142</t>
  </si>
  <si>
    <t>Galactose binding lectin domain</t>
  </si>
  <si>
    <t>Ofaveolata017270</t>
  </si>
  <si>
    <t>negative regulation of Ras protein signal transduction</t>
  </si>
  <si>
    <t>Ofaveolata017337</t>
  </si>
  <si>
    <t>Defective in cullin neddylation 1 domain containing</t>
  </si>
  <si>
    <t>Ofaveolata017468</t>
  </si>
  <si>
    <t>Argininosuccinate</t>
  </si>
  <si>
    <t>Ofaveolata017552</t>
  </si>
  <si>
    <t>mitochondrial fusion</t>
  </si>
  <si>
    <t>Ofaveolata017578</t>
  </si>
  <si>
    <t>Ofaveolata017589</t>
  </si>
  <si>
    <t>Ofaveolata017838</t>
  </si>
  <si>
    <t>Tyrosine kinase, catalytic domain</t>
  </si>
  <si>
    <t>Ofaveolata017869</t>
  </si>
  <si>
    <t>Ofaveolata017873</t>
  </si>
  <si>
    <t>Ofaveolata017910</t>
  </si>
  <si>
    <t>Ofaveolata018164</t>
  </si>
  <si>
    <t>Ofaveolata018302</t>
  </si>
  <si>
    <t>ectonucleotide pyrophosphatase phosphodiesterase</t>
  </si>
  <si>
    <t>Ofaveolata018371</t>
  </si>
  <si>
    <t>positive regulation of interleukin-10 biosynthetic process</t>
  </si>
  <si>
    <t>Ofaveolata018388</t>
  </si>
  <si>
    <t>sequence-specific DNA binding</t>
  </si>
  <si>
    <t>Ofaveolata018491</t>
  </si>
  <si>
    <t>translation initiation factor activity</t>
  </si>
  <si>
    <t>Ofaveolata018785</t>
  </si>
  <si>
    <t>Ofaveolata018790</t>
  </si>
  <si>
    <t>Ofaveolata018927</t>
  </si>
  <si>
    <t>Belongs to the SelWTH family. Selenoprotein T subfamily</t>
  </si>
  <si>
    <t>Ofaveolata019014</t>
  </si>
  <si>
    <t>Metalloendopeptidase activity. It is involved in the biological process described with proteolysis</t>
  </si>
  <si>
    <t>Ofaveolata019018</t>
  </si>
  <si>
    <t>krueppel associated box</t>
  </si>
  <si>
    <t>Ofaveolata019127</t>
  </si>
  <si>
    <t>glucuronosyltransferase activity</t>
  </si>
  <si>
    <t>Ofaveolata019206</t>
  </si>
  <si>
    <t>Ofaveolata019340</t>
  </si>
  <si>
    <t>furry homolog</t>
  </si>
  <si>
    <t>Ofaveolata019433</t>
  </si>
  <si>
    <t>regulation of CD8-positive, alpha-beta T cell proliferation</t>
  </si>
  <si>
    <t>Ofaveolata019617</t>
  </si>
  <si>
    <t>tripeptidyl-peptidase activity</t>
  </si>
  <si>
    <t>Ofaveolata019732</t>
  </si>
  <si>
    <t>NACHT and WD repeat</t>
  </si>
  <si>
    <t>Ofaveolata019752</t>
  </si>
  <si>
    <t>regulation of canonical Wnt signaling pathway</t>
  </si>
  <si>
    <t>Ofaveolata019793</t>
  </si>
  <si>
    <t>major facilitator superfamily</t>
  </si>
  <si>
    <t>Ofaveolata019868</t>
  </si>
  <si>
    <t>Ofaveolata019918</t>
  </si>
  <si>
    <t>Rho guanyl-nucleotide exchange factor activity</t>
  </si>
  <si>
    <t>Ofaveolata019954</t>
  </si>
  <si>
    <t>ITP binding</t>
  </si>
  <si>
    <t>Ofaveolata020644</t>
  </si>
  <si>
    <t>Ofaveolata020991</t>
  </si>
  <si>
    <t>Glutamate/Leucine/Phenylalanine/Valine dehydrogenase</t>
  </si>
  <si>
    <t>Ofaveolata021074</t>
  </si>
  <si>
    <t>Ofaveolata021137</t>
  </si>
  <si>
    <t>Pregnancy-associated plasma protein-A</t>
  </si>
  <si>
    <t>Ofaveolata021203</t>
  </si>
  <si>
    <t>canonical Wnt signaling pathway involved in negative regulation of apoptotic process</t>
  </si>
  <si>
    <t>Ofaveolata021270</t>
  </si>
  <si>
    <t>Ofaveolata021396</t>
  </si>
  <si>
    <t>glutamic-type peptidase activity</t>
  </si>
  <si>
    <t>Ofaveolata021422</t>
  </si>
  <si>
    <t>Ofaveolata021485</t>
  </si>
  <si>
    <t>Ofaveolata021550</t>
  </si>
  <si>
    <t>Sparc osteonectin, cwcv and kazal-like domains proteoglycan (testican) 2</t>
  </si>
  <si>
    <t>Ofaveolata021922</t>
  </si>
  <si>
    <t>Suppression of tumorigenicity 13 (colon carcinoma) (Hsp70 interacting protein)</t>
  </si>
  <si>
    <t>Ofaveolata021968</t>
  </si>
  <si>
    <t>Ofaveolata021979</t>
  </si>
  <si>
    <t>Ofaveolata022011</t>
  </si>
  <si>
    <t>Ofaveolata022018</t>
  </si>
  <si>
    <t>Ofaveolata022092</t>
  </si>
  <si>
    <t>pyrimidine nucleotide transmembrane transporter activity</t>
  </si>
  <si>
    <t>Ofaveolata022112</t>
  </si>
  <si>
    <t>Ofaveolata022261</t>
  </si>
  <si>
    <t>Ofaveolata022366</t>
  </si>
  <si>
    <t>Ofaveolata022387</t>
  </si>
  <si>
    <t>Ofaveolata022464</t>
  </si>
  <si>
    <t>Dynein, light chain</t>
  </si>
  <si>
    <t>Ofaveolata022639</t>
  </si>
  <si>
    <t>Ofaveolata022676</t>
  </si>
  <si>
    <t>Phosphoenolpyruvate phosphomutase</t>
  </si>
  <si>
    <t>Ofaveolata022700</t>
  </si>
  <si>
    <t>Functions as component of the Arp2 3 complex which is involved in regulation of actin polymerization and together with an activating nucleation-promoting factor (NPF) mediates the formation of branched actin networks</t>
  </si>
  <si>
    <t>Ofaveolata022743</t>
  </si>
  <si>
    <t>Ofaveolata022807</t>
  </si>
  <si>
    <t>Ofaveolata022881</t>
  </si>
  <si>
    <t>bleomycin hydrolase</t>
  </si>
  <si>
    <t>Ofaveolata022899</t>
  </si>
  <si>
    <t>Ofaveolata023024</t>
  </si>
  <si>
    <t>Isocitrate lyase family</t>
  </si>
  <si>
    <t>Ofaveolata023143</t>
  </si>
  <si>
    <t>cellular macromolecule catabolic process</t>
  </si>
  <si>
    <t>Ofaveolata023144</t>
  </si>
  <si>
    <t>Ubiquitin homologues</t>
  </si>
  <si>
    <t>Ofaveolata023156</t>
  </si>
  <si>
    <t>Cystatin-like domain</t>
  </si>
  <si>
    <t>Ofaveolata023261</t>
  </si>
  <si>
    <t>It is involved in the biological process described with chromatin remodeling</t>
  </si>
  <si>
    <t>Ofaveolata023968</t>
  </si>
  <si>
    <t>factor 19</t>
  </si>
  <si>
    <t>Ofaveolata024021</t>
  </si>
  <si>
    <t>Ofaveolata024054</t>
  </si>
  <si>
    <t>Ofaveolata024064</t>
  </si>
  <si>
    <t>Amino acid permease</t>
  </si>
  <si>
    <t>Ofaveolata024073</t>
  </si>
  <si>
    <t>metal ion binding</t>
  </si>
  <si>
    <t>Ofaveolata024079</t>
  </si>
  <si>
    <t>RNA-directed 5'-3' RNA polymerase activity</t>
  </si>
  <si>
    <t>Ofaveolata024304</t>
  </si>
  <si>
    <t>DN3 thymocyte differentiation</t>
  </si>
  <si>
    <t>Ofaveolata024308</t>
  </si>
  <si>
    <t>positive regulation of exoribonuclease activity</t>
  </si>
  <si>
    <t>Ofaveolata024327</t>
  </si>
  <si>
    <t>Ofaveolata024342</t>
  </si>
  <si>
    <t>Animal haem peroxidase</t>
  </si>
  <si>
    <t>Ofaveolata024360</t>
  </si>
  <si>
    <t>Ofaveolata024364</t>
  </si>
  <si>
    <t>acetate-CoA ligase activity</t>
  </si>
  <si>
    <t>Ofaveolata024468</t>
  </si>
  <si>
    <t>ATP binding. It is involved in the biological process described with protein phosphorylation</t>
  </si>
  <si>
    <t>Ofaveolata024486</t>
  </si>
  <si>
    <t>Ofaveolata024492</t>
  </si>
  <si>
    <t>Ofaveolata024494</t>
  </si>
  <si>
    <t>Protein of unknown function (DUF2615)</t>
  </si>
  <si>
    <t>Ofaveolata024538</t>
  </si>
  <si>
    <t>Ofaveolata024711</t>
  </si>
  <si>
    <t>metalloaminopeptidase activity</t>
  </si>
  <si>
    <t>Ofaveolata024742</t>
  </si>
  <si>
    <t>Ofaveolata024772</t>
  </si>
  <si>
    <t>cell adhesion</t>
  </si>
  <si>
    <t>Ofaveolata024855</t>
  </si>
  <si>
    <t>WW domain-containing oxidoreductase</t>
  </si>
  <si>
    <t>Ofaveolata024904</t>
  </si>
  <si>
    <t>Collagen triple helix</t>
  </si>
  <si>
    <t>Ofaveolata024921</t>
  </si>
  <si>
    <t>Ofaveolata024927</t>
  </si>
  <si>
    <t>TNF receptor-associated factor</t>
  </si>
  <si>
    <t>Ofaveolata025030</t>
  </si>
  <si>
    <t>PAP associated domain containing 7</t>
  </si>
  <si>
    <t>Ofaveolata025070</t>
  </si>
  <si>
    <t>positive regulation of NLRP3 inflammasome complex assembly</t>
  </si>
  <si>
    <t>Ofaveolata025153</t>
  </si>
  <si>
    <t>Ofaveolata025187</t>
  </si>
  <si>
    <t>Ofaveolata025189</t>
  </si>
  <si>
    <t>structural constituent of cuticle</t>
  </si>
  <si>
    <t>Ofaveolata025190</t>
  </si>
  <si>
    <t>Ofaveolata025193</t>
  </si>
  <si>
    <t>Ofaveolata025264</t>
  </si>
  <si>
    <t>Ofaveolata025430</t>
  </si>
  <si>
    <t>Ofaveolata025437</t>
  </si>
  <si>
    <t>Ofaveolata025439</t>
  </si>
  <si>
    <t>Ofaveolata025475</t>
  </si>
  <si>
    <t>Dehydrogenase reductase SDR family member</t>
  </si>
  <si>
    <t>Ofaveolata025486</t>
  </si>
  <si>
    <t>dolichyl-diphosphooligosaccharide-protein glycotransferase activity</t>
  </si>
  <si>
    <t>Ofaveolata025547</t>
  </si>
  <si>
    <t>Ankyrin repeats (many copies)</t>
  </si>
  <si>
    <t>Ofaveolata025694</t>
  </si>
  <si>
    <t>Ofaveolata025729</t>
  </si>
  <si>
    <t>negative regulation of cell growth</t>
  </si>
  <si>
    <t>Ofaveolata025762</t>
  </si>
  <si>
    <t>protein modification by small protein conjugation</t>
  </si>
  <si>
    <t>Ofaveolata025865</t>
  </si>
  <si>
    <t>Ofaveolata025891</t>
  </si>
  <si>
    <t>antigen processing and presentation of exogenous peptide antigen via MHC class I</t>
  </si>
  <si>
    <t>Ofaveolata025892</t>
  </si>
  <si>
    <t>Ofaveolata026043</t>
  </si>
  <si>
    <t>Ofaveolata026055</t>
  </si>
  <si>
    <t>ubiquitin-like protein-specific protease activity</t>
  </si>
  <si>
    <t>Ofaveolata026139</t>
  </si>
  <si>
    <t>adenylate cyclase-activating G-protein coupled receptor signaling pathway</t>
  </si>
  <si>
    <t>Ofaveolata026176</t>
  </si>
  <si>
    <t>lipid metabolic process</t>
  </si>
  <si>
    <t>Ofaveolata026191</t>
  </si>
  <si>
    <t>Ofaveolata026192</t>
  </si>
  <si>
    <t>Ofaveolata026232</t>
  </si>
  <si>
    <t>Ofaveolata026239</t>
  </si>
  <si>
    <t>Family with sequence similarity 69 member C</t>
  </si>
  <si>
    <t>Ofaveolata026390</t>
  </si>
  <si>
    <t>Ofaveolata026393</t>
  </si>
  <si>
    <t>Ofaveolata026674</t>
  </si>
  <si>
    <t>structural constituent of cytoskeleton</t>
  </si>
  <si>
    <t>Ofaveolata026741</t>
  </si>
  <si>
    <t>hemangioblast cell differentiation</t>
  </si>
  <si>
    <t>Ofaveolata026759</t>
  </si>
  <si>
    <t>proton channel activity</t>
  </si>
  <si>
    <t>Ofaveolata026871</t>
  </si>
  <si>
    <t>Ofaveolata026972</t>
  </si>
  <si>
    <t>Nucleoporin</t>
  </si>
  <si>
    <t>Ofaveolata026978</t>
  </si>
  <si>
    <t>Ofaveolata027055</t>
  </si>
  <si>
    <t>Myosin, light</t>
  </si>
  <si>
    <t>Ofaveolata027109</t>
  </si>
  <si>
    <t>Ofaveolata027450</t>
  </si>
  <si>
    <t>Ofaveolata027542</t>
  </si>
  <si>
    <t>Eukaryotic-type carbonic anhydrase</t>
  </si>
  <si>
    <t>Ofaveolata027545</t>
  </si>
  <si>
    <t>carbonic anhydrase</t>
  </si>
  <si>
    <t>Ofaveolata027747</t>
  </si>
  <si>
    <t>Ofaveolata027775</t>
  </si>
  <si>
    <t>protein serine/threonine kinase activity</t>
  </si>
  <si>
    <t>Ofaveolata027889</t>
  </si>
  <si>
    <t>tachykinin receptor activity</t>
  </si>
  <si>
    <t>Ofaveolata028098</t>
  </si>
  <si>
    <t>Ofaveolata028190</t>
  </si>
  <si>
    <t>camera-type eye development</t>
  </si>
  <si>
    <t>Ofaveolata028207</t>
  </si>
  <si>
    <t>Cupin-like domain</t>
  </si>
  <si>
    <t>Ofaveolata028767</t>
  </si>
  <si>
    <t>PPIases accelerate the folding of proteins. It catalyzes the cis-trans isomerization of proline imidic peptide bonds in oligopeptides</t>
  </si>
  <si>
    <t>Ofaveolata028919</t>
  </si>
  <si>
    <t>SHC (Src homology 2 domain containing) transforming protein</t>
  </si>
  <si>
    <t>Ofaveolata028976</t>
  </si>
  <si>
    <t>Ofaveolata029062</t>
  </si>
  <si>
    <t>Ankyrin repeat and SOCS box</t>
  </si>
  <si>
    <t>Ofaveolata029114</t>
  </si>
  <si>
    <t>Ofaveolata029115</t>
  </si>
  <si>
    <t>Ofaveolata029199</t>
  </si>
  <si>
    <t>Ofaveolata029215</t>
  </si>
  <si>
    <t>Ofaveolata029232</t>
  </si>
  <si>
    <t>Ofaveolata029312</t>
  </si>
  <si>
    <t>Ofaveolata029423</t>
  </si>
  <si>
    <t>miRNA binding</t>
  </si>
  <si>
    <t>Ofaveolata029433</t>
  </si>
  <si>
    <t>Caspase domain</t>
  </si>
  <si>
    <t>Ofaveolata029486</t>
  </si>
  <si>
    <t>neuronal calcium sensor</t>
  </si>
  <si>
    <t>Ofaveolata029525</t>
  </si>
  <si>
    <t>Interferon induced with helicase C domain 1</t>
  </si>
  <si>
    <t>Ofaveolata029659</t>
  </si>
  <si>
    <t>Specifically binds 5-hydroxymethylcytosine (5hmC)- containing DNA in stem cells, suggesting that it acts as a specific reader of 5hmC in stem cells. May act as a peptidase</t>
  </si>
  <si>
    <t>Ofaveolata029662</t>
  </si>
  <si>
    <t>negative regulation of transcription elongation from RNA polymerase II promoter</t>
  </si>
  <si>
    <t>Ofaveolata029736</t>
  </si>
  <si>
    <t>Belongs to the uridine kinase family</t>
  </si>
  <si>
    <t>Ofaveolata029779</t>
  </si>
  <si>
    <t>Ofaveolata029819</t>
  </si>
  <si>
    <t>Ofaveolata029897</t>
  </si>
  <si>
    <t>UDP-glucoronosyl and UDP-glucosyl transferase</t>
  </si>
  <si>
    <t>Ofaveolata030025</t>
  </si>
  <si>
    <t>Ofaveolata030101</t>
  </si>
  <si>
    <t>maturation of LSU-rRNA from tricistronic rRNA transcript (SSU-rRNA, 5.8S rRNA, LSU-rRNA)</t>
  </si>
  <si>
    <t>Ofaveolata030193</t>
  </si>
  <si>
    <t>Ofaveolata030220</t>
  </si>
  <si>
    <t>thioesterase binding</t>
  </si>
  <si>
    <t>Ofaveolata030360</t>
  </si>
  <si>
    <t>Ofaveolata030362</t>
  </si>
  <si>
    <t>Ofaveolata030363</t>
  </si>
  <si>
    <t>Ofaveolata030373</t>
  </si>
  <si>
    <t>thyroid hormone transmembrane transporter activity</t>
  </si>
  <si>
    <t>Ofaveolata030409</t>
  </si>
  <si>
    <t>sulfiredoxin activity</t>
  </si>
  <si>
    <t>Ofaveolata030454</t>
  </si>
  <si>
    <t>Ofaveolata030458</t>
  </si>
  <si>
    <t>Ofaveolata030516</t>
  </si>
  <si>
    <t>Ofaveolata030623</t>
  </si>
  <si>
    <t>RNA splicing</t>
  </si>
  <si>
    <t>Ofaveolata030847</t>
  </si>
  <si>
    <t>regulation of Cdc42 protein signal transduction</t>
  </si>
  <si>
    <t>Ofaveolata030855</t>
  </si>
  <si>
    <t>Proprotein convertase subtilisin kexin type</t>
  </si>
  <si>
    <t>Ofaveolata030884</t>
  </si>
  <si>
    <t>Protein rolling stone-like</t>
  </si>
  <si>
    <t>Ofaveolata031065</t>
  </si>
  <si>
    <t>supervillin</t>
  </si>
  <si>
    <t>Ofaveolata031084</t>
  </si>
  <si>
    <t>Carboxypeptidase</t>
  </si>
  <si>
    <t>Ofaveolata031172</t>
  </si>
  <si>
    <t>Ofaveolata031645</t>
  </si>
  <si>
    <t>Ofaveolata031675</t>
  </si>
  <si>
    <t>Ofaveolata031705</t>
  </si>
  <si>
    <t>Ofaveolata031733</t>
  </si>
  <si>
    <t>Ofaveolata031831</t>
  </si>
  <si>
    <t>Ofaveolata031858</t>
  </si>
  <si>
    <t>negative regulation of zinc ion transmembrane import</t>
  </si>
  <si>
    <t>Ofaveolata031939</t>
  </si>
  <si>
    <t>carnitine O-palmitoyltransferase activity</t>
  </si>
  <si>
    <t>Ofaveolata032009</t>
  </si>
  <si>
    <t>Ofaveolata032073</t>
  </si>
  <si>
    <t>Ofaveolata032312</t>
  </si>
  <si>
    <t>Ofaveolata032705</t>
  </si>
  <si>
    <t>Ofaveolata032785</t>
  </si>
  <si>
    <t>Glutathione S-transferase mu</t>
  </si>
  <si>
    <t>Ofaveolata032816</t>
  </si>
  <si>
    <t>Required for protein import into peroxisomes</t>
  </si>
  <si>
    <t>Ofaveolata032852</t>
  </si>
  <si>
    <t>Ofaveolata032952</t>
  </si>
  <si>
    <t>GPCR-Autoproteolysis INducing (GAIN) domain</t>
  </si>
  <si>
    <t>Ofaveolata033040</t>
  </si>
  <si>
    <t>basic region leucin zipper</t>
  </si>
  <si>
    <t>Ofaveolata033143</t>
  </si>
  <si>
    <t>Ofaveolata033195</t>
  </si>
  <si>
    <t>Ofaveolata033393</t>
  </si>
  <si>
    <t>Ofaveolata033537</t>
  </si>
  <si>
    <t>Ofaveolata033565</t>
  </si>
  <si>
    <t>Ofaveolata033647</t>
  </si>
  <si>
    <t>Ofaveolata033678</t>
  </si>
  <si>
    <t>Ofaveolata033690</t>
  </si>
  <si>
    <t>Ofaveolata033695</t>
  </si>
  <si>
    <t>Ofaveolata033730</t>
  </si>
  <si>
    <t>optic vesicle morphogenesis</t>
  </si>
  <si>
    <t>Ofaveolata033784</t>
  </si>
  <si>
    <t>Solute carrier family 35, member G1</t>
  </si>
  <si>
    <t>Ofaveolata033931</t>
  </si>
  <si>
    <t>Ofaveolata034016</t>
  </si>
  <si>
    <t>Ofaveolata034018</t>
  </si>
  <si>
    <t>Ofaveolata034020</t>
  </si>
  <si>
    <t>Ofaveolata034021</t>
  </si>
  <si>
    <t>Ofaveolata034052</t>
  </si>
  <si>
    <t>myelination</t>
  </si>
  <si>
    <t>Ofaveolata034137</t>
  </si>
  <si>
    <t>response to hypoxia</t>
  </si>
  <si>
    <t>Ofaveolata034148</t>
  </si>
  <si>
    <t>Egl-9 family hypoxia-inducible factor</t>
  </si>
  <si>
    <t>Ofaveolata034304</t>
  </si>
  <si>
    <t>Ofaveolata034323</t>
  </si>
  <si>
    <t>Ofaveolata034386</t>
  </si>
  <si>
    <t>Component of the BLOC-1 complex, a complex that is required for normal biogenesis of lysosome-related organelles (LRO), such as platelet dense granules and melanosomes. In concert with the AP-3 complex, the BLOC-1 complex is required to target membrane protein cargos into vesicles assembled at cell bodies for delivery into neurites and nerve terminals. The BLOC-1 complex, in association with SNARE proteins, is also proposed to be involved in neurite extension. Plays a role in intracellular vesicle trafficking and synaptic vesicle recycling</t>
  </si>
  <si>
    <t>Ofaveolata034780</t>
  </si>
  <si>
    <t>zinc finger CCCH-type containing</t>
  </si>
  <si>
    <t>Ofaveolata034812</t>
  </si>
  <si>
    <t>arachidonic acid secretion</t>
  </si>
  <si>
    <t>Ofaveolata034842</t>
  </si>
  <si>
    <t>Belongs to the peptidase S1 family</t>
  </si>
  <si>
    <t>Ofaveolata034866</t>
  </si>
  <si>
    <t>K02A2.6-like</t>
  </si>
  <si>
    <t>Ofaveolata035042</t>
  </si>
  <si>
    <t>Ofaveolata035121</t>
  </si>
  <si>
    <t>Ofaveolata035192</t>
  </si>
  <si>
    <t>regulation of mitotic cell cycle</t>
  </si>
  <si>
    <t>Ofaveolata035248</t>
  </si>
  <si>
    <t>semaphorin receptor binding</t>
  </si>
  <si>
    <t>Ofaveolata035554</t>
  </si>
  <si>
    <t>Kelch-like protein 17</t>
  </si>
  <si>
    <t>Ofaveolata035634</t>
  </si>
  <si>
    <t>Ofaveolata035635</t>
  </si>
  <si>
    <t>Ofaveolata035636</t>
  </si>
  <si>
    <t>Ofaveolata035637</t>
  </si>
  <si>
    <t>Ofaveolata035638</t>
  </si>
  <si>
    <t>Ofaveolata035717</t>
  </si>
  <si>
    <t>Ofaveolata036553</t>
  </si>
  <si>
    <t>Ofaveolata036569</t>
  </si>
  <si>
    <t>Belongs to the glycosyl hydrolase 18 family</t>
  </si>
  <si>
    <t>Ofaveolata001366</t>
  </si>
  <si>
    <t>Ofaveolata001564</t>
  </si>
  <si>
    <t>RNA polymerase II transcription corepressor binding</t>
  </si>
  <si>
    <t>Ofaveolata001911</t>
  </si>
  <si>
    <t>Trace amine-associated receptor</t>
  </si>
  <si>
    <t>Ofaveolata002016</t>
  </si>
  <si>
    <t>Hairy and enhancer of split-related protein helt</t>
  </si>
  <si>
    <t>Ofaveolata002467</t>
  </si>
  <si>
    <t>Ofaveolata002479</t>
  </si>
  <si>
    <t>inflammatory response</t>
  </si>
  <si>
    <t>Ofaveolata002953</t>
  </si>
  <si>
    <t>Ofaveolata003028</t>
  </si>
  <si>
    <t>transforming growth factor beta receptor signaling pathway</t>
  </si>
  <si>
    <t>Ofaveolata003052</t>
  </si>
  <si>
    <t>glycine amidinotransferase</t>
  </si>
  <si>
    <t>Ofaveolata003421</t>
  </si>
  <si>
    <t>Ofaveolata003471</t>
  </si>
  <si>
    <t>Prolyl 4-hydroxylase alpha subunit homologues.</t>
  </si>
  <si>
    <t>Ofaveolata003633</t>
  </si>
  <si>
    <t>Ofaveolata004481</t>
  </si>
  <si>
    <t>somite specification</t>
  </si>
  <si>
    <t>Ofaveolata004775</t>
  </si>
  <si>
    <t>Ofaveolata005426</t>
  </si>
  <si>
    <t>Ofaveolata005490</t>
  </si>
  <si>
    <t>Ofaveolata005957</t>
  </si>
  <si>
    <t>Ofaveolata006265</t>
  </si>
  <si>
    <t>Ofaveolata006420</t>
  </si>
  <si>
    <t>Ofaveolata006804</t>
  </si>
  <si>
    <t>Zinc finger C-x8-C-x5-C-x3-H type (and similar)</t>
  </si>
  <si>
    <t>Ofaveolata007098</t>
  </si>
  <si>
    <t>negative regulation of appetite</t>
  </si>
  <si>
    <t>Ofaveolata007100</t>
  </si>
  <si>
    <t>CS domain</t>
  </si>
  <si>
    <t>Ofaveolata007801</t>
  </si>
  <si>
    <t>voltage-gated potassium channel activity</t>
  </si>
  <si>
    <t>Ofaveolata007885</t>
  </si>
  <si>
    <t>XIAP-associated factor 1-like</t>
  </si>
  <si>
    <t>Ofaveolata008567</t>
  </si>
  <si>
    <t>Ofaveolata010025</t>
  </si>
  <si>
    <t>Ofaveolata010180</t>
  </si>
  <si>
    <t>epithelial to mesenchymal transition</t>
  </si>
  <si>
    <t>Ofaveolata010629</t>
  </si>
  <si>
    <t>negative regulation of TOR signaling</t>
  </si>
  <si>
    <t>Ofaveolata010632</t>
  </si>
  <si>
    <t>Ofaveolata010677</t>
  </si>
  <si>
    <t>manganese ion transmembrane transporter activity</t>
  </si>
  <si>
    <t>Ofaveolata010814</t>
  </si>
  <si>
    <t>Glucose-induced degradation protein 8 homolog</t>
  </si>
  <si>
    <t>Ofaveolata010965</t>
  </si>
  <si>
    <t>isocitrate dehydrogenase (NADP+) activity</t>
  </si>
  <si>
    <t>Ofaveolata011068</t>
  </si>
  <si>
    <t>renal phosphate ion absorption</t>
  </si>
  <si>
    <t>Ofaveolata012288</t>
  </si>
  <si>
    <t>dipeptidase activity</t>
  </si>
  <si>
    <t>Ofaveolata012625</t>
  </si>
  <si>
    <t>regulation of cilium-dependent cell motility</t>
  </si>
  <si>
    <t>Ofaveolata012699</t>
  </si>
  <si>
    <t>Activating transcription factor</t>
  </si>
  <si>
    <t>Ofaveolata012865</t>
  </si>
  <si>
    <t>Ofaveolata013123</t>
  </si>
  <si>
    <t>integrin binding</t>
  </si>
  <si>
    <t>Ofaveolata013556</t>
  </si>
  <si>
    <t>steroid binding</t>
  </si>
  <si>
    <t>Ofaveolata013702</t>
  </si>
  <si>
    <t>Ofaveolata013939</t>
  </si>
  <si>
    <t>Ofaveolata014566</t>
  </si>
  <si>
    <t>Growth factor receptor-bound protein 2</t>
  </si>
  <si>
    <t>Ofaveolata014852</t>
  </si>
  <si>
    <t>IPT/TIG domain</t>
  </si>
  <si>
    <t>Ofaveolata016688</t>
  </si>
  <si>
    <t>Ofaveolata017815</t>
  </si>
  <si>
    <t>Ofaveolata021056</t>
  </si>
  <si>
    <t>actin monomer binding</t>
  </si>
  <si>
    <t>Ofaveolata021459</t>
  </si>
  <si>
    <t>negative regulation of superoxide anion generation</t>
  </si>
  <si>
    <t>Ofaveolata021556</t>
  </si>
  <si>
    <t>intracellular cholesterol transport</t>
  </si>
  <si>
    <t>Ofaveolata022506</t>
  </si>
  <si>
    <t>metalloendopeptidase activity</t>
  </si>
  <si>
    <t>Ofaveolata023061</t>
  </si>
  <si>
    <t>F-box LRR-repeat protein</t>
  </si>
  <si>
    <t>Ofaveolata023792</t>
  </si>
  <si>
    <t>Ofaveolata024216</t>
  </si>
  <si>
    <t>FKBP-type peptidyl-prolyl cis-trans isomerase</t>
  </si>
  <si>
    <t>Ofaveolata024540</t>
  </si>
  <si>
    <t>Ofaveolata024929</t>
  </si>
  <si>
    <t>Ofaveolata024963</t>
  </si>
  <si>
    <t>cysteine-type endopeptidase activity</t>
  </si>
  <si>
    <t>Ofaveolata025014</t>
  </si>
  <si>
    <t>Ofaveolata025050</t>
  </si>
  <si>
    <t>Ofaveolata025102</t>
  </si>
  <si>
    <t>cellular response to nitroglycerin</t>
  </si>
  <si>
    <t>Ofaveolata025818</t>
  </si>
  <si>
    <t>Ofaveolata026158</t>
  </si>
  <si>
    <t>Belongs to the glutathione peroxidase family</t>
  </si>
  <si>
    <t>Ofaveolata026309</t>
  </si>
  <si>
    <t>Ofaveolata027029</t>
  </si>
  <si>
    <t>Ofaveolata027834</t>
  </si>
  <si>
    <t>inhibin, beta A</t>
  </si>
  <si>
    <t>Ofaveolata027935</t>
  </si>
  <si>
    <t>Ofaveolata028780</t>
  </si>
  <si>
    <t>skeletal muscle satellite cell commitment</t>
  </si>
  <si>
    <t>Ofaveolata029087</t>
  </si>
  <si>
    <t>regulation of microtubule polymerization or depolymerization</t>
  </si>
  <si>
    <t>Ofaveolata029102</t>
  </si>
  <si>
    <t>Ofaveolata029193</t>
  </si>
  <si>
    <t>MAC/Perforin domain</t>
  </si>
  <si>
    <t>Ofaveolata029210</t>
  </si>
  <si>
    <t>Ofaveolata029693</t>
  </si>
  <si>
    <t>Ofaveolata029850</t>
  </si>
  <si>
    <t>Chromosome 1 open reading frame 53</t>
  </si>
  <si>
    <t>Ofaveolata030394</t>
  </si>
  <si>
    <t>Belongs to the aldehyde dehydrogenase family</t>
  </si>
  <si>
    <t>Ofaveolata031830</t>
  </si>
  <si>
    <t>Ofaveolata032446</t>
  </si>
  <si>
    <t>Ofaveolata033527</t>
  </si>
  <si>
    <t>Ofaveolata035096</t>
  </si>
  <si>
    <t>nucleotide diphosphatase activity</t>
  </si>
  <si>
    <t>Ofaveolata035809</t>
  </si>
  <si>
    <t>Ofaveolata036178</t>
  </si>
  <si>
    <t>Ofaveolata036262</t>
  </si>
  <si>
    <t>Ofaveolata036344</t>
  </si>
  <si>
    <t>Ofaveolata000012</t>
  </si>
  <si>
    <t>RNA polymerase II intronic transcription regulatory region sequence-specific DNA binding</t>
  </si>
  <si>
    <t>Ofaveolata000047</t>
  </si>
  <si>
    <t>Myosin, light chain 9b, regulatory</t>
  </si>
  <si>
    <t>Ofaveolata000050</t>
  </si>
  <si>
    <t>folate import across plasma membrane</t>
  </si>
  <si>
    <t>Ofaveolata000063</t>
  </si>
  <si>
    <t>Ofaveolata000091</t>
  </si>
  <si>
    <t>Ofaveolata000099</t>
  </si>
  <si>
    <t>Family with sequence similarity 154, member B</t>
  </si>
  <si>
    <t>Ofaveolata000107</t>
  </si>
  <si>
    <t>Ofaveolata000114</t>
  </si>
  <si>
    <t>Ofaveolata000125</t>
  </si>
  <si>
    <t>GDP binding</t>
  </si>
  <si>
    <t>Ofaveolata000128</t>
  </si>
  <si>
    <t>iron import into the mitochondrion</t>
  </si>
  <si>
    <t>Ofaveolata000142</t>
  </si>
  <si>
    <t>Ofaveolata000164</t>
  </si>
  <si>
    <t>Ofaveolata000189</t>
  </si>
  <si>
    <t>Ectonucleoside triphosphate diphosphohydrolase</t>
  </si>
  <si>
    <t>Ofaveolata000198</t>
  </si>
  <si>
    <t>dynein heavy chain binding</t>
  </si>
  <si>
    <t>Ofaveolata000199</t>
  </si>
  <si>
    <t>Ofaveolata000200</t>
  </si>
  <si>
    <t>Ofaveolata000201</t>
  </si>
  <si>
    <t>Ofaveolata000218</t>
  </si>
  <si>
    <t>RNA recognition motif. (a.k.a. RRM, RBD, or RNP domain)</t>
  </si>
  <si>
    <t>Ofaveolata000223</t>
  </si>
  <si>
    <t>Ofaveolata000230</t>
  </si>
  <si>
    <t>Ofaveolata000233</t>
  </si>
  <si>
    <t>Ofaveolata000249</t>
  </si>
  <si>
    <t>serine-type carboxypeptidase activity</t>
  </si>
  <si>
    <t>Ofaveolata000302</t>
  </si>
  <si>
    <t>Ofaveolata000304</t>
  </si>
  <si>
    <t>Phosphoethanolamine</t>
  </si>
  <si>
    <t>Ofaveolata000340</t>
  </si>
  <si>
    <t>UPF0704 protein C6orf165 homolog</t>
  </si>
  <si>
    <t>Ofaveolata000347</t>
  </si>
  <si>
    <t>regulation of translation involved in cellular response to UV</t>
  </si>
  <si>
    <t>Ofaveolata000356</t>
  </si>
  <si>
    <t>Ofaveolata000358</t>
  </si>
  <si>
    <t>actin binding</t>
  </si>
  <si>
    <t>Ofaveolata000368</t>
  </si>
  <si>
    <t>Ofaveolata000392</t>
  </si>
  <si>
    <t>NK6 homeobox 1</t>
  </si>
  <si>
    <t>Ofaveolata000407</t>
  </si>
  <si>
    <t>Ofaveolata000415</t>
  </si>
  <si>
    <t>Protein canopy homolog 4</t>
  </si>
  <si>
    <t>Ofaveolata000439</t>
  </si>
  <si>
    <t>Catenin (Cadherin-associated protein), alpha</t>
  </si>
  <si>
    <t>Ofaveolata000453</t>
  </si>
  <si>
    <t>Ofaveolata000475</t>
  </si>
  <si>
    <t>Transmembrane channel-like</t>
  </si>
  <si>
    <t>Ofaveolata000533</t>
  </si>
  <si>
    <t>Ofaveolata000578</t>
  </si>
  <si>
    <t>MFS/sugar transport protein</t>
  </si>
  <si>
    <t>Ofaveolata000604</t>
  </si>
  <si>
    <t>Galactose oxidase, central domain</t>
  </si>
  <si>
    <t>Ofaveolata000638</t>
  </si>
  <si>
    <t>CUB and zona pellucida-like domain-containing protein</t>
  </si>
  <si>
    <t>Ofaveolata000643</t>
  </si>
  <si>
    <t>Ofaveolata000649</t>
  </si>
  <si>
    <t>Ofaveolata000698</t>
  </si>
  <si>
    <t>Ofaveolata000708</t>
  </si>
  <si>
    <t>Ofaveolata000765</t>
  </si>
  <si>
    <t>6,7-dihydropteridine reductase activity</t>
  </si>
  <si>
    <t>Ofaveolata000774</t>
  </si>
  <si>
    <t>peptidyl-serine dephosphorylation</t>
  </si>
  <si>
    <t>Ofaveolata000778</t>
  </si>
  <si>
    <t>Ofaveolata000797</t>
  </si>
  <si>
    <t>L-cysteine:2-oxoglutarate aminotransferase activity</t>
  </si>
  <si>
    <t>Ofaveolata000815</t>
  </si>
  <si>
    <t>TELO2-interacting protein 1 homolog</t>
  </si>
  <si>
    <t>Ofaveolata000876</t>
  </si>
  <si>
    <t>Ofaveolata000919</t>
  </si>
  <si>
    <t>transmembrane protein 127</t>
  </si>
  <si>
    <t>Ofaveolata000928</t>
  </si>
  <si>
    <t>BTB POZ domain-containing protein</t>
  </si>
  <si>
    <t>Ofaveolata000973</t>
  </si>
  <si>
    <t>microtubule binding</t>
  </si>
  <si>
    <t>Ofaveolata000986</t>
  </si>
  <si>
    <t>Ofaveolata001010</t>
  </si>
  <si>
    <t>negative regulation of vascular smooth muscle contraction</t>
  </si>
  <si>
    <t>Ofaveolata001011</t>
  </si>
  <si>
    <t>Ofaveolata001052</t>
  </si>
  <si>
    <t>Ofaveolata001090</t>
  </si>
  <si>
    <t>Ofaveolata001091</t>
  </si>
  <si>
    <t>Ofaveolata001100</t>
  </si>
  <si>
    <t>TIA1 cytotoxic granule-associated RNA binding protein-like 1</t>
  </si>
  <si>
    <t>Ofaveolata001103</t>
  </si>
  <si>
    <t>Ofaveolata001106</t>
  </si>
  <si>
    <t>PWWP domain containing 2B</t>
  </si>
  <si>
    <t>Ofaveolata001111</t>
  </si>
  <si>
    <t>retinol dehydrogenase activity</t>
  </si>
  <si>
    <t>Ofaveolata001154</t>
  </si>
  <si>
    <t>Ubiquitin-like domain containing CTD phosphatase 1</t>
  </si>
  <si>
    <t>Ofaveolata001171</t>
  </si>
  <si>
    <t>plasma membrane repair</t>
  </si>
  <si>
    <t>Ofaveolata001197</t>
  </si>
  <si>
    <t>maturation of 5.8S rRNA from tricistronic rRNA transcript (SSU-rRNA, 5.8S rRNA, LSU-rRNA)</t>
  </si>
  <si>
    <t>Ofaveolata001227</t>
  </si>
  <si>
    <t>positive regulation of glomerular metanephric mesangial cell proliferation</t>
  </si>
  <si>
    <t>Ofaveolata001230</t>
  </si>
  <si>
    <t>Ofaveolata001253</t>
  </si>
  <si>
    <t>negative regulation of ERK1 and ERK2 cascade</t>
  </si>
  <si>
    <t>Ofaveolata001258</t>
  </si>
  <si>
    <t>homophilic cell adhesion via plasma membrane adhesion molecules</t>
  </si>
  <si>
    <t>Ofaveolata001260</t>
  </si>
  <si>
    <t>Ofaveolata001267</t>
  </si>
  <si>
    <t>Phosphatidylethanolamine-binding protein</t>
  </si>
  <si>
    <t>Ofaveolata001296</t>
  </si>
  <si>
    <t>Rab GTPase binding</t>
  </si>
  <si>
    <t>Ofaveolata001318</t>
  </si>
  <si>
    <t>Ofaveolata001321</t>
  </si>
  <si>
    <t>serine-type aminopeptidase activity</t>
  </si>
  <si>
    <t>Ofaveolata001337</t>
  </si>
  <si>
    <t>spermatogenesis</t>
  </si>
  <si>
    <t>Ofaveolata001345</t>
  </si>
  <si>
    <t>mannose-ethanolamine phosphotransferase activity</t>
  </si>
  <si>
    <t>Ofaveolata001357</t>
  </si>
  <si>
    <t>Ofaveolata001358</t>
  </si>
  <si>
    <t>Ofaveolata001359</t>
  </si>
  <si>
    <t>Ofaveolata001364</t>
  </si>
  <si>
    <t>Ofaveolata001369</t>
  </si>
  <si>
    <t>Ofaveolata001383</t>
  </si>
  <si>
    <t>Copper/zinc superoxide dismutase (SODC)</t>
  </si>
  <si>
    <t>Ofaveolata001384</t>
  </si>
  <si>
    <t>Ofaveolata001399</t>
  </si>
  <si>
    <t>Uncharacterized coiled-coil protein (DUF2353)</t>
  </si>
  <si>
    <t>Ofaveolata001400</t>
  </si>
  <si>
    <t>V-type proton ATPase subunit B</t>
  </si>
  <si>
    <t>Ofaveolata001406</t>
  </si>
  <si>
    <t>Ofaveolata001407</t>
  </si>
  <si>
    <t>Arsenite methyltransferase</t>
  </si>
  <si>
    <t>Ofaveolata001417</t>
  </si>
  <si>
    <t>Ofaveolata001421</t>
  </si>
  <si>
    <t>Retinoic acid induced 16-like protein</t>
  </si>
  <si>
    <t>Ofaveolata001427</t>
  </si>
  <si>
    <t>leucine-rich repeat serine threonine-protein kinase</t>
  </si>
  <si>
    <t>Ofaveolata001451</t>
  </si>
  <si>
    <t>Ofaveolata001468</t>
  </si>
  <si>
    <t>Ofaveolata001473</t>
  </si>
  <si>
    <t>acid phosphatase activity</t>
  </si>
  <si>
    <t>Ofaveolata001477</t>
  </si>
  <si>
    <t>stress-activated protein kinase signaling cascade</t>
  </si>
  <si>
    <t>Ofaveolata001493</t>
  </si>
  <si>
    <t>recycling endosome to Golgi transport</t>
  </si>
  <si>
    <t>Ofaveolata001509</t>
  </si>
  <si>
    <t>Potassium channel subfamily K member</t>
  </si>
  <si>
    <t>Ofaveolata001524</t>
  </si>
  <si>
    <t>Nipsnap homolog</t>
  </si>
  <si>
    <t>Ofaveolata001530</t>
  </si>
  <si>
    <t>Ofaveolata001543</t>
  </si>
  <si>
    <t>tryptophan 5-monooxygenase activity</t>
  </si>
  <si>
    <t>Ofaveolata001584</t>
  </si>
  <si>
    <t>Ofaveolata001597</t>
  </si>
  <si>
    <t>Ofaveolata001600</t>
  </si>
  <si>
    <t>BCCT, betaine/carnitine/choline family transporter</t>
  </si>
  <si>
    <t>Ofaveolata001602</t>
  </si>
  <si>
    <t>Ofaveolata001603</t>
  </si>
  <si>
    <t>Ofaveolata001616</t>
  </si>
  <si>
    <t>DOMON domain-containing protein</t>
  </si>
  <si>
    <t>Ofaveolata001621</t>
  </si>
  <si>
    <t>Ofaveolata001626</t>
  </si>
  <si>
    <t>H4K20me3 modified histone binding</t>
  </si>
  <si>
    <t>Ofaveolata001629</t>
  </si>
  <si>
    <t>type B pancreatic cell proliferation</t>
  </si>
  <si>
    <t>Ofaveolata001712</t>
  </si>
  <si>
    <t>Ofaveolata001720</t>
  </si>
  <si>
    <t>Ofaveolata001729</t>
  </si>
  <si>
    <t>Ofaveolata001746</t>
  </si>
  <si>
    <t>Ofaveolata001752</t>
  </si>
  <si>
    <t>adenosine kinase activity</t>
  </si>
  <si>
    <t>Ofaveolata001771</t>
  </si>
  <si>
    <t>2 iron, 2 sulfur cluster binding</t>
  </si>
  <si>
    <t>Ofaveolata001809</t>
  </si>
  <si>
    <t>Ofaveolata001813</t>
  </si>
  <si>
    <t>poly(A)-specific ribonuclease activity</t>
  </si>
  <si>
    <t>Ofaveolata001827</t>
  </si>
  <si>
    <t>heme binding</t>
  </si>
  <si>
    <t>Ofaveolata001837</t>
  </si>
  <si>
    <t>Ofaveolata001844</t>
  </si>
  <si>
    <t>acetyl-CoA</t>
  </si>
  <si>
    <t>Ofaveolata001849</t>
  </si>
  <si>
    <t>Ofaveolata001856</t>
  </si>
  <si>
    <t>Ofaveolata001861</t>
  </si>
  <si>
    <t>PRELI domain-containing protein 2</t>
  </si>
  <si>
    <t>Ofaveolata001919</t>
  </si>
  <si>
    <t>Occurs in almost all aerobically respiring organisms and serves to protect cells from the toxic effects of hydrogen peroxide</t>
  </si>
  <si>
    <t>Ofaveolata001923</t>
  </si>
  <si>
    <t>Ofaveolata001933</t>
  </si>
  <si>
    <t>Ofaveolata001934</t>
  </si>
  <si>
    <t>Ofaveolata001946</t>
  </si>
  <si>
    <t>calcium ion homeostasis</t>
  </si>
  <si>
    <t>Ofaveolata001955</t>
  </si>
  <si>
    <t>deoxyribose-phosphate aldolase activity</t>
  </si>
  <si>
    <t>Ofaveolata001962</t>
  </si>
  <si>
    <t>Ofaveolata001979</t>
  </si>
  <si>
    <t>Ofaveolata002148</t>
  </si>
  <si>
    <t>Ofaveolata002149</t>
  </si>
  <si>
    <t>Ofaveolata002180</t>
  </si>
  <si>
    <t>histone acetyltransferase activity</t>
  </si>
  <si>
    <t>Ofaveolata002186</t>
  </si>
  <si>
    <t>Belongs to the sodium neurotransmitter symporter (SNF) (TC 2.A.22) family</t>
  </si>
  <si>
    <t>Ofaveolata002188</t>
  </si>
  <si>
    <t>Ofaveolata002203</t>
  </si>
  <si>
    <t>spliceosomal snRNP assembly</t>
  </si>
  <si>
    <t>Ofaveolata002236</t>
  </si>
  <si>
    <t>26S proteasome non-ATPase regulatory subunit</t>
  </si>
  <si>
    <t>Ofaveolata002238</t>
  </si>
  <si>
    <t>Ofaveolata002241</t>
  </si>
  <si>
    <t>Ofaveolata002269</t>
  </si>
  <si>
    <t>Putative zinc-finger domain</t>
  </si>
  <si>
    <t>Ofaveolata002275</t>
  </si>
  <si>
    <t>Ofaveolata002278</t>
  </si>
  <si>
    <t>Ofaveolata002293</t>
  </si>
  <si>
    <t>positive regulation of Golgi to plasma membrane protein transport</t>
  </si>
  <si>
    <t>Ofaveolata002294</t>
  </si>
  <si>
    <t>arginine transport</t>
  </si>
  <si>
    <t>Ofaveolata002297</t>
  </si>
  <si>
    <t>ATP synthesis coupled proton transport</t>
  </si>
  <si>
    <t>Ofaveolata002314</t>
  </si>
  <si>
    <t>positive regulation of neural precursor cell proliferation</t>
  </si>
  <si>
    <t>Ofaveolata002328</t>
  </si>
  <si>
    <t>Ofaveolata002330</t>
  </si>
  <si>
    <t>Ofaveolata002351</t>
  </si>
  <si>
    <t>Ofaveolata002355</t>
  </si>
  <si>
    <t>Adp-ribosylation factor</t>
  </si>
  <si>
    <t>Ofaveolata002357</t>
  </si>
  <si>
    <t>acidic dipeptidase</t>
  </si>
  <si>
    <t>Ofaveolata002359</t>
  </si>
  <si>
    <t>Family of unknown function (DUF572)</t>
  </si>
  <si>
    <t>Ofaveolata002362</t>
  </si>
  <si>
    <t>brassinosteroid metabolic process</t>
  </si>
  <si>
    <t>Ofaveolata002363</t>
  </si>
  <si>
    <t>Haloacid dehalogenase-like hydrolase</t>
  </si>
  <si>
    <t>Ofaveolata002385</t>
  </si>
  <si>
    <t>Ofaveolata002391</t>
  </si>
  <si>
    <t>cyclin-dependent protein serine/threonine kinase inhibitor activity</t>
  </si>
  <si>
    <t>Ofaveolata002402</t>
  </si>
  <si>
    <t>Ofaveolata002433</t>
  </si>
  <si>
    <t>Chondroitin sulfate synthase</t>
  </si>
  <si>
    <t>Ofaveolata002442</t>
  </si>
  <si>
    <t>Ofaveolata002455</t>
  </si>
  <si>
    <t>cytoskeletal anchoring at plasma membrane</t>
  </si>
  <si>
    <t>Ofaveolata002456</t>
  </si>
  <si>
    <t>Ofaveolata002461</t>
  </si>
  <si>
    <t>ephrin receptor binding</t>
  </si>
  <si>
    <t>Ofaveolata002477</t>
  </si>
  <si>
    <t>Ofaveolata002482</t>
  </si>
  <si>
    <t>Ofaveolata002484</t>
  </si>
  <si>
    <t>Ribosomal protein L4</t>
  </si>
  <si>
    <t>Ofaveolata002486</t>
  </si>
  <si>
    <t>Ofaveolata002487</t>
  </si>
  <si>
    <t>Ofaveolata002490</t>
  </si>
  <si>
    <t>cell-substrate adherens junction assembly</t>
  </si>
  <si>
    <t>Ofaveolata002503</t>
  </si>
  <si>
    <t>chitin binding</t>
  </si>
  <si>
    <t>Ofaveolata002519</t>
  </si>
  <si>
    <t>mesenchymal-epithelial cell signaling involved in prostate gland development</t>
  </si>
  <si>
    <t>Ofaveolata002528</t>
  </si>
  <si>
    <t>Ofaveolata002535</t>
  </si>
  <si>
    <t>Ofaveolata002538</t>
  </si>
  <si>
    <t>Ofaveolata002545</t>
  </si>
  <si>
    <t>Ofaveolata002554</t>
  </si>
  <si>
    <t>Guanidinoacetate N-methyltransferase</t>
  </si>
  <si>
    <t>Ofaveolata002556</t>
  </si>
  <si>
    <t>dihydrofolate reductase activity</t>
  </si>
  <si>
    <t>Ofaveolata002557</t>
  </si>
  <si>
    <t>regulation of peroxisome size</t>
  </si>
  <si>
    <t>Ofaveolata002559</t>
  </si>
  <si>
    <t>Ankyrin repeat</t>
  </si>
  <si>
    <t>Ofaveolata002590</t>
  </si>
  <si>
    <t>mannosyl-oligosaccharide 1,3-1,6-alpha-mannosidase activity</t>
  </si>
  <si>
    <t>Ofaveolata002598</t>
  </si>
  <si>
    <t>regulation of inclusion body assembly</t>
  </si>
  <si>
    <t>Ofaveolata002604</t>
  </si>
  <si>
    <t>Ofaveolata002609</t>
  </si>
  <si>
    <t>Ofaveolata002628</t>
  </si>
  <si>
    <t>structural constituent of ribosome</t>
  </si>
  <si>
    <t>Ofaveolata002636</t>
  </si>
  <si>
    <t>O-phospho-L-serine:2-oxoglutarate aminotransferase activity</t>
  </si>
  <si>
    <t>Ofaveolata002643</t>
  </si>
  <si>
    <t>Ral GTPase binding</t>
  </si>
  <si>
    <t>Ofaveolata002648</t>
  </si>
  <si>
    <t>Prostaglandin G H synthase</t>
  </si>
  <si>
    <t>Ofaveolata002651</t>
  </si>
  <si>
    <t>Ofaveolata002657</t>
  </si>
  <si>
    <t>Ofaveolata002676</t>
  </si>
  <si>
    <t>Ofaveolata002691</t>
  </si>
  <si>
    <t>threonine-type endopeptidase activity</t>
  </si>
  <si>
    <t>Ofaveolata002767</t>
  </si>
  <si>
    <t>Ofaveolata002768</t>
  </si>
  <si>
    <t>Ofaveolata002778</t>
  </si>
  <si>
    <t>positive regulation of skeletal muscle acetylcholine-gated channel clustering</t>
  </si>
  <si>
    <t>Ofaveolata002793</t>
  </si>
  <si>
    <t>Ofaveolata002801</t>
  </si>
  <si>
    <t>regulation of alternative mRNA splicing, via spliceosome</t>
  </si>
  <si>
    <t>Ofaveolata002804</t>
  </si>
  <si>
    <t>Ofaveolata002806</t>
  </si>
  <si>
    <t>Ofaveolata002807</t>
  </si>
  <si>
    <t>Interferon-induced transmembrane protein</t>
  </si>
  <si>
    <t>Ofaveolata002818</t>
  </si>
  <si>
    <t>Ofaveolata002823</t>
  </si>
  <si>
    <t>Ofaveolata002832</t>
  </si>
  <si>
    <t>sphingosine N-acyltransferase activity</t>
  </si>
  <si>
    <t>Ofaveolata002833</t>
  </si>
  <si>
    <t>Sulfide quinone</t>
  </si>
  <si>
    <t>Ofaveolata002839</t>
  </si>
  <si>
    <t>SCP / Tpx-1 / Ag5 / PR-1 / Sc7 family of extracellular domains.</t>
  </si>
  <si>
    <t>Ofaveolata002854</t>
  </si>
  <si>
    <t>glutathione hydrolase activity</t>
  </si>
  <si>
    <t>Ofaveolata002890</t>
  </si>
  <si>
    <t>protein-glutamine gamma-glutamyltransferase activity</t>
  </si>
  <si>
    <t>Ofaveolata002891</t>
  </si>
  <si>
    <t>phytanoyl-CoA dioxygenase activity</t>
  </si>
  <si>
    <t>Ofaveolata002934</t>
  </si>
  <si>
    <t>Ofaveolata002950</t>
  </si>
  <si>
    <t>Enoyl-(Acyl carrier protein) reductase</t>
  </si>
  <si>
    <t>Ofaveolata002958</t>
  </si>
  <si>
    <t>Ofaveolata002967</t>
  </si>
  <si>
    <t>Heat shock 70 kDa protein 14</t>
  </si>
  <si>
    <t>Ofaveolata002971</t>
  </si>
  <si>
    <t>phosphatase 6 catalytic subunit</t>
  </si>
  <si>
    <t>Ofaveolata002990</t>
  </si>
  <si>
    <t>positive regulation of microtubule binding</t>
  </si>
  <si>
    <t>Ofaveolata003011</t>
  </si>
  <si>
    <t>Ofaveolata003030</t>
  </si>
  <si>
    <t>mothers against decapentaplegic homolog</t>
  </si>
  <si>
    <t>Ofaveolata003053</t>
  </si>
  <si>
    <t>Ofaveolata003056</t>
  </si>
  <si>
    <t>RNA polymerase II proximal promoter sequence-specific DNA binding</t>
  </si>
  <si>
    <t>Ofaveolata003061</t>
  </si>
  <si>
    <t>guanine deaminase activity</t>
  </si>
  <si>
    <t>Ofaveolata003063</t>
  </si>
  <si>
    <t>pyruvate kinase activity</t>
  </si>
  <si>
    <t>Ofaveolata003113</t>
  </si>
  <si>
    <t>aspartic endopeptidase activity, intramembrane cleaving</t>
  </si>
  <si>
    <t>Ofaveolata003114</t>
  </si>
  <si>
    <t>nuclear-transcribed mRNA catabolic process</t>
  </si>
  <si>
    <t>Ofaveolata003116</t>
  </si>
  <si>
    <t>1-phosphatidylinositol-4-phosphate 5-kinase activity</t>
  </si>
  <si>
    <t>Ofaveolata003120</t>
  </si>
  <si>
    <t>Ofaveolata003122</t>
  </si>
  <si>
    <t>peptide-methionine (S)-S-oxide reductase activity</t>
  </si>
  <si>
    <t>Ofaveolata003136</t>
  </si>
  <si>
    <t>Ofaveolata003157</t>
  </si>
  <si>
    <t>ciliary basal body organization</t>
  </si>
  <si>
    <t>Ofaveolata003159</t>
  </si>
  <si>
    <t>Ofaveolata003161</t>
  </si>
  <si>
    <t>Ofaveolata003174</t>
  </si>
  <si>
    <t>Ofaveolata003188</t>
  </si>
  <si>
    <t>RNA binding</t>
  </si>
  <si>
    <t>Ofaveolata003190</t>
  </si>
  <si>
    <t>Ofaveolata003191</t>
  </si>
  <si>
    <t>proteasome-activating ATPase activity</t>
  </si>
  <si>
    <t>Ofaveolata003193</t>
  </si>
  <si>
    <t>imaginal disc-derived wing hair outgrowth</t>
  </si>
  <si>
    <t>Ofaveolata003231</t>
  </si>
  <si>
    <t>Ofaveolata003267</t>
  </si>
  <si>
    <t>Ofaveolata003285</t>
  </si>
  <si>
    <t>response to cobalt ion</t>
  </si>
  <si>
    <t>Ofaveolata003288</t>
  </si>
  <si>
    <t>Ofaveolata003293</t>
  </si>
  <si>
    <t>Myeloid leukemia factor 1</t>
  </si>
  <si>
    <t>Ofaveolata003294</t>
  </si>
  <si>
    <t>Ofaveolata003302</t>
  </si>
  <si>
    <t>Ofaveolata003303</t>
  </si>
  <si>
    <t>prostaglandin-F synthase activity</t>
  </si>
  <si>
    <t>Ofaveolata003304</t>
  </si>
  <si>
    <t>EF-hand domain family, member</t>
  </si>
  <si>
    <t>Ofaveolata003306</t>
  </si>
  <si>
    <t>Ofaveolata003309</t>
  </si>
  <si>
    <t>eukaryotic translation initiation factor</t>
  </si>
  <si>
    <t>Ofaveolata003354</t>
  </si>
  <si>
    <t>Adds the first Dol-P-Man derived mannose in an alpha-1,3 linkage to Man(5)GlcNAc(2)-PP-Dol</t>
  </si>
  <si>
    <t>Ofaveolata003365</t>
  </si>
  <si>
    <t>cytochrome P450</t>
  </si>
  <si>
    <t>Ofaveolata003373</t>
  </si>
  <si>
    <t>Ofaveolata003375</t>
  </si>
  <si>
    <t>Ofaveolata003377</t>
  </si>
  <si>
    <t>Ofaveolata003392</t>
  </si>
  <si>
    <t>UDP-glucose 6-dehydrogenase activity</t>
  </si>
  <si>
    <t>Ofaveolata003411</t>
  </si>
  <si>
    <t>Ofaveolata003418</t>
  </si>
  <si>
    <t>Ofaveolata003439</t>
  </si>
  <si>
    <t>Ofaveolata003504</t>
  </si>
  <si>
    <t>Ofaveolata003517</t>
  </si>
  <si>
    <t>Ofaveolata003523</t>
  </si>
  <si>
    <t>Ofaveolata003527</t>
  </si>
  <si>
    <t>UDP-GlcNAc betaGal beta-1,3-N-acetylglucosaminyltransferase 5</t>
  </si>
  <si>
    <t>Ofaveolata003547</t>
  </si>
  <si>
    <t>ATP10 protein</t>
  </si>
  <si>
    <t>Ofaveolata003567</t>
  </si>
  <si>
    <t>Ofaveolata003593</t>
  </si>
  <si>
    <t>procollagen-lysine 5-dioxygenase activity</t>
  </si>
  <si>
    <t>Ofaveolata003599</t>
  </si>
  <si>
    <t>Ofaveolata003606</t>
  </si>
  <si>
    <t>cellular copper ion homeostasis</t>
  </si>
  <si>
    <t>Ofaveolata003609</t>
  </si>
  <si>
    <t>IMP dehydrogenase activity</t>
  </si>
  <si>
    <t>Ofaveolata003611</t>
  </si>
  <si>
    <t>Signal recognition particle receptor</t>
  </si>
  <si>
    <t>Ofaveolata003649</t>
  </si>
  <si>
    <t>Ofaveolata003685</t>
  </si>
  <si>
    <t>Ofaveolata003688</t>
  </si>
  <si>
    <t>OTU domain-containing protein 3</t>
  </si>
  <si>
    <t>Ofaveolata003705</t>
  </si>
  <si>
    <t>Concanavalin A-like lectin/glucanases superfamily</t>
  </si>
  <si>
    <t>Ofaveolata003719</t>
  </si>
  <si>
    <t>Ofaveolata003729</t>
  </si>
  <si>
    <t>Ofaveolata003747</t>
  </si>
  <si>
    <t>Cytochrome P450, family 46, subfamily A, polypeptide</t>
  </si>
  <si>
    <t>Ofaveolata003756</t>
  </si>
  <si>
    <t>Ofaveolata003761</t>
  </si>
  <si>
    <t>methylenetetrahydrofolate reductase (NAD(P)H) activity</t>
  </si>
  <si>
    <t>Ofaveolata003777</t>
  </si>
  <si>
    <t>Cytosolic acyl coenzyme A thioester</t>
  </si>
  <si>
    <t>Ofaveolata003863</t>
  </si>
  <si>
    <t>protein polyubiquitination</t>
  </si>
  <si>
    <t>Ofaveolata003903</t>
  </si>
  <si>
    <t>Calcium-binding protein</t>
  </si>
  <si>
    <t>Ofaveolata003906</t>
  </si>
  <si>
    <t>Ofaveolata003907</t>
  </si>
  <si>
    <t>Ofaveolata003933</t>
  </si>
  <si>
    <t>galactosylceramide sulfotransferase activity</t>
  </si>
  <si>
    <t>Ofaveolata004008</t>
  </si>
  <si>
    <t>Ofaveolata004095</t>
  </si>
  <si>
    <t>Ofaveolata004097</t>
  </si>
  <si>
    <t>ceramide 1-phosphate binding</t>
  </si>
  <si>
    <t>Ofaveolata004098</t>
  </si>
  <si>
    <t>erythroblast transformation specific domain</t>
  </si>
  <si>
    <t>Ofaveolata004101</t>
  </si>
  <si>
    <t>oxoglutarate:malate antiporter activity</t>
  </si>
  <si>
    <t>Ofaveolata004104</t>
  </si>
  <si>
    <t>Ofaveolata004196</t>
  </si>
  <si>
    <t>Ofaveolata004233</t>
  </si>
  <si>
    <t>Ofaveolata004235</t>
  </si>
  <si>
    <t>Ribosomal protein L20</t>
  </si>
  <si>
    <t>Ofaveolata004236</t>
  </si>
  <si>
    <t>RNA recognition motif</t>
  </si>
  <si>
    <t>Ofaveolata004240</t>
  </si>
  <si>
    <t>Ofaveolata004244</t>
  </si>
  <si>
    <t>Ofaveolata004257</t>
  </si>
  <si>
    <t>Ofaveolata004273</t>
  </si>
  <si>
    <t>ATPase activity</t>
  </si>
  <si>
    <t>Ofaveolata004280</t>
  </si>
  <si>
    <t>Ofaveolata004348</t>
  </si>
  <si>
    <t>Ofaveolata004375</t>
  </si>
  <si>
    <t>Olfactomedin-like</t>
  </si>
  <si>
    <t>Ofaveolata004384</t>
  </si>
  <si>
    <t>spermine synthase</t>
  </si>
  <si>
    <t>Ofaveolata004414</t>
  </si>
  <si>
    <t>5'-deoxyribose-5-phosphate lyase activity</t>
  </si>
  <si>
    <t>Ofaveolata004435</t>
  </si>
  <si>
    <t>acetyl-CoA C-acetyltransferase activity</t>
  </si>
  <si>
    <t>Ofaveolata004449</t>
  </si>
  <si>
    <t>Ofaveolata004450</t>
  </si>
  <si>
    <t>Ofaveolata004457</t>
  </si>
  <si>
    <t>platelet-activating factor acetyltransferase activity</t>
  </si>
  <si>
    <t>Ofaveolata004462</t>
  </si>
  <si>
    <t>ammonium transmembrane transporter activity</t>
  </si>
  <si>
    <t>Ofaveolata004466</t>
  </si>
  <si>
    <t>Leukocyte cysteine proteinase inhibitor 1-like</t>
  </si>
  <si>
    <t>Ofaveolata004468</t>
  </si>
  <si>
    <t>ligase activity</t>
  </si>
  <si>
    <t>Ofaveolata004470</t>
  </si>
  <si>
    <t>GXGXG motif</t>
  </si>
  <si>
    <t>Ofaveolata004479</t>
  </si>
  <si>
    <t>mycophenolic acid acyl-glucuronide esterase activity</t>
  </si>
  <si>
    <t>Ofaveolata004483</t>
  </si>
  <si>
    <t>Ofaveolata004499</t>
  </si>
  <si>
    <t>Ofaveolata004503</t>
  </si>
  <si>
    <t>Methyltransferase domain</t>
  </si>
  <si>
    <t>Ofaveolata004510</t>
  </si>
  <si>
    <t>Ofaveolata004526</t>
  </si>
  <si>
    <t>Vault protein inter-alpha-trypsin domain</t>
  </si>
  <si>
    <t>Ofaveolata004536</t>
  </si>
  <si>
    <t>BAG family molecular chaperone regulator 3</t>
  </si>
  <si>
    <t>Ofaveolata004552</t>
  </si>
  <si>
    <t>Ofaveolata004557</t>
  </si>
  <si>
    <t>Ofaveolata004606</t>
  </si>
  <si>
    <t>positive regulation of CD8-positive, alpha-beta T cell differentiation</t>
  </si>
  <si>
    <t>Ofaveolata004610</t>
  </si>
  <si>
    <t>ribosomal large subunit assembly</t>
  </si>
  <si>
    <t>Ofaveolata004629</t>
  </si>
  <si>
    <t>Ofaveolata004630</t>
  </si>
  <si>
    <t>microtubule motor activity</t>
  </si>
  <si>
    <t>Ofaveolata004639</t>
  </si>
  <si>
    <t>Brefeldin A-inhibited guanine nucleotide-exchange protein</t>
  </si>
  <si>
    <t>Ofaveolata004714</t>
  </si>
  <si>
    <t>Disintegrin and metalloproteinase domain-containing protein</t>
  </si>
  <si>
    <t>Ofaveolata004759</t>
  </si>
  <si>
    <t>Ofaveolata004770</t>
  </si>
  <si>
    <t>ribosomal protein</t>
  </si>
  <si>
    <t>Ofaveolata004795</t>
  </si>
  <si>
    <t>Cyclin-dependent kinase 8 isoform X1</t>
  </si>
  <si>
    <t>Ofaveolata004812</t>
  </si>
  <si>
    <t>Ofaveolata004849</t>
  </si>
  <si>
    <t>1-acylglycerophosphocholine O-acyltransferase activity</t>
  </si>
  <si>
    <t>Ofaveolata004855</t>
  </si>
  <si>
    <t>Ofaveolata004858</t>
  </si>
  <si>
    <t>Ofaveolata004868</t>
  </si>
  <si>
    <t>positive regulation of phosphorylation of RNA polymerase II C-terminal domain</t>
  </si>
  <si>
    <t>Ofaveolata004872</t>
  </si>
  <si>
    <t>Ofaveolata004880</t>
  </si>
  <si>
    <t>Ofaveolata004894</t>
  </si>
  <si>
    <t>Ofaveolata004899</t>
  </si>
  <si>
    <t>translocon-associated protein</t>
  </si>
  <si>
    <t>Ofaveolata004900</t>
  </si>
  <si>
    <t>H3K27me3 modified histone binding</t>
  </si>
  <si>
    <t>Ofaveolata004908</t>
  </si>
  <si>
    <t>aldonic acid metabolic process</t>
  </si>
  <si>
    <t>Ofaveolata004924</t>
  </si>
  <si>
    <t>posttranslational protein targeting to endoplasmic reticulum membrane</t>
  </si>
  <si>
    <t>Ofaveolata004948</t>
  </si>
  <si>
    <t>Belongs to the TPP enzyme family</t>
  </si>
  <si>
    <t>Ofaveolata004950</t>
  </si>
  <si>
    <t>Ofaveolata004976</t>
  </si>
  <si>
    <t>Peroxisomal biogenesis factor 14</t>
  </si>
  <si>
    <t>Ofaveolata004998</t>
  </si>
  <si>
    <t>Domain of unknown function (DUF4572)</t>
  </si>
  <si>
    <t>Ofaveolata005006</t>
  </si>
  <si>
    <t>fibroblast growth factor binding</t>
  </si>
  <si>
    <t>Ofaveolata005008</t>
  </si>
  <si>
    <t>Ofaveolata005025</t>
  </si>
  <si>
    <t>Ofaveolata005037</t>
  </si>
  <si>
    <t>Ofaveolata005040</t>
  </si>
  <si>
    <t>Ofaveolata005041</t>
  </si>
  <si>
    <t>cell surface receptor signaling pathway</t>
  </si>
  <si>
    <t>Ofaveolata005074</t>
  </si>
  <si>
    <t>EF-hand domain pair</t>
  </si>
  <si>
    <t>Ofaveolata005136</t>
  </si>
  <si>
    <t>Ofaveolata005171</t>
  </si>
  <si>
    <t>Ofaveolata005172</t>
  </si>
  <si>
    <t>iodide peroxidase activity</t>
  </si>
  <si>
    <t>Ofaveolata005175</t>
  </si>
  <si>
    <t>May play a role in anchoring the cytoskeleton to the plasma membrane</t>
  </si>
  <si>
    <t>Ofaveolata005176</t>
  </si>
  <si>
    <t>Ofaveolata005242</t>
  </si>
  <si>
    <t>posttranslational protein targeting to membrane, translocation</t>
  </si>
  <si>
    <t>Ofaveolata005245</t>
  </si>
  <si>
    <t>pyrroline-5-carboxylate reductase activity</t>
  </si>
  <si>
    <t>Ofaveolata005246</t>
  </si>
  <si>
    <t>PEST proteolytic signal containing nuclear protein</t>
  </si>
  <si>
    <t>Ofaveolata005249</t>
  </si>
  <si>
    <t>cilium assembly</t>
  </si>
  <si>
    <t>Ofaveolata005254</t>
  </si>
  <si>
    <t>ornithine carbamoyltransferase activity</t>
  </si>
  <si>
    <t>Ofaveolata005257</t>
  </si>
  <si>
    <t>mitochondrial pyruvate transmembrane transport</t>
  </si>
  <si>
    <t>Ofaveolata005270</t>
  </si>
  <si>
    <t>transporter activity</t>
  </si>
  <si>
    <t>Ofaveolata005284</t>
  </si>
  <si>
    <t>Ofaveolata005285</t>
  </si>
  <si>
    <t>Lysine-specific metallo-endopeptidase</t>
  </si>
  <si>
    <t>Ofaveolata005300</t>
  </si>
  <si>
    <t>Belongs to the universal ribosomal protein uL13 family</t>
  </si>
  <si>
    <t>Ofaveolata005306</t>
  </si>
  <si>
    <t>Ofaveolata005316</t>
  </si>
  <si>
    <t>Ofaveolata005342</t>
  </si>
  <si>
    <t>poly(A) RNA polymerase</t>
  </si>
  <si>
    <t>Ofaveolata005359</t>
  </si>
  <si>
    <t>motor activity</t>
  </si>
  <si>
    <t>Ofaveolata005368</t>
  </si>
  <si>
    <t>coagulation factor V</t>
  </si>
  <si>
    <t>Ofaveolata005393</t>
  </si>
  <si>
    <t>Ofaveolata005430</t>
  </si>
  <si>
    <t>neuronal signal transduction</t>
  </si>
  <si>
    <t>Ofaveolata005433</t>
  </si>
  <si>
    <t>Chromosome 5 open reading frame 63</t>
  </si>
  <si>
    <t>Ofaveolata005450</t>
  </si>
  <si>
    <t>Ofaveolata005466</t>
  </si>
  <si>
    <t>Ofaveolata005474</t>
  </si>
  <si>
    <t>Ofaveolata005476</t>
  </si>
  <si>
    <t>Ofaveolata005492</t>
  </si>
  <si>
    <t>negative regulation of meiotic chromosome separation</t>
  </si>
  <si>
    <t>Ofaveolata005495</t>
  </si>
  <si>
    <t>Ofaveolata005504</t>
  </si>
  <si>
    <t>DNA polymerase zeta catalytic subunit</t>
  </si>
  <si>
    <t>Ofaveolata005521</t>
  </si>
  <si>
    <t>Ofaveolata005525</t>
  </si>
  <si>
    <t>Ofaveolata005583</t>
  </si>
  <si>
    <t>Ofaveolata005586</t>
  </si>
  <si>
    <t>Belongs to the eukaryotic ribosomal protein eS4 family</t>
  </si>
  <si>
    <t>Ofaveolata005592</t>
  </si>
  <si>
    <t>mitochondrial respiratory chain complex I assembly</t>
  </si>
  <si>
    <t>Ofaveolata005618</t>
  </si>
  <si>
    <t>Golgi to endosome transport</t>
  </si>
  <si>
    <t>Ofaveolata005635</t>
  </si>
  <si>
    <t>ENTH domain</t>
  </si>
  <si>
    <t>Ofaveolata005640</t>
  </si>
  <si>
    <t>Ofaveolata005644</t>
  </si>
  <si>
    <t>Ofaveolata005653</t>
  </si>
  <si>
    <t>nucleoside:sodium symporter activity</t>
  </si>
  <si>
    <t>Ofaveolata005659</t>
  </si>
  <si>
    <t>glutathione S-transferase</t>
  </si>
  <si>
    <t>Ofaveolata005678</t>
  </si>
  <si>
    <t>DnaJ (Hsp40) homolog, subfamily C, member 8</t>
  </si>
  <si>
    <t>Ofaveolata005679</t>
  </si>
  <si>
    <t>Ofaveolata005692</t>
  </si>
  <si>
    <t>establishment of Sertoli cell barrier</t>
  </si>
  <si>
    <t>Ofaveolata005699</t>
  </si>
  <si>
    <t>ion channel binding</t>
  </si>
  <si>
    <t>Ofaveolata005715</t>
  </si>
  <si>
    <t>protein kinase activity</t>
  </si>
  <si>
    <t>Ofaveolata005719</t>
  </si>
  <si>
    <t>Ofaveolata005725</t>
  </si>
  <si>
    <t>Ofaveolata005792</t>
  </si>
  <si>
    <t>UTP:glucose-1-phosphate uridylyltransferase activity</t>
  </si>
  <si>
    <t>Ofaveolata005802</t>
  </si>
  <si>
    <t>N-glycan processing to lysosome</t>
  </si>
  <si>
    <t>Ofaveolata005803</t>
  </si>
  <si>
    <t>ERAD pathway</t>
  </si>
  <si>
    <t>Ofaveolata005806</t>
  </si>
  <si>
    <t>serine-pyruvate transaminase activity</t>
  </si>
  <si>
    <t>Ofaveolata005875</t>
  </si>
  <si>
    <t>sphingolipid delta-4 desaturase activity</t>
  </si>
  <si>
    <t>Ofaveolata005894</t>
  </si>
  <si>
    <t>Ofaveolata005903</t>
  </si>
  <si>
    <t>found in Wnt-1</t>
  </si>
  <si>
    <t>Ofaveolata005906</t>
  </si>
  <si>
    <t>Ofaveolata005909</t>
  </si>
  <si>
    <t>Ofaveolata005912</t>
  </si>
  <si>
    <t>negative regulation of inclusion body assembly</t>
  </si>
  <si>
    <t>Ofaveolata005935</t>
  </si>
  <si>
    <t>Ofaveolata005937</t>
  </si>
  <si>
    <t>Ofaveolata005951</t>
  </si>
  <si>
    <t>Ofaveolata005953</t>
  </si>
  <si>
    <t>1, mitochondrial</t>
  </si>
  <si>
    <t>Ofaveolata005963</t>
  </si>
  <si>
    <t>Zinc-dependent metalloprotease</t>
  </si>
  <si>
    <t>Ofaveolata005986</t>
  </si>
  <si>
    <t>4-alpha-hydroxytetrahydrobiopterin dehydratase activity</t>
  </si>
  <si>
    <t>Ofaveolata006009</t>
  </si>
  <si>
    <t>Ofaveolata006015</t>
  </si>
  <si>
    <t>Ofaveolata006054</t>
  </si>
  <si>
    <t>Belongs to the Ca(2 ) cation antiporter (CaCA) (TC 2.A.19) family</t>
  </si>
  <si>
    <t>Ofaveolata006098</t>
  </si>
  <si>
    <t>Ofaveolata006116</t>
  </si>
  <si>
    <t>Ofaveolata006128</t>
  </si>
  <si>
    <t>ARF-like small GTPases; ARF, ADP-ribosylation factor</t>
  </si>
  <si>
    <t>Ofaveolata006152</t>
  </si>
  <si>
    <t>glycogen phosphorylase activity</t>
  </si>
  <si>
    <t>Ofaveolata006157</t>
  </si>
  <si>
    <t>Ofaveolata006196</t>
  </si>
  <si>
    <t>Ribosomal protein L30p/L7e</t>
  </si>
  <si>
    <t>Ofaveolata006205</t>
  </si>
  <si>
    <t>zinc ion transport</t>
  </si>
  <si>
    <t>Ofaveolata006213</t>
  </si>
  <si>
    <t>CRT-like, chloroquine-resistance transporter-like</t>
  </si>
  <si>
    <t>Ofaveolata006215</t>
  </si>
  <si>
    <t>Ofaveolata006216</t>
  </si>
  <si>
    <t>Ofaveolata006235</t>
  </si>
  <si>
    <t>Ofaveolata006246</t>
  </si>
  <si>
    <t>Ofaveolata006248</t>
  </si>
  <si>
    <t>Ofaveolata006251</t>
  </si>
  <si>
    <t>G-protein coupled receptor signaling pathway</t>
  </si>
  <si>
    <t>Ofaveolata006266</t>
  </si>
  <si>
    <t>ATPase activator activity</t>
  </si>
  <si>
    <t>Ofaveolata006283</t>
  </si>
  <si>
    <t>Ofaveolata006291</t>
  </si>
  <si>
    <t>Belongs to the syntaxin family</t>
  </si>
  <si>
    <t>Ofaveolata006299</t>
  </si>
  <si>
    <t>Ofaveolata006300</t>
  </si>
  <si>
    <t>Ofaveolata006321</t>
  </si>
  <si>
    <t>Ofaveolata006325</t>
  </si>
  <si>
    <t>maltose alpha-glucosidase activity</t>
  </si>
  <si>
    <t>Ofaveolata006360</t>
  </si>
  <si>
    <t>translation elongation factor activity</t>
  </si>
  <si>
    <t>Ofaveolata006361</t>
  </si>
  <si>
    <t>tRNA (guanine) methyltransferase activity</t>
  </si>
  <si>
    <t>Ofaveolata006373</t>
  </si>
  <si>
    <t>Ofaveolata006427</t>
  </si>
  <si>
    <t>Ofaveolata006451</t>
  </si>
  <si>
    <t>leucine rich repeat containing 6</t>
  </si>
  <si>
    <t>Ofaveolata006460</t>
  </si>
  <si>
    <t>Ofaveolata006465</t>
  </si>
  <si>
    <t>acyl carnitine transmembrane transport</t>
  </si>
  <si>
    <t>Ofaveolata006471</t>
  </si>
  <si>
    <t>calcium-independent protein kinase C activity</t>
  </si>
  <si>
    <t>Ofaveolata006473</t>
  </si>
  <si>
    <t>Ofaveolata006506</t>
  </si>
  <si>
    <t>Ofaveolata006518</t>
  </si>
  <si>
    <t>Belongs to the eukaryotic ribosomal protein eS30 family</t>
  </si>
  <si>
    <t>Ofaveolata006525</t>
  </si>
  <si>
    <t>Ofaveolata006526</t>
  </si>
  <si>
    <t>cleavage involved in rRNA processing</t>
  </si>
  <si>
    <t>Ofaveolata006539</t>
  </si>
  <si>
    <t>calcium-dependent cysteine-type endopeptidase activity</t>
  </si>
  <si>
    <t>Ofaveolata006540</t>
  </si>
  <si>
    <t>RNA splicing, via transesterification reactions with bulged adenosine as nucleophile</t>
  </si>
  <si>
    <t>Ofaveolata006564</t>
  </si>
  <si>
    <t>Ofaveolata006576</t>
  </si>
  <si>
    <t>response to corticosterone</t>
  </si>
  <si>
    <t>Ofaveolata006607</t>
  </si>
  <si>
    <t>Acid trehalase-like</t>
  </si>
  <si>
    <t>Ofaveolata006678</t>
  </si>
  <si>
    <t>Ankyrin repeat and SOCS</t>
  </si>
  <si>
    <t>Ofaveolata006693</t>
  </si>
  <si>
    <t>ubiquitin</t>
  </si>
  <si>
    <t>Ofaveolata006694</t>
  </si>
  <si>
    <t>Ofaveolata006741</t>
  </si>
  <si>
    <t>Ofaveolata006745</t>
  </si>
  <si>
    <t>Ofaveolata006807</t>
  </si>
  <si>
    <t>Ofaveolata006828</t>
  </si>
  <si>
    <t>Ofaveolata006978</t>
  </si>
  <si>
    <t>Ofaveolata006980</t>
  </si>
  <si>
    <t>It is involved in the biological process described with protein catabolic process</t>
  </si>
  <si>
    <t>Ofaveolata007023</t>
  </si>
  <si>
    <t>Ofaveolata007024</t>
  </si>
  <si>
    <t>Ofaveolata007026</t>
  </si>
  <si>
    <t>Ofaveolata007066</t>
  </si>
  <si>
    <t>E3 ubiquitin-protein ligase RNF216</t>
  </si>
  <si>
    <t>Ofaveolata007094</t>
  </si>
  <si>
    <t>Ofaveolata007107</t>
  </si>
  <si>
    <t>GTP binding</t>
  </si>
  <si>
    <t>Ofaveolata007138</t>
  </si>
  <si>
    <t>mRNA 5'-splice site recognition</t>
  </si>
  <si>
    <t>Ofaveolata007166</t>
  </si>
  <si>
    <t>Adhesion-associated domain present in MUC4 and other proteins</t>
  </si>
  <si>
    <t>Ofaveolata007200</t>
  </si>
  <si>
    <t>Papain family cysteine protease</t>
  </si>
  <si>
    <t>Ofaveolata007210</t>
  </si>
  <si>
    <t>Putative zinc finger in N-recognin (UBR box)</t>
  </si>
  <si>
    <t>Ofaveolata007221</t>
  </si>
  <si>
    <t>Ofaveolata007232</t>
  </si>
  <si>
    <t>DR1-associated protein 1 (negative cofactor 2 alpha)</t>
  </si>
  <si>
    <t>Ofaveolata007240</t>
  </si>
  <si>
    <t>Ofaveolata007273</t>
  </si>
  <si>
    <t>Ofaveolata007289</t>
  </si>
  <si>
    <t>Ofaveolata007299</t>
  </si>
  <si>
    <t>Ofaveolata007303</t>
  </si>
  <si>
    <t>Bifunctional enzyme that catalyzes the enolization of 2,3-diketo-5-methylthiopentyl-1-phosphate (DK-MTP-1-P) into the intermediate 2-hydroxy-3-keto-5-methylthiopentenyl-1-phosphate (HK-MTPenyl-1-P), which is then dephosphorylated to form the acireductone 1,2-dihydroxy-3-keto-5-methylthiopentene (DHK- MTPene)</t>
  </si>
  <si>
    <t>Ofaveolata007348</t>
  </si>
  <si>
    <t>Ofaveolata007382</t>
  </si>
  <si>
    <t>Ofaveolata007418</t>
  </si>
  <si>
    <t>translation</t>
  </si>
  <si>
    <t>Ofaveolata007439</t>
  </si>
  <si>
    <t>Domain Homologous to E6-AP Carboxyl Terminus with</t>
  </si>
  <si>
    <t>Ofaveolata007462</t>
  </si>
  <si>
    <t>Ofaveolata007463</t>
  </si>
  <si>
    <t>Ofaveolata007471</t>
  </si>
  <si>
    <t>structural constituent of eye lens</t>
  </si>
  <si>
    <t>Ofaveolata007484</t>
  </si>
  <si>
    <t>intracellular chloride channel activity</t>
  </si>
  <si>
    <t>Ofaveolata007485</t>
  </si>
  <si>
    <t>steroid hormone receptor activity</t>
  </si>
  <si>
    <t>Ofaveolata007491</t>
  </si>
  <si>
    <t>hydrolase activity, acting on ester bonds</t>
  </si>
  <si>
    <t>Ofaveolata007495</t>
  </si>
  <si>
    <t>Belongs to the small heat shock protein (HSP20) family</t>
  </si>
  <si>
    <t>Ofaveolata007501</t>
  </si>
  <si>
    <t>calmodulin-dependent protein kinase activity</t>
  </si>
  <si>
    <t>Ofaveolata007532</t>
  </si>
  <si>
    <t>Ofaveolata007542</t>
  </si>
  <si>
    <t>Ofaveolata007545</t>
  </si>
  <si>
    <t>tyrosinase</t>
  </si>
  <si>
    <t>Ofaveolata007592</t>
  </si>
  <si>
    <t>Thiolase, C-terminal domain</t>
  </si>
  <si>
    <t>Ofaveolata007615</t>
  </si>
  <si>
    <t>Ofaveolata007621</t>
  </si>
  <si>
    <t>Ofaveolata007679</t>
  </si>
  <si>
    <t>mRNA CDS binding</t>
  </si>
  <si>
    <t>Ofaveolata007725</t>
  </si>
  <si>
    <t>Ofaveolata007753</t>
  </si>
  <si>
    <t>Spondin 2b, extracellular matrix protein</t>
  </si>
  <si>
    <t>Ofaveolata007756</t>
  </si>
  <si>
    <t>Ofaveolata007767</t>
  </si>
  <si>
    <t>Ofaveolata007769</t>
  </si>
  <si>
    <t>protein ADP-ribosylase activity</t>
  </si>
  <si>
    <t>Ofaveolata007773</t>
  </si>
  <si>
    <t>Ofaveolata007785</t>
  </si>
  <si>
    <t>acyl-CoA oxidase activity</t>
  </si>
  <si>
    <t>Ofaveolata007786</t>
  </si>
  <si>
    <t>Ofaveolata007829</t>
  </si>
  <si>
    <t>Ofaveolata007841</t>
  </si>
  <si>
    <t>proteasome assembly</t>
  </si>
  <si>
    <t>Ofaveolata007848</t>
  </si>
  <si>
    <t>stress-induced-phosphoprotein 1</t>
  </si>
  <si>
    <t>Ofaveolata007849</t>
  </si>
  <si>
    <t>Ofaveolata007865</t>
  </si>
  <si>
    <t>Ofaveolata007873</t>
  </si>
  <si>
    <t>Ofaveolata007890</t>
  </si>
  <si>
    <t>Ofaveolata007895</t>
  </si>
  <si>
    <t>Ofaveolata007905</t>
  </si>
  <si>
    <t>arginase activity</t>
  </si>
  <si>
    <t>Ofaveolata007939</t>
  </si>
  <si>
    <t>serine C-palmitoyltransferase activity</t>
  </si>
  <si>
    <t>Ofaveolata007941</t>
  </si>
  <si>
    <t>Ofaveolata007952</t>
  </si>
  <si>
    <t>Cell growth regulator with RING finger domain</t>
  </si>
  <si>
    <t>Ofaveolata007957</t>
  </si>
  <si>
    <t>serum response element binding</t>
  </si>
  <si>
    <t>Ofaveolata008015</t>
  </si>
  <si>
    <t>regulation of T cell differentiation in thymus</t>
  </si>
  <si>
    <t>Ofaveolata008026</t>
  </si>
  <si>
    <t>inhibitory protein 1</t>
  </si>
  <si>
    <t>Ofaveolata008031</t>
  </si>
  <si>
    <t>ribonuclease T2 activity</t>
  </si>
  <si>
    <t>Ofaveolata008045</t>
  </si>
  <si>
    <t>Ofaveolata008051</t>
  </si>
  <si>
    <t>TAF6-like RNA polymerase II, p300 CBP-associated</t>
  </si>
  <si>
    <t>Ofaveolata008052</t>
  </si>
  <si>
    <t>pyruvate carboxylase activity</t>
  </si>
  <si>
    <t>Ofaveolata008088</t>
  </si>
  <si>
    <t>methylated histone binding</t>
  </si>
  <si>
    <t>Ofaveolata008101</t>
  </si>
  <si>
    <t>Ofaveolata008102</t>
  </si>
  <si>
    <t>Ofaveolata008115</t>
  </si>
  <si>
    <t>prolyl-tRNA synthetase associated domain-containing protein</t>
  </si>
  <si>
    <t>Ofaveolata008116</t>
  </si>
  <si>
    <t>Initiation factor</t>
  </si>
  <si>
    <t>Ofaveolata008179</t>
  </si>
  <si>
    <t>Ofaveolata008204</t>
  </si>
  <si>
    <t>acireductone dioxygenase [iron(II)-requiring] activity</t>
  </si>
  <si>
    <t>Ofaveolata008207</t>
  </si>
  <si>
    <t>FMN binding</t>
  </si>
  <si>
    <t>Ofaveolata008234</t>
  </si>
  <si>
    <t>Ras-related GTP-binding protein</t>
  </si>
  <si>
    <t>Ofaveolata008266</t>
  </si>
  <si>
    <t>Ofaveolata008270</t>
  </si>
  <si>
    <t>Ofaveolata008331</t>
  </si>
  <si>
    <t>Structural maintenance of chromosomes flexible hinge</t>
  </si>
  <si>
    <t>Ofaveolata008332</t>
  </si>
  <si>
    <t>Ofaveolata008341</t>
  </si>
  <si>
    <t>Belongs to the universal ribosomal protein uL5 family</t>
  </si>
  <si>
    <t>Ofaveolata008349</t>
  </si>
  <si>
    <t>Ofaveolata008350</t>
  </si>
  <si>
    <t>Dual specificity protein kinase</t>
  </si>
  <si>
    <t>Ofaveolata008351</t>
  </si>
  <si>
    <t>39S ribosomal protein L53/MRP-L53</t>
  </si>
  <si>
    <t>Ofaveolata008370</t>
  </si>
  <si>
    <t>Ofaveolata008416</t>
  </si>
  <si>
    <t>Enoyl-CoA hydratase/isomerase</t>
  </si>
  <si>
    <t>Ofaveolata008417</t>
  </si>
  <si>
    <t>occurring C-terminal to leucine-rich repeats</t>
  </si>
  <si>
    <t>Ofaveolata008431</t>
  </si>
  <si>
    <t>transcription by RNA polymerase I</t>
  </si>
  <si>
    <t>Ofaveolata008437</t>
  </si>
  <si>
    <t>symporter activity</t>
  </si>
  <si>
    <t>Ofaveolata008459</t>
  </si>
  <si>
    <t>Ofaveolata008471</t>
  </si>
  <si>
    <t>Poly (ADP-ribose) polymerase</t>
  </si>
  <si>
    <t>Ofaveolata008482</t>
  </si>
  <si>
    <t>positive regulation of interleukin-13 biosynthetic process</t>
  </si>
  <si>
    <t>Ofaveolata008486</t>
  </si>
  <si>
    <t>retrograde transport, endosome to plasma membrane</t>
  </si>
  <si>
    <t>Ofaveolata008487</t>
  </si>
  <si>
    <t>Ofaveolata008509</t>
  </si>
  <si>
    <t>elongation of very long chain fatty acids protein</t>
  </si>
  <si>
    <t>Ofaveolata008513</t>
  </si>
  <si>
    <t>translocation of peptides or proteins into host cell cytoplasm</t>
  </si>
  <si>
    <t>Ofaveolata008769</t>
  </si>
  <si>
    <t>Ofaveolata008780</t>
  </si>
  <si>
    <t>Ofaveolata008781</t>
  </si>
  <si>
    <t>AP-5 complex subunit sigma-1</t>
  </si>
  <si>
    <t>Ofaveolata008792</t>
  </si>
  <si>
    <t>Ofaveolata008802</t>
  </si>
  <si>
    <t>inorganic diphosphatase activity</t>
  </si>
  <si>
    <t>Ofaveolata008828</t>
  </si>
  <si>
    <t>Ofaveolata008961</t>
  </si>
  <si>
    <t>Ofaveolata008980</t>
  </si>
  <si>
    <t>Ofaveolata008993</t>
  </si>
  <si>
    <t>endoribonuclease activity</t>
  </si>
  <si>
    <t>Ofaveolata009007</t>
  </si>
  <si>
    <t>smooth muscle cell chemotaxis</t>
  </si>
  <si>
    <t>Ofaveolata009012</t>
  </si>
  <si>
    <t>Ofaveolata009031</t>
  </si>
  <si>
    <t>endoplasmic reticulum-plasma membrane tethering</t>
  </si>
  <si>
    <t>Ofaveolata009037</t>
  </si>
  <si>
    <t>Pleckstrin homology domain.</t>
  </si>
  <si>
    <t>Ofaveolata009082</t>
  </si>
  <si>
    <t>acetylcholine-gated cation-selective channel activity</t>
  </si>
  <si>
    <t>Ofaveolata009112</t>
  </si>
  <si>
    <t>protein tyrosine/serine/threonine phosphatase activity</t>
  </si>
  <si>
    <t>Ofaveolata009166</t>
  </si>
  <si>
    <t>Ofaveolata009174</t>
  </si>
  <si>
    <t>Ofaveolata009212</t>
  </si>
  <si>
    <t>Ofaveolata009234</t>
  </si>
  <si>
    <t>Wnt-activated receptor activity</t>
  </si>
  <si>
    <t>Ofaveolata009240</t>
  </si>
  <si>
    <t>Ofaveolata009242</t>
  </si>
  <si>
    <t>mismatch repair</t>
  </si>
  <si>
    <t>Ofaveolata009254</t>
  </si>
  <si>
    <t>Mindbomb E3 ubiquitin protein ligase 2</t>
  </si>
  <si>
    <t>Ofaveolata009309</t>
  </si>
  <si>
    <t>Ofaveolata009324</t>
  </si>
  <si>
    <t>ribosome biogenesis</t>
  </si>
  <si>
    <t>Ofaveolata009351</t>
  </si>
  <si>
    <t>Ofaveolata009358</t>
  </si>
  <si>
    <t>Inositol polyphosphate multikinase</t>
  </si>
  <si>
    <t>Ofaveolata009363</t>
  </si>
  <si>
    <t>Ofaveolata009368</t>
  </si>
  <si>
    <t>Ofaveolata009381</t>
  </si>
  <si>
    <t>pumilio homolog</t>
  </si>
  <si>
    <t>Ofaveolata009444</t>
  </si>
  <si>
    <t>potassium:chloride symporter activity</t>
  </si>
  <si>
    <t>Ofaveolata009578</t>
  </si>
  <si>
    <t>Ofaveolata009584</t>
  </si>
  <si>
    <t>Ofaveolata009587</t>
  </si>
  <si>
    <t>Ofaveolata009701</t>
  </si>
  <si>
    <t>Ofaveolata009708</t>
  </si>
  <si>
    <t>deoxyhypusine monooxygenase activity</t>
  </si>
  <si>
    <t>Ofaveolata009710</t>
  </si>
  <si>
    <t>Ofaveolata009737</t>
  </si>
  <si>
    <t>Ofaveolata009749</t>
  </si>
  <si>
    <t>Ofaveolata009761</t>
  </si>
  <si>
    <t>Belongs to the MIP aquaporin (TC 1.A.8) family</t>
  </si>
  <si>
    <t>Ofaveolata009778</t>
  </si>
  <si>
    <t>Ofaveolata009808</t>
  </si>
  <si>
    <t>ADP biosynthetic process</t>
  </si>
  <si>
    <t>Ofaveolata009837</t>
  </si>
  <si>
    <t>Ofaveolata009865</t>
  </si>
  <si>
    <t>Glycosyl hydrolase family 20, catalytic domain</t>
  </si>
  <si>
    <t>Ofaveolata009870</t>
  </si>
  <si>
    <t>Fatty acid desaturase</t>
  </si>
  <si>
    <t>Ofaveolata009906</t>
  </si>
  <si>
    <t>Signal-recognition-particle assembly has a crucial role in targeting secretory proteins to the rough endoplasmic reticulum membrane. SRP9 together with SRP14 and the Alu portion of the SRP RNA, constitutes the elongation arrest domain of SRP. The complex of SRP9 and SRP14 is required for SRP RNA binding</t>
  </si>
  <si>
    <t>Ofaveolata009928</t>
  </si>
  <si>
    <t>Ofaveolata009933</t>
  </si>
  <si>
    <t>Lys63-specific deubiquitinase activity</t>
  </si>
  <si>
    <t>Ofaveolata009967</t>
  </si>
  <si>
    <t>negative regulation of centrosome duplication</t>
  </si>
  <si>
    <t>Ofaveolata010039</t>
  </si>
  <si>
    <t>YTH domain family</t>
  </si>
  <si>
    <t>Ofaveolata010074</t>
  </si>
  <si>
    <t>lipid transport</t>
  </si>
  <si>
    <t>Ofaveolata010110</t>
  </si>
  <si>
    <t>Ofaveolata010112</t>
  </si>
  <si>
    <t>frizzled binding</t>
  </si>
  <si>
    <t>Ofaveolata010115</t>
  </si>
  <si>
    <t>Ofaveolata010118</t>
  </si>
  <si>
    <t>Anthrax toxin receptor</t>
  </si>
  <si>
    <t>Ofaveolata010119</t>
  </si>
  <si>
    <t>mitogen-activated protein kinase</t>
  </si>
  <si>
    <t>Ofaveolata010126</t>
  </si>
  <si>
    <t>enhancer sequence-specific DNA binding</t>
  </si>
  <si>
    <t>Ofaveolata010131</t>
  </si>
  <si>
    <t>Belongs to the short-chain dehydrogenases reductases (SDR) family</t>
  </si>
  <si>
    <t>Ofaveolata010138</t>
  </si>
  <si>
    <t>Ofaveolata010146</t>
  </si>
  <si>
    <t>Ofaveolata010164</t>
  </si>
  <si>
    <t>Ofaveolata010169</t>
  </si>
  <si>
    <t>dolichyl-phosphate-mannose-protein mannosyltransferase activity</t>
  </si>
  <si>
    <t>Ofaveolata010179</t>
  </si>
  <si>
    <t>E3 ubiquitin-protein ligase RNF181</t>
  </si>
  <si>
    <t>Ofaveolata010182</t>
  </si>
  <si>
    <t>Ofaveolata010188</t>
  </si>
  <si>
    <t>iron ion binding</t>
  </si>
  <si>
    <t>Ofaveolata010192</t>
  </si>
  <si>
    <t>Ofaveolata010194</t>
  </si>
  <si>
    <t>Marginal zone B and</t>
  </si>
  <si>
    <t>Ofaveolata010215</t>
  </si>
  <si>
    <t>BIR domain binding</t>
  </si>
  <si>
    <t>Ofaveolata010234</t>
  </si>
  <si>
    <t>negative regulation of bile acid biosynthetic process</t>
  </si>
  <si>
    <t>Ofaveolata010241</t>
  </si>
  <si>
    <t>MAM domain, meprin/A5/mu</t>
  </si>
  <si>
    <t>Ofaveolata010242</t>
  </si>
  <si>
    <t>Ofaveolata010262</t>
  </si>
  <si>
    <t>pyrophosphorylase 1</t>
  </si>
  <si>
    <t>Ofaveolata010263</t>
  </si>
  <si>
    <t>Ofaveolata010285</t>
  </si>
  <si>
    <t>pineal gland development</t>
  </si>
  <si>
    <t>Ofaveolata010286</t>
  </si>
  <si>
    <t>Ofaveolata010351</t>
  </si>
  <si>
    <t>protein KIAA2026 homolog</t>
  </si>
  <si>
    <t>Ofaveolata010356</t>
  </si>
  <si>
    <t>Required for the first step in the synthesis of diphthamide, a post-translational modification of histidine which occurs in translation elongation factor 2</t>
  </si>
  <si>
    <t>Ofaveolata010363</t>
  </si>
  <si>
    <t>Ofaveolata010364</t>
  </si>
  <si>
    <t>cerebellum vasculature morphogenesis</t>
  </si>
  <si>
    <t>Ofaveolata010378</t>
  </si>
  <si>
    <t>Ofaveolata010383</t>
  </si>
  <si>
    <t>6-phosphofructo-2-kinase activity</t>
  </si>
  <si>
    <t>Ofaveolata010401</t>
  </si>
  <si>
    <t>Ofaveolata010441</t>
  </si>
  <si>
    <t>regulation of protein catabolic process</t>
  </si>
  <si>
    <t>Ofaveolata010456</t>
  </si>
  <si>
    <t>Ofaveolata010556</t>
  </si>
  <si>
    <t>Ofaveolata010565</t>
  </si>
  <si>
    <t>Ofaveolata010569</t>
  </si>
  <si>
    <t>Ofaveolata010586</t>
  </si>
  <si>
    <t>Ofaveolata010588</t>
  </si>
  <si>
    <t>N-acetyl-beta-glucosaminyl-glycoprotein 4-beta-N-acetylgalactosaminyltransferase activity</t>
  </si>
  <si>
    <t>Ofaveolata010606</t>
  </si>
  <si>
    <t>N-acetyl-beta-D-galactosaminidase activity</t>
  </si>
  <si>
    <t>Ofaveolata010698</t>
  </si>
  <si>
    <t>Nuclear factor of kappa light polypeptide gene enhancer in B-cells 1</t>
  </si>
  <si>
    <t>Ofaveolata010708</t>
  </si>
  <si>
    <t>Ofaveolata010709</t>
  </si>
  <si>
    <t>Ofaveolata010718</t>
  </si>
  <si>
    <t>transmembrane protein 199</t>
  </si>
  <si>
    <t>Ofaveolata010782</t>
  </si>
  <si>
    <t>Ofaveolata010804</t>
  </si>
  <si>
    <t>negative regulation of non-canonical Wnt signaling pathway</t>
  </si>
  <si>
    <t>Ofaveolata010805</t>
  </si>
  <si>
    <t>Ofaveolata010815</t>
  </si>
  <si>
    <t>Ofaveolata010854</t>
  </si>
  <si>
    <t>Ofaveolata010855</t>
  </si>
  <si>
    <t>Ofaveolata010877</t>
  </si>
  <si>
    <t>Ofaveolata010878</t>
  </si>
  <si>
    <t>Splicing factor 3a, subunit 2</t>
  </si>
  <si>
    <t>Ofaveolata010880</t>
  </si>
  <si>
    <t>Belongs to the small GTPase superfamily. Arf family</t>
  </si>
  <si>
    <t>Ofaveolata010904</t>
  </si>
  <si>
    <t>Ofaveolata010907</t>
  </si>
  <si>
    <t>Ofaveolata010918</t>
  </si>
  <si>
    <t>L-gulonolactone oxidase-like</t>
  </si>
  <si>
    <t>Ofaveolata010921</t>
  </si>
  <si>
    <t>Ofaveolata010923</t>
  </si>
  <si>
    <t>Ofaveolata010960</t>
  </si>
  <si>
    <t>N-box binding</t>
  </si>
  <si>
    <t>Ofaveolata011061</t>
  </si>
  <si>
    <t>Ofaveolata011062</t>
  </si>
  <si>
    <t>acetyl-CoA C-acyltransferase activity</t>
  </si>
  <si>
    <t>Ofaveolata011071</t>
  </si>
  <si>
    <t>Glucan (1,4-alpha-), branching enzyme 1</t>
  </si>
  <si>
    <t>Ofaveolata011218</t>
  </si>
  <si>
    <t>Ofaveolata011227</t>
  </si>
  <si>
    <t>Ofaveolata011254</t>
  </si>
  <si>
    <t>Belongs to the eukaryotic ribosomal protein eS24 family</t>
  </si>
  <si>
    <t>Ofaveolata011260</t>
  </si>
  <si>
    <t>muscle alpha-actinin binding</t>
  </si>
  <si>
    <t>Ofaveolata011289</t>
  </si>
  <si>
    <t>Ofaveolata011295</t>
  </si>
  <si>
    <t>protein adenylyltransferase activity</t>
  </si>
  <si>
    <t>Ofaveolata011299</t>
  </si>
  <si>
    <t>cell separation after cytokinesis</t>
  </si>
  <si>
    <t>Ofaveolata011358</t>
  </si>
  <si>
    <t>Ofaveolata011361</t>
  </si>
  <si>
    <t>Ofaveolata011377</t>
  </si>
  <si>
    <t>heterogeneous nuclear ribonucleoprotein</t>
  </si>
  <si>
    <t>Ofaveolata011382</t>
  </si>
  <si>
    <t>positive regulation of DNA-binding transcription factor activity</t>
  </si>
  <si>
    <t>Ofaveolata011437</t>
  </si>
  <si>
    <t>Ofaveolata011442</t>
  </si>
  <si>
    <t>protein phosphatase inhibitor activity</t>
  </si>
  <si>
    <t>Ofaveolata011458</t>
  </si>
  <si>
    <t>Ofaveolata011485</t>
  </si>
  <si>
    <t>Ofaveolata011520</t>
  </si>
  <si>
    <t>GTPase activity</t>
  </si>
  <si>
    <t>Ofaveolata011523</t>
  </si>
  <si>
    <t>rRNA binding</t>
  </si>
  <si>
    <t>Ofaveolata011653</t>
  </si>
  <si>
    <t>Ofaveolata011669</t>
  </si>
  <si>
    <t>glycerol channel activity</t>
  </si>
  <si>
    <t>Ofaveolata011688</t>
  </si>
  <si>
    <t>Ofaveolata011693</t>
  </si>
  <si>
    <t>Ofaveolata011731</t>
  </si>
  <si>
    <t>Ofaveolata011785</t>
  </si>
  <si>
    <t>Ofaveolata011818</t>
  </si>
  <si>
    <t>Ofaveolata011874</t>
  </si>
  <si>
    <t>Ofaveolata011914</t>
  </si>
  <si>
    <t>Ofaveolata011968</t>
  </si>
  <si>
    <t>Ofaveolata012059</t>
  </si>
  <si>
    <t>Ofaveolata012065</t>
  </si>
  <si>
    <t>Ofaveolata012076</t>
  </si>
  <si>
    <t>Ofaveolata012100</t>
  </si>
  <si>
    <t>Ofaveolata012199</t>
  </si>
  <si>
    <t>Ofaveolata012264</t>
  </si>
  <si>
    <t>Ofaveolata012293</t>
  </si>
  <si>
    <t>Ofaveolata012317</t>
  </si>
  <si>
    <t>Belongs to the MT-A70-like family</t>
  </si>
  <si>
    <t>Ofaveolata012519</t>
  </si>
  <si>
    <t>Ofaveolata012526</t>
  </si>
  <si>
    <t>N,N-dimethylaniline monooxygenase activity</t>
  </si>
  <si>
    <t>Ofaveolata012650</t>
  </si>
  <si>
    <t>Ofaveolata012658</t>
  </si>
  <si>
    <t>SUMO conjugating enzyme activity</t>
  </si>
  <si>
    <t>Ofaveolata012672</t>
  </si>
  <si>
    <t>V-myc avian myelocytomatosis viral oncogene neuroblastoma derived homolog</t>
  </si>
  <si>
    <t>Ofaveolata012686</t>
  </si>
  <si>
    <t>Autophagy-related protein 13</t>
  </si>
  <si>
    <t>Ofaveolata012688</t>
  </si>
  <si>
    <t>Belongs to the universal ribosomal protein uS9 family</t>
  </si>
  <si>
    <t>Ofaveolata012706</t>
  </si>
  <si>
    <t>Ofaveolata012727</t>
  </si>
  <si>
    <t>Ofaveolata012736</t>
  </si>
  <si>
    <t>Ofaveolata012769</t>
  </si>
  <si>
    <t>General transcription factor IIH</t>
  </si>
  <si>
    <t>Ofaveolata012800</t>
  </si>
  <si>
    <t>Ofaveolata012816</t>
  </si>
  <si>
    <t>cysteine and glycine-rich protein</t>
  </si>
  <si>
    <t>Ofaveolata012817</t>
  </si>
  <si>
    <t>photoreceptor cell maintenance</t>
  </si>
  <si>
    <t>Ofaveolata012818</t>
  </si>
  <si>
    <t>hydrolase activity</t>
  </si>
  <si>
    <t>Ofaveolata012820</t>
  </si>
  <si>
    <t>Peptidyl-prolyl cis-trans isomerase</t>
  </si>
  <si>
    <t>Ofaveolata012821</t>
  </si>
  <si>
    <t>Ofaveolata012824</t>
  </si>
  <si>
    <t>regulation of podosome assembly</t>
  </si>
  <si>
    <t>Ofaveolata012830</t>
  </si>
  <si>
    <t>Ofaveolata012834</t>
  </si>
  <si>
    <t>Mab-21</t>
  </si>
  <si>
    <t>Ofaveolata012836</t>
  </si>
  <si>
    <t>Ofaveolata012838</t>
  </si>
  <si>
    <t>Ofaveolata012861</t>
  </si>
  <si>
    <t>chromatin binding</t>
  </si>
  <si>
    <t>Ofaveolata012866</t>
  </si>
  <si>
    <t>double-stranded RNA adenosine deaminase activity</t>
  </si>
  <si>
    <t>Ofaveolata012871</t>
  </si>
  <si>
    <t>Ofaveolata012906</t>
  </si>
  <si>
    <t>Involved in the maturation of specific proteins in the endoplasmic reticulum</t>
  </si>
  <si>
    <t>Ofaveolata012927</t>
  </si>
  <si>
    <t>Ofaveolata012943</t>
  </si>
  <si>
    <t>Ring finger protein</t>
  </si>
  <si>
    <t>Ofaveolata012944</t>
  </si>
  <si>
    <t>Ofaveolata013004</t>
  </si>
  <si>
    <t>Rieske-like [2Fe-2S] domain</t>
  </si>
  <si>
    <t>Ofaveolata013026</t>
  </si>
  <si>
    <t>Ofaveolata013027</t>
  </si>
  <si>
    <t>Ofaveolata013028</t>
  </si>
  <si>
    <t>Ofaveolata013039</t>
  </si>
  <si>
    <t>Ofaveolata013050</t>
  </si>
  <si>
    <t>adiponectin receptor</t>
  </si>
  <si>
    <t>Ofaveolata013053</t>
  </si>
  <si>
    <t>Solute carrier family 4, sodium bicarbonate transporter, member 10</t>
  </si>
  <si>
    <t>Ofaveolata013059</t>
  </si>
  <si>
    <t>Ran GTPase binding</t>
  </si>
  <si>
    <t>Ofaveolata013074</t>
  </si>
  <si>
    <t>intrinsic apoptotic signaling pathway in response to endoplasmic reticulum stress</t>
  </si>
  <si>
    <t>Ofaveolata013088</t>
  </si>
  <si>
    <t>Ofaveolata013097</t>
  </si>
  <si>
    <t>Activating molecule in BECN1-regulated autophagy protein</t>
  </si>
  <si>
    <t>Ofaveolata013102</t>
  </si>
  <si>
    <t>Ofaveolata013115</t>
  </si>
  <si>
    <t>Ofaveolata013116</t>
  </si>
  <si>
    <t>Ofaveolata013182</t>
  </si>
  <si>
    <t>Small nuclear ribonucleoprotein</t>
  </si>
  <si>
    <t>Ofaveolata013188</t>
  </si>
  <si>
    <t>NAD-dependent histone deacetylase activity (H4-K16 specific)</t>
  </si>
  <si>
    <t>Ofaveolata013196</t>
  </si>
  <si>
    <t>Toll-like receptor</t>
  </si>
  <si>
    <t>Ofaveolata013198</t>
  </si>
  <si>
    <t>regulation of response to stimulus</t>
  </si>
  <si>
    <t>Ofaveolata013246</t>
  </si>
  <si>
    <t>Ofaveolata013258</t>
  </si>
  <si>
    <t>Ofaveolata013305</t>
  </si>
  <si>
    <t>Putative cyclase</t>
  </si>
  <si>
    <t>Ofaveolata013340</t>
  </si>
  <si>
    <t>Ofaveolata013343</t>
  </si>
  <si>
    <t>Ofaveolata013390</t>
  </si>
  <si>
    <t>lens induction in camera-type eye</t>
  </si>
  <si>
    <t>Ofaveolata013399</t>
  </si>
  <si>
    <t>Ofaveolata013401</t>
  </si>
  <si>
    <t>Ofaveolata013408</t>
  </si>
  <si>
    <t>Ofaveolata013409</t>
  </si>
  <si>
    <t>Ofaveolata013410</t>
  </si>
  <si>
    <t>Ofaveolata013432</t>
  </si>
  <si>
    <t>Ofaveolata013441</t>
  </si>
  <si>
    <t>Isopentenyl-diphosphate</t>
  </si>
  <si>
    <t>Ofaveolata013447</t>
  </si>
  <si>
    <t>Ofaveolata013452</t>
  </si>
  <si>
    <t>Ofaveolata013458</t>
  </si>
  <si>
    <t>Ofaveolata013459</t>
  </si>
  <si>
    <t>actin filament severing</t>
  </si>
  <si>
    <t>Ofaveolata013471</t>
  </si>
  <si>
    <t>Glutathione S-transferase</t>
  </si>
  <si>
    <t>Ofaveolata013484</t>
  </si>
  <si>
    <t>identical protein binding</t>
  </si>
  <si>
    <t>Ofaveolata013489</t>
  </si>
  <si>
    <t>Transfers N-acetylgalactosamine (GalNAc) from UDP-GalNAc to N-acetylglucosamine-beta-benzyl with a beta-1,4-linkage to form N,N'-diacetyllactosediamine, GalNAc-beta-1,4-GlcNAc structures in N-linked glycans and probably O-linked glycans</t>
  </si>
  <si>
    <t>Ofaveolata013495</t>
  </si>
  <si>
    <t>protein-hormone receptor activity</t>
  </si>
  <si>
    <t>Ofaveolata013501</t>
  </si>
  <si>
    <t>Ofaveolata013505</t>
  </si>
  <si>
    <t>Ofaveolata013512</t>
  </si>
  <si>
    <t>positive regulation of testosterone secretion</t>
  </si>
  <si>
    <t>Ofaveolata013513</t>
  </si>
  <si>
    <t>xylosyltransferase activity</t>
  </si>
  <si>
    <t>Ofaveolata013518</t>
  </si>
  <si>
    <t>Neuronal PAS</t>
  </si>
  <si>
    <t>Ofaveolata013543</t>
  </si>
  <si>
    <t>Broad-Complex, Tramtrack and Bric a brac</t>
  </si>
  <si>
    <t>Ofaveolata013547</t>
  </si>
  <si>
    <t>signal recognition particle binding</t>
  </si>
  <si>
    <t>Ofaveolata013549</t>
  </si>
  <si>
    <t>Ofaveolata013555</t>
  </si>
  <si>
    <t>FMN transmembrane transporter activity</t>
  </si>
  <si>
    <t>Ofaveolata013565</t>
  </si>
  <si>
    <t>Ofaveolata013569</t>
  </si>
  <si>
    <t>complement activation, classical pathway</t>
  </si>
  <si>
    <t>Ofaveolata013580</t>
  </si>
  <si>
    <t>Mitochondrial import receptor subunit TOM22 homolog</t>
  </si>
  <si>
    <t>Ofaveolata013586</t>
  </si>
  <si>
    <t>Ofaveolata013593</t>
  </si>
  <si>
    <t>lipid A metabolic process</t>
  </si>
  <si>
    <t>Ofaveolata013615</t>
  </si>
  <si>
    <t>mitochondrial respiratory chain complex IV assembly</t>
  </si>
  <si>
    <t>Ofaveolata013633</t>
  </si>
  <si>
    <t>Ofaveolata013634</t>
  </si>
  <si>
    <t>Luc7-like protein 3</t>
  </si>
  <si>
    <t>Ofaveolata013651</t>
  </si>
  <si>
    <t>Mitochondrial membrane ATP synthase (F(1)F(0) ATP synthase or Complex V) produces ATP from ADP in the presence of a proton gradient across the membrane which is generated by electron transport complexes of the respiratory chain. F-type ATPases consist of two structural domains, F(1) - containing the extramembraneous catalytic core and F(0) - containing the membrane proton channel, linked together by a central stalk and a peripheral stalk. During catalysis, ATP synthesis in the catalytic domain of F(1) is coupled via a rotary mechanism of the central stalk subunits to proton translocation. Part of the complex F(0) domain and the peripheric stalk, which acts as a stator to hold the catalytic alpha(3)beta(3) subcomplex and subunit a ATP6 static relative to the rotary elements</t>
  </si>
  <si>
    <t>Ofaveolata013659</t>
  </si>
  <si>
    <t>Ofaveolata013665</t>
  </si>
  <si>
    <t>Ofaveolata013671</t>
  </si>
  <si>
    <t>Clusterin-associated protein 1</t>
  </si>
  <si>
    <t>Ofaveolata013685</t>
  </si>
  <si>
    <t>Ofaveolata013725</t>
  </si>
  <si>
    <t>Involved in intracellular signal transduction mediated by cytokines and growth factors. When associated with STAM, it suppresses DNA signaling upon stimulation by IL-2 and GM-CSF. Could be a direct effector of PI3-kinase in vesicular pathway via early endosomes and may regulate trafficking to early and late endosomes by recruiting clathrin. May concentrate ubiquitinated receptors within clathrin-coated regions. Involved in down- regulation of receptor tyrosine kinase via multivesicular body (MVBs) when complexed with STAM (ESCRT-0 complex). The ESCRT-0 complex binds ubiquitin and acts as sorting machinery that recognizes ubiquitinated receptors and transfers them to further sequential lysosomal sorting trafficking processes. May contribute to the efficient recruitment of SMADs to the activin receptor complex. Involved in receptor recycling via its association with the CART complex, a multiprotein complex required for efficient transferrin receptor recycling but not for EGFR degradation</t>
  </si>
  <si>
    <t>Ofaveolata013726</t>
  </si>
  <si>
    <t>regulation of glucose import</t>
  </si>
  <si>
    <t>Ofaveolata013758</t>
  </si>
  <si>
    <t>long-chain fatty acid catabolic process</t>
  </si>
  <si>
    <t>Ofaveolata013791</t>
  </si>
  <si>
    <t>Ofaveolata013794</t>
  </si>
  <si>
    <t>Ofaveolata013841</t>
  </si>
  <si>
    <t>DNA binding</t>
  </si>
  <si>
    <t>Ofaveolata013861</t>
  </si>
  <si>
    <t>RNA-binding protein Luc7-like</t>
  </si>
  <si>
    <t>Ofaveolata013866</t>
  </si>
  <si>
    <t>Ofaveolata013926</t>
  </si>
  <si>
    <t>Ofaveolata013934</t>
  </si>
  <si>
    <t>Ofaveolata013955</t>
  </si>
  <si>
    <t>SOCS box</t>
  </si>
  <si>
    <t>Ofaveolata013966</t>
  </si>
  <si>
    <t>Ofaveolata013974</t>
  </si>
  <si>
    <t>rRNA export from nucleus</t>
  </si>
  <si>
    <t>Ofaveolata013983</t>
  </si>
  <si>
    <t>Helicase associated domain (HA2) Add an annotation</t>
  </si>
  <si>
    <t>Ofaveolata013988</t>
  </si>
  <si>
    <t>Ofaveolata013990</t>
  </si>
  <si>
    <t>protein processing involved in protein targeting to mitochondrion</t>
  </si>
  <si>
    <t>Ofaveolata013991</t>
  </si>
  <si>
    <t>Ofaveolata013995</t>
  </si>
  <si>
    <t>actin filament bundle assembly</t>
  </si>
  <si>
    <t>Ofaveolata014006</t>
  </si>
  <si>
    <t>Histone H1-delta-like</t>
  </si>
  <si>
    <t>Ofaveolata014030</t>
  </si>
  <si>
    <t>Ofaveolata014033</t>
  </si>
  <si>
    <t>Ofaveolata014037</t>
  </si>
  <si>
    <t>mannosyl-glycoprotein endo-beta-N-acetylglucosaminidase activity</t>
  </si>
  <si>
    <t>Ofaveolata014042</t>
  </si>
  <si>
    <t>Ofaveolata014048</t>
  </si>
  <si>
    <t>respiratory chain complex III assembly</t>
  </si>
  <si>
    <t>Ofaveolata014052</t>
  </si>
  <si>
    <t>protein C16orf52 homolog</t>
  </si>
  <si>
    <t>Ofaveolata014085</t>
  </si>
  <si>
    <t>Ofaveolata014091</t>
  </si>
  <si>
    <t>Ofaveolata014115</t>
  </si>
  <si>
    <t>Component of the eukaryotic translation initiation factor 3 (eIF-3) complex, which is involved in protein synthesis and, together with other initiation factors, stimulates binding of mRNA and methionyl-tRNAi to the 40S ribosome</t>
  </si>
  <si>
    <t>Ofaveolata014132</t>
  </si>
  <si>
    <t>polycomb</t>
  </si>
  <si>
    <t>Ofaveolata014202</t>
  </si>
  <si>
    <t>Ofaveolata014247</t>
  </si>
  <si>
    <t>Ofaveolata014249</t>
  </si>
  <si>
    <t>DBH-like monooxygenase protein 1</t>
  </si>
  <si>
    <t>Ofaveolata014266</t>
  </si>
  <si>
    <t>ArfGAP with dual PH</t>
  </si>
  <si>
    <t>Ofaveolata014317</t>
  </si>
  <si>
    <t>belongs to the actin family</t>
  </si>
  <si>
    <t>Ofaveolata014337</t>
  </si>
  <si>
    <t>Ofaveolata014351</t>
  </si>
  <si>
    <t>D-erythro-sphingosine kinase activity</t>
  </si>
  <si>
    <t>Ofaveolata014376</t>
  </si>
  <si>
    <t>glycine biosynthetic process from serine</t>
  </si>
  <si>
    <t>Ofaveolata014380</t>
  </si>
  <si>
    <t>PHD finger-like domain-containing protein 5A</t>
  </si>
  <si>
    <t>Ofaveolata014387</t>
  </si>
  <si>
    <t>phosphatidylinositol transporter activity</t>
  </si>
  <si>
    <t>Ofaveolata014398</t>
  </si>
  <si>
    <t>Ofaveolata014408</t>
  </si>
  <si>
    <t>Ofaveolata014436</t>
  </si>
  <si>
    <t>inhibition of cysteine-type endopeptidase activity involved in apoptotic process</t>
  </si>
  <si>
    <t>Ofaveolata014437</t>
  </si>
  <si>
    <t>negative regulation of RIG-I signaling pathway</t>
  </si>
  <si>
    <t>Ofaveolata014442</t>
  </si>
  <si>
    <t>ubiquinone biosynthetic process</t>
  </si>
  <si>
    <t>Ofaveolata014453</t>
  </si>
  <si>
    <t>Lipoxygenase</t>
  </si>
  <si>
    <t>Ofaveolata014463</t>
  </si>
  <si>
    <t>ion transport</t>
  </si>
  <si>
    <t>Ofaveolata014473</t>
  </si>
  <si>
    <t>Ofaveolata014482</t>
  </si>
  <si>
    <t>protein glycosylation in Golgi</t>
  </si>
  <si>
    <t>Ofaveolata014495</t>
  </si>
  <si>
    <t>cytoplasmic translational termination</t>
  </si>
  <si>
    <t>Ofaveolata014499</t>
  </si>
  <si>
    <t>Domain of unknown function (DUF4588)</t>
  </si>
  <si>
    <t>Ofaveolata014500</t>
  </si>
  <si>
    <t>ribosomal protein L12</t>
  </si>
  <si>
    <t>Ofaveolata014546</t>
  </si>
  <si>
    <t>protein-cysteine S-acyltransferase activity</t>
  </si>
  <si>
    <t>Ofaveolata014557</t>
  </si>
  <si>
    <t>transferase activity</t>
  </si>
  <si>
    <t>Ofaveolata014567</t>
  </si>
  <si>
    <t>Ofaveolata014591</t>
  </si>
  <si>
    <t>Ofaveolata014620</t>
  </si>
  <si>
    <t>Endoplasmic reticulum to nucleus signaling</t>
  </si>
  <si>
    <t>Ofaveolata014631</t>
  </si>
  <si>
    <t>protein disulfide isomerase activity</t>
  </si>
  <si>
    <t>Ofaveolata014635</t>
  </si>
  <si>
    <t>intraciliary transport</t>
  </si>
  <si>
    <t>Ofaveolata014637</t>
  </si>
  <si>
    <t>tRNA-dihydrouridine(16 17) synthase NAD(P)( ) -like</t>
  </si>
  <si>
    <t>Ofaveolata014671</t>
  </si>
  <si>
    <t>WAP four-disulfide core domain</t>
  </si>
  <si>
    <t>Ofaveolata014691</t>
  </si>
  <si>
    <t>steroid hormone mediated signaling pathway</t>
  </si>
  <si>
    <t>Ofaveolata014692</t>
  </si>
  <si>
    <t>Ofaveolata014693</t>
  </si>
  <si>
    <t>Ofaveolata014694</t>
  </si>
  <si>
    <t>phosphomannomutase activity</t>
  </si>
  <si>
    <t>Ofaveolata014705</t>
  </si>
  <si>
    <t>Ofaveolata014718</t>
  </si>
  <si>
    <t>Nucleosome-remodeling factor subunit BPTF</t>
  </si>
  <si>
    <t>Ofaveolata014719</t>
  </si>
  <si>
    <t>Ofaveolata014728</t>
  </si>
  <si>
    <t>Ofaveolata014740</t>
  </si>
  <si>
    <t>Serine threonine-protein phosphatase</t>
  </si>
  <si>
    <t>Ofaveolata014743</t>
  </si>
  <si>
    <t>Ofaveolata014749</t>
  </si>
  <si>
    <t>Ofaveolata014771</t>
  </si>
  <si>
    <t>AP endonuclease family 2</t>
  </si>
  <si>
    <t>Ofaveolata014777</t>
  </si>
  <si>
    <t>Ofaveolata014778</t>
  </si>
  <si>
    <t>Ofaveolata014784</t>
  </si>
  <si>
    <t>positive regulation of synapse structural plasticity</t>
  </si>
  <si>
    <t>Ofaveolata014831</t>
  </si>
  <si>
    <t>calcium, potassium:sodium antiporter activity</t>
  </si>
  <si>
    <t>Ofaveolata014832</t>
  </si>
  <si>
    <t>Ofaveolata014836</t>
  </si>
  <si>
    <t>DNA-binding transcription factor activity, RNA polymerase II-specific</t>
  </si>
  <si>
    <t>Ofaveolata014858</t>
  </si>
  <si>
    <t>Ofaveolata014876</t>
  </si>
  <si>
    <t>Ofaveolata014878</t>
  </si>
  <si>
    <t>Inward rectifier potassium channel</t>
  </si>
  <si>
    <t>Ofaveolata014883</t>
  </si>
  <si>
    <t>Ofaveolata014903</t>
  </si>
  <si>
    <t>Ofaveolata014923</t>
  </si>
  <si>
    <t>pri-miRNA transcription by RNA polymerase II</t>
  </si>
  <si>
    <t>Ofaveolata014925</t>
  </si>
  <si>
    <t>Ofaveolata014947</t>
  </si>
  <si>
    <t>MFS_1 like family</t>
  </si>
  <si>
    <t>Ofaveolata014949</t>
  </si>
  <si>
    <t>Major facilitator superfamily domain-containing protein 6-like</t>
  </si>
  <si>
    <t>Ofaveolata014951</t>
  </si>
  <si>
    <t>L-asparagine biosynthetic process</t>
  </si>
  <si>
    <t>Ofaveolata014959</t>
  </si>
  <si>
    <t>ER overload response</t>
  </si>
  <si>
    <t>Ofaveolata014961</t>
  </si>
  <si>
    <t>Erythrocyte membrane protein band 4.1 like</t>
  </si>
  <si>
    <t>Ofaveolata014980</t>
  </si>
  <si>
    <t>Ofaveolata014984</t>
  </si>
  <si>
    <t>Ofaveolata015057</t>
  </si>
  <si>
    <t>Fibrillar collagens C-terminal domain</t>
  </si>
  <si>
    <t>Ofaveolata015059</t>
  </si>
  <si>
    <t>DNA replication origin binding</t>
  </si>
  <si>
    <t>Ofaveolata015070</t>
  </si>
  <si>
    <t>Chondroitin</t>
  </si>
  <si>
    <t>Ofaveolata015089</t>
  </si>
  <si>
    <t>Ofaveolata015145</t>
  </si>
  <si>
    <t>Ofaveolata015148</t>
  </si>
  <si>
    <t>Ofaveolata015170</t>
  </si>
  <si>
    <t>Ofaveolata015184</t>
  </si>
  <si>
    <t>recombination hotspot binding</t>
  </si>
  <si>
    <t>Ofaveolata015206</t>
  </si>
  <si>
    <t>Ofaveolata015208</t>
  </si>
  <si>
    <t>Ofaveolata015215</t>
  </si>
  <si>
    <t>Discs, large (Drosophila) homolog-associated protein</t>
  </si>
  <si>
    <t>Ofaveolata015221</t>
  </si>
  <si>
    <t>glucose:sodium symporter activity</t>
  </si>
  <si>
    <t>Ofaveolata015225</t>
  </si>
  <si>
    <t>Ofaveolata015227</t>
  </si>
  <si>
    <t>Ofaveolata015231</t>
  </si>
  <si>
    <t>Solute carrier family 35, member B1</t>
  </si>
  <si>
    <t>Ofaveolata015258</t>
  </si>
  <si>
    <t>protein import into mitochondrial intermembrane space</t>
  </si>
  <si>
    <t>Ofaveolata015263</t>
  </si>
  <si>
    <t>Ofaveolata015278</t>
  </si>
  <si>
    <t>fibroblast growth factor receptor binding</t>
  </si>
  <si>
    <t>Ofaveolata015291</t>
  </si>
  <si>
    <t>regulation of mitotic metaphase/anaphase transition</t>
  </si>
  <si>
    <t>Ofaveolata015296</t>
  </si>
  <si>
    <t>Ofaveolata015320</t>
  </si>
  <si>
    <t>ATP synthase subunit beta, mitochondrial</t>
  </si>
  <si>
    <t>Ofaveolata015394</t>
  </si>
  <si>
    <t>cyclin-dependent protein serine/threonine kinase activity</t>
  </si>
  <si>
    <t>Ofaveolata015403</t>
  </si>
  <si>
    <t>Carboxylesterase family</t>
  </si>
  <si>
    <t>Ofaveolata015421</t>
  </si>
  <si>
    <t>Belongs to the AAA ATPase family</t>
  </si>
  <si>
    <t>Ofaveolata015424</t>
  </si>
  <si>
    <t>Ofaveolata015425</t>
  </si>
  <si>
    <t>Mannose-6-phosphate receptor</t>
  </si>
  <si>
    <t>Ofaveolata015426</t>
  </si>
  <si>
    <t>Belongs to the D-isomer specific 2-hydroxyacid dehydrogenase family</t>
  </si>
  <si>
    <t>Ofaveolata015437</t>
  </si>
  <si>
    <t>Ofaveolata015441</t>
  </si>
  <si>
    <t>Ofaveolata015444</t>
  </si>
  <si>
    <t>Ofaveolata015459</t>
  </si>
  <si>
    <t>Ofaveolata015475</t>
  </si>
  <si>
    <t>dephospho-CoA kinase activity</t>
  </si>
  <si>
    <t>Ofaveolata015488</t>
  </si>
  <si>
    <t>Ofaveolata015496</t>
  </si>
  <si>
    <t>Ofaveolata015497</t>
  </si>
  <si>
    <t>Ofaveolata015560</t>
  </si>
  <si>
    <t>protein targeting to mitochondrion</t>
  </si>
  <si>
    <t>Ofaveolata015563</t>
  </si>
  <si>
    <t>Ofaveolata015567</t>
  </si>
  <si>
    <t>Ofaveolata015570</t>
  </si>
  <si>
    <t>Ofaveolata015571</t>
  </si>
  <si>
    <t>Ofaveolata015579</t>
  </si>
  <si>
    <t>Belongs to the cullin family</t>
  </si>
  <si>
    <t>Ofaveolata015589</t>
  </si>
  <si>
    <t>Amidohydrolase family</t>
  </si>
  <si>
    <t>Ofaveolata015629</t>
  </si>
  <si>
    <t>Ofaveolata015705</t>
  </si>
  <si>
    <t>this phosphorylation event is a prerequisite for the subsequent ligation of the two exon halves and the production of a mature tRNA. Component of the pre-mRNA cleavage complex II (CF-II), which seems to be required for mRNA 3'-end formation. Also phosphorylates the 5'-terminus of exogenously introduced short interfering RNAs (siRNAs), which is a necessary prerequisite for their incorporation into the RNA- induced silencing complex (RISC). However, endogenous siRNAs and microRNAs (miRNAs) that are produced by the cleavage of dsRNA precursors by DICER1 already contain a 5'-phosphate group, so this protein may be dispensible for normal RNA-mediated gene silencing</t>
  </si>
  <si>
    <t>Ofaveolata015708</t>
  </si>
  <si>
    <t>Ofaveolata015725</t>
  </si>
  <si>
    <t>Essential component of the vacuolar proton pump (V- ATPase), a multimeric enzyme that catalyzes the translocation of protons across the membranes. Required for assembly and activity of the V-ATPase</t>
  </si>
  <si>
    <t>Ofaveolata015777</t>
  </si>
  <si>
    <t>Ofaveolata015832</t>
  </si>
  <si>
    <t>Ofaveolata015834</t>
  </si>
  <si>
    <t>Ofaveolata015835</t>
  </si>
  <si>
    <t>Ofaveolata015845</t>
  </si>
  <si>
    <t>Ofaveolata015976</t>
  </si>
  <si>
    <t>Vesicular inhibitory amino acid</t>
  </si>
  <si>
    <t>Ofaveolata015997</t>
  </si>
  <si>
    <t>Ofaveolata016000</t>
  </si>
  <si>
    <t>Ofaveolata016003</t>
  </si>
  <si>
    <t>sodium-dependent L-ascorbate transmembrane transporter activity</t>
  </si>
  <si>
    <t>Ofaveolata016009</t>
  </si>
  <si>
    <t>Ofaveolata016018</t>
  </si>
  <si>
    <t>Ofaveolata016019</t>
  </si>
  <si>
    <t>Ofaveolata016021</t>
  </si>
  <si>
    <t>Ofaveolata016049</t>
  </si>
  <si>
    <t>Ofaveolata016050</t>
  </si>
  <si>
    <t>Ofaveolata016142</t>
  </si>
  <si>
    <t>mitochondrial transport</t>
  </si>
  <si>
    <t>Ofaveolata016167</t>
  </si>
  <si>
    <t>Ofaveolata016181</t>
  </si>
  <si>
    <t>Ofaveolata016188</t>
  </si>
  <si>
    <t>Ofaveolata016199</t>
  </si>
  <si>
    <t>hair follicle maturation</t>
  </si>
  <si>
    <t>Ofaveolata016238</t>
  </si>
  <si>
    <t>Ofaveolata016241</t>
  </si>
  <si>
    <t>Ofaveolata016257</t>
  </si>
  <si>
    <t>Ofaveolata016259</t>
  </si>
  <si>
    <t>Ofaveolata016270</t>
  </si>
  <si>
    <t>Ofaveolata016273</t>
  </si>
  <si>
    <t>26s proteasome non-ATPase regulatory subunit</t>
  </si>
  <si>
    <t>Ofaveolata016274</t>
  </si>
  <si>
    <t>Cupin superfamily protein</t>
  </si>
  <si>
    <t>Ofaveolata016294</t>
  </si>
  <si>
    <t>Ofaveolata016297</t>
  </si>
  <si>
    <t>Ofaveolata016315</t>
  </si>
  <si>
    <t>Ofaveolata016326</t>
  </si>
  <si>
    <t>Ofaveolata016343</t>
  </si>
  <si>
    <t>Ofaveolata016349</t>
  </si>
  <si>
    <t>Ofaveolata016371</t>
  </si>
  <si>
    <t>histone methyltransferase activity (H3-K4 specific)</t>
  </si>
  <si>
    <t>Ofaveolata016375</t>
  </si>
  <si>
    <t>3-hydroxyisobutyryl-CoA hydrolase activity</t>
  </si>
  <si>
    <t>Ofaveolata016403</t>
  </si>
  <si>
    <t>Ofaveolata016405</t>
  </si>
  <si>
    <t>transcriptional regulatory protein</t>
  </si>
  <si>
    <t>Ofaveolata016420</t>
  </si>
  <si>
    <t>Ofaveolata016454</t>
  </si>
  <si>
    <t>protein ubiquitination</t>
  </si>
  <si>
    <t>Ofaveolata016460</t>
  </si>
  <si>
    <t>Ofaveolata016462</t>
  </si>
  <si>
    <t>negative regulation of cardiac muscle contraction</t>
  </si>
  <si>
    <t>Ofaveolata016478</t>
  </si>
  <si>
    <t>Protein tyrosine phosphatase, receptor type</t>
  </si>
  <si>
    <t>Ofaveolata016487</t>
  </si>
  <si>
    <t>Ofaveolata016488</t>
  </si>
  <si>
    <t>Ofaveolata016500</t>
  </si>
  <si>
    <t>Domain of unknown function (DUF4062)</t>
  </si>
  <si>
    <t>Ofaveolata016501</t>
  </si>
  <si>
    <t>Ofaveolata016502</t>
  </si>
  <si>
    <t>Ofaveolata016585</t>
  </si>
  <si>
    <t>uridine phosphorylase activity</t>
  </si>
  <si>
    <t>Ofaveolata016668</t>
  </si>
  <si>
    <t>regulation of cellular macromolecule biosynthetic process</t>
  </si>
  <si>
    <t>Ofaveolata016672</t>
  </si>
  <si>
    <t>Ofaveolata016777</t>
  </si>
  <si>
    <t>Ofaveolata016801</t>
  </si>
  <si>
    <t>RNA polymerase II transcription elongation factor</t>
  </si>
  <si>
    <t>Ofaveolata016819</t>
  </si>
  <si>
    <t>Allows the formation of correctly charged Gln-tRNA(Gln) through the transamidation of misacylated Glu-tRNA(Gln) in the mitochondria. The reaction takes place in the presence of glutamine and ATP through an activated gamma-phospho-Glu- tRNA(Gln)</t>
  </si>
  <si>
    <t>Ofaveolata016839</t>
  </si>
  <si>
    <t>non-membrane spanning protein tyrosine phosphatase activity</t>
  </si>
  <si>
    <t>Ofaveolata016857</t>
  </si>
  <si>
    <t>MDM2/MDM4 family protein binding</t>
  </si>
  <si>
    <t>Ofaveolata016859</t>
  </si>
  <si>
    <t>Ofaveolata016870</t>
  </si>
  <si>
    <t>protein localization to nuclear pore</t>
  </si>
  <si>
    <t>Ofaveolata016878</t>
  </si>
  <si>
    <t>Ofaveolata016920</t>
  </si>
  <si>
    <t>Ofaveolata016948</t>
  </si>
  <si>
    <t>60s ribosomal protein</t>
  </si>
  <si>
    <t>Ofaveolata016997</t>
  </si>
  <si>
    <t>Kelch motif</t>
  </si>
  <si>
    <t>Ofaveolata017008</t>
  </si>
  <si>
    <t>Protein transport protein SEC61 subunit</t>
  </si>
  <si>
    <t>Ofaveolata017050</t>
  </si>
  <si>
    <t>Ofaveolata017067</t>
  </si>
  <si>
    <t>Solute carrier family 12</t>
  </si>
  <si>
    <t>Ofaveolata017069</t>
  </si>
  <si>
    <t>3-oxoacyl-[acyl-carrier-protein] reductase (NADH) activity</t>
  </si>
  <si>
    <t>Ofaveolata017091</t>
  </si>
  <si>
    <t>actin filament polymerization</t>
  </si>
  <si>
    <t>Ofaveolata017125</t>
  </si>
  <si>
    <t>axoneme assembly</t>
  </si>
  <si>
    <t>Ofaveolata017127</t>
  </si>
  <si>
    <t>Ofaveolata017135</t>
  </si>
  <si>
    <t>Ofaveolata017146</t>
  </si>
  <si>
    <t>large ribosomal subunit rRNA binding</t>
  </si>
  <si>
    <t>Ofaveolata017157</t>
  </si>
  <si>
    <t>integrin</t>
  </si>
  <si>
    <t>Ofaveolata017184</t>
  </si>
  <si>
    <t>ABRA C-terminal like</t>
  </si>
  <si>
    <t>Ofaveolata017190</t>
  </si>
  <si>
    <t>Ofaveolata017214</t>
  </si>
  <si>
    <t>Ofaveolata017234</t>
  </si>
  <si>
    <t>Microtubule binding</t>
  </si>
  <si>
    <t>Ofaveolata017246</t>
  </si>
  <si>
    <t>Ofaveolata017253</t>
  </si>
  <si>
    <t>Ofaveolata017291</t>
  </si>
  <si>
    <t>Acyl-CoA synthetase long-chain family member</t>
  </si>
  <si>
    <t>Ofaveolata017318</t>
  </si>
  <si>
    <t>Ofaveolata017341</t>
  </si>
  <si>
    <t>TNF(Tumour Necrosis Factor) family</t>
  </si>
  <si>
    <t>Ofaveolata017344</t>
  </si>
  <si>
    <t>Ofaveolata017411</t>
  </si>
  <si>
    <t>DNA helicase</t>
  </si>
  <si>
    <t>Ofaveolata017427</t>
  </si>
  <si>
    <t>Ofaveolata017432</t>
  </si>
  <si>
    <t>Ofaveolata017440</t>
  </si>
  <si>
    <t>thymidylate kinase</t>
  </si>
  <si>
    <t>Ofaveolata017502</t>
  </si>
  <si>
    <t>O-acyltransferase</t>
  </si>
  <si>
    <t>Ofaveolata017522</t>
  </si>
  <si>
    <t>Ofaveolata017525</t>
  </si>
  <si>
    <t>box H/ACA snoRNA 3'-end processing</t>
  </si>
  <si>
    <t>Ofaveolata017556</t>
  </si>
  <si>
    <t>Ofaveolata017559</t>
  </si>
  <si>
    <t>Ofaveolata017620</t>
  </si>
  <si>
    <t>Ofaveolata017695</t>
  </si>
  <si>
    <t>Ofaveolata017696</t>
  </si>
  <si>
    <t>DNA-binding transcription factor activity</t>
  </si>
  <si>
    <t>Ofaveolata017701</t>
  </si>
  <si>
    <t>receptor 161</t>
  </si>
  <si>
    <t>Ofaveolata017710</t>
  </si>
  <si>
    <t>Eukaryotic initiation factor 4A-II isoform X1</t>
  </si>
  <si>
    <t>Ofaveolata017714</t>
  </si>
  <si>
    <t>Electron transfer flavoprotein subunit</t>
  </si>
  <si>
    <t>Ofaveolata017715</t>
  </si>
  <si>
    <t>Ofaveolata017738</t>
  </si>
  <si>
    <t>Ofaveolata017744</t>
  </si>
  <si>
    <t>Ofaveolata017749</t>
  </si>
  <si>
    <t>Ofaveolata017752</t>
  </si>
  <si>
    <t>Ofaveolata017760</t>
  </si>
  <si>
    <t>Ofaveolata017781</t>
  </si>
  <si>
    <t>Ofaveolata017799</t>
  </si>
  <si>
    <t>Ofaveolata017800</t>
  </si>
  <si>
    <t>Ofaveolata017802</t>
  </si>
  <si>
    <t>Ofaveolata017809</t>
  </si>
  <si>
    <t>inositol hexakisphosphate 6-kinase activity</t>
  </si>
  <si>
    <t>Ofaveolata017830</t>
  </si>
  <si>
    <t>Ofaveolata017850</t>
  </si>
  <si>
    <t>cobalt ion transmembrane transporter activity</t>
  </si>
  <si>
    <t>Ofaveolata017875</t>
  </si>
  <si>
    <t>Ofaveolata017895</t>
  </si>
  <si>
    <t>Ofaveolata017937</t>
  </si>
  <si>
    <t>serine-type endopeptidase inhibitor activity</t>
  </si>
  <si>
    <t>Ofaveolata017965</t>
  </si>
  <si>
    <t>positive regulation of rhodopsin gene expression</t>
  </si>
  <si>
    <t>Ofaveolata017972</t>
  </si>
  <si>
    <t>Ofaveolata017999</t>
  </si>
  <si>
    <t>chromatin organization</t>
  </si>
  <si>
    <t>Ofaveolata018002</t>
  </si>
  <si>
    <t>propionyl-CoA carboxylase activity</t>
  </si>
  <si>
    <t>Ofaveolata018006</t>
  </si>
  <si>
    <t>TMEM151 family</t>
  </si>
  <si>
    <t>Ofaveolata018015</t>
  </si>
  <si>
    <t>succinate-CoA ligase (ADP-forming) activity</t>
  </si>
  <si>
    <t>Ofaveolata018040</t>
  </si>
  <si>
    <t>Ofaveolata018045</t>
  </si>
  <si>
    <t>sodium potassium-transporting ATPase subunit</t>
  </si>
  <si>
    <t>Ofaveolata018047</t>
  </si>
  <si>
    <t>Ofaveolata018073</t>
  </si>
  <si>
    <t>Multidrug resistance-associated protein 1</t>
  </si>
  <si>
    <t>Ofaveolata018074</t>
  </si>
  <si>
    <t>Ofaveolata018104</t>
  </si>
  <si>
    <t>Ofaveolata018107</t>
  </si>
  <si>
    <t>Ofaveolata018127</t>
  </si>
  <si>
    <t>Ofaveolata018133</t>
  </si>
  <si>
    <t>Ofaveolata018140</t>
  </si>
  <si>
    <t>Fumble</t>
  </si>
  <si>
    <t>Ofaveolata018155</t>
  </si>
  <si>
    <t>Ofaveolata018197</t>
  </si>
  <si>
    <t>NAD(P)H-binding</t>
  </si>
  <si>
    <t>Ofaveolata018230</t>
  </si>
  <si>
    <t>oligomeric golgi complex</t>
  </si>
  <si>
    <t>Ofaveolata018234</t>
  </si>
  <si>
    <t>CTPase activity</t>
  </si>
  <si>
    <t>Ofaveolata018236</t>
  </si>
  <si>
    <t>Ofaveolata018244</t>
  </si>
  <si>
    <t>Ofaveolata018251</t>
  </si>
  <si>
    <t>Belongs to the type-B carboxylesterase lipase family</t>
  </si>
  <si>
    <t>Ofaveolata018280</t>
  </si>
  <si>
    <t>succinate dehydrogenase cytochrome b560 subunit</t>
  </si>
  <si>
    <t>Ofaveolata018295</t>
  </si>
  <si>
    <t>Cytidylyltransferase-like</t>
  </si>
  <si>
    <t>Ofaveolata018305</t>
  </si>
  <si>
    <t>negative regulation of ectoderm development</t>
  </si>
  <si>
    <t>Ofaveolata018311</t>
  </si>
  <si>
    <t>dolichol-linked oligosaccharide biosynthetic process</t>
  </si>
  <si>
    <t>Ofaveolata018318</t>
  </si>
  <si>
    <t>Ofaveolata018319</t>
  </si>
  <si>
    <t>Ofaveolata018325</t>
  </si>
  <si>
    <t>ribosomal small subunit assembly</t>
  </si>
  <si>
    <t>Ofaveolata018334</t>
  </si>
  <si>
    <t>Ofaveolata018344</t>
  </si>
  <si>
    <t>Leucine rich repeat</t>
  </si>
  <si>
    <t>Ofaveolata018360</t>
  </si>
  <si>
    <t>Stores iron in a soluble, non-toxic, readily available form. Important for iron homeostasis. Iron is taken up in the ferrous form and deposited as ferric hydroxides after oxidation</t>
  </si>
  <si>
    <t>Ofaveolata018394</t>
  </si>
  <si>
    <t>Ubiquitin-associated domain-containing protein 2</t>
  </si>
  <si>
    <t>Ofaveolata018433</t>
  </si>
  <si>
    <t>uridine-diphosphatase activity</t>
  </si>
  <si>
    <t>Ofaveolata018465</t>
  </si>
  <si>
    <t>Ofaveolata018486</t>
  </si>
  <si>
    <t>Serine-type peptidase activity. It is involved in the biological process described with proteolysis</t>
  </si>
  <si>
    <t>Ofaveolata018511</t>
  </si>
  <si>
    <t>Ofaveolata018616</t>
  </si>
  <si>
    <t>Ofaveolata018714</t>
  </si>
  <si>
    <t>Ofaveolata018782</t>
  </si>
  <si>
    <t>TMEM192 family</t>
  </si>
  <si>
    <t>Ofaveolata018835</t>
  </si>
  <si>
    <t>nucleotide binding. It is involved in the biological process described with RNA processing</t>
  </si>
  <si>
    <t>Ofaveolata018838</t>
  </si>
  <si>
    <t>X-ray repair complementing defective repair in Chinese hamster cells 1</t>
  </si>
  <si>
    <t>Ofaveolata018851</t>
  </si>
  <si>
    <t>Ofaveolata018926</t>
  </si>
  <si>
    <t>Ofaveolata018959</t>
  </si>
  <si>
    <t>negative regulation of endoplasmic reticulum stress-induced neuron intrinsic apoptotic signaling pathway</t>
  </si>
  <si>
    <t>Ofaveolata018998</t>
  </si>
  <si>
    <t>quinone binding</t>
  </si>
  <si>
    <t>Ofaveolata019000</t>
  </si>
  <si>
    <t>hormone-sensitive lipase activity</t>
  </si>
  <si>
    <t>Ofaveolata019003</t>
  </si>
  <si>
    <t>Ofaveolata019022</t>
  </si>
  <si>
    <t>omega-amidase activity</t>
  </si>
  <si>
    <t>Ofaveolata019038</t>
  </si>
  <si>
    <t>Ofaveolata019039</t>
  </si>
  <si>
    <t>Ofaveolata019080</t>
  </si>
  <si>
    <t>peptidyl-dipeptidase activity</t>
  </si>
  <si>
    <t>Ofaveolata019090</t>
  </si>
  <si>
    <t>iron assimilation by reduction and transport</t>
  </si>
  <si>
    <t>Ofaveolata019111</t>
  </si>
  <si>
    <t>Ofaveolata019112</t>
  </si>
  <si>
    <t>Ofaveolata019130</t>
  </si>
  <si>
    <t>Ofaveolata019148</t>
  </si>
  <si>
    <t>Ofaveolata019158</t>
  </si>
  <si>
    <t>Ofaveolata019221</t>
  </si>
  <si>
    <t>Ofaveolata019225</t>
  </si>
  <si>
    <t>Transmembrane protein 145</t>
  </si>
  <si>
    <t>Ofaveolata019234</t>
  </si>
  <si>
    <t>Solute carrier family 37</t>
  </si>
  <si>
    <t>Ofaveolata019280</t>
  </si>
  <si>
    <t>Ofaveolata019281</t>
  </si>
  <si>
    <t>protein serine/threonine phosphatase activity</t>
  </si>
  <si>
    <t>Ofaveolata019290</t>
  </si>
  <si>
    <t>potassium voltage-gated channel, subfamily H</t>
  </si>
  <si>
    <t>Ofaveolata019310</t>
  </si>
  <si>
    <t>Ofaveolata019317</t>
  </si>
  <si>
    <t>Ofaveolata019329</t>
  </si>
  <si>
    <t>enoyl-CoA hydratase isomerase family</t>
  </si>
  <si>
    <t>Ofaveolata019354</t>
  </si>
  <si>
    <t>Phosphatidylinositol 3,4,5-trisphosphate 3-phosphatase TPTE2-like</t>
  </si>
  <si>
    <t>Ofaveolata019357</t>
  </si>
  <si>
    <t>L-ornithine transmembrane transport</t>
  </si>
  <si>
    <t>Ofaveolata019367</t>
  </si>
  <si>
    <t>Ofaveolata019395</t>
  </si>
  <si>
    <t>Lipoxygenase homology 2 (beta barrel) domain</t>
  </si>
  <si>
    <t>Ofaveolata019396</t>
  </si>
  <si>
    <t>Ofaveolata019403</t>
  </si>
  <si>
    <t>Ofaveolata019442</t>
  </si>
  <si>
    <t>Pyridoxal-dependent decarboxylase conserved domain</t>
  </si>
  <si>
    <t>Ofaveolata019598</t>
  </si>
  <si>
    <t>Ammonium transporter</t>
  </si>
  <si>
    <t>Ofaveolata019604</t>
  </si>
  <si>
    <t>Histidinol-phosphatase</t>
  </si>
  <si>
    <t>Ofaveolata019611</t>
  </si>
  <si>
    <t>high mobility group</t>
  </si>
  <si>
    <t>Ofaveolata019615</t>
  </si>
  <si>
    <t>Ofaveolata019723</t>
  </si>
  <si>
    <t>ATP-dependent chromatin remodeling</t>
  </si>
  <si>
    <t>Ofaveolata019748</t>
  </si>
  <si>
    <t>UFM1 hydrolase activity</t>
  </si>
  <si>
    <t>Ofaveolata019772</t>
  </si>
  <si>
    <t>Ofaveolata019777</t>
  </si>
  <si>
    <t>Belongs to the cation transport ATPase (P-type) (TC 3.A.3) family. Type IV subfamily</t>
  </si>
  <si>
    <t>Ofaveolata019781</t>
  </si>
  <si>
    <t>Ofaveolata019791</t>
  </si>
  <si>
    <t>Ofaveolata019804</t>
  </si>
  <si>
    <t>Ofaveolata019823</t>
  </si>
  <si>
    <t>Ofaveolata019838</t>
  </si>
  <si>
    <t>Ofaveolata019842</t>
  </si>
  <si>
    <t>Ofaveolata019877</t>
  </si>
  <si>
    <t>Ofaveolata019895</t>
  </si>
  <si>
    <t>Glycosyl hydrolases family 2, sugar binding domain</t>
  </si>
  <si>
    <t>Ofaveolata019911</t>
  </si>
  <si>
    <t>RNA polymerase II sequence-specific DNA-binding transcription factor binding</t>
  </si>
  <si>
    <t>Ofaveolata019940</t>
  </si>
  <si>
    <t>Ofaveolata019946</t>
  </si>
  <si>
    <t>Ofaveolata019962</t>
  </si>
  <si>
    <t>Ofaveolata019974</t>
  </si>
  <si>
    <t>Ofaveolata020043</t>
  </si>
  <si>
    <t>Ofaveolata020047</t>
  </si>
  <si>
    <t>Ofaveolata020071</t>
  </si>
  <si>
    <t>Oral-facial-digital syndrome 1</t>
  </si>
  <si>
    <t>Ofaveolata020072</t>
  </si>
  <si>
    <t>tRNA methyltransferase activity</t>
  </si>
  <si>
    <t>Ofaveolata020075</t>
  </si>
  <si>
    <t>Ofaveolata020633</t>
  </si>
  <si>
    <t>Belongs to the small Tim family</t>
  </si>
  <si>
    <t>Ofaveolata020637</t>
  </si>
  <si>
    <t>maintenance of translational fidelity</t>
  </si>
  <si>
    <t>Ofaveolata020675</t>
  </si>
  <si>
    <t>Ofaveolata020684</t>
  </si>
  <si>
    <t>phosphoglycerate</t>
  </si>
  <si>
    <t>Ofaveolata020752</t>
  </si>
  <si>
    <t>Belongs to the class I-like SAM-binding methyltransferase superfamily. RsmB NOP family</t>
  </si>
  <si>
    <t>Ofaveolata020787</t>
  </si>
  <si>
    <t>acylglycerol kinase activity</t>
  </si>
  <si>
    <t>Ofaveolata020790</t>
  </si>
  <si>
    <t>Ofaveolata020795</t>
  </si>
  <si>
    <t>Ofaveolata020801</t>
  </si>
  <si>
    <t>ATP-binding cassette, sub-family E</t>
  </si>
  <si>
    <t>Ofaveolata020805</t>
  </si>
  <si>
    <t>Ofaveolata020812</t>
  </si>
  <si>
    <t>Ofaveolata020815</t>
  </si>
  <si>
    <t>signal peptide processing</t>
  </si>
  <si>
    <t>Ofaveolata020822</t>
  </si>
  <si>
    <t>oxidoreductase activity, oxidizing metal ions with flavin as acceptor</t>
  </si>
  <si>
    <t>Ofaveolata020903</t>
  </si>
  <si>
    <t>Ofaveolata020961</t>
  </si>
  <si>
    <t>Ofaveolata020969</t>
  </si>
  <si>
    <t>Ofaveolata020989</t>
  </si>
  <si>
    <t>positive regulation of DNA N-glycosylase activity</t>
  </si>
  <si>
    <t>Ofaveolata020997</t>
  </si>
  <si>
    <t>fatty acid metabolic process</t>
  </si>
  <si>
    <t>Ofaveolata021025</t>
  </si>
  <si>
    <t>Ofaveolata021053</t>
  </si>
  <si>
    <t>Ofaveolata021055</t>
  </si>
  <si>
    <t>Ofaveolata021069</t>
  </si>
  <si>
    <t>Lysosomal Pro-X</t>
  </si>
  <si>
    <t>Ofaveolata021070</t>
  </si>
  <si>
    <t>Ofaveolata021083</t>
  </si>
  <si>
    <t>Ofaveolata021119</t>
  </si>
  <si>
    <t>Ofaveolata021120</t>
  </si>
  <si>
    <t>3',5'-cyclic-GMP phosphodiesterase activity</t>
  </si>
  <si>
    <t>Ofaveolata021143</t>
  </si>
  <si>
    <t>mRNA transport</t>
  </si>
  <si>
    <t>Ofaveolata021144</t>
  </si>
  <si>
    <t>suppressor of G2 allele of SKP1</t>
  </si>
  <si>
    <t>Ofaveolata021175</t>
  </si>
  <si>
    <t>Ofaveolata021180</t>
  </si>
  <si>
    <t>Ofaveolata021184</t>
  </si>
  <si>
    <t>Ofaveolata021237</t>
  </si>
  <si>
    <t>Ofaveolata021268</t>
  </si>
  <si>
    <t>Ofaveolata021288</t>
  </si>
  <si>
    <t>Ofaveolata021289</t>
  </si>
  <si>
    <t>Ofaveolata021294</t>
  </si>
  <si>
    <t>Beta-lactamase</t>
  </si>
  <si>
    <t>Ofaveolata021319</t>
  </si>
  <si>
    <t>centriole replication</t>
  </si>
  <si>
    <t>Ofaveolata021386</t>
  </si>
  <si>
    <t>Ofaveolata021389</t>
  </si>
  <si>
    <t>Ofaveolata021507</t>
  </si>
  <si>
    <t>protein localization to perinuclear region of cytoplasm</t>
  </si>
  <si>
    <t>Ofaveolata021514</t>
  </si>
  <si>
    <t>Ofaveolata021559</t>
  </si>
  <si>
    <t>Ofaveolata021858</t>
  </si>
  <si>
    <t>Ofaveolata021870</t>
  </si>
  <si>
    <t>Ofaveolata021875</t>
  </si>
  <si>
    <t>Ofaveolata021876</t>
  </si>
  <si>
    <t>Ofaveolata021895</t>
  </si>
  <si>
    <t>Ofaveolata021934</t>
  </si>
  <si>
    <t>Ofaveolata021960</t>
  </si>
  <si>
    <t>ATP:ADP antiporter activity</t>
  </si>
  <si>
    <t>Ofaveolata021969</t>
  </si>
  <si>
    <t>Ofaveolata021990</t>
  </si>
  <si>
    <t>Ofaveolata021995</t>
  </si>
  <si>
    <t>Ofaveolata021996</t>
  </si>
  <si>
    <t>Ofaveolata021998</t>
  </si>
  <si>
    <t>tumor necrosis factor-activated receptor activity</t>
  </si>
  <si>
    <t>Ofaveolata022005</t>
  </si>
  <si>
    <t>Ofaveolata022022</t>
  </si>
  <si>
    <t>transcription factor activity, RNA polymerase II core promoter sequence-specific binding involved in preinitiation complex assembly</t>
  </si>
  <si>
    <t>Ofaveolata022024</t>
  </si>
  <si>
    <t>L-lactate</t>
  </si>
  <si>
    <t>Ofaveolata022059</t>
  </si>
  <si>
    <t>Ofaveolata022060</t>
  </si>
  <si>
    <t>posttranscriptional tethering of RNA polymerase II gene DNA at nuclear periphery</t>
  </si>
  <si>
    <t>Ofaveolata022087</t>
  </si>
  <si>
    <t>Ofaveolata022088</t>
  </si>
  <si>
    <t>Ofaveolata022126</t>
  </si>
  <si>
    <t>Ofaveolata022127</t>
  </si>
  <si>
    <t>Ofaveolata022145</t>
  </si>
  <si>
    <t>Ofaveolata022159</t>
  </si>
  <si>
    <t>Ofaveolata022163</t>
  </si>
  <si>
    <t>PRA1 family</t>
  </si>
  <si>
    <t>Ofaveolata022177</t>
  </si>
  <si>
    <t>Folate receptor</t>
  </si>
  <si>
    <t>Ofaveolata022185</t>
  </si>
  <si>
    <t>Ofaveolata022199</t>
  </si>
  <si>
    <t>UTP biosynthetic process</t>
  </si>
  <si>
    <t>Ofaveolata022205</t>
  </si>
  <si>
    <t>Ofaveolata022225</t>
  </si>
  <si>
    <t>Ofaveolata022226</t>
  </si>
  <si>
    <t>Ofaveolata022228</t>
  </si>
  <si>
    <t>Malignant T cell amplified sequence 1</t>
  </si>
  <si>
    <t>Ofaveolata022229</t>
  </si>
  <si>
    <t>regulation of DNA recombination at telomere</t>
  </si>
  <si>
    <t>Ofaveolata022247</t>
  </si>
  <si>
    <t>Ofaveolata022259</t>
  </si>
  <si>
    <t>Ofaveolata022273</t>
  </si>
  <si>
    <t>pronephric nephron development</t>
  </si>
  <si>
    <t>Ofaveolata022335</t>
  </si>
  <si>
    <t>cell cycle arrest</t>
  </si>
  <si>
    <t>Ofaveolata022340</t>
  </si>
  <si>
    <t>Ofaveolata022343</t>
  </si>
  <si>
    <t>Ofaveolata022344</t>
  </si>
  <si>
    <t>Ofaveolata022351</t>
  </si>
  <si>
    <t>Ofaveolata022362</t>
  </si>
  <si>
    <t>member RAS oncogene family</t>
  </si>
  <si>
    <t>Ofaveolata022372</t>
  </si>
  <si>
    <t>Ofaveolata022400</t>
  </si>
  <si>
    <t>secondary active sulfate transmembrane transporter activity</t>
  </si>
  <si>
    <t>Ofaveolata022425</t>
  </si>
  <si>
    <t>FAD binding domain of DNA photolyase</t>
  </si>
  <si>
    <t>Ofaveolata022440</t>
  </si>
  <si>
    <t>negative regulation of integrin-mediated signaling pathway</t>
  </si>
  <si>
    <t>Ofaveolata022456</t>
  </si>
  <si>
    <t>Ofaveolata022463</t>
  </si>
  <si>
    <t>serine arginine-rich splicing factor</t>
  </si>
  <si>
    <t>Ofaveolata022467</t>
  </si>
  <si>
    <t>Ofaveolata022468</t>
  </si>
  <si>
    <t>Complement component 1 q</t>
  </si>
  <si>
    <t>Ofaveolata022471</t>
  </si>
  <si>
    <t>Ofaveolata022474</t>
  </si>
  <si>
    <t>RAB, member of RAS oncogene family-like 3</t>
  </si>
  <si>
    <t>Ofaveolata022486</t>
  </si>
  <si>
    <t>L27 domain binding</t>
  </si>
  <si>
    <t>Ofaveolata022492</t>
  </si>
  <si>
    <t>ATP-dependent DNA helicase activity</t>
  </si>
  <si>
    <t>Ofaveolata022493</t>
  </si>
  <si>
    <t>Ofaveolata022498</t>
  </si>
  <si>
    <t>Ofaveolata022501</t>
  </si>
  <si>
    <t>LON peptidase N-terminal domain and RING finger</t>
  </si>
  <si>
    <t>Ofaveolata022545</t>
  </si>
  <si>
    <t>Ofaveolata022559</t>
  </si>
  <si>
    <t>Ofaveolata022580</t>
  </si>
  <si>
    <t>histone pre-mRNA DCP binding</t>
  </si>
  <si>
    <t>Ofaveolata022583</t>
  </si>
  <si>
    <t>Ofaveolata022584</t>
  </si>
  <si>
    <t>magnesium ion binding</t>
  </si>
  <si>
    <t>Ofaveolata022598</t>
  </si>
  <si>
    <t>transcription initiation from RNA polymerase III promoter</t>
  </si>
  <si>
    <t>Ofaveolata022622</t>
  </si>
  <si>
    <t>Ofaveolata022633</t>
  </si>
  <si>
    <t>C-type lectin (CTL) or carbohydrate-recognition domain (CRD)</t>
  </si>
  <si>
    <t>Ofaveolata022638</t>
  </si>
  <si>
    <t>Ofaveolata022645</t>
  </si>
  <si>
    <t>cellular response to glucose starvation</t>
  </si>
  <si>
    <t>Ofaveolata022655</t>
  </si>
  <si>
    <t>Belongs to the WD repeat coronin family</t>
  </si>
  <si>
    <t>Ofaveolata022663</t>
  </si>
  <si>
    <t>phenanthrene-epoxide hydrolase activity</t>
  </si>
  <si>
    <t>Ofaveolata022668</t>
  </si>
  <si>
    <t>SET domain containing 6</t>
  </si>
  <si>
    <t>Ofaveolata022674</t>
  </si>
  <si>
    <t>calcium-transporting ATPase activity</t>
  </si>
  <si>
    <t>Ofaveolata022678</t>
  </si>
  <si>
    <t>snRNA import into nucleus</t>
  </si>
  <si>
    <t>Ofaveolata022690</t>
  </si>
  <si>
    <t>telomerase activity</t>
  </si>
  <si>
    <t>Ofaveolata022703</t>
  </si>
  <si>
    <t>Major Facilitator Superfamily</t>
  </si>
  <si>
    <t>Ofaveolata022706</t>
  </si>
  <si>
    <t>aminoacyl-tRNA hydrolase activity</t>
  </si>
  <si>
    <t>Ofaveolata022713</t>
  </si>
  <si>
    <t>vWA found in TerF C terminus</t>
  </si>
  <si>
    <t>Ofaveolata022718</t>
  </si>
  <si>
    <t>1-acylglycerol-3-phosphate O-acyltransferase activity</t>
  </si>
  <si>
    <t>Ofaveolata022726</t>
  </si>
  <si>
    <t>Ofaveolata022732</t>
  </si>
  <si>
    <t>Ofaveolata022751</t>
  </si>
  <si>
    <t>Domain that may be involved in binding ubiquitin-conjugating enzymes (UBCs)</t>
  </si>
  <si>
    <t>Ofaveolata022753</t>
  </si>
  <si>
    <t>translation reinitiation</t>
  </si>
  <si>
    <t>Ofaveolata022806</t>
  </si>
  <si>
    <t>Ofaveolata022819</t>
  </si>
  <si>
    <t>EamA-like transporter family</t>
  </si>
  <si>
    <t>Ofaveolata022848</t>
  </si>
  <si>
    <t>PGAM family member 5, serine threonine protein phosphatase, mitochondrial</t>
  </si>
  <si>
    <t>Ofaveolata022864</t>
  </si>
  <si>
    <t>DNA replication</t>
  </si>
  <si>
    <t>Ofaveolata022905</t>
  </si>
  <si>
    <t>Notch signaling pathway</t>
  </si>
  <si>
    <t>Ofaveolata022913</t>
  </si>
  <si>
    <t>Ofaveolata022915</t>
  </si>
  <si>
    <t>Ofaveolata022918</t>
  </si>
  <si>
    <t>Trypsin-like serine protease</t>
  </si>
  <si>
    <t>Ofaveolata022966</t>
  </si>
  <si>
    <t>DSBA-like thioredoxin domain</t>
  </si>
  <si>
    <t>Ofaveolata022993</t>
  </si>
  <si>
    <t>nucleic acid binding</t>
  </si>
  <si>
    <t>Ofaveolata022997</t>
  </si>
  <si>
    <t>regulation of endoplasmic reticulum stress-induced intrinsic apoptotic signaling pathway</t>
  </si>
  <si>
    <t>Ofaveolata023011</t>
  </si>
  <si>
    <t>Ofaveolata023014</t>
  </si>
  <si>
    <t>Ofaveolata023019</t>
  </si>
  <si>
    <t>SOR/SNZ family</t>
  </si>
  <si>
    <t>Ofaveolata023020</t>
  </si>
  <si>
    <t>Belongs to the peptidase C14A family</t>
  </si>
  <si>
    <t>Ofaveolata023023</t>
  </si>
  <si>
    <t>Ofaveolata023041</t>
  </si>
  <si>
    <t>Ofaveolata023052</t>
  </si>
  <si>
    <t>negative regulation of ERK5 cascade</t>
  </si>
  <si>
    <t>Ofaveolata023065</t>
  </si>
  <si>
    <t>positive regulation of dipeptide transport</t>
  </si>
  <si>
    <t>Ofaveolata023072</t>
  </si>
  <si>
    <t>mesenchymal cell apoptotic process</t>
  </si>
  <si>
    <t>Ofaveolata023169</t>
  </si>
  <si>
    <t>sphingolipid transporter activity</t>
  </si>
  <si>
    <t>Ofaveolata023195</t>
  </si>
  <si>
    <t>Ofaveolata023200</t>
  </si>
  <si>
    <t>extracellularly ATP-gated cation channel activity</t>
  </si>
  <si>
    <t>Ofaveolata023203</t>
  </si>
  <si>
    <t>ribosomal protein S23</t>
  </si>
  <si>
    <t>Ofaveolata023204</t>
  </si>
  <si>
    <t>L-pipecolate oxidase activity</t>
  </si>
  <si>
    <t>Ofaveolata023209</t>
  </si>
  <si>
    <t>[3-methyl-2-oxobutanoate dehydrogenase (acetyl-transferring)] kinase activity</t>
  </si>
  <si>
    <t>Ofaveolata023222</t>
  </si>
  <si>
    <t>Domain of unknown function (DUF4042)</t>
  </si>
  <si>
    <t>Ofaveolata023233</t>
  </si>
  <si>
    <t>Ofaveolata023236</t>
  </si>
  <si>
    <t>Ofaveolata023238</t>
  </si>
  <si>
    <t>Ofaveolata023245</t>
  </si>
  <si>
    <t>nitric-oxide synthase activity</t>
  </si>
  <si>
    <t>Ofaveolata023264</t>
  </si>
  <si>
    <t>Ofaveolata023276</t>
  </si>
  <si>
    <t>face morphogenesis</t>
  </si>
  <si>
    <t>Ofaveolata023284</t>
  </si>
  <si>
    <t>intra-Golgi vesicle-mediated transport</t>
  </si>
  <si>
    <t>Ofaveolata023286</t>
  </si>
  <si>
    <t>Signal transducer activity. It is involved in the biological process described with intracellular signal transduction</t>
  </si>
  <si>
    <t>Ofaveolata023288</t>
  </si>
  <si>
    <t>negative regulation of peptidyl-serine phosphorylation of STAT protein</t>
  </si>
  <si>
    <t>Ofaveolata023296</t>
  </si>
  <si>
    <t>Ofaveolata023304</t>
  </si>
  <si>
    <t>endoplasmic reticulum organization</t>
  </si>
  <si>
    <t>Ofaveolata023319</t>
  </si>
  <si>
    <t>Ofaveolata023324</t>
  </si>
  <si>
    <t>14-3-3 homologues</t>
  </si>
  <si>
    <t>Ofaveolata023325</t>
  </si>
  <si>
    <t>Belongs to the 14-3-3 family</t>
  </si>
  <si>
    <t>Ofaveolata023328</t>
  </si>
  <si>
    <t>Ofaveolata023335</t>
  </si>
  <si>
    <t>Ofaveolata023337</t>
  </si>
  <si>
    <t>Ofaveolata023339</t>
  </si>
  <si>
    <t>Receptor for arginine vasopressin. The activity of this receptor is mediated by G proteins which activate a phosphatidyl- inositol-calcium second messenger system</t>
  </si>
  <si>
    <t>Ofaveolata023345</t>
  </si>
  <si>
    <t>Converts proline to delta-1-pyrroline-5-carboxylate</t>
  </si>
  <si>
    <t>Ofaveolata023384</t>
  </si>
  <si>
    <t>Microcephalin</t>
  </si>
  <si>
    <t>Ofaveolata023400</t>
  </si>
  <si>
    <t>Ofaveolata023437</t>
  </si>
  <si>
    <t>Ofaveolata023443</t>
  </si>
  <si>
    <t>membrane protein proteolysis involved in retrograde protein transport, ER to cytosol</t>
  </si>
  <si>
    <t>Ofaveolata023444</t>
  </si>
  <si>
    <t>Ofaveolata023446</t>
  </si>
  <si>
    <t>Ofaveolata023450</t>
  </si>
  <si>
    <t>Ofaveolata023451</t>
  </si>
  <si>
    <t>Ofaveolata023505</t>
  </si>
  <si>
    <t>Ofaveolata023506</t>
  </si>
  <si>
    <t>Ofaveolata023540</t>
  </si>
  <si>
    <t>Ofaveolata023548</t>
  </si>
  <si>
    <t>protein import into mitochondrial inner membrane</t>
  </si>
  <si>
    <t>Ofaveolata023560</t>
  </si>
  <si>
    <t>TBC1 domain family member</t>
  </si>
  <si>
    <t>Ofaveolata023563</t>
  </si>
  <si>
    <t>nitric oxide catabolic process</t>
  </si>
  <si>
    <t>Ofaveolata023564</t>
  </si>
  <si>
    <t>Ofaveolata023565</t>
  </si>
  <si>
    <t>translational elongation</t>
  </si>
  <si>
    <t>Ofaveolata023571</t>
  </si>
  <si>
    <t>Ofaveolata023572</t>
  </si>
  <si>
    <t>(3S)-citramalyl-CoA lyase activity</t>
  </si>
  <si>
    <t>Ofaveolata023578</t>
  </si>
  <si>
    <t>peptidyl-threonine dephosphorylation</t>
  </si>
  <si>
    <t>Ofaveolata023587</t>
  </si>
  <si>
    <t>Ofaveolata023634</t>
  </si>
  <si>
    <t>nonsense mediated mRNA decay factor</t>
  </si>
  <si>
    <t>Ofaveolata023642</t>
  </si>
  <si>
    <t>Ofaveolata023665</t>
  </si>
  <si>
    <t>protein localization to site of double-strand break</t>
  </si>
  <si>
    <t>Ofaveolata023673</t>
  </si>
  <si>
    <t>family with sequence similarity 57, member A</t>
  </si>
  <si>
    <t>Ofaveolata023686</t>
  </si>
  <si>
    <t>Ofaveolata023777</t>
  </si>
  <si>
    <t>Ofaveolata023780</t>
  </si>
  <si>
    <t>Wax ester synthase-like Acyl-CoA acyltransferase domain</t>
  </si>
  <si>
    <t>Ofaveolata023790</t>
  </si>
  <si>
    <t>cleavage furrow ingression</t>
  </si>
  <si>
    <t>Ofaveolata023794</t>
  </si>
  <si>
    <t>Ofaveolata023805</t>
  </si>
  <si>
    <t>negative regulation of Schwann cell proliferation</t>
  </si>
  <si>
    <t>Ofaveolata023810</t>
  </si>
  <si>
    <t>protein depalmitoleylation</t>
  </si>
  <si>
    <t>Ofaveolata023828</t>
  </si>
  <si>
    <t>protein-disulfide reductase activity</t>
  </si>
  <si>
    <t>Ofaveolata023844</t>
  </si>
  <si>
    <t>Ofaveolata023845</t>
  </si>
  <si>
    <t>Ofaveolata023855</t>
  </si>
  <si>
    <t>phagosome-lysosome fusion</t>
  </si>
  <si>
    <t>Ofaveolata023871</t>
  </si>
  <si>
    <t>Ofaveolata023872</t>
  </si>
  <si>
    <t>Ofaveolata023914</t>
  </si>
  <si>
    <t>Ofaveolata023969</t>
  </si>
  <si>
    <t>Coiled-coil domain-containing protein 92</t>
  </si>
  <si>
    <t>Ofaveolata024000</t>
  </si>
  <si>
    <t>retrograde transport, endosome to Golgi</t>
  </si>
  <si>
    <t>Ofaveolata024018</t>
  </si>
  <si>
    <t>Ofaveolata024019</t>
  </si>
  <si>
    <t>Ofaveolata024028</t>
  </si>
  <si>
    <t>Fibrosin-1-like</t>
  </si>
  <si>
    <t>Ofaveolata024035</t>
  </si>
  <si>
    <t>rRNA (guanine-N7)-methylation</t>
  </si>
  <si>
    <t>Ofaveolata024067</t>
  </si>
  <si>
    <t>Ofaveolata024081</t>
  </si>
  <si>
    <t>Ofaveolata024096</t>
  </si>
  <si>
    <t>Ofaveolata024109</t>
  </si>
  <si>
    <t>Ofaveolata024124</t>
  </si>
  <si>
    <t>Ofaveolata024125</t>
  </si>
  <si>
    <t>Ofaveolata024138</t>
  </si>
  <si>
    <t>Transcription elongation factor B</t>
  </si>
  <si>
    <t>Ofaveolata024147</t>
  </si>
  <si>
    <t>Belongs to the enoyl-CoA hydratase isomerase family</t>
  </si>
  <si>
    <t>Ofaveolata024163</t>
  </si>
  <si>
    <t>Ofaveolata024165</t>
  </si>
  <si>
    <t>Ofaveolata024190</t>
  </si>
  <si>
    <t>Ofaveolata024202</t>
  </si>
  <si>
    <t>Cellular repressor of E1A-stimulated genes 2</t>
  </si>
  <si>
    <t>Ofaveolata024209</t>
  </si>
  <si>
    <t>copper ion binding</t>
  </si>
  <si>
    <t>Ofaveolata024212</t>
  </si>
  <si>
    <t>Belongs to the thiolase family</t>
  </si>
  <si>
    <t>Ofaveolata024225</t>
  </si>
  <si>
    <t>regulation of kinetochore assembly</t>
  </si>
  <si>
    <t>Ofaveolata024231</t>
  </si>
  <si>
    <t>Ofaveolata024236</t>
  </si>
  <si>
    <t>SRY (sex determining region Y)-box</t>
  </si>
  <si>
    <t>Ofaveolata024239</t>
  </si>
  <si>
    <t>UDP-N-acetylglucosamine catabolic process</t>
  </si>
  <si>
    <t>Ofaveolata024244</t>
  </si>
  <si>
    <t>Late endosomal lysosomal adaptor, MAPK and MTOR activator 5</t>
  </si>
  <si>
    <t>Ofaveolata024248</t>
  </si>
  <si>
    <t>asparagine catabolic process via L-aspartate</t>
  </si>
  <si>
    <t>Ofaveolata024251</t>
  </si>
  <si>
    <t>Ofaveolata024255</t>
  </si>
  <si>
    <t>Ofaveolata024256</t>
  </si>
  <si>
    <t>Ofaveolata024284</t>
  </si>
  <si>
    <t>Ofaveolata024297</t>
  </si>
  <si>
    <t>stromal membrane-associated protein</t>
  </si>
  <si>
    <t>Ofaveolata024301</t>
  </si>
  <si>
    <t>Ofaveolata024312</t>
  </si>
  <si>
    <t>Ofaveolata024320</t>
  </si>
  <si>
    <t>Phosphotyrosine interaction domain (PTB/PID)</t>
  </si>
  <si>
    <t>Ofaveolata024321</t>
  </si>
  <si>
    <t>Ofaveolata024323</t>
  </si>
  <si>
    <t>Ofaveolata024326</t>
  </si>
  <si>
    <t>Ofaveolata024334</t>
  </si>
  <si>
    <t>Ofaveolata024336</t>
  </si>
  <si>
    <t>Ofaveolata024338</t>
  </si>
  <si>
    <t>Ofaveolata024354</t>
  </si>
  <si>
    <t>Ofaveolata024357</t>
  </si>
  <si>
    <t>Ofaveolata024365</t>
  </si>
  <si>
    <t>ankyrin repeats</t>
  </si>
  <si>
    <t>Ofaveolata024384</t>
  </si>
  <si>
    <t>Ofaveolata024407</t>
  </si>
  <si>
    <t>Ofaveolata024421</t>
  </si>
  <si>
    <t>negative regulation of monocyte differentiation</t>
  </si>
  <si>
    <t>Ofaveolata024441</t>
  </si>
  <si>
    <t>GPN-loop GTPase 3</t>
  </si>
  <si>
    <t>Ofaveolata024454</t>
  </si>
  <si>
    <t>tektin 2 (testicular)</t>
  </si>
  <si>
    <t>Ofaveolata024463</t>
  </si>
  <si>
    <t>ER to Golgi vesicle-mediated transport</t>
  </si>
  <si>
    <t>Ofaveolata024476</t>
  </si>
  <si>
    <t>Sigma factor PP2C-like phosphatases</t>
  </si>
  <si>
    <t>Ofaveolata024477</t>
  </si>
  <si>
    <t>ethanolaminephosphotransferase activity</t>
  </si>
  <si>
    <t>Ofaveolata024483</t>
  </si>
  <si>
    <t>Ofaveolata024491</t>
  </si>
  <si>
    <t>Ofaveolata024493</t>
  </si>
  <si>
    <t>intracellular distribution of mitochondria</t>
  </si>
  <si>
    <t>Ofaveolata024496</t>
  </si>
  <si>
    <t>Ofaveolata024508</t>
  </si>
  <si>
    <t>chromatin remodeling</t>
  </si>
  <si>
    <t>Ofaveolata024535</t>
  </si>
  <si>
    <t>Ofaveolata024555</t>
  </si>
  <si>
    <t>Ofaveolata024578</t>
  </si>
  <si>
    <t>lethal(3)malignant brain tumor-like protein</t>
  </si>
  <si>
    <t>Ofaveolata024583</t>
  </si>
  <si>
    <t>BEN domain-containing protein 3</t>
  </si>
  <si>
    <t>Ofaveolata024604</t>
  </si>
  <si>
    <t>lipid catabolic process</t>
  </si>
  <si>
    <t>Ofaveolata024609</t>
  </si>
  <si>
    <t>Ofaveolata024646</t>
  </si>
  <si>
    <t>Pyridine nucleotide-disulfide oxidoreductase domain-containing protein</t>
  </si>
  <si>
    <t>Ofaveolata024652</t>
  </si>
  <si>
    <t>iron-sulfur cluster assembly</t>
  </si>
  <si>
    <t>Ofaveolata024667</t>
  </si>
  <si>
    <t>Mitochondrial genome maintenance MGM101</t>
  </si>
  <si>
    <t>Ofaveolata024673</t>
  </si>
  <si>
    <t>oxidation-reduction process</t>
  </si>
  <si>
    <t>Ofaveolata024679</t>
  </si>
  <si>
    <t>phosphoenolpyruvate carboxykinase activity</t>
  </si>
  <si>
    <t>Ofaveolata024680</t>
  </si>
  <si>
    <t>Ofaveolata024682</t>
  </si>
  <si>
    <t>Wnt-protein binding</t>
  </si>
  <si>
    <t>Ofaveolata024688</t>
  </si>
  <si>
    <t>soluble NSF attachment protein activity</t>
  </si>
  <si>
    <t>Ofaveolata024689</t>
  </si>
  <si>
    <t>tubulin binding</t>
  </si>
  <si>
    <t>Ofaveolata024733</t>
  </si>
  <si>
    <t>Ofaveolata024765</t>
  </si>
  <si>
    <t>Ofaveolata024791</t>
  </si>
  <si>
    <t>Ofaveolata024852</t>
  </si>
  <si>
    <t>abducens nerve formation</t>
  </si>
  <si>
    <t>Ofaveolata024878</t>
  </si>
  <si>
    <t>Ofaveolata024964</t>
  </si>
  <si>
    <t>Ofaveolata024967</t>
  </si>
  <si>
    <t>Ofaveolata024970</t>
  </si>
  <si>
    <t>protein targeting to lysosome</t>
  </si>
  <si>
    <t>Ofaveolata024974</t>
  </si>
  <si>
    <t>ER membrane protein complex subunit</t>
  </si>
  <si>
    <t>Ofaveolata024990</t>
  </si>
  <si>
    <t>Ofaveolata024996</t>
  </si>
  <si>
    <t>negative regulation of transcription by RNA polymerase II</t>
  </si>
  <si>
    <t>Ofaveolata025000</t>
  </si>
  <si>
    <t>protein O-GlcNAc transferase activity</t>
  </si>
  <si>
    <t>Ofaveolata025001</t>
  </si>
  <si>
    <t>Ofaveolata025008</t>
  </si>
  <si>
    <t>Ofaveolata025012</t>
  </si>
  <si>
    <t>Ofaveolata025013</t>
  </si>
  <si>
    <t>GDP-mannose</t>
  </si>
  <si>
    <t>Ofaveolata025017</t>
  </si>
  <si>
    <t>saccharopine dehydrogenase (NAD+, L-lysine-forming) activity</t>
  </si>
  <si>
    <t>Ofaveolata025023</t>
  </si>
  <si>
    <t>Uncharacterized conserved protein (DUF2347)</t>
  </si>
  <si>
    <t>Ofaveolata025043</t>
  </si>
  <si>
    <t>Ofaveolata025075</t>
  </si>
  <si>
    <t>Ofaveolata025081</t>
  </si>
  <si>
    <t>regulation of mRNA export from nucleus</t>
  </si>
  <si>
    <t>Ofaveolata025147</t>
  </si>
  <si>
    <t>Ofaveolata025167</t>
  </si>
  <si>
    <t>vascular endothelial growth factor receptor-2 signaling pathway</t>
  </si>
  <si>
    <t>Ofaveolata025176</t>
  </si>
  <si>
    <t>Ofaveolata025184</t>
  </si>
  <si>
    <t>syndrome nuclear autoantigen 1</t>
  </si>
  <si>
    <t>Ofaveolata025221</t>
  </si>
  <si>
    <t>Ofaveolata025225</t>
  </si>
  <si>
    <t>Ofaveolata025231</t>
  </si>
  <si>
    <t>Ofaveolata025267</t>
  </si>
  <si>
    <t>Ofaveolata025271</t>
  </si>
  <si>
    <t>Saccharopine</t>
  </si>
  <si>
    <t>Ofaveolata025300</t>
  </si>
  <si>
    <t>positive regulation of extracellular matrix disassembly</t>
  </si>
  <si>
    <t>Ofaveolata025315</t>
  </si>
  <si>
    <t>NADH dehydrogenase (ubiquinone) flavoprotein 2</t>
  </si>
  <si>
    <t>Ofaveolata025327</t>
  </si>
  <si>
    <t>Aldo/keto reductase family</t>
  </si>
  <si>
    <t>Ofaveolata025342</t>
  </si>
  <si>
    <t>Ofaveolata025365</t>
  </si>
  <si>
    <t>Ofaveolata025374</t>
  </si>
  <si>
    <t>protein destabilization</t>
  </si>
  <si>
    <t>Ofaveolata025426</t>
  </si>
  <si>
    <t>Ofaveolata025429</t>
  </si>
  <si>
    <t>Ofaveolata025436</t>
  </si>
  <si>
    <t>Ofaveolata025442</t>
  </si>
  <si>
    <t>Ofaveolata025443</t>
  </si>
  <si>
    <t>Ofaveolata025444</t>
  </si>
  <si>
    <t>Ofaveolata025448</t>
  </si>
  <si>
    <t>Putative DNA-binding domain</t>
  </si>
  <si>
    <t>Ofaveolata025449</t>
  </si>
  <si>
    <t>BolA-like protein</t>
  </si>
  <si>
    <t>Ofaveolata025455</t>
  </si>
  <si>
    <t>Calbindin 2a</t>
  </si>
  <si>
    <t>Ofaveolata025456</t>
  </si>
  <si>
    <t>Ofaveolata025472</t>
  </si>
  <si>
    <t>tRNA threonylcarbamoyladenosine metabolic process</t>
  </si>
  <si>
    <t>Ofaveolata025477</t>
  </si>
  <si>
    <t>Ofaveolata025485</t>
  </si>
  <si>
    <t>DNA replication complex GINS protein</t>
  </si>
  <si>
    <t>Ofaveolata025488</t>
  </si>
  <si>
    <t>Ofaveolata025489</t>
  </si>
  <si>
    <t>Ofaveolata025520</t>
  </si>
  <si>
    <t>Arp2/3 complex-mediated actin nucleation</t>
  </si>
  <si>
    <t>Ofaveolata025543</t>
  </si>
  <si>
    <t>Ofaveolata025644</t>
  </si>
  <si>
    <t>Ofaveolata025657</t>
  </si>
  <si>
    <t>Ofaveolata025659</t>
  </si>
  <si>
    <t>establishment of animal organ orientation</t>
  </si>
  <si>
    <t>Ofaveolata025678</t>
  </si>
  <si>
    <t>Ofaveolata025692</t>
  </si>
  <si>
    <t>Ofaveolata025693</t>
  </si>
  <si>
    <t>Ofaveolata025695</t>
  </si>
  <si>
    <t>Ofaveolata025696</t>
  </si>
  <si>
    <t>Ofaveolata025698</t>
  </si>
  <si>
    <t>Ofaveolata025755</t>
  </si>
  <si>
    <t>negative regulation of sequestering of triglyceride</t>
  </si>
  <si>
    <t>Ofaveolata025759</t>
  </si>
  <si>
    <t>Ofaveolata025774</t>
  </si>
  <si>
    <t>Ofaveolata025780</t>
  </si>
  <si>
    <t>Ofaveolata025786</t>
  </si>
  <si>
    <t>S-adenosylhomocysteine catabolic process</t>
  </si>
  <si>
    <t>Ofaveolata025789</t>
  </si>
  <si>
    <t>mRNA processing</t>
  </si>
  <si>
    <t>Ofaveolata025810</t>
  </si>
  <si>
    <t>cyclic-GMP-AMP synthase activity</t>
  </si>
  <si>
    <t>Ofaveolata025833</t>
  </si>
  <si>
    <t>Ring finger</t>
  </si>
  <si>
    <t>Ofaveolata025836</t>
  </si>
  <si>
    <t>Ofaveolata025841</t>
  </si>
  <si>
    <t>dihydroorotate dehydrogenase activity</t>
  </si>
  <si>
    <t>Ofaveolata025849</t>
  </si>
  <si>
    <t>Ofaveolata025856</t>
  </si>
  <si>
    <t>RmlD substrate binding domain</t>
  </si>
  <si>
    <t>Ofaveolata025873</t>
  </si>
  <si>
    <t>Programmed cell death</t>
  </si>
  <si>
    <t>Ofaveolata025879</t>
  </si>
  <si>
    <t>Ofaveolata025972</t>
  </si>
  <si>
    <t>Protein phosphatase 1 regulatory subunit 27</t>
  </si>
  <si>
    <t>Ofaveolata025975</t>
  </si>
  <si>
    <t>Methyltransferase-like protein 17</t>
  </si>
  <si>
    <t>Ofaveolata025979</t>
  </si>
  <si>
    <t>defense response to fungus</t>
  </si>
  <si>
    <t>Ofaveolata025993</t>
  </si>
  <si>
    <t>Ofaveolata025999</t>
  </si>
  <si>
    <t>response to unfolded protein</t>
  </si>
  <si>
    <t>Ofaveolata026000</t>
  </si>
  <si>
    <t>Ofaveolata026010</t>
  </si>
  <si>
    <t>negative regulation of SNARE complex assembly</t>
  </si>
  <si>
    <t>Ofaveolata026020</t>
  </si>
  <si>
    <t>Ofaveolata026079</t>
  </si>
  <si>
    <t>Ofaveolata026080</t>
  </si>
  <si>
    <t>Ofaveolata026116</t>
  </si>
  <si>
    <t>Ofaveolata026123</t>
  </si>
  <si>
    <t>Ofaveolata026146</t>
  </si>
  <si>
    <t>Cytochrome c1, heme protein</t>
  </si>
  <si>
    <t>Ofaveolata026173</t>
  </si>
  <si>
    <t>cysteine desulfurase activity</t>
  </si>
  <si>
    <t>Ofaveolata026194</t>
  </si>
  <si>
    <t>Ofaveolata026211</t>
  </si>
  <si>
    <t>Ofaveolata026259</t>
  </si>
  <si>
    <t>Ofaveolata026263</t>
  </si>
  <si>
    <t>Phosphoethanolamine methyltransferase</t>
  </si>
  <si>
    <t>Ofaveolata026264</t>
  </si>
  <si>
    <t>Cys/Met metabolism PLP-dependent enzyme</t>
  </si>
  <si>
    <t>Ofaveolata026274</t>
  </si>
  <si>
    <t>nuclear protein 1</t>
  </si>
  <si>
    <t>Ofaveolata026330</t>
  </si>
  <si>
    <t>Family with sequence similarity 210 member B</t>
  </si>
  <si>
    <t>Ofaveolata026338</t>
  </si>
  <si>
    <t>dodecenoyl-CoA delta-isomerase activity</t>
  </si>
  <si>
    <t>Ofaveolata026353</t>
  </si>
  <si>
    <t>Family with sequence similarity 192, member A</t>
  </si>
  <si>
    <t>Ofaveolata026375</t>
  </si>
  <si>
    <t>Ofaveolata026381</t>
  </si>
  <si>
    <t>Ofaveolata026385</t>
  </si>
  <si>
    <t>Ofaveolata026391</t>
  </si>
  <si>
    <t>V-maf musculoaponeurotic fibrosarcoma oncogene family, protein B, duplicate b</t>
  </si>
  <si>
    <t>Ofaveolata026392</t>
  </si>
  <si>
    <t>Belongs to the bZIP family</t>
  </si>
  <si>
    <t>Ofaveolata026397</t>
  </si>
  <si>
    <t>Ofaveolata026398</t>
  </si>
  <si>
    <t>Ofaveolata026401</t>
  </si>
  <si>
    <t>V-maf avian musculoaponeurotic fibrosarcoma oncogene homolog</t>
  </si>
  <si>
    <t>Ofaveolata026402</t>
  </si>
  <si>
    <t>Ofaveolata026403</t>
  </si>
  <si>
    <t>Ofaveolata026415</t>
  </si>
  <si>
    <t>Ofaveolata026430</t>
  </si>
  <si>
    <t>Ofaveolata026445</t>
  </si>
  <si>
    <t>Starch/carbohydrate-binding module (family 53)</t>
  </si>
  <si>
    <t>Ofaveolata026447</t>
  </si>
  <si>
    <t>Ofaveolata026455</t>
  </si>
  <si>
    <t>AFG3-like protein</t>
  </si>
  <si>
    <t>Ofaveolata026466</t>
  </si>
  <si>
    <t>phosphatidic acid transporter activity</t>
  </si>
  <si>
    <t>Ofaveolata026477</t>
  </si>
  <si>
    <t>Ofaveolata026491</t>
  </si>
  <si>
    <t>Ofaveolata026493</t>
  </si>
  <si>
    <t>Ofaveolata026497</t>
  </si>
  <si>
    <t>Ofaveolata026505</t>
  </si>
  <si>
    <t>Ofaveolata026514</t>
  </si>
  <si>
    <t>canonical Wnt signaling pathway involved in osteoblast differentiation</t>
  </si>
  <si>
    <t>Ofaveolata026524</t>
  </si>
  <si>
    <t>Ofaveolata026538</t>
  </si>
  <si>
    <t>Ofaveolata026600</t>
  </si>
  <si>
    <t>Ofaveolata026601</t>
  </si>
  <si>
    <t>Ofaveolata026602</t>
  </si>
  <si>
    <t>Ofaveolata026605</t>
  </si>
  <si>
    <t>Ofaveolata026612</t>
  </si>
  <si>
    <t>Belongs to the OSBP family</t>
  </si>
  <si>
    <t>Ofaveolata026617</t>
  </si>
  <si>
    <t>Protein of unknown function (DUF974)</t>
  </si>
  <si>
    <t>Ofaveolata026631</t>
  </si>
  <si>
    <t>Ofaveolata026646</t>
  </si>
  <si>
    <t>Ferric-chelate reductase</t>
  </si>
  <si>
    <t>Ofaveolata026677</t>
  </si>
  <si>
    <t>Ofaveolata026678</t>
  </si>
  <si>
    <t>Histidine biosynthesis trifunctional protein</t>
  </si>
  <si>
    <t>Ofaveolata026690</t>
  </si>
  <si>
    <t>Ofaveolata026736</t>
  </si>
  <si>
    <t>Ofaveolata026777</t>
  </si>
  <si>
    <t>beta-endorphin binding</t>
  </si>
  <si>
    <t>Ofaveolata026883</t>
  </si>
  <si>
    <t>NADP-retinol dehydrogenase activity</t>
  </si>
  <si>
    <t>Ofaveolata026884</t>
  </si>
  <si>
    <t>Ofaveolata026893</t>
  </si>
  <si>
    <t>dolichyl pyrophosphate Man9GlcNAc2 alpha-1,3-glucosyltransferase activity</t>
  </si>
  <si>
    <t>Ofaveolata026897</t>
  </si>
  <si>
    <t>Ofaveolata026917</t>
  </si>
  <si>
    <t>proton-transporting ATP synthase activity, rotational mechanism</t>
  </si>
  <si>
    <t>Ofaveolata026930</t>
  </si>
  <si>
    <t>Belongs to the V-ATPase proteolipid subunit family</t>
  </si>
  <si>
    <t>Ofaveolata026942</t>
  </si>
  <si>
    <t>Phosphatidic acid phosphatase type 2B</t>
  </si>
  <si>
    <t>Ofaveolata026944</t>
  </si>
  <si>
    <t>epidermal growth factor receptor</t>
  </si>
  <si>
    <t>Ofaveolata026947</t>
  </si>
  <si>
    <t>Catalyzes the formation of S-adenosylmethionine from methionine and ATP</t>
  </si>
  <si>
    <t>Ofaveolata026967</t>
  </si>
  <si>
    <t>Ofaveolata027010</t>
  </si>
  <si>
    <t>regulation of secretory granule organization</t>
  </si>
  <si>
    <t>Ofaveolata027016</t>
  </si>
  <si>
    <t>Sterol-sensing domain of SREBP cleavage-activation</t>
  </si>
  <si>
    <t>Ofaveolata027031</t>
  </si>
  <si>
    <t>Chromosome 1 open reading frame 177</t>
  </si>
  <si>
    <t>Ofaveolata027035</t>
  </si>
  <si>
    <t>Ofaveolata027037</t>
  </si>
  <si>
    <t>Ofaveolata027045</t>
  </si>
  <si>
    <t>Ofaveolata027059</t>
  </si>
  <si>
    <t>glycerol ether metabolic process</t>
  </si>
  <si>
    <t>Ofaveolata027062</t>
  </si>
  <si>
    <t>Ofaveolata027091</t>
  </si>
  <si>
    <t>Coiled-coil domain containing 17</t>
  </si>
  <si>
    <t>Ofaveolata027158</t>
  </si>
  <si>
    <t>Ofaveolata027159</t>
  </si>
  <si>
    <t>Ofaveolata027181</t>
  </si>
  <si>
    <t>Ofaveolata027185</t>
  </si>
  <si>
    <t>common myeloid progenitor cell proliferation</t>
  </si>
  <si>
    <t>Ofaveolata027201</t>
  </si>
  <si>
    <t>Belongs to the ammonium transporter (TC 2.A.49) family. Rh subfamily</t>
  </si>
  <si>
    <t>Ofaveolata027205</t>
  </si>
  <si>
    <t>DNA synthesis involved in double-strand break repair via homologous recombination</t>
  </si>
  <si>
    <t>Ofaveolata027206</t>
  </si>
  <si>
    <t>Gremlin-2</t>
  </si>
  <si>
    <t>Ofaveolata027208</t>
  </si>
  <si>
    <t>Ofaveolata027210</t>
  </si>
  <si>
    <t>Sulfatase-modifying factor enzyme 1</t>
  </si>
  <si>
    <t>Ofaveolata027215</t>
  </si>
  <si>
    <t>Ofaveolata027249</t>
  </si>
  <si>
    <t>e3 ubiquitin-protein ligase</t>
  </si>
  <si>
    <t>Ofaveolata027252</t>
  </si>
  <si>
    <t>Polysaccharide deacetylase</t>
  </si>
  <si>
    <t>Ofaveolata027253</t>
  </si>
  <si>
    <t>Ofaveolata027268</t>
  </si>
  <si>
    <t>cytoplasmic sequestering of NF-kappaB</t>
  </si>
  <si>
    <t>Ofaveolata027277</t>
  </si>
  <si>
    <t>Ofaveolata027302</t>
  </si>
  <si>
    <t>Ofaveolata027304</t>
  </si>
  <si>
    <t>Ofaveolata027400</t>
  </si>
  <si>
    <t>Ofaveolata027438</t>
  </si>
  <si>
    <t>Ofaveolata027439</t>
  </si>
  <si>
    <t>Ofaveolata027442</t>
  </si>
  <si>
    <t>glutamine biosynthetic process</t>
  </si>
  <si>
    <t>Ofaveolata027445</t>
  </si>
  <si>
    <t>Ofaveolata027507</t>
  </si>
  <si>
    <t>Ofaveolata027518</t>
  </si>
  <si>
    <t>magnesium ion transmembrane transporter activity</t>
  </si>
  <si>
    <t>Ofaveolata027534</t>
  </si>
  <si>
    <t>Ofaveolata027538</t>
  </si>
  <si>
    <t>Ofaveolata027566</t>
  </si>
  <si>
    <t>Ofaveolata027571</t>
  </si>
  <si>
    <t>Ofaveolata027574</t>
  </si>
  <si>
    <t>Ofaveolata027609</t>
  </si>
  <si>
    <t>Ofaveolata027707</t>
  </si>
  <si>
    <t>Ofaveolata027735</t>
  </si>
  <si>
    <t>diphthine synthase activity</t>
  </si>
  <si>
    <t>Ofaveolata027737</t>
  </si>
  <si>
    <t>Ofaveolata027769</t>
  </si>
  <si>
    <t>regulation of intraciliary retrograde transport</t>
  </si>
  <si>
    <t>Ofaveolata027771</t>
  </si>
  <si>
    <t>spectrin binding</t>
  </si>
  <si>
    <t>Ofaveolata027778</t>
  </si>
  <si>
    <t>Sel1-like repeats.</t>
  </si>
  <si>
    <t>Ofaveolata027832</t>
  </si>
  <si>
    <t>Ofaveolata027835</t>
  </si>
  <si>
    <t>Histone-lysine N-methyltransferase, H3 lysine-79 specific</t>
  </si>
  <si>
    <t>Ofaveolata027857</t>
  </si>
  <si>
    <t>Ofaveolata027886</t>
  </si>
  <si>
    <t>Ofaveolata027896</t>
  </si>
  <si>
    <t>Belongs to the p53 family</t>
  </si>
  <si>
    <t>Ofaveolata027933</t>
  </si>
  <si>
    <t>Ofaveolata027953</t>
  </si>
  <si>
    <t>very-long-chain enoyl-CoA</t>
  </si>
  <si>
    <t>Ofaveolata027959</t>
  </si>
  <si>
    <t>DNA-directed RNA polymerase activity. It is involved in the biological process described with transcription, DNA-templated</t>
  </si>
  <si>
    <t>Ofaveolata027973</t>
  </si>
  <si>
    <t>DIRAS family, GTP-binding Ras-like</t>
  </si>
  <si>
    <t>Ofaveolata027982</t>
  </si>
  <si>
    <t>Pyruvate formate lyase-like</t>
  </si>
  <si>
    <t>Ofaveolata028005</t>
  </si>
  <si>
    <t>Ofaveolata028046</t>
  </si>
  <si>
    <t>Ofaveolata028063</t>
  </si>
  <si>
    <t>Belongs to the histone deacetylase family. HD Type 1 subfamily</t>
  </si>
  <si>
    <t>Ofaveolata028094</t>
  </si>
  <si>
    <t>Ofaveolata028101</t>
  </si>
  <si>
    <t>Ofaveolata028108</t>
  </si>
  <si>
    <t>Ofaveolata028109</t>
  </si>
  <si>
    <t>Ofaveolata028131</t>
  </si>
  <si>
    <t>D-arabinono-1,4-lactone oxidase</t>
  </si>
  <si>
    <t>Ofaveolata028160</t>
  </si>
  <si>
    <t>Ofaveolata028201</t>
  </si>
  <si>
    <t>Insulin gene enhancer protein</t>
  </si>
  <si>
    <t>Ofaveolata028208</t>
  </si>
  <si>
    <t>protein transport</t>
  </si>
  <si>
    <t>Ofaveolata028211</t>
  </si>
  <si>
    <t>Ofaveolata028213</t>
  </si>
  <si>
    <t>Ofaveolata028243</t>
  </si>
  <si>
    <t>helicase activity</t>
  </si>
  <si>
    <t>Ofaveolata028249</t>
  </si>
  <si>
    <t>myristoyl-CoA hydrolase activity</t>
  </si>
  <si>
    <t>Ofaveolata028253</t>
  </si>
  <si>
    <t>Ofaveolata028311</t>
  </si>
  <si>
    <t>intramolecular oxidoreductase activity, transposing S-S bonds</t>
  </si>
  <si>
    <t>Ofaveolata028319</t>
  </si>
  <si>
    <t>Ofaveolata028325</t>
  </si>
  <si>
    <t>Ofaveolata028410</t>
  </si>
  <si>
    <t>Ofaveolata028458</t>
  </si>
  <si>
    <t>Furin-like repeats</t>
  </si>
  <si>
    <t>Ofaveolata028467</t>
  </si>
  <si>
    <t>Ofaveolata028471</t>
  </si>
  <si>
    <t>betaine-homocysteine S-methyltransferase activity</t>
  </si>
  <si>
    <t>Ofaveolata028502</t>
  </si>
  <si>
    <t>Survival motor neuron protein</t>
  </si>
  <si>
    <t>Ofaveolata028556</t>
  </si>
  <si>
    <t>Ofaveolata028559</t>
  </si>
  <si>
    <t>Ofaveolata028571</t>
  </si>
  <si>
    <t>Ofaveolata028580</t>
  </si>
  <si>
    <t>Ofaveolata028667</t>
  </si>
  <si>
    <t>negative regulation of smooth muscle cell differentiation</t>
  </si>
  <si>
    <t>Ofaveolata028669</t>
  </si>
  <si>
    <t>interkinetic nuclear migration</t>
  </si>
  <si>
    <t>Ofaveolata028673</t>
  </si>
  <si>
    <t>regulation of proteasomal ubiquitin-dependent protein catabolic process</t>
  </si>
  <si>
    <t>Ofaveolata028679</t>
  </si>
  <si>
    <t>RING finger protein 115</t>
  </si>
  <si>
    <t>Ofaveolata028686</t>
  </si>
  <si>
    <t>Ofaveolata028697</t>
  </si>
  <si>
    <t>protein N-linked glycosylation via arginine</t>
  </si>
  <si>
    <t>Ofaveolata028699</t>
  </si>
  <si>
    <t>T cell proliferation involved in immune response</t>
  </si>
  <si>
    <t>Ofaveolata028704</t>
  </si>
  <si>
    <t>Acts in the nervous system to mediate the control of copulatory organs during courtship</t>
  </si>
  <si>
    <t>Ofaveolata028711</t>
  </si>
  <si>
    <t>structural molecule activity</t>
  </si>
  <si>
    <t>Ofaveolata028712</t>
  </si>
  <si>
    <t>Ofaveolata028722</t>
  </si>
  <si>
    <t>Paired box protein 7</t>
  </si>
  <si>
    <t>Ofaveolata028744</t>
  </si>
  <si>
    <t>Ofaveolata028753</t>
  </si>
  <si>
    <t>Ofaveolata028760</t>
  </si>
  <si>
    <t>3-hydroxyacyl-CoA dehydratase activity</t>
  </si>
  <si>
    <t>Ofaveolata028763</t>
  </si>
  <si>
    <t>Ofaveolata028765</t>
  </si>
  <si>
    <t>positive regulation by host of viral genome replication</t>
  </si>
  <si>
    <t>Ofaveolata028768</t>
  </si>
  <si>
    <t>Ofaveolata028772</t>
  </si>
  <si>
    <t>Short calmodulin-binding motif containing conserved Ile and Gln residues.</t>
  </si>
  <si>
    <t>Ofaveolata028788</t>
  </si>
  <si>
    <t>positive regulation of rRNA processing</t>
  </si>
  <si>
    <t>Ofaveolata028792</t>
  </si>
  <si>
    <t>Belongs to the universal ribosomal protein uS19 family</t>
  </si>
  <si>
    <t>Ofaveolata028797</t>
  </si>
  <si>
    <t>guanine nucleotide-releasing factor</t>
  </si>
  <si>
    <t>Ofaveolata028816</t>
  </si>
  <si>
    <t>Ofaveolata028859</t>
  </si>
  <si>
    <t>Non-lysosomal glucosylceramidase that catalyzes the conversion of glucosylceramide to free glucose and ceramide</t>
  </si>
  <si>
    <t>Ofaveolata028882</t>
  </si>
  <si>
    <t>Ofaveolata028888</t>
  </si>
  <si>
    <t>PFAM Thioredoxin</t>
  </si>
  <si>
    <t>Ofaveolata028889</t>
  </si>
  <si>
    <t>Ofaveolata028893</t>
  </si>
  <si>
    <t>Ofaveolata028900</t>
  </si>
  <si>
    <t>Beta-1,3-galactosyltransferase 4</t>
  </si>
  <si>
    <t>Ofaveolata028939</t>
  </si>
  <si>
    <t>Belongs to the FBPase class 1 family</t>
  </si>
  <si>
    <t>Ofaveolata028941</t>
  </si>
  <si>
    <t>Ofaveolata028942</t>
  </si>
  <si>
    <t>Ofaveolata028944</t>
  </si>
  <si>
    <t>Ofaveolata028945</t>
  </si>
  <si>
    <t>Ofaveolata028947</t>
  </si>
  <si>
    <t>Ofaveolata028948</t>
  </si>
  <si>
    <t>Ofaveolata028961</t>
  </si>
  <si>
    <t>regulation of fibroblast apoptotic process</t>
  </si>
  <si>
    <t>Ofaveolata028964</t>
  </si>
  <si>
    <t>Ofaveolata029003</t>
  </si>
  <si>
    <t>Ofaveolata029009</t>
  </si>
  <si>
    <t>fatty acid beta-oxidation using acyl-CoA dehydrogenase</t>
  </si>
  <si>
    <t>Ofaveolata029011</t>
  </si>
  <si>
    <t>Ofaveolata029052</t>
  </si>
  <si>
    <t>Ofaveolata029057</t>
  </si>
  <si>
    <t>Ofaveolata029083</t>
  </si>
  <si>
    <t>Ofaveolata029106</t>
  </si>
  <si>
    <t>NADH dehydrogenase (ubiquinone) 1 alpha subcomplex</t>
  </si>
  <si>
    <t>Ofaveolata029127</t>
  </si>
  <si>
    <t>Ofaveolata029145</t>
  </si>
  <si>
    <t>Ofaveolata029155</t>
  </si>
  <si>
    <t>Ofaveolata029171</t>
  </si>
  <si>
    <t>Ofaveolata029192</t>
  </si>
  <si>
    <t>Ofaveolata029194</t>
  </si>
  <si>
    <t>Ariadne RBR E3 ubiquitin protein ligase 1</t>
  </si>
  <si>
    <t>Ofaveolata029208</t>
  </si>
  <si>
    <t>Ofaveolata029233</t>
  </si>
  <si>
    <t>Ubiquitin-conjugating enzyme</t>
  </si>
  <si>
    <t>Ofaveolata029234</t>
  </si>
  <si>
    <t>Ofaveolata029238</t>
  </si>
  <si>
    <t>Threonine dehydratase</t>
  </si>
  <si>
    <t>Ofaveolata029248</t>
  </si>
  <si>
    <t>Ofaveolata029252</t>
  </si>
  <si>
    <t>Asparaginyl-tRNA synthetase</t>
  </si>
  <si>
    <t>Ofaveolata029254</t>
  </si>
  <si>
    <t>Ofaveolata029258</t>
  </si>
  <si>
    <t>Ofaveolata029259</t>
  </si>
  <si>
    <t>Ofaveolata029276</t>
  </si>
  <si>
    <t>Ofaveolata029289</t>
  </si>
  <si>
    <t>alpha-methylacyl-CoA racemase activity</t>
  </si>
  <si>
    <t>Ofaveolata029290</t>
  </si>
  <si>
    <t>Ofaveolata029294</t>
  </si>
  <si>
    <t>Belongs to the oxygen-dependent FAD-linked oxidoreductase family</t>
  </si>
  <si>
    <t>Ofaveolata029295</t>
  </si>
  <si>
    <t>Ofaveolata029344</t>
  </si>
  <si>
    <t>Excises uracil residues from the DNA which can arise as a result of misincorporation of dUMP residues by DNA polymerase or due to deamination of cytosine</t>
  </si>
  <si>
    <t>Ofaveolata029374</t>
  </si>
  <si>
    <t>The coatomer is a cytosolic protein complex that binds to dilysine motifs and reversibly associates with Golgi non- clathrin-coated vesicles, which further mediate biosynthetic protein transport from the ER, via the Golgi up to the trans Golgi network. The coatomer complex is required for budding from Golgi membranes, and is essential for the retrograde Golgi-to-ER transport of dilysine-tagged proteins</t>
  </si>
  <si>
    <t>Ofaveolata029411</t>
  </si>
  <si>
    <t>Ofaveolata029412</t>
  </si>
  <si>
    <t>DUF167</t>
  </si>
  <si>
    <t>Ofaveolata029422</t>
  </si>
  <si>
    <t>Thioredoxin-like domain</t>
  </si>
  <si>
    <t>Ofaveolata029427</t>
  </si>
  <si>
    <t>Elongation factor</t>
  </si>
  <si>
    <t>Ofaveolata029458</t>
  </si>
  <si>
    <t>Ofaveolata029518</t>
  </si>
  <si>
    <t>Ofaveolata029521</t>
  </si>
  <si>
    <t>Ofaveolata029523</t>
  </si>
  <si>
    <t>complement activation</t>
  </si>
  <si>
    <t>Ofaveolata029572</t>
  </si>
  <si>
    <t>vesicle-associated membrane protein 4</t>
  </si>
  <si>
    <t>Ofaveolata029593</t>
  </si>
  <si>
    <t>Ofaveolata029623</t>
  </si>
  <si>
    <t>Ribosomal protein S16</t>
  </si>
  <si>
    <t>Ofaveolata029637</t>
  </si>
  <si>
    <t>5S rRNA binding</t>
  </si>
  <si>
    <t>Ofaveolata029640</t>
  </si>
  <si>
    <t>cellular response to camptothecin</t>
  </si>
  <si>
    <t>Ofaveolata029658</t>
  </si>
  <si>
    <t>GTP-Rho binding</t>
  </si>
  <si>
    <t>Ofaveolata029667</t>
  </si>
  <si>
    <t>Ofaveolata029688</t>
  </si>
  <si>
    <t>Ofaveolata029710</t>
  </si>
  <si>
    <t>Ofaveolata029717</t>
  </si>
  <si>
    <t>Ofaveolata029719</t>
  </si>
  <si>
    <t>Ofaveolata029723</t>
  </si>
  <si>
    <t>Ofaveolata029746</t>
  </si>
  <si>
    <t>Tuberous sclerosis</t>
  </si>
  <si>
    <t>Ofaveolata029747</t>
  </si>
  <si>
    <t>HD domain</t>
  </si>
  <si>
    <t>Ofaveolata029755</t>
  </si>
  <si>
    <t>Peptidase M16 inactive domain</t>
  </si>
  <si>
    <t>Ofaveolata029756</t>
  </si>
  <si>
    <t>Ofaveolata029786</t>
  </si>
  <si>
    <t>Ofaveolata029796</t>
  </si>
  <si>
    <t>Ofaveolata029798</t>
  </si>
  <si>
    <t>Ofaveolata029799</t>
  </si>
  <si>
    <t>Ofaveolata029818</t>
  </si>
  <si>
    <t>Ofaveolata029820</t>
  </si>
  <si>
    <t>NAD(P)+ nucleosidase activity</t>
  </si>
  <si>
    <t>Ofaveolata029829</t>
  </si>
  <si>
    <t>tRNA wybutosine-synthesizing protein 3 homolog</t>
  </si>
  <si>
    <t>Ofaveolata029834</t>
  </si>
  <si>
    <t>nicotinamide phosphoribosyltransferase activity</t>
  </si>
  <si>
    <t>Ofaveolata029838</t>
  </si>
  <si>
    <t>Ofaveolata029860</t>
  </si>
  <si>
    <t>Ofaveolata029875</t>
  </si>
  <si>
    <t>Ofaveolata029885</t>
  </si>
  <si>
    <t>Ofaveolata029893</t>
  </si>
  <si>
    <t>nitric oxide synthase</t>
  </si>
  <si>
    <t>Ofaveolata029896</t>
  </si>
  <si>
    <t>alpha/beta hydrolase fold</t>
  </si>
  <si>
    <t>Ofaveolata029931</t>
  </si>
  <si>
    <t>Ofaveolata029935</t>
  </si>
  <si>
    <t>poly(U) RNA binding</t>
  </si>
  <si>
    <t>Ofaveolata029937</t>
  </si>
  <si>
    <t>Ofaveolata029961</t>
  </si>
  <si>
    <t>negative regulation of protein depolymerization</t>
  </si>
  <si>
    <t>Ofaveolata029963</t>
  </si>
  <si>
    <t>ATP-dependent 3'-5' RNA helicase activity</t>
  </si>
  <si>
    <t>Ofaveolata029977</t>
  </si>
  <si>
    <t>SOUL heme-binding protein</t>
  </si>
  <si>
    <t>Ofaveolata029978</t>
  </si>
  <si>
    <t>Ofaveolata029979</t>
  </si>
  <si>
    <t>RNA polymerase II subunit B1 CTD phosphatase RPAP2</t>
  </si>
  <si>
    <t>Ofaveolata029980</t>
  </si>
  <si>
    <t>laminin subunit</t>
  </si>
  <si>
    <t>Ofaveolata029992</t>
  </si>
  <si>
    <t>Ofaveolata029996</t>
  </si>
  <si>
    <t>manganese ion binding</t>
  </si>
  <si>
    <t>Ofaveolata030004</t>
  </si>
  <si>
    <t>Mov10 RISC complex RNA helicase</t>
  </si>
  <si>
    <t>Ofaveolata030009</t>
  </si>
  <si>
    <t>Ofaveolata030010</t>
  </si>
  <si>
    <t>Far upstream element-binding protein</t>
  </si>
  <si>
    <t>Ofaveolata030046</t>
  </si>
  <si>
    <t>Regulator of chromosome condensation</t>
  </si>
  <si>
    <t>Ofaveolata030092</t>
  </si>
  <si>
    <t>9-cis retinoic acid receptor activity</t>
  </si>
  <si>
    <t>Ofaveolata030095</t>
  </si>
  <si>
    <t>Ofaveolata030136</t>
  </si>
  <si>
    <t>Ubiquitin specific peptidase 20</t>
  </si>
  <si>
    <t>Ofaveolata030138</t>
  </si>
  <si>
    <t>Ubiquitin carboxyl-terminal hydrolase</t>
  </si>
  <si>
    <t>Ofaveolata030151</t>
  </si>
  <si>
    <t>Uncharacterized conserved protein (DUF2358)</t>
  </si>
  <si>
    <t>Ofaveolata030201</t>
  </si>
  <si>
    <t>Ofaveolata030213</t>
  </si>
  <si>
    <t>Ofaveolata030224</t>
  </si>
  <si>
    <t>Ofaveolata030231</t>
  </si>
  <si>
    <t>Ofaveolata030274</t>
  </si>
  <si>
    <t>Surfeit locus protein 2 (SURF2)</t>
  </si>
  <si>
    <t>Ofaveolata030276</t>
  </si>
  <si>
    <t>Aminotransferase class-V</t>
  </si>
  <si>
    <t>Ofaveolata030277</t>
  </si>
  <si>
    <t>negative regulation of DNA damage checkpoint</t>
  </si>
  <si>
    <t>Ofaveolata030278</t>
  </si>
  <si>
    <t>Catalyzes conversion of folates to polyglutamate derivatives allowing concentration of folate compounds in the cell and the intracellular retention of these cofactors, which are important substrates for most of the folate-dependent enzymes that are involved in one-carbon transfer reactions involved in purine, pyrimidine and amino acid synthesis</t>
  </si>
  <si>
    <t>Ofaveolata030283</t>
  </si>
  <si>
    <t>negative regulation of glucocorticoid receptor signaling pathway</t>
  </si>
  <si>
    <t>Ofaveolata030285</t>
  </si>
  <si>
    <t>Ofaveolata030301</t>
  </si>
  <si>
    <t>Belongs to the TRAFAC class myosin-kinesin ATPase superfamily. Kinesin family</t>
  </si>
  <si>
    <t>Ofaveolata030326</t>
  </si>
  <si>
    <t>mitochondrial translation</t>
  </si>
  <si>
    <t>Ofaveolata030337</t>
  </si>
  <si>
    <t>protein tag</t>
  </si>
  <si>
    <t>Ofaveolata030341</t>
  </si>
  <si>
    <t>leucine-rich repeat and IQ domain-containing protein 3</t>
  </si>
  <si>
    <t>Ofaveolata030345</t>
  </si>
  <si>
    <t>Ofaveolata030366</t>
  </si>
  <si>
    <t>procollagen galactosyltransferase activity</t>
  </si>
  <si>
    <t>Ofaveolata030370</t>
  </si>
  <si>
    <t>Proline-rich coiled-coil</t>
  </si>
  <si>
    <t>Ofaveolata030420</t>
  </si>
  <si>
    <t>Ofaveolata030441</t>
  </si>
  <si>
    <t>Belongs to the TRAFAC class myosin-kinesin ATPase superfamily. Myosin family</t>
  </si>
  <si>
    <t>Ofaveolata030466</t>
  </si>
  <si>
    <t>Ofaveolata030469</t>
  </si>
  <si>
    <t>Peyer's patch morphogenesis</t>
  </si>
  <si>
    <t>Ofaveolata030493</t>
  </si>
  <si>
    <t>Formyl transferase, C-terminal domain</t>
  </si>
  <si>
    <t>Ofaveolata030508</t>
  </si>
  <si>
    <t>3',5'-cyclic-AMP phosphodiesterase activity</t>
  </si>
  <si>
    <t>Ofaveolata030528</t>
  </si>
  <si>
    <t>Ofaveolata030532</t>
  </si>
  <si>
    <t>Zona pellucida-like domain</t>
  </si>
  <si>
    <t>Ofaveolata030534</t>
  </si>
  <si>
    <t>dimethylglycine dehydrogenase activity</t>
  </si>
  <si>
    <t>Ofaveolata030541</t>
  </si>
  <si>
    <t>Ofaveolata030545</t>
  </si>
  <si>
    <t>RNA-binding component of the eukaryotic translation initiation factor 3 (eIF-3) complex, which is involved in protein synthesis of a specialized repertoire of mRNAs and, together with other initiation factors, stimulates binding of mRNA and methionyl-tRNAi to the 40S ribosome. The eIF-3 complex specifically targets and initiates translation of a subset of mRNAs involved in cell proliferation. This subunit can bind 18S rRNA</t>
  </si>
  <si>
    <t>Ofaveolata030565</t>
  </si>
  <si>
    <t>scavenger receptor activity</t>
  </si>
  <si>
    <t>Ofaveolata030619</t>
  </si>
  <si>
    <t>casein kinase</t>
  </si>
  <si>
    <t>Ofaveolata030624</t>
  </si>
  <si>
    <t>Ofaveolata030633</t>
  </si>
  <si>
    <t>TCDD-inducible</t>
  </si>
  <si>
    <t>Ofaveolata030644</t>
  </si>
  <si>
    <t>Ofaveolata030646</t>
  </si>
  <si>
    <t>Ofaveolata030647</t>
  </si>
  <si>
    <t>sequence-specific DNA binding. It is involved in the biological process described with regulation of transcription, DNA-templated</t>
  </si>
  <si>
    <t>Ofaveolata030676</t>
  </si>
  <si>
    <t>Ofaveolata030677</t>
  </si>
  <si>
    <t>proximal promoter DNA-binding transcription activator activity, RNA polymerase II-specific</t>
  </si>
  <si>
    <t>Ofaveolata030701</t>
  </si>
  <si>
    <t>Ofaveolata030703</t>
  </si>
  <si>
    <t>Ofaveolata030734</t>
  </si>
  <si>
    <t>Ofaveolata030747</t>
  </si>
  <si>
    <t>Ofaveolata030759</t>
  </si>
  <si>
    <t>Ofaveolata030762</t>
  </si>
  <si>
    <t>Ofaveolata030812</t>
  </si>
  <si>
    <t>lysophospholipase activity</t>
  </si>
  <si>
    <t>Ofaveolata030837</t>
  </si>
  <si>
    <t>Ofaveolata030882</t>
  </si>
  <si>
    <t>Ofaveolata030951</t>
  </si>
  <si>
    <t>Ofaveolata030971</t>
  </si>
  <si>
    <t>Ofaveolata030973</t>
  </si>
  <si>
    <t>Ofaveolata031051</t>
  </si>
  <si>
    <t>helix loop helix domain</t>
  </si>
  <si>
    <t>Ofaveolata031067</t>
  </si>
  <si>
    <t>U6 snRNA-associated Sm-like protein</t>
  </si>
  <si>
    <t>Ofaveolata031086</t>
  </si>
  <si>
    <t>Ofaveolata031112</t>
  </si>
  <si>
    <t>Ofaveolata031121</t>
  </si>
  <si>
    <t>Ofaveolata031139</t>
  </si>
  <si>
    <t>axonogenesis involved in innervation</t>
  </si>
  <si>
    <t>Ofaveolata031197</t>
  </si>
  <si>
    <t>S-adenosylmethionine cycle</t>
  </si>
  <si>
    <t>Ofaveolata031226</t>
  </si>
  <si>
    <t>Ofaveolata031289</t>
  </si>
  <si>
    <t>Degradation arginine-rich protein for mis-folding</t>
  </si>
  <si>
    <t>Ofaveolata031292</t>
  </si>
  <si>
    <t>Ofaveolata031293</t>
  </si>
  <si>
    <t>Ofaveolata031317</t>
  </si>
  <si>
    <t>Archaemetzincin-2 isoform X1</t>
  </si>
  <si>
    <t>Ofaveolata031323</t>
  </si>
  <si>
    <t>Ofaveolata031346</t>
  </si>
  <si>
    <t>Ofaveolata031435</t>
  </si>
  <si>
    <t>Ofaveolata031439</t>
  </si>
  <si>
    <t>Ofaveolata031441</t>
  </si>
  <si>
    <t>Solute carrier family 35</t>
  </si>
  <si>
    <t>Ofaveolata031462</t>
  </si>
  <si>
    <t>Solute carrier family 35 (UDP-galactose transporter), member A2</t>
  </si>
  <si>
    <t>Ofaveolata031584</t>
  </si>
  <si>
    <t>Ofaveolata031651</t>
  </si>
  <si>
    <t>Glutaredoxin</t>
  </si>
  <si>
    <t>Ofaveolata031666</t>
  </si>
  <si>
    <t>protection from non-homologous end joining at telomere</t>
  </si>
  <si>
    <t>Ofaveolata031672</t>
  </si>
  <si>
    <t>amine sulfotransferase activity</t>
  </si>
  <si>
    <t>Ofaveolata031693</t>
  </si>
  <si>
    <t>lysosomal lumen pH elevation</t>
  </si>
  <si>
    <t>Ofaveolata031699</t>
  </si>
  <si>
    <t>glucosaminylgalactosylglucosylceramide beta-galactosyltransferase activity</t>
  </si>
  <si>
    <t>Ofaveolata031737</t>
  </si>
  <si>
    <t>Ofaveolata031761</t>
  </si>
  <si>
    <t>Belongs to the mitochondrial carrier (TC 2.A.29) family</t>
  </si>
  <si>
    <t>Ofaveolata031779</t>
  </si>
  <si>
    <t>BCL (B-Cell lymphoma); contains BH1, BH2 regions</t>
  </si>
  <si>
    <t>Ofaveolata031781</t>
  </si>
  <si>
    <t>Cytochrome B561, N terminal</t>
  </si>
  <si>
    <t>Ofaveolata031790</t>
  </si>
  <si>
    <t>Ofaveolata031810</t>
  </si>
  <si>
    <t>Ofaveolata031847</t>
  </si>
  <si>
    <t>GDP-fucose import into Golgi lumen</t>
  </si>
  <si>
    <t>Ofaveolata031852</t>
  </si>
  <si>
    <t>spliceosomal complex assembly</t>
  </si>
  <si>
    <t>Ofaveolata031871</t>
  </si>
  <si>
    <t>Ofaveolata031893</t>
  </si>
  <si>
    <t>Ofaveolata031896</t>
  </si>
  <si>
    <t>thioredoxin-disulfide reductase activity</t>
  </si>
  <si>
    <t>Ofaveolata031923</t>
  </si>
  <si>
    <t>metanephric glomerular basement membrane development</t>
  </si>
  <si>
    <t>Ofaveolata031943</t>
  </si>
  <si>
    <t>Ofaveolata031944</t>
  </si>
  <si>
    <t>Ribosomal protein S12/S23</t>
  </si>
  <si>
    <t>Ofaveolata031950</t>
  </si>
  <si>
    <t>DBD domain binding</t>
  </si>
  <si>
    <t>Ofaveolata031957</t>
  </si>
  <si>
    <t>Ofaveolata031964</t>
  </si>
  <si>
    <t>Ofaveolata031965</t>
  </si>
  <si>
    <t>Ofaveolata031987</t>
  </si>
  <si>
    <t>Ofaveolata032016</t>
  </si>
  <si>
    <t>Ofaveolata032027</t>
  </si>
  <si>
    <t>Ofaveolata032035</t>
  </si>
  <si>
    <t>Ofaveolata032059</t>
  </si>
  <si>
    <t>Ofaveolata032071</t>
  </si>
  <si>
    <t>Ofaveolata032082</t>
  </si>
  <si>
    <t>P granule disassembly</t>
  </si>
  <si>
    <t>Ofaveolata032083</t>
  </si>
  <si>
    <t>SCF-dependent proteasomal ubiquitin-dependent protein catabolic process</t>
  </si>
  <si>
    <t>Ofaveolata032085</t>
  </si>
  <si>
    <t>Heat shock 70 kDa protein 12A-like</t>
  </si>
  <si>
    <t>Ofaveolata032218</t>
  </si>
  <si>
    <t>Ofaveolata032268</t>
  </si>
  <si>
    <t>Translocon-associated protein, delta subunit precursor (TRAP-delta)</t>
  </si>
  <si>
    <t>Ofaveolata032270</t>
  </si>
  <si>
    <t>acylamino-acid-releasing enzyme</t>
  </si>
  <si>
    <t>Ofaveolata032304</t>
  </si>
  <si>
    <t>Ofaveolata032311</t>
  </si>
  <si>
    <t>regulation of actin phosphorylation</t>
  </si>
  <si>
    <t>Ofaveolata032342</t>
  </si>
  <si>
    <t>phosphatase 4, regulatory subunit</t>
  </si>
  <si>
    <t>Ofaveolata032346</t>
  </si>
  <si>
    <t>Ofaveolata032347</t>
  </si>
  <si>
    <t>Ofaveolata032350</t>
  </si>
  <si>
    <t>Ofaveolata032354</t>
  </si>
  <si>
    <t>Ofaveolata032382</t>
  </si>
  <si>
    <t>Ofaveolata032397</t>
  </si>
  <si>
    <t>Ofaveolata032410</t>
  </si>
  <si>
    <t>Cysteine-rich with EGF-like</t>
  </si>
  <si>
    <t>Ofaveolata032439</t>
  </si>
  <si>
    <t>Ofaveolata032440</t>
  </si>
  <si>
    <t>Ofaveolata032458</t>
  </si>
  <si>
    <t>Belongs to the peptidase M16 family</t>
  </si>
  <si>
    <t>Ofaveolata032460</t>
  </si>
  <si>
    <t>skeletal muscle satellite cell migration</t>
  </si>
  <si>
    <t>Ofaveolata032464</t>
  </si>
  <si>
    <t>Belongs to the small GTPase superfamily. Rho family</t>
  </si>
  <si>
    <t>Ofaveolata032467</t>
  </si>
  <si>
    <t>purine-rich negative regulatory element binding</t>
  </si>
  <si>
    <t>Ofaveolata032470</t>
  </si>
  <si>
    <t>Ofaveolata032471</t>
  </si>
  <si>
    <t>Ofaveolata032474</t>
  </si>
  <si>
    <t>Ofaveolata032483</t>
  </si>
  <si>
    <t>RNA dependent RNA polymerase</t>
  </si>
  <si>
    <t>Ofaveolata032487</t>
  </si>
  <si>
    <t>acyl-CoA dehydrogenase family member 9</t>
  </si>
  <si>
    <t>Ofaveolata032490</t>
  </si>
  <si>
    <t>Ofaveolata032495</t>
  </si>
  <si>
    <t>Ofaveolata032519</t>
  </si>
  <si>
    <t>Ofaveolata032540</t>
  </si>
  <si>
    <t>Ofaveolata032563</t>
  </si>
  <si>
    <t>Ofaveolata032621</t>
  </si>
  <si>
    <t>Ofaveolata032623</t>
  </si>
  <si>
    <t>Ofaveolata032647</t>
  </si>
  <si>
    <t>norepinephrine secretion</t>
  </si>
  <si>
    <t>Ofaveolata032657</t>
  </si>
  <si>
    <t>GTP-specific succinyl-CoA synthetase functions in the citric acid cycle (TCA), coupling the hydrolysis of succinyl-CoA to the synthesis of GTP and thus represents the only step of substrate-level phosphorylation in the TCA. The beta subunit provides nucleotide specificity of the enzyme and binds the substrate succinate, while the binding sites for coenzyme A and phosphate are found in the alpha subunit</t>
  </si>
  <si>
    <t>Ofaveolata032658</t>
  </si>
  <si>
    <t>Ofaveolata032664</t>
  </si>
  <si>
    <t>N-succinyltransferase activity</t>
  </si>
  <si>
    <t>Ofaveolata032676</t>
  </si>
  <si>
    <t>box H/ACA snoRNP assembly</t>
  </si>
  <si>
    <t>Ofaveolata032688</t>
  </si>
  <si>
    <t>Filamin C, gamma</t>
  </si>
  <si>
    <t>Ofaveolata032693</t>
  </si>
  <si>
    <t>metanephric macula densa development</t>
  </si>
  <si>
    <t>Ofaveolata032702</t>
  </si>
  <si>
    <t>Ofaveolata032706</t>
  </si>
  <si>
    <t>Ofaveolata032726</t>
  </si>
  <si>
    <t>Belongs to the ATP guanido phosphotransferase family</t>
  </si>
  <si>
    <t>Ofaveolata032734</t>
  </si>
  <si>
    <t>belongs to the aldehyde dehydrogenase family</t>
  </si>
  <si>
    <t>Ofaveolata032752</t>
  </si>
  <si>
    <t>innate vocalization behavior</t>
  </si>
  <si>
    <t>Ofaveolata032756</t>
  </si>
  <si>
    <t>positive regulation of cysteine-type endopeptidase activity involved in apoptotic process</t>
  </si>
  <si>
    <t>Ofaveolata032786</t>
  </si>
  <si>
    <t>Ofaveolata032819</t>
  </si>
  <si>
    <t>Ofaveolata032820</t>
  </si>
  <si>
    <t>Ofaveolata032821</t>
  </si>
  <si>
    <t>heat shock</t>
  </si>
  <si>
    <t>Ofaveolata032846</t>
  </si>
  <si>
    <t>positive regulation of timing of anagen</t>
  </si>
  <si>
    <t>Ofaveolata032858</t>
  </si>
  <si>
    <t>Homeobox protein OTX2-like</t>
  </si>
  <si>
    <t>Ofaveolata032862</t>
  </si>
  <si>
    <t>Ofaveolata032877</t>
  </si>
  <si>
    <t>Ofaveolata032878</t>
  </si>
  <si>
    <t>Ofaveolata032883</t>
  </si>
  <si>
    <t>Ofaveolata032885</t>
  </si>
  <si>
    <t>alpha-1,6-mannosylglycoprotein 6-beta-N-acetylglucosaminyltransferase activity</t>
  </si>
  <si>
    <t>Ofaveolata032887</t>
  </si>
  <si>
    <t>Ofaveolata032888</t>
  </si>
  <si>
    <t>Ofaveolata032908</t>
  </si>
  <si>
    <t>nucleotidyltransferase activity</t>
  </si>
  <si>
    <t>Ofaveolata032923</t>
  </si>
  <si>
    <t>homolog subfamily C member 7</t>
  </si>
  <si>
    <t>Ofaveolata032967</t>
  </si>
  <si>
    <t>Histone-lysine N-methyltransferase</t>
  </si>
  <si>
    <t>Ofaveolata033007</t>
  </si>
  <si>
    <t>MiCRoSpherule Protein 1</t>
  </si>
  <si>
    <t>Ofaveolata033047</t>
  </si>
  <si>
    <t>oligopeptide transmembrane transporter activity</t>
  </si>
  <si>
    <t>Ofaveolata033061</t>
  </si>
  <si>
    <t>Belongs to the glycosyl hydrolase 31 family</t>
  </si>
  <si>
    <t>Ofaveolata033075</t>
  </si>
  <si>
    <t>ribosomal protein S14</t>
  </si>
  <si>
    <t>Ofaveolata033076</t>
  </si>
  <si>
    <t>Ofaveolata033108</t>
  </si>
  <si>
    <t>kynurenine 3-monooxygenase activity</t>
  </si>
  <si>
    <t>Ofaveolata033129</t>
  </si>
  <si>
    <t>7S RNA binding</t>
  </si>
  <si>
    <t>Ofaveolata033137</t>
  </si>
  <si>
    <t>5'-3' exoribonuclease activity</t>
  </si>
  <si>
    <t>Ofaveolata033144</t>
  </si>
  <si>
    <t>Homeodomain</t>
  </si>
  <si>
    <t>Ofaveolata033164</t>
  </si>
  <si>
    <t>Ubiquitin conjugation factor E4</t>
  </si>
  <si>
    <t>Ofaveolata033174</t>
  </si>
  <si>
    <t>enzyme subunit 1</t>
  </si>
  <si>
    <t>Ofaveolata033196</t>
  </si>
  <si>
    <t>Protein of unknown function (DUF1387)</t>
  </si>
  <si>
    <t>Ofaveolata033216</t>
  </si>
  <si>
    <t>Ofaveolata033220</t>
  </si>
  <si>
    <t>CLK4-associating serine arginine rich protein</t>
  </si>
  <si>
    <t>Ofaveolata033246</t>
  </si>
  <si>
    <t>Ofaveolata033269</t>
  </si>
  <si>
    <t>Protein max isoform X1</t>
  </si>
  <si>
    <t>Ofaveolata033271</t>
  </si>
  <si>
    <t>phosphatase 5</t>
  </si>
  <si>
    <t>Ofaveolata033275</t>
  </si>
  <si>
    <t>Ofaveolata033288</t>
  </si>
  <si>
    <t>Ofaveolata033299</t>
  </si>
  <si>
    <t>SPARC related modular calcium binding 2</t>
  </si>
  <si>
    <t>Ofaveolata033300</t>
  </si>
  <si>
    <t>transcription by RNA polymerase II</t>
  </si>
  <si>
    <t>Ofaveolata033340</t>
  </si>
  <si>
    <t>Ofaveolata033342</t>
  </si>
  <si>
    <t>Ofaveolata033347</t>
  </si>
  <si>
    <t>Ofaveolata033421</t>
  </si>
  <si>
    <t>Ofaveolata033460</t>
  </si>
  <si>
    <t>Ofaveolata033462</t>
  </si>
  <si>
    <t>transmembrane receptor protein serine/threonine kinase activity</t>
  </si>
  <si>
    <t>Ofaveolata033479</t>
  </si>
  <si>
    <t>Ofaveolata033491</t>
  </si>
  <si>
    <t>phosphatase, non-receptor type</t>
  </si>
  <si>
    <t>Ofaveolata033506</t>
  </si>
  <si>
    <t>Ofaveolata033515</t>
  </si>
  <si>
    <t>hypochlorous acid biosynthetic process</t>
  </si>
  <si>
    <t>Ofaveolata033520</t>
  </si>
  <si>
    <t>Ofaveolata033530</t>
  </si>
  <si>
    <t>Ofaveolata033534</t>
  </si>
  <si>
    <t>Ofaveolata033567</t>
  </si>
  <si>
    <t>Ofaveolata033575</t>
  </si>
  <si>
    <t>cytoplasmic translation</t>
  </si>
  <si>
    <t>Ofaveolata033591</t>
  </si>
  <si>
    <t>Ofaveolata033601</t>
  </si>
  <si>
    <t>Ofaveolata033644</t>
  </si>
  <si>
    <t>Ofaveolata033671</t>
  </si>
  <si>
    <t>sensory perception of sound</t>
  </si>
  <si>
    <t>Ofaveolata033672</t>
  </si>
  <si>
    <t>family, member B</t>
  </si>
  <si>
    <t>Ofaveolata033692</t>
  </si>
  <si>
    <t>Ofaveolata033693</t>
  </si>
  <si>
    <t>Ofaveolata033694</t>
  </si>
  <si>
    <t>methyltransferase activity</t>
  </si>
  <si>
    <t>Ofaveolata033697</t>
  </si>
  <si>
    <t>polypeptide</t>
  </si>
  <si>
    <t>Ofaveolata033723</t>
  </si>
  <si>
    <t>Ofaveolata033724</t>
  </si>
  <si>
    <t>Ofaveolata033728</t>
  </si>
  <si>
    <t>mesenchymal stem cell proliferation</t>
  </si>
  <si>
    <t>Ofaveolata033764</t>
  </si>
  <si>
    <t>procollagen-proline 4-dioxygenase activity</t>
  </si>
  <si>
    <t>Ofaveolata033780</t>
  </si>
  <si>
    <t>Ofaveolata033791</t>
  </si>
  <si>
    <t>spectrin, beta</t>
  </si>
  <si>
    <t>Ofaveolata033799</t>
  </si>
  <si>
    <t>Von Willebrand factor A</t>
  </si>
  <si>
    <t>Ofaveolata033801</t>
  </si>
  <si>
    <t>deacylase</t>
  </si>
  <si>
    <t>Ofaveolata033812</t>
  </si>
  <si>
    <t>Ofaveolata033816</t>
  </si>
  <si>
    <t>histidine N-acetyltransferase activity</t>
  </si>
  <si>
    <t>Ofaveolata033892</t>
  </si>
  <si>
    <t>Ofaveolata033898</t>
  </si>
  <si>
    <t>Ofaveolata033899</t>
  </si>
  <si>
    <t>Ofaveolata033904</t>
  </si>
  <si>
    <t>molybdenum cofactor</t>
  </si>
  <si>
    <t>Ofaveolata033962</t>
  </si>
  <si>
    <t>Cyclin-dependent kinase-like 1</t>
  </si>
  <si>
    <t>Ofaveolata034019</t>
  </si>
  <si>
    <t>Ofaveolata034023</t>
  </si>
  <si>
    <t>Ofaveolata034028</t>
  </si>
  <si>
    <t>Ofaveolata034031</t>
  </si>
  <si>
    <t>protein N-linked glycosylation via asparagine</t>
  </si>
  <si>
    <t>Ofaveolata034032</t>
  </si>
  <si>
    <t>Ofaveolata034039</t>
  </si>
  <si>
    <t>Ofaveolata034086</t>
  </si>
  <si>
    <t>sn-glycerol-3-phosphate:ubiquinone-8 oxidoreductase activity</t>
  </si>
  <si>
    <t>Ofaveolata034088</t>
  </si>
  <si>
    <t>Ofaveolata034095</t>
  </si>
  <si>
    <t>Ofaveolata034108</t>
  </si>
  <si>
    <t>phosphatidylethanolamine catabolic process</t>
  </si>
  <si>
    <t>Ofaveolata034112</t>
  </si>
  <si>
    <t>Ofaveolata034136</t>
  </si>
  <si>
    <t>Ofaveolata034153</t>
  </si>
  <si>
    <t>Ofaveolata034168</t>
  </si>
  <si>
    <t>Specifically deglycosylates the denatured form of N- linked glycoproteins in the cytoplasm and assists their proteasome-mediated degradation. Cleaves the beta-aspartyl- glucosamine (GlcNAc) of the glycan and the amide side chain of Asn, converting Asn to Asp. Prefers proteins containing high- mannose over those bearing complex type oligosaccharides. Can recognize misfolded proteins in the endoplasmic reticulum that are exported to the cytosol to be destroyed and deglycosylate them, while it has no activity toward native proteins. Deglycosylation is a prerequisite for subsequent proteasome-mediated degradation of some, but not all, misfolded glycoproteins</t>
  </si>
  <si>
    <t>Ofaveolata034170</t>
  </si>
  <si>
    <t>Ofaveolata034183</t>
  </si>
  <si>
    <t>Neurotransmitter-gated ion-channel ligand binding domain</t>
  </si>
  <si>
    <t>Ofaveolata034202</t>
  </si>
  <si>
    <t>Ofaveolata034216</t>
  </si>
  <si>
    <t>homolog subfamily C member 13</t>
  </si>
  <si>
    <t>Ofaveolata034240</t>
  </si>
  <si>
    <t>negative regulation of phosphatase activity</t>
  </si>
  <si>
    <t>Ofaveolata034244</t>
  </si>
  <si>
    <t>Ofaveolata034255</t>
  </si>
  <si>
    <t>Ofaveolata034259</t>
  </si>
  <si>
    <t>Belongs to the MAGUK family</t>
  </si>
  <si>
    <t>Ofaveolata034287</t>
  </si>
  <si>
    <t>Cholesterol desaturase daf-36-like</t>
  </si>
  <si>
    <t>Ofaveolata034290</t>
  </si>
  <si>
    <t>Ofaveolata034291</t>
  </si>
  <si>
    <t>translation activator activity</t>
  </si>
  <si>
    <t>Ofaveolata034292</t>
  </si>
  <si>
    <t>regulation of acid-sensing ion channel activity</t>
  </si>
  <si>
    <t>Ofaveolata034303</t>
  </si>
  <si>
    <t>Ofaveolata034310</t>
  </si>
  <si>
    <t>Ofaveolata034312</t>
  </si>
  <si>
    <t>Ofaveolata034315</t>
  </si>
  <si>
    <t>Ofaveolata034346</t>
  </si>
  <si>
    <t>Ofaveolata034368</t>
  </si>
  <si>
    <t>Ofaveolata034382</t>
  </si>
  <si>
    <t>protein polyglutamylation</t>
  </si>
  <si>
    <t>Ofaveolata034385</t>
  </si>
  <si>
    <t>medium-chain-acyl-CoA dehydrogenase activity</t>
  </si>
  <si>
    <t>Ofaveolata034398</t>
  </si>
  <si>
    <t>Ofaveolata034414</t>
  </si>
  <si>
    <t>Ofaveolata034416</t>
  </si>
  <si>
    <t>Ofaveolata034655</t>
  </si>
  <si>
    <t>Ofaveolata034671</t>
  </si>
  <si>
    <t>Ofaveolata034673</t>
  </si>
  <si>
    <t>Ofaveolata034736</t>
  </si>
  <si>
    <t>multicellular organism development</t>
  </si>
  <si>
    <t>Ofaveolata034740</t>
  </si>
  <si>
    <t>Ofaveolata034751</t>
  </si>
  <si>
    <t>Ofaveolata034772</t>
  </si>
  <si>
    <t>protein K33-linked ubiquitination</t>
  </si>
  <si>
    <t>Ofaveolata034773</t>
  </si>
  <si>
    <t>Ofaveolata034810</t>
  </si>
  <si>
    <t>Ofaveolata034821</t>
  </si>
  <si>
    <t>Ofaveolata034830</t>
  </si>
  <si>
    <t>Ofaveolata034835</t>
  </si>
  <si>
    <t>Ofaveolata034838</t>
  </si>
  <si>
    <t>Ofaveolata034847</t>
  </si>
  <si>
    <t>Ofaveolata034857</t>
  </si>
  <si>
    <t>Ofaveolata034861</t>
  </si>
  <si>
    <t>Ofaveolata034884</t>
  </si>
  <si>
    <t>Ofaveolata034900</t>
  </si>
  <si>
    <t>ubiquitin protein ligase binding</t>
  </si>
  <si>
    <t>Ofaveolata034914</t>
  </si>
  <si>
    <t>Ofaveolata034929</t>
  </si>
  <si>
    <t>Ofaveolata034948</t>
  </si>
  <si>
    <t>Ofaveolata034957</t>
  </si>
  <si>
    <t>Ofaveolata034960</t>
  </si>
  <si>
    <t>Ofaveolata034974</t>
  </si>
  <si>
    <t>RNA pseudouridylate synthase</t>
  </si>
  <si>
    <t>Ofaveolata034992</t>
  </si>
  <si>
    <t>Ofaveolata034995</t>
  </si>
  <si>
    <t>Ofaveolata034996</t>
  </si>
  <si>
    <t>Ofaveolata035018</t>
  </si>
  <si>
    <t>Ofaveolata035048</t>
  </si>
  <si>
    <t>Ofaveolata035064</t>
  </si>
  <si>
    <t>Ofaveolata035073</t>
  </si>
  <si>
    <t>Ofaveolata035074</t>
  </si>
  <si>
    <t>Ofaveolata035079</t>
  </si>
  <si>
    <t>Ofaveolata035148</t>
  </si>
  <si>
    <t>Ofaveolata035157</t>
  </si>
  <si>
    <t>Ofaveolata035160</t>
  </si>
  <si>
    <t>Ofaveolata035221</t>
  </si>
  <si>
    <t>Ofaveolata035255</t>
  </si>
  <si>
    <t>Ofaveolata035261</t>
  </si>
  <si>
    <t>Ofaveolata035272</t>
  </si>
  <si>
    <t>Ofaveolata035306</t>
  </si>
  <si>
    <t>Ofaveolata035314</t>
  </si>
  <si>
    <t>Ofaveolata035376</t>
  </si>
  <si>
    <t>Ofaveolata035422</t>
  </si>
  <si>
    <t>Ofaveolata035482</t>
  </si>
  <si>
    <t>Ofaveolata035496</t>
  </si>
  <si>
    <t>Ofaveolata035508</t>
  </si>
  <si>
    <t>Ofaveolata035542</t>
  </si>
  <si>
    <t>Ofaveolata035563</t>
  </si>
  <si>
    <t>Ofaveolata035574</t>
  </si>
  <si>
    <t>Ofaveolata035625</t>
  </si>
  <si>
    <t>Ofaveolata035629</t>
  </si>
  <si>
    <t>osmolarity-sensing cation channel activity</t>
  </si>
  <si>
    <t>Ofaveolata035701</t>
  </si>
  <si>
    <t>Ofaveolata035706</t>
  </si>
  <si>
    <t>Ofaveolata035707</t>
  </si>
  <si>
    <t>endopeptidase inhibitor activity</t>
  </si>
  <si>
    <t>Ofaveolata035720</t>
  </si>
  <si>
    <t>Ofaveolata035744</t>
  </si>
  <si>
    <t>Domain of unknown function (DUF4419)</t>
  </si>
  <si>
    <t>Ofaveolata035745</t>
  </si>
  <si>
    <t>Ofaveolata035756</t>
  </si>
  <si>
    <t>Ofaveolata035788</t>
  </si>
  <si>
    <t>Ofaveolata035792</t>
  </si>
  <si>
    <t>Ofaveolata035793</t>
  </si>
  <si>
    <t>Ofaveolata035803</t>
  </si>
  <si>
    <t>Ofaveolata035823</t>
  </si>
  <si>
    <t>Ofaveolata035842</t>
  </si>
  <si>
    <t>Ofaveolata035848</t>
  </si>
  <si>
    <t>Ofaveolata035874</t>
  </si>
  <si>
    <t>N-acetyl-alpha-D-glucosaminyl L-malate synthase</t>
  </si>
  <si>
    <t>Ofaveolata035928</t>
  </si>
  <si>
    <t>Ofaveolata035953</t>
  </si>
  <si>
    <t>Reverse transcriptase (RNA-dependent DNA polymerase)</t>
  </si>
  <si>
    <t>Ofaveolata035954</t>
  </si>
  <si>
    <t>Ofaveolata035984</t>
  </si>
  <si>
    <t>Ofaveolata036008</t>
  </si>
  <si>
    <t>Ofaveolata036034</t>
  </si>
  <si>
    <t>distal tubule morphogenesis</t>
  </si>
  <si>
    <t>Ofaveolata036087</t>
  </si>
  <si>
    <t>Transferase activity, transferring acyl groups other than amino-acyl groups</t>
  </si>
  <si>
    <t>Ofaveolata036100</t>
  </si>
  <si>
    <t>Ofaveolata036102</t>
  </si>
  <si>
    <t>Belongs to the helicase family. RecQ subfamily</t>
  </si>
  <si>
    <t>Ofaveolata036124</t>
  </si>
  <si>
    <t>Ofaveolata036135</t>
  </si>
  <si>
    <t>Ofaveolata036159</t>
  </si>
  <si>
    <t>Ofaveolata036170</t>
  </si>
  <si>
    <t>Ofaveolata036180</t>
  </si>
  <si>
    <t>Ofaveolata036201</t>
  </si>
  <si>
    <t>Ofaveolata036204</t>
  </si>
  <si>
    <t>Ofaveolata036205</t>
  </si>
  <si>
    <t>Ofaveolata036250</t>
  </si>
  <si>
    <t>Ofaveolata036256</t>
  </si>
  <si>
    <t>Belongs to the helicase family</t>
  </si>
  <si>
    <t>Ofaveolata036274</t>
  </si>
  <si>
    <t>Ofaveolata036340</t>
  </si>
  <si>
    <t>Ofaveolata036380</t>
  </si>
  <si>
    <t>Ofaveolata036383</t>
  </si>
  <si>
    <t>Ofaveolata036436</t>
  </si>
  <si>
    <t>Ofaveolata036452</t>
  </si>
  <si>
    <t>Ofaveolata036465</t>
  </si>
  <si>
    <t>meiotic spindle elongation</t>
  </si>
  <si>
    <t>Ofaveolata036483</t>
  </si>
  <si>
    <t>Ofaveolata036568</t>
  </si>
  <si>
    <t>Ssiderea000142</t>
  </si>
  <si>
    <t>myosin VI binding</t>
  </si>
  <si>
    <t>Ssiderea000160</t>
  </si>
  <si>
    <t>Ssiderea001415</t>
  </si>
  <si>
    <t>Ssiderea001921</t>
  </si>
  <si>
    <t>axonal fasciculation</t>
  </si>
  <si>
    <t>Ssiderea002156</t>
  </si>
  <si>
    <t>Ssiderea002627</t>
  </si>
  <si>
    <t>Ssiderea003026</t>
  </si>
  <si>
    <t>collagen</t>
  </si>
  <si>
    <t>Ssiderea003526</t>
  </si>
  <si>
    <t>Ssiderea003783</t>
  </si>
  <si>
    <t>Ssiderea004149</t>
  </si>
  <si>
    <t>protein folding</t>
  </si>
  <si>
    <t>Ssiderea004285</t>
  </si>
  <si>
    <t>Serine peptidase inhibitor, Kunitz type, 2</t>
  </si>
  <si>
    <t>Ssiderea004288</t>
  </si>
  <si>
    <t>Ssiderea004864</t>
  </si>
  <si>
    <t>Ssiderea004908</t>
  </si>
  <si>
    <t>Ssiderea005345</t>
  </si>
  <si>
    <t>Ssiderea005375</t>
  </si>
  <si>
    <t>Ssiderea005376</t>
  </si>
  <si>
    <t>Ssiderea005967</t>
  </si>
  <si>
    <t>D-serine biosynthetic process</t>
  </si>
  <si>
    <t>Ssiderea006336</t>
  </si>
  <si>
    <t>Ssiderea006406</t>
  </si>
  <si>
    <t>Ssiderea006435</t>
  </si>
  <si>
    <t>Ssiderea006441</t>
  </si>
  <si>
    <t>gamete generation</t>
  </si>
  <si>
    <t>Ssiderea006779</t>
  </si>
  <si>
    <t>N-acetyltransferase 16</t>
  </si>
  <si>
    <t>Ssiderea006928</t>
  </si>
  <si>
    <t>Ssiderea006932</t>
  </si>
  <si>
    <t>Ssiderea007662</t>
  </si>
  <si>
    <t>Ssiderea007918</t>
  </si>
  <si>
    <t>medium-chain fatty acid-CoA ligase activity</t>
  </si>
  <si>
    <t>Ssiderea007939</t>
  </si>
  <si>
    <t>Ssiderea008293</t>
  </si>
  <si>
    <t>UPF0728 protein C10orf53 homolog</t>
  </si>
  <si>
    <t>Ssiderea009538</t>
  </si>
  <si>
    <t>Histone h2b</t>
  </si>
  <si>
    <t>Ssiderea009999</t>
  </si>
  <si>
    <t>Ssiderea010040</t>
  </si>
  <si>
    <t>NAD/NADP octopine/nopaline dehydrogenase, alpha-helical domain</t>
  </si>
  <si>
    <t>Ssiderea010197</t>
  </si>
  <si>
    <t>Connector enhancer of kinase suppressor of ras</t>
  </si>
  <si>
    <t>Ssiderea010376</t>
  </si>
  <si>
    <t>homogentisate 1,2-dioxygenase activity</t>
  </si>
  <si>
    <t>Ssiderea010433</t>
  </si>
  <si>
    <t>Chromosome 11 open reading frame 65</t>
  </si>
  <si>
    <t>Ssiderea010852</t>
  </si>
  <si>
    <t>respiratory system process</t>
  </si>
  <si>
    <t>Ssiderea011174</t>
  </si>
  <si>
    <t>Ssiderea011646</t>
  </si>
  <si>
    <t>Scavenger receptor Cys-rich</t>
  </si>
  <si>
    <t>Ssiderea012121</t>
  </si>
  <si>
    <t>Lipoxygenase homology</t>
  </si>
  <si>
    <t>Ssiderea012122</t>
  </si>
  <si>
    <t>Ssiderea012146</t>
  </si>
  <si>
    <t>Ubiquitin-like modifier</t>
  </si>
  <si>
    <t>Ssiderea012241</t>
  </si>
  <si>
    <t>Ssiderea013295</t>
  </si>
  <si>
    <t>Ssiderea013350</t>
  </si>
  <si>
    <t>Ssiderea013425</t>
  </si>
  <si>
    <t>Ssiderea013701</t>
  </si>
  <si>
    <t>hematopoietic cell-specific Lyn substrate 1</t>
  </si>
  <si>
    <t>Ssiderea014540</t>
  </si>
  <si>
    <t>RNA-binding protein Musashi homolog</t>
  </si>
  <si>
    <t>Ssiderea014567</t>
  </si>
  <si>
    <t>Ssiderea014817</t>
  </si>
  <si>
    <t>o-methyltransferase</t>
  </si>
  <si>
    <t>Ssiderea014838</t>
  </si>
  <si>
    <t>Ssiderea014953</t>
  </si>
  <si>
    <t>Ssiderea015151</t>
  </si>
  <si>
    <t>Ssiderea015272</t>
  </si>
  <si>
    <t>Ssiderea015294</t>
  </si>
  <si>
    <t>Cytochrome c oxidase subunit</t>
  </si>
  <si>
    <t>Ssiderea015499</t>
  </si>
  <si>
    <t>Ssiderea015602</t>
  </si>
  <si>
    <t>Ssiderea015794</t>
  </si>
  <si>
    <t>Ssiderea015872</t>
  </si>
  <si>
    <t>Ssiderea016649</t>
  </si>
  <si>
    <t>Belongs to the tropomyosin family</t>
  </si>
  <si>
    <t>Ssiderea017473</t>
  </si>
  <si>
    <t>Ssiderea018987</t>
  </si>
  <si>
    <t>negative regulation of triglyceride biosynthetic process</t>
  </si>
  <si>
    <t>Ssiderea019309</t>
  </si>
  <si>
    <t>Ssiderea019357</t>
  </si>
  <si>
    <t>Ssiderea019828</t>
  </si>
  <si>
    <t>Mucin 4, cell surface associated</t>
  </si>
  <si>
    <t>Ssiderea019931</t>
  </si>
  <si>
    <t>Ssiderea019944</t>
  </si>
  <si>
    <t>Ssiderea019945</t>
  </si>
  <si>
    <t>Ssiderea020286</t>
  </si>
  <si>
    <t>6-O-sulfation enzyme which catalyzes the transfer of sulfate from 3'-phosphoadenosine 5'-phosphosulfate (PAPS) to position 6 of the N-sulfoglucosamine residue (GlcNS) of heparan sulfate</t>
  </si>
  <si>
    <t>Ssiderea020323</t>
  </si>
  <si>
    <t>Hemicentin 1</t>
  </si>
  <si>
    <t>Ssiderea020402</t>
  </si>
  <si>
    <t>Ssiderea021340</t>
  </si>
  <si>
    <t>Ectoine synthase</t>
  </si>
  <si>
    <t>Ssiderea021485</t>
  </si>
  <si>
    <t>Ssiderea021669</t>
  </si>
  <si>
    <t>Ssiderea021959</t>
  </si>
  <si>
    <t>Ssiderea022757</t>
  </si>
  <si>
    <t>Ssiderea022799</t>
  </si>
  <si>
    <t>Ssiderea022819</t>
  </si>
  <si>
    <t>Ssiderea023224</t>
  </si>
  <si>
    <t>Ssiderea023266</t>
  </si>
  <si>
    <t>Ssiderea023369</t>
  </si>
  <si>
    <t>Ssiderea023513</t>
  </si>
  <si>
    <t>Calcium channel, voltage-dependent, alpha 2 delta subunit 1a</t>
  </si>
  <si>
    <t>Ssiderea024655</t>
  </si>
  <si>
    <t>Ssiderea024892</t>
  </si>
  <si>
    <t>Ssiderea024962</t>
  </si>
  <si>
    <t>Ssiderea025748</t>
  </si>
  <si>
    <t>Ssiderea026196</t>
  </si>
  <si>
    <t>Ssiderea027144</t>
  </si>
  <si>
    <t>Selenium-binding protein 1</t>
  </si>
  <si>
    <t>Ssiderea028122</t>
  </si>
  <si>
    <t>Ssiderea028350</t>
  </si>
  <si>
    <t>Ssiderea028433</t>
  </si>
  <si>
    <t>histone H2A K63-linked ubiquitination</t>
  </si>
  <si>
    <t>Ssiderea029010</t>
  </si>
  <si>
    <t>Ssiderea029467</t>
  </si>
  <si>
    <t>Ssiderea029508</t>
  </si>
  <si>
    <t>podosome assembly</t>
  </si>
  <si>
    <t>Ssiderea029552</t>
  </si>
  <si>
    <t>Histidine phosphatase superfamily (branch 2)</t>
  </si>
  <si>
    <t>Ssiderea029802</t>
  </si>
  <si>
    <t>Family with sequence similarity 184, A and B</t>
  </si>
  <si>
    <t>Ssiderea029805</t>
  </si>
  <si>
    <t>Ssiderea029846</t>
  </si>
  <si>
    <t>Ssiderea030049</t>
  </si>
  <si>
    <t>Initiation factor 5a</t>
  </si>
  <si>
    <t>Ssiderea030069</t>
  </si>
  <si>
    <t>phosphopyruvate hydratase activity</t>
  </si>
  <si>
    <t>Ssiderea030383</t>
  </si>
  <si>
    <t>Ssiderea031430</t>
  </si>
  <si>
    <t>Ssiderea031482</t>
  </si>
  <si>
    <t>It is involved in the biological process described with</t>
  </si>
  <si>
    <t>Ssiderea031598</t>
  </si>
  <si>
    <t>Ssiderea031617</t>
  </si>
  <si>
    <t>Ssiderea032615</t>
  </si>
  <si>
    <t>Ssiderea032873</t>
  </si>
  <si>
    <t>Ssiderea033307</t>
  </si>
  <si>
    <t>Protein prenyltransferase activity. It is involved in the biological process described with protein prenylation</t>
  </si>
  <si>
    <t>Ssiderea033479</t>
  </si>
  <si>
    <t>Ssiderea033487</t>
  </si>
  <si>
    <t>Ssiderea033625</t>
  </si>
  <si>
    <t>Ssiderea033626</t>
  </si>
  <si>
    <t>Ssiderea033647</t>
  </si>
  <si>
    <t>Ssiderea033671</t>
  </si>
  <si>
    <t>Ssiderea033675</t>
  </si>
  <si>
    <t>Ssiderea033678</t>
  </si>
  <si>
    <t>Ssiderea033816</t>
  </si>
  <si>
    <t>Ssiderea033884</t>
  </si>
  <si>
    <t>Ssiderea034174</t>
  </si>
  <si>
    <t>Ssiderea034786</t>
  </si>
  <si>
    <t>Ssiderea034936</t>
  </si>
  <si>
    <t>Cell adhesion molecule</t>
  </si>
  <si>
    <t>Ssiderea035505</t>
  </si>
  <si>
    <t>Ssiderea035890</t>
  </si>
  <si>
    <t>Ssiderea036714</t>
  </si>
  <si>
    <t>Ssiderea036834</t>
  </si>
  <si>
    <t>Ssiderea037540</t>
  </si>
  <si>
    <t>Common central domain of tyrosinase</t>
  </si>
  <si>
    <t>Ssiderea037541</t>
  </si>
  <si>
    <t>Ssiderea037729</t>
  </si>
  <si>
    <t>Ssiderea037981</t>
  </si>
  <si>
    <t>positive regulation of neuron projection development</t>
  </si>
  <si>
    <t>Ssiderea038150</t>
  </si>
  <si>
    <t>Ssiderea038200</t>
  </si>
  <si>
    <t>Ssiderea038345</t>
  </si>
  <si>
    <t>Ssiderea038430</t>
  </si>
  <si>
    <t>Ssiderea038439</t>
  </si>
  <si>
    <t>Ssiderea038569</t>
  </si>
  <si>
    <t>Ssiderea038585</t>
  </si>
  <si>
    <t>Ssiderea038691</t>
  </si>
  <si>
    <t>Ssiderea039136</t>
  </si>
  <si>
    <t>Ssiderea039263</t>
  </si>
  <si>
    <t>Ssiderea039355</t>
  </si>
  <si>
    <t>Ssiderea039384</t>
  </si>
  <si>
    <t>Ssiderea040225</t>
  </si>
  <si>
    <t>Ssiderea040273</t>
  </si>
  <si>
    <t>Ssiderea040656</t>
  </si>
  <si>
    <t>Ssiderea041776</t>
  </si>
  <si>
    <t>Guanine nucleotide exchange factor for Ras-like small GTPases</t>
  </si>
  <si>
    <t>Ssiderea042128</t>
  </si>
  <si>
    <t>Ssiderea042178</t>
  </si>
  <si>
    <t>Ssiderea042330</t>
  </si>
  <si>
    <t>Ssiderea042504</t>
  </si>
  <si>
    <t>metal-dependent hydrolase with the TIM-barrel fold</t>
  </si>
  <si>
    <t>Ssiderea042652</t>
  </si>
  <si>
    <t>Ssiderea042819</t>
  </si>
  <si>
    <t>Ssiderea044659</t>
  </si>
  <si>
    <t>Malate dehydrogenase</t>
  </si>
  <si>
    <t>Ssiderea044678</t>
  </si>
  <si>
    <t>annexin A6</t>
  </si>
  <si>
    <t>Ssiderea044860</t>
  </si>
  <si>
    <t>Ndr family</t>
  </si>
  <si>
    <t>Ssiderea045223</t>
  </si>
  <si>
    <t>Ssiderea045236</t>
  </si>
  <si>
    <t>Ssiderea045901</t>
  </si>
  <si>
    <t>benzodiazepine receptor binding</t>
  </si>
  <si>
    <t>Ssiderea046072</t>
  </si>
  <si>
    <t>acetyltransferase activator activity</t>
  </si>
  <si>
    <t>Ssiderea047239</t>
  </si>
  <si>
    <t>brca1 gene 1</t>
  </si>
  <si>
    <t>Ssiderea047625</t>
  </si>
  <si>
    <t>Ssiderea047859</t>
  </si>
  <si>
    <t>Ssiderea048360</t>
  </si>
  <si>
    <t>Serpentine type 7TM GPCR chemoreceptor Srx</t>
  </si>
  <si>
    <t>Ssiderea048486</t>
  </si>
  <si>
    <t>Ssiderea049169</t>
  </si>
  <si>
    <t>Ssiderea049437</t>
  </si>
  <si>
    <t>Ssiderea050054</t>
  </si>
  <si>
    <t>Macrophage migration inhibitory</t>
  </si>
  <si>
    <t>Ssiderea050946</t>
  </si>
  <si>
    <t>Ssiderea050947</t>
  </si>
  <si>
    <t>Ssiderea051123</t>
  </si>
  <si>
    <t>7SK snRNA binding</t>
  </si>
  <si>
    <t>Ssiderea051176</t>
  </si>
  <si>
    <t>Ubiquitin-2 like Rad60 SUMO-like</t>
  </si>
  <si>
    <t>Ssiderea051243</t>
  </si>
  <si>
    <t>Ssiderea051443</t>
  </si>
  <si>
    <t>Ssiderea051574</t>
  </si>
  <si>
    <t>Secreted frizzled-related protein</t>
  </si>
  <si>
    <t>Ssiderea051703</t>
  </si>
  <si>
    <t>Glutathione S-transferase, C-terminal domain</t>
  </si>
  <si>
    <t>Ssiderea051704</t>
  </si>
  <si>
    <t>Ssiderea051780</t>
  </si>
  <si>
    <t>Ssiderea051895</t>
  </si>
  <si>
    <t>[heparan sulfate]-glucosamine N-sulfotransferase activity</t>
  </si>
  <si>
    <t>Ssiderea052005</t>
  </si>
  <si>
    <t>Ssiderea052054</t>
  </si>
  <si>
    <t>Ssiderea052229</t>
  </si>
  <si>
    <t>Ssiderea052394</t>
  </si>
  <si>
    <t>Ssiderea052473</t>
  </si>
  <si>
    <t>Ssiderea052887</t>
  </si>
  <si>
    <t>electron transfer activity</t>
  </si>
  <si>
    <t>Ssiderea053049</t>
  </si>
  <si>
    <t>adherens junction organization</t>
  </si>
  <si>
    <t>Ssiderea053777</t>
  </si>
  <si>
    <t>Ssiderea053828</t>
  </si>
  <si>
    <t>Ssiderea054350</t>
  </si>
  <si>
    <t>Transferrin</t>
  </si>
  <si>
    <t>Ssiderea054485</t>
  </si>
  <si>
    <t>Ssiderea054517</t>
  </si>
  <si>
    <t>Ssiderea054861</t>
  </si>
  <si>
    <t>Ssiderea054862</t>
  </si>
  <si>
    <t>Ssiderea055226</t>
  </si>
  <si>
    <t>Ssiderea055233</t>
  </si>
  <si>
    <t>Ssiderea055265</t>
  </si>
  <si>
    <t>Ssiderea058819</t>
  </si>
  <si>
    <t>Ssiderea059107</t>
  </si>
  <si>
    <t>plexin domain-containing protein</t>
  </si>
  <si>
    <t>Ssiderea60367</t>
  </si>
  <si>
    <t>Ssiderea60478</t>
  </si>
  <si>
    <t>Ssiderea60508</t>
  </si>
  <si>
    <t>Ssiderea60633</t>
  </si>
  <si>
    <t>Ssiderea62250</t>
  </si>
  <si>
    <t>tumor necrosis factor</t>
  </si>
  <si>
    <t>Ssiderea62342</t>
  </si>
  <si>
    <t>Ssiderea62687</t>
  </si>
  <si>
    <t>Ssiderea62892</t>
  </si>
  <si>
    <t>Ssiderea000534</t>
  </si>
  <si>
    <t>Ssiderea000695</t>
  </si>
  <si>
    <t>Ssiderea000744</t>
  </si>
  <si>
    <t>Ssiderea001633</t>
  </si>
  <si>
    <t>protein folding in endoplasmic reticulum</t>
  </si>
  <si>
    <t>Ssiderea002122</t>
  </si>
  <si>
    <t>Ssiderea002178</t>
  </si>
  <si>
    <t>Ssiderea003480</t>
  </si>
  <si>
    <t>Ssiderea003482</t>
  </si>
  <si>
    <t>Tropomyosin</t>
  </si>
  <si>
    <t>Ssiderea004374</t>
  </si>
  <si>
    <t>neurotrophin TRKA receptor binding</t>
  </si>
  <si>
    <t>Ssiderea004457</t>
  </si>
  <si>
    <t>detection of mechanical stimulus</t>
  </si>
  <si>
    <t>Ssiderea005439</t>
  </si>
  <si>
    <t>Ras association (RalGDS/AF-6) domain</t>
  </si>
  <si>
    <t>Ssiderea006334</t>
  </si>
  <si>
    <t>Calcium ion binding. It is involved in the biological process described with cell adhesion</t>
  </si>
  <si>
    <t>Ssiderea006599</t>
  </si>
  <si>
    <t>Ssiderea006856</t>
  </si>
  <si>
    <t>Ssiderea006929</t>
  </si>
  <si>
    <t>Ssiderea008049</t>
  </si>
  <si>
    <t>Family with sequence similarity 188, member B</t>
  </si>
  <si>
    <t>Ssiderea008900</t>
  </si>
  <si>
    <t>Ssiderea009047</t>
  </si>
  <si>
    <t>Coagulation factor 5/8 C-terminal domain, discoidin domain</t>
  </si>
  <si>
    <t>Ssiderea009116</t>
  </si>
  <si>
    <t>Lipocalin-like domain</t>
  </si>
  <si>
    <t>Ssiderea009898</t>
  </si>
  <si>
    <t>Ssiderea010003</t>
  </si>
  <si>
    <t>Ssiderea010957</t>
  </si>
  <si>
    <t>Ssiderea011572</t>
  </si>
  <si>
    <t>Ssiderea011577</t>
  </si>
  <si>
    <t>Ssiderea011989</t>
  </si>
  <si>
    <t>Ssiderea012117</t>
  </si>
  <si>
    <t>Sushi, von Willebrand factor type A, EGF and pentraxin domain-containing protein 1-like</t>
  </si>
  <si>
    <t>Ssiderea012793</t>
  </si>
  <si>
    <t>Ssiderea013116</t>
  </si>
  <si>
    <t>Ssiderea013120</t>
  </si>
  <si>
    <t>Ssiderea013791</t>
  </si>
  <si>
    <t>Ssiderea014521</t>
  </si>
  <si>
    <t>Ssiderea014556</t>
  </si>
  <si>
    <t>Paired box 3</t>
  </si>
  <si>
    <t>Ssiderea015074</t>
  </si>
  <si>
    <t>Ssiderea015527</t>
  </si>
  <si>
    <t>Ssiderea016156</t>
  </si>
  <si>
    <t>Ssiderea016380</t>
  </si>
  <si>
    <t>ligase 1</t>
  </si>
  <si>
    <t>Ssiderea018648</t>
  </si>
  <si>
    <t>Ssiderea018681</t>
  </si>
  <si>
    <t>oxidoreductase activity, oxidizing metal ions, oxygen as acceptor</t>
  </si>
  <si>
    <t>Ssiderea018826</t>
  </si>
  <si>
    <t>Ssiderea019064</t>
  </si>
  <si>
    <t>long-chain-acyl-CoA dehydrogenase activity</t>
  </si>
  <si>
    <t>Ssiderea019445</t>
  </si>
  <si>
    <t>Ssiderea022100</t>
  </si>
  <si>
    <t>Failed axon connections homolog</t>
  </si>
  <si>
    <t>Ssiderea022140</t>
  </si>
  <si>
    <t>Ssiderea022859</t>
  </si>
  <si>
    <t>Ssiderea023516</t>
  </si>
  <si>
    <t>Ssiderea024010</t>
  </si>
  <si>
    <t>FK506 binding protein 15</t>
  </si>
  <si>
    <t>Ssiderea024256</t>
  </si>
  <si>
    <t>Ssiderea024883</t>
  </si>
  <si>
    <t>Ssiderea025865</t>
  </si>
  <si>
    <t>Ssiderea026263</t>
  </si>
  <si>
    <t>Ssiderea028103</t>
  </si>
  <si>
    <t>Protein phosphatase 1, regulatory subunit</t>
  </si>
  <si>
    <t>Ssiderea028561</t>
  </si>
  <si>
    <t>Ssiderea029844</t>
  </si>
  <si>
    <t>Ssiderea032746</t>
  </si>
  <si>
    <t>Ssiderea034426</t>
  </si>
  <si>
    <t>beta-1,3-galactosyl-O-glycosyl-glycoprotein beta-1,6-N-acetylglucosaminyltransferase activity</t>
  </si>
  <si>
    <t>Ssiderea035681</t>
  </si>
  <si>
    <t>Coiled-coil</t>
  </si>
  <si>
    <t>Ssiderea036521</t>
  </si>
  <si>
    <t>CDGSH iron sulfur domain 3</t>
  </si>
  <si>
    <t>Ssiderea037627</t>
  </si>
  <si>
    <t>Ssiderea038428</t>
  </si>
  <si>
    <t>Ssiderea039123</t>
  </si>
  <si>
    <t>Ssiderea039439</t>
  </si>
  <si>
    <t>Ribosomal protein L14p/L23e</t>
  </si>
  <si>
    <t>Ssiderea042287</t>
  </si>
  <si>
    <t>Ssiderea042306</t>
  </si>
  <si>
    <t>Ssiderea043587</t>
  </si>
  <si>
    <t>cathepsin Z</t>
  </si>
  <si>
    <t>Ssiderea044110</t>
  </si>
  <si>
    <t>Ssiderea045284</t>
  </si>
  <si>
    <t>It is involved in the biological process described with signal transduction</t>
  </si>
  <si>
    <t>Ssiderea045336</t>
  </si>
  <si>
    <t>Ssiderea045954</t>
  </si>
  <si>
    <t>RAS protein activator like 1 (GAP1 like)</t>
  </si>
  <si>
    <t>Ssiderea046030</t>
  </si>
  <si>
    <t>activation of NF-kappaB-inducing kinase activity</t>
  </si>
  <si>
    <t>Ssiderea046941</t>
  </si>
  <si>
    <t>Ssiderea047459</t>
  </si>
  <si>
    <t>pre-mRNA cleavage required for polyadenylation</t>
  </si>
  <si>
    <t>Ssiderea047668</t>
  </si>
  <si>
    <t>Ssiderea048480</t>
  </si>
  <si>
    <t>trafficking protein particle complex</t>
  </si>
  <si>
    <t>Ssiderea048558</t>
  </si>
  <si>
    <t>Ssiderea048635</t>
  </si>
  <si>
    <t>Ssiderea048697</t>
  </si>
  <si>
    <t>Ssiderea051315</t>
  </si>
  <si>
    <t>Ssiderea052401</t>
  </si>
  <si>
    <t>Leber congenital amaurosis 5</t>
  </si>
  <si>
    <t>Ssiderea052995</t>
  </si>
  <si>
    <t>Ssiderea053083</t>
  </si>
  <si>
    <t>Ssiderea053894</t>
  </si>
  <si>
    <t>GTPase activator activity</t>
  </si>
  <si>
    <t>Ssiderea054006</t>
  </si>
  <si>
    <t>Ssiderea054560</t>
  </si>
  <si>
    <t>Ssiderea054641</t>
  </si>
  <si>
    <t>Ssiderea055365</t>
  </si>
  <si>
    <t>Ssiderea057432</t>
  </si>
  <si>
    <t>chloride channel activity</t>
  </si>
  <si>
    <t>Ssiderea057857</t>
  </si>
  <si>
    <t>Ssiderea058218</t>
  </si>
  <si>
    <t>cytochrome C oxidase</t>
  </si>
  <si>
    <t>Ssiderea60368</t>
  </si>
  <si>
    <t>Ssiderea000008</t>
  </si>
  <si>
    <t>Fibronectin type 3 domain</t>
  </si>
  <si>
    <t>Ssiderea000033</t>
  </si>
  <si>
    <t>Ssiderea000112</t>
  </si>
  <si>
    <t>Ssiderea000138</t>
  </si>
  <si>
    <t>Ssiderea000139</t>
  </si>
  <si>
    <t>Ssiderea000169</t>
  </si>
  <si>
    <t>Ssiderea000196</t>
  </si>
  <si>
    <t>Ssiderea000378</t>
  </si>
  <si>
    <t>Ssiderea000427</t>
  </si>
  <si>
    <t>Ssiderea000447</t>
  </si>
  <si>
    <t>Ssiderea000550</t>
  </si>
  <si>
    <t>Ssiderea000611</t>
  </si>
  <si>
    <t>V-myc avian myelocytomatosis viral oncogene homolog</t>
  </si>
  <si>
    <t>Ssiderea000692</t>
  </si>
  <si>
    <t>Neuronal acetylcholine receptor subunit</t>
  </si>
  <si>
    <t>Ssiderea000706</t>
  </si>
  <si>
    <t>Ssiderea000775</t>
  </si>
  <si>
    <t>Ssiderea000796</t>
  </si>
  <si>
    <t>lipoprotein receptor-related protein</t>
  </si>
  <si>
    <t>Ssiderea000806</t>
  </si>
  <si>
    <t>Ssiderea000834</t>
  </si>
  <si>
    <t>Ssiderea000852</t>
  </si>
  <si>
    <t>Domain with 2 conserved Trp (W) residues</t>
  </si>
  <si>
    <t>Ssiderea000936</t>
  </si>
  <si>
    <t>Ssiderea001073</t>
  </si>
  <si>
    <t>phosphatidylserine biosynthetic process</t>
  </si>
  <si>
    <t>Ssiderea001076</t>
  </si>
  <si>
    <t>Ssiderea001172</t>
  </si>
  <si>
    <t>Ssiderea001207</t>
  </si>
  <si>
    <t>Ssiderea001248</t>
  </si>
  <si>
    <t>Ssiderea001272</t>
  </si>
  <si>
    <t>Myotubularin protein</t>
  </si>
  <si>
    <t>Ssiderea001351</t>
  </si>
  <si>
    <t>Ssiderea001369</t>
  </si>
  <si>
    <t>Ssiderea001370</t>
  </si>
  <si>
    <t>Calcium ion binding</t>
  </si>
  <si>
    <t>Ssiderea001380</t>
  </si>
  <si>
    <t>Ssiderea001392</t>
  </si>
  <si>
    <t>Catalyzes the first and rate-limiting reaction of the four that constitute the long-chain fatty acids elongation cycle. This endoplasmic reticulum-bound enzymatic process, allows the addition of 2 carbons to the chain of long- and very long-chain fatty acids VLCFAs per cycle. Condensing enzyme that specifically elongates C24 0 and C26 0 acyl-CoAs. May participate to the production of saturated and monounsaturated VLCFAs of different chain lengths that are involved in multiple biological processes as precursors of membrane lipids and lipid mediators</t>
  </si>
  <si>
    <t>Ssiderea001393</t>
  </si>
  <si>
    <t>GNS1/SUR4 family</t>
  </si>
  <si>
    <t>Ssiderea001426</t>
  </si>
  <si>
    <t>Ssiderea001431</t>
  </si>
  <si>
    <t>maturation of 5.8S rRNA</t>
  </si>
  <si>
    <t>Ssiderea001510</t>
  </si>
  <si>
    <t>Ssiderea001517</t>
  </si>
  <si>
    <t>Signal peptide, CUB and EGF-like domain-containing protein 3</t>
  </si>
  <si>
    <t>Ssiderea001545</t>
  </si>
  <si>
    <t>Ssiderea001546</t>
  </si>
  <si>
    <t>Ssiderea001555</t>
  </si>
  <si>
    <t>Ssiderea001603</t>
  </si>
  <si>
    <t>Ssiderea001630</t>
  </si>
  <si>
    <t>Ssiderea001634</t>
  </si>
  <si>
    <t>Cat eye syndrome</t>
  </si>
  <si>
    <t>Ssiderea001655</t>
  </si>
  <si>
    <t>heat stable protein 1</t>
  </si>
  <si>
    <t>Ssiderea001676</t>
  </si>
  <si>
    <t>Ssiderea001677</t>
  </si>
  <si>
    <t>Belongs to the class I-like SAM-binding methyltransferase superfamily. Protein arginine N- methyltransferase family</t>
  </si>
  <si>
    <t>Ssiderea001704</t>
  </si>
  <si>
    <t>Ssiderea001751</t>
  </si>
  <si>
    <t>Ssiderea001793</t>
  </si>
  <si>
    <t>regulation of transcription from RNA polymerase II promoter in response to UV-induced DNA damage</t>
  </si>
  <si>
    <t>Ssiderea001813</t>
  </si>
  <si>
    <t>Transcriptional regulator, Out at first</t>
  </si>
  <si>
    <t>Ssiderea001814</t>
  </si>
  <si>
    <t>Belongs to the metallo-dependent hydrolases superfamily. Adenosine and AMP deaminases family</t>
  </si>
  <si>
    <t>Ssiderea001864</t>
  </si>
  <si>
    <t>Ssiderea001867</t>
  </si>
  <si>
    <t>Ssiderea001877</t>
  </si>
  <si>
    <t>Ssiderea001882</t>
  </si>
  <si>
    <t>alpha-(1-&gt;3)-fucosyltransferase activity</t>
  </si>
  <si>
    <t>Ssiderea001897</t>
  </si>
  <si>
    <t>Ssiderea001936</t>
  </si>
  <si>
    <t>Ssiderea001946</t>
  </si>
  <si>
    <t>Coiled-coil domain containing 84</t>
  </si>
  <si>
    <t>Ssiderea001947</t>
  </si>
  <si>
    <t>positive regulation of transcription from RNA polymerase II promoter by glucose</t>
  </si>
  <si>
    <t>Ssiderea001951</t>
  </si>
  <si>
    <t>Macin</t>
  </si>
  <si>
    <t>Ssiderea001965</t>
  </si>
  <si>
    <t>Ssiderea001975</t>
  </si>
  <si>
    <t>Belongs to the PDGF VEGF growth factor family</t>
  </si>
  <si>
    <t>Ssiderea001977</t>
  </si>
  <si>
    <t>Ssiderea002008</t>
  </si>
  <si>
    <t>Ssiderea002072</t>
  </si>
  <si>
    <t>proteasome regulatory particle assembly</t>
  </si>
  <si>
    <t>Ssiderea002160</t>
  </si>
  <si>
    <t>CybS, succinate dehydrogenase cytochrome B small subunit</t>
  </si>
  <si>
    <t>Ssiderea002163</t>
  </si>
  <si>
    <t>C-terminal of Roc, COR, domain</t>
  </si>
  <si>
    <t>Ssiderea002237</t>
  </si>
  <si>
    <t>Zona pellucida (ZP) domain</t>
  </si>
  <si>
    <t>Ssiderea002247</t>
  </si>
  <si>
    <t>Transcription mediator complex subunit Med12</t>
  </si>
  <si>
    <t>Ssiderea002315</t>
  </si>
  <si>
    <t>Ssiderea002340</t>
  </si>
  <si>
    <t>Ssiderea002777</t>
  </si>
  <si>
    <t>Ssiderea002847</t>
  </si>
  <si>
    <t>beta-galactosidase activity</t>
  </si>
  <si>
    <t>Ssiderea002858</t>
  </si>
  <si>
    <t>Ssiderea002863</t>
  </si>
  <si>
    <t>Ssiderea002867</t>
  </si>
  <si>
    <t>Ssiderea003023</t>
  </si>
  <si>
    <t>Ssiderea003024</t>
  </si>
  <si>
    <t>Ssiderea003030</t>
  </si>
  <si>
    <t>PCI domain-containing protein 2</t>
  </si>
  <si>
    <t>Ssiderea003033</t>
  </si>
  <si>
    <t>NACHT domain</t>
  </si>
  <si>
    <t>Ssiderea003039</t>
  </si>
  <si>
    <t>Ssiderea003040</t>
  </si>
  <si>
    <t>Ssiderea003041</t>
  </si>
  <si>
    <t>Ssiderea003043</t>
  </si>
  <si>
    <t>Ssiderea003070</t>
  </si>
  <si>
    <t>Ssiderea003109</t>
  </si>
  <si>
    <t>Ssiderea003135</t>
  </si>
  <si>
    <t>GRIP and coiled-coil</t>
  </si>
  <si>
    <t>Ssiderea003297</t>
  </si>
  <si>
    <t>Ssiderea003307</t>
  </si>
  <si>
    <t>Ssiderea003316</t>
  </si>
  <si>
    <t>Ssiderea003371</t>
  </si>
  <si>
    <t>Ssiderea003501</t>
  </si>
  <si>
    <t>leukocyte migration involved in immune response</t>
  </si>
  <si>
    <t>Ssiderea003510</t>
  </si>
  <si>
    <t>Ssiderea003525</t>
  </si>
  <si>
    <t>3-phosphoinositide-dependent protein kinase 1</t>
  </si>
  <si>
    <t>Ssiderea003534</t>
  </si>
  <si>
    <t>Ssiderea003559</t>
  </si>
  <si>
    <t>Ssiderea003591</t>
  </si>
  <si>
    <t>Placenta-specific gene 8 protein-like</t>
  </si>
  <si>
    <t>Ssiderea003608</t>
  </si>
  <si>
    <t>Ssiderea003616</t>
  </si>
  <si>
    <t>pyridoxal-dependent decarboxylase</t>
  </si>
  <si>
    <t>Ssiderea003629</t>
  </si>
  <si>
    <t>Ssiderea003682</t>
  </si>
  <si>
    <t>ADP-ribosylarginine hydrolase activity</t>
  </si>
  <si>
    <t>Ssiderea003686</t>
  </si>
  <si>
    <t>Ssiderea003692</t>
  </si>
  <si>
    <t>Ssiderea003706</t>
  </si>
  <si>
    <t>Ssiderea003820</t>
  </si>
  <si>
    <t>N-acetylneuraminate 7-O(or 9-O)-acetyltransferase activity</t>
  </si>
  <si>
    <t>Ssiderea003831</t>
  </si>
  <si>
    <t>Ssiderea004109</t>
  </si>
  <si>
    <t>Rho gtpase activating protein</t>
  </si>
  <si>
    <t>Ssiderea004110</t>
  </si>
  <si>
    <t>Ssiderea004129</t>
  </si>
  <si>
    <t>Ssiderea004130</t>
  </si>
  <si>
    <t>Ssiderea004170</t>
  </si>
  <si>
    <t>Ssiderea004307</t>
  </si>
  <si>
    <t>Ssiderea004358</t>
  </si>
  <si>
    <t>Ssiderea004387</t>
  </si>
  <si>
    <t>regulation of canonical Wnt signaling pathway involved in osteoblast differentiation</t>
  </si>
  <si>
    <t>Ssiderea004426</t>
  </si>
  <si>
    <t>Ssiderea004499</t>
  </si>
  <si>
    <t>Ssiderea004543</t>
  </si>
  <si>
    <t>Ssiderea004577</t>
  </si>
  <si>
    <t>Ssiderea004702</t>
  </si>
  <si>
    <t>Ssiderea004756</t>
  </si>
  <si>
    <t>zinc ion transmembrane transporter activity</t>
  </si>
  <si>
    <t>Ssiderea004823</t>
  </si>
  <si>
    <t>Glycosyl transferases group 1</t>
  </si>
  <si>
    <t>Ssiderea004853</t>
  </si>
  <si>
    <t>Ssiderea004867</t>
  </si>
  <si>
    <t>cytochrome c oxidase assembly</t>
  </si>
  <si>
    <t>Ssiderea004921</t>
  </si>
  <si>
    <t>initiation of neural tube closure</t>
  </si>
  <si>
    <t>Ssiderea004954</t>
  </si>
  <si>
    <t>Transferrins are iron binding transport proteins which bind Fe(3 ) ion in association with the binding of an anion, usually bicarbonate</t>
  </si>
  <si>
    <t>Ssiderea004955</t>
  </si>
  <si>
    <t>10-hydroxy-9-(phosphonooxy)octadecanoate phosphatase activity</t>
  </si>
  <si>
    <t>Ssiderea005044</t>
  </si>
  <si>
    <t>Ssiderea005235</t>
  </si>
  <si>
    <t>Ssiderea005254</t>
  </si>
  <si>
    <t>Ssiderea005256</t>
  </si>
  <si>
    <t>tyrosine 3-monooxygenase tryptophan 5-monooxygenase activation protein, epsilon</t>
  </si>
  <si>
    <t>Ssiderea005382</t>
  </si>
  <si>
    <t>mitotic DNA replication preinitiation complex assembly</t>
  </si>
  <si>
    <t>Ssiderea005472</t>
  </si>
  <si>
    <t>Ssiderea005614</t>
  </si>
  <si>
    <t>Ssiderea005650</t>
  </si>
  <si>
    <t>Ssiderea005706</t>
  </si>
  <si>
    <t>mRNA export</t>
  </si>
  <si>
    <t>Ssiderea005742</t>
  </si>
  <si>
    <t>Ssiderea005743</t>
  </si>
  <si>
    <t>Ssiderea005744</t>
  </si>
  <si>
    <t>Ssiderea005862</t>
  </si>
  <si>
    <t>Phospholipase B domain containing 2</t>
  </si>
  <si>
    <t>Ssiderea005928</t>
  </si>
  <si>
    <t>Ssiderea006016</t>
  </si>
  <si>
    <t>Ssiderea006084</t>
  </si>
  <si>
    <t>Complement Clr-like EGF-like</t>
  </si>
  <si>
    <t>Ssiderea006109</t>
  </si>
  <si>
    <t>GTPase that associates with pre-60S ribosomal subunits in the nucleolus and is required for their nuclear export and maturation</t>
  </si>
  <si>
    <t>Ssiderea006113</t>
  </si>
  <si>
    <t>A Receptor for Ubiquitination Targets</t>
  </si>
  <si>
    <t>Ssiderea006133</t>
  </si>
  <si>
    <t>centromere protein</t>
  </si>
  <si>
    <t>Ssiderea006250</t>
  </si>
  <si>
    <t>Ssiderea006321</t>
  </si>
  <si>
    <t>ribosomal small subunit export from nucleus</t>
  </si>
  <si>
    <t>Ssiderea006332</t>
  </si>
  <si>
    <t>Ssiderea006425</t>
  </si>
  <si>
    <t>Glycine rich protein</t>
  </si>
  <si>
    <t>Ssiderea006436</t>
  </si>
  <si>
    <t>Possible membrane-associated motif in LPS-induced tumor necrosis factor alpha factor (LITAF), also known as PIG7, and other animal proteins.</t>
  </si>
  <si>
    <t>Ssiderea006530</t>
  </si>
  <si>
    <t>Ssiderea006541</t>
  </si>
  <si>
    <t>Ssiderea006544</t>
  </si>
  <si>
    <t>damaged DNA binding</t>
  </si>
  <si>
    <t>Ssiderea006575</t>
  </si>
  <si>
    <t>Ssiderea006630</t>
  </si>
  <si>
    <t>Ssiderea006635</t>
  </si>
  <si>
    <t>Ssiderea006719</t>
  </si>
  <si>
    <t>Ssiderea006773</t>
  </si>
  <si>
    <t>Ssiderea006776</t>
  </si>
  <si>
    <t>Ssiderea006842</t>
  </si>
  <si>
    <t>1-(5-phosphoribosyl)-5-[(5-phosphoribosylamino)methylideneamino]imidazole-4-carboxamide isomerase activity</t>
  </si>
  <si>
    <t>Ssiderea006845</t>
  </si>
  <si>
    <t>Ssiderea006859</t>
  </si>
  <si>
    <t>Ssiderea007047</t>
  </si>
  <si>
    <t>Ssiderea007056</t>
  </si>
  <si>
    <t>Ssiderea007101</t>
  </si>
  <si>
    <t>Ssiderea007153</t>
  </si>
  <si>
    <t>Ssiderea007197</t>
  </si>
  <si>
    <t>SH3 domain binding</t>
  </si>
  <si>
    <t>Ssiderea007230</t>
  </si>
  <si>
    <t>Ssiderea007231</t>
  </si>
  <si>
    <t>Ssiderea007276</t>
  </si>
  <si>
    <t>Ssiderea007305</t>
  </si>
  <si>
    <t>Ssiderea007562</t>
  </si>
  <si>
    <t>Ssiderea007603</t>
  </si>
  <si>
    <t>Ssiderea007612</t>
  </si>
  <si>
    <t>Ssiderea007640</t>
  </si>
  <si>
    <t>Ssiderea007706</t>
  </si>
  <si>
    <t>Ssiderea007790</t>
  </si>
  <si>
    <t>interferon regulatory factor 1</t>
  </si>
  <si>
    <t>Ssiderea007803</t>
  </si>
  <si>
    <t>Ssiderea007941</t>
  </si>
  <si>
    <t>Solute carrier organic anion transporter family, member</t>
  </si>
  <si>
    <t>Ssiderea008441</t>
  </si>
  <si>
    <t>Ssiderea008454</t>
  </si>
  <si>
    <t>Ssiderea008484</t>
  </si>
  <si>
    <t>Ssiderea008639</t>
  </si>
  <si>
    <t>Ssiderea008645</t>
  </si>
  <si>
    <t>Ssiderea008734</t>
  </si>
  <si>
    <t>Renalase, FAD-dependent amine oxidase</t>
  </si>
  <si>
    <t>Ssiderea008743</t>
  </si>
  <si>
    <t>Ssiderea008772</t>
  </si>
  <si>
    <t>protein kinase activator activity</t>
  </si>
  <si>
    <t>Ssiderea008804</t>
  </si>
  <si>
    <t>Ssiderea008857</t>
  </si>
  <si>
    <t>Tudor domain containing 7</t>
  </si>
  <si>
    <t>Ssiderea008878</t>
  </si>
  <si>
    <t>Ssiderea008884</t>
  </si>
  <si>
    <t>Ssiderea008901</t>
  </si>
  <si>
    <t>Ssiderea008958</t>
  </si>
  <si>
    <t>Hemicentin-1</t>
  </si>
  <si>
    <t>Ssiderea008959</t>
  </si>
  <si>
    <t>Ssiderea009044</t>
  </si>
  <si>
    <t>Apoptosis regulatory protein Siva</t>
  </si>
  <si>
    <t>Ssiderea009085</t>
  </si>
  <si>
    <t>Ssiderea009162</t>
  </si>
  <si>
    <t>Tumor necrosis factor (ligand) superfamily, member</t>
  </si>
  <si>
    <t>Ssiderea009198</t>
  </si>
  <si>
    <t>Interleukin-like EMT inducer</t>
  </si>
  <si>
    <t>Ssiderea009243</t>
  </si>
  <si>
    <t>Ssiderea009244</t>
  </si>
  <si>
    <t>Ssiderea009270</t>
  </si>
  <si>
    <t>spliceosomal tri-snRNP complex assembly</t>
  </si>
  <si>
    <t>Ssiderea009280</t>
  </si>
  <si>
    <t>Ssiderea009291</t>
  </si>
  <si>
    <t>Ssiderea009333</t>
  </si>
  <si>
    <t>Growth factor receptor domain IV</t>
  </si>
  <si>
    <t>Ssiderea009358</t>
  </si>
  <si>
    <t>signaling receptor binding</t>
  </si>
  <si>
    <t>Ssiderea009426</t>
  </si>
  <si>
    <t>Ssiderea009438</t>
  </si>
  <si>
    <t>7,8-dihydroneopterin 3'-triphosphate biosynthetic process</t>
  </si>
  <si>
    <t>Ssiderea009512</t>
  </si>
  <si>
    <t>Ssiderea009517</t>
  </si>
  <si>
    <t>Ssiderea009541</t>
  </si>
  <si>
    <t>to Saccharomyces cerevisiae PUB1 (YNL016W)</t>
  </si>
  <si>
    <t>Ssiderea009577</t>
  </si>
  <si>
    <t>Ssiderea009584</t>
  </si>
  <si>
    <t>Ssiderea009626</t>
  </si>
  <si>
    <t>Ssiderea009632</t>
  </si>
  <si>
    <t>Ssiderea009669</t>
  </si>
  <si>
    <t>Ssiderea009671</t>
  </si>
  <si>
    <t>5-methyltetrahydrofolate--homocysteine methyltransferase</t>
  </si>
  <si>
    <t>Ssiderea009726</t>
  </si>
  <si>
    <t>Ssiderea009731</t>
  </si>
  <si>
    <t>Ssiderea009733</t>
  </si>
  <si>
    <t>Ssiderea009736</t>
  </si>
  <si>
    <t>Ssiderea009861</t>
  </si>
  <si>
    <t>lactoylglutathione lyase activity</t>
  </si>
  <si>
    <t>Ssiderea009968</t>
  </si>
  <si>
    <t>Carbonic anhydrase</t>
  </si>
  <si>
    <t>Ssiderea009985</t>
  </si>
  <si>
    <t>3'-flap endonuclease activity</t>
  </si>
  <si>
    <t>Ssiderea010152</t>
  </si>
  <si>
    <t>Ssiderea010173</t>
  </si>
  <si>
    <t>inositol</t>
  </si>
  <si>
    <t>Ssiderea010219</t>
  </si>
  <si>
    <t>Ssiderea010246</t>
  </si>
  <si>
    <t>Ssiderea010270</t>
  </si>
  <si>
    <t>regulation of cell shape</t>
  </si>
  <si>
    <t>Ssiderea010317</t>
  </si>
  <si>
    <t>Ssiderea010320</t>
  </si>
  <si>
    <t>negative regulation of male germ cell proliferation</t>
  </si>
  <si>
    <t>Ssiderea010521</t>
  </si>
  <si>
    <t>Ssiderea010581</t>
  </si>
  <si>
    <t>Ssiderea010588</t>
  </si>
  <si>
    <t>Ssiderea010592</t>
  </si>
  <si>
    <t>Ssiderea010871</t>
  </si>
  <si>
    <t>Ssiderea010919</t>
  </si>
  <si>
    <t>Ssiderea010934</t>
  </si>
  <si>
    <t>Ssiderea010972</t>
  </si>
  <si>
    <t>temperature-gated cation channel activity</t>
  </si>
  <si>
    <t>Ssiderea011068</t>
  </si>
  <si>
    <t>Ssiderea011069</t>
  </si>
  <si>
    <t>Ssiderea011070</t>
  </si>
  <si>
    <t>Ssiderea011071</t>
  </si>
  <si>
    <t>Ssiderea011072</t>
  </si>
  <si>
    <t>Ssiderea011074</t>
  </si>
  <si>
    <t>Ssiderea011327</t>
  </si>
  <si>
    <t>Ssiderea011458</t>
  </si>
  <si>
    <t>protein C-terminal methylesterase activity</t>
  </si>
  <si>
    <t>Ssiderea011501</t>
  </si>
  <si>
    <t>Ssiderea011574</t>
  </si>
  <si>
    <t>Ssiderea011579</t>
  </si>
  <si>
    <t>Ssiderea011588</t>
  </si>
  <si>
    <t>Ssiderea011609</t>
  </si>
  <si>
    <t>Ssiderea011613</t>
  </si>
  <si>
    <t>Ssiderea011628</t>
  </si>
  <si>
    <t>negative regulation of growth rate</t>
  </si>
  <si>
    <t>Ssiderea011629</t>
  </si>
  <si>
    <t>Ssiderea011647</t>
  </si>
  <si>
    <t>negative regulation of insulin-like growth factor receptor signaling pathway</t>
  </si>
  <si>
    <t>Ssiderea011779</t>
  </si>
  <si>
    <t>Ssiderea011860</t>
  </si>
  <si>
    <t>Glycerophosphoryl diester phosphodiesterase family</t>
  </si>
  <si>
    <t>Ssiderea011870</t>
  </si>
  <si>
    <t>Ssiderea011934</t>
  </si>
  <si>
    <t>Ssiderea011971</t>
  </si>
  <si>
    <t>Ssiderea011980</t>
  </si>
  <si>
    <t>Ssiderea011982</t>
  </si>
  <si>
    <t>Ssiderea011984</t>
  </si>
  <si>
    <t>Ssiderea011990</t>
  </si>
  <si>
    <t>Ssiderea012055</t>
  </si>
  <si>
    <t>Ssiderea012119</t>
  </si>
  <si>
    <t>Ssiderea012168</t>
  </si>
  <si>
    <t>PAP2 superfamily</t>
  </si>
  <si>
    <t>Ssiderea012169</t>
  </si>
  <si>
    <t>Ssiderea012307</t>
  </si>
  <si>
    <t>Ssiderea012319</t>
  </si>
  <si>
    <t>PUB domain</t>
  </si>
  <si>
    <t>Ssiderea012320</t>
  </si>
  <si>
    <t>Nuclear transcription factor, X-box binding-like 1</t>
  </si>
  <si>
    <t>Ssiderea012410</t>
  </si>
  <si>
    <t>Ssiderea012417</t>
  </si>
  <si>
    <t>Belongs to the AB hydrolase superfamily. Lipase family</t>
  </si>
  <si>
    <t>Ssiderea012442</t>
  </si>
  <si>
    <t>response to cell cycle checkpoint signaling</t>
  </si>
  <si>
    <t>Ssiderea012479</t>
  </si>
  <si>
    <t>Ssiderea012567</t>
  </si>
  <si>
    <t>Fibrinogen-related domains (FReDs)</t>
  </si>
  <si>
    <t>Ssiderea012588</t>
  </si>
  <si>
    <t>Ssiderea012661</t>
  </si>
  <si>
    <t>Ssiderea012788</t>
  </si>
  <si>
    <t>GDP-L-fucose synthase activity</t>
  </si>
  <si>
    <t>Ssiderea012800</t>
  </si>
  <si>
    <t>Catalyzes the reversible phosphorolysis of thymidine. The produced molecules are then utilized as carbon and energy sources or in the rescue of pyrimidine bases for nucleotide synthesis</t>
  </si>
  <si>
    <t>Ssiderea012861</t>
  </si>
  <si>
    <t>Ssiderea012868</t>
  </si>
  <si>
    <t>Ssiderea012874</t>
  </si>
  <si>
    <t>Ssiderea012885</t>
  </si>
  <si>
    <t>Ssiderea013000</t>
  </si>
  <si>
    <t>adenylate cyclase-activating dopamine receptor signaling pathway</t>
  </si>
  <si>
    <t>Ssiderea013001</t>
  </si>
  <si>
    <t>Ssiderea013007</t>
  </si>
  <si>
    <t>Ssiderea013037</t>
  </si>
  <si>
    <t>alpha-1,4-glucosidase activity</t>
  </si>
  <si>
    <t>Ssiderea013067</t>
  </si>
  <si>
    <t>Ssiderea013109</t>
  </si>
  <si>
    <t>Ssiderea013162</t>
  </si>
  <si>
    <t>Ssiderea013163</t>
  </si>
  <si>
    <t>Ssiderea013180</t>
  </si>
  <si>
    <t>Interleukin enhancer-binding factor 2</t>
  </si>
  <si>
    <t>Ssiderea013236</t>
  </si>
  <si>
    <t>Ssiderea013252</t>
  </si>
  <si>
    <t>Ssiderea013379</t>
  </si>
  <si>
    <t>Ssiderea013393</t>
  </si>
  <si>
    <t>Ssiderea013476</t>
  </si>
  <si>
    <t>Ssiderea013600</t>
  </si>
  <si>
    <t>Sushi, von Willebrand factor type A, EGF and pentraxin domain containing 1</t>
  </si>
  <si>
    <t>Ssiderea013602</t>
  </si>
  <si>
    <t>Ssiderea013624</t>
  </si>
  <si>
    <t>Phospholipase A2, group IB (pancreas)</t>
  </si>
  <si>
    <t>Ssiderea013626</t>
  </si>
  <si>
    <t>Ssiderea013642</t>
  </si>
  <si>
    <t>Ssiderea013669</t>
  </si>
  <si>
    <t>Ssiderea013670</t>
  </si>
  <si>
    <t>Ssiderea013741</t>
  </si>
  <si>
    <t>Ssiderea013742</t>
  </si>
  <si>
    <t>Ssiderea013744</t>
  </si>
  <si>
    <t>Glucosylceramidase activity. It is involved in the biological process described with sphingolipid metabolic process</t>
  </si>
  <si>
    <t>Ssiderea013748</t>
  </si>
  <si>
    <t>Ssiderea013771</t>
  </si>
  <si>
    <t>Ssiderea013836</t>
  </si>
  <si>
    <t>Belongs to the heat shock protein 70 family</t>
  </si>
  <si>
    <t>Ssiderea013837</t>
  </si>
  <si>
    <t>Ssiderea013839</t>
  </si>
  <si>
    <t>Tumor necrosis factor receptor / nerve growth factor receptor repeats.</t>
  </si>
  <si>
    <t>Ssiderea013853</t>
  </si>
  <si>
    <t>Ssiderea013867</t>
  </si>
  <si>
    <t>Ssiderea013869</t>
  </si>
  <si>
    <t>Ssiderea013882</t>
  </si>
  <si>
    <t>Ssiderea013911</t>
  </si>
  <si>
    <t>Ssiderea013920</t>
  </si>
  <si>
    <t>prostaglandin-E synthase activity</t>
  </si>
  <si>
    <t>Ssiderea013976</t>
  </si>
  <si>
    <t>Ssiderea014096</t>
  </si>
  <si>
    <t>Ssiderea014224</t>
  </si>
  <si>
    <t>Ssiderea014244</t>
  </si>
  <si>
    <t>Ganglioside GM2 activator</t>
  </si>
  <si>
    <t>Ssiderea014253</t>
  </si>
  <si>
    <t>Receptor expression-enhancing protein</t>
  </si>
  <si>
    <t>Ssiderea014317</t>
  </si>
  <si>
    <t>Leucine-rich repeat</t>
  </si>
  <si>
    <t>Ssiderea014319</t>
  </si>
  <si>
    <t>Ssiderea014414</t>
  </si>
  <si>
    <t>negative regulation of synapse assembly</t>
  </si>
  <si>
    <t>Ssiderea014425</t>
  </si>
  <si>
    <t>Ssiderea014496</t>
  </si>
  <si>
    <t>UPF0369 protein</t>
  </si>
  <si>
    <t>Ssiderea014502</t>
  </si>
  <si>
    <t>Ssiderea014527</t>
  </si>
  <si>
    <t>Ssiderea014543</t>
  </si>
  <si>
    <t>G kinase anchoring protein 1</t>
  </si>
  <si>
    <t>Ssiderea014562</t>
  </si>
  <si>
    <t>Zinc ion binding</t>
  </si>
  <si>
    <t>Ssiderea014671</t>
  </si>
  <si>
    <t>negative regulation of neutrophil degranulation</t>
  </si>
  <si>
    <t>Ssiderea014678</t>
  </si>
  <si>
    <t>glycoside hydrolase family 63</t>
  </si>
  <si>
    <t>Ssiderea014681</t>
  </si>
  <si>
    <t>Ssiderea014696</t>
  </si>
  <si>
    <t>Ssiderea014728</t>
  </si>
  <si>
    <t>Ssiderea014806</t>
  </si>
  <si>
    <t>Ssiderea014813</t>
  </si>
  <si>
    <t>Ssiderea014814</t>
  </si>
  <si>
    <t>SNO glutamine amidotransferase family</t>
  </si>
  <si>
    <t>Ssiderea014943</t>
  </si>
  <si>
    <t>Ssiderea014955</t>
  </si>
  <si>
    <t>Belongs to the DEAD box helicase family</t>
  </si>
  <si>
    <t>Ssiderea014986</t>
  </si>
  <si>
    <t>calcium ion transport</t>
  </si>
  <si>
    <t>Ssiderea015061</t>
  </si>
  <si>
    <t>Ssiderea015100</t>
  </si>
  <si>
    <t>Ssiderea015104</t>
  </si>
  <si>
    <t>Helix-turn-helix of DDE superfamily endonuclease</t>
  </si>
  <si>
    <t>Ssiderea015105</t>
  </si>
  <si>
    <t>ATP-dependent RNA helicase</t>
  </si>
  <si>
    <t>Ssiderea015144</t>
  </si>
  <si>
    <t>iron-sulfur cluster co-chaperone</t>
  </si>
  <si>
    <t>Ssiderea015146</t>
  </si>
  <si>
    <t>Leucine rich repeat containing 43</t>
  </si>
  <si>
    <t>Ssiderea015150</t>
  </si>
  <si>
    <t>Ssiderea015190</t>
  </si>
  <si>
    <t>tRNA-4-demethylwyosine synthase activity</t>
  </si>
  <si>
    <t>Ssiderea015199</t>
  </si>
  <si>
    <t>DNA repair and recombination protein RAD54B</t>
  </si>
  <si>
    <t>Ssiderea015219</t>
  </si>
  <si>
    <t>Ssiderea015310</t>
  </si>
  <si>
    <t>Ssiderea015347</t>
  </si>
  <si>
    <t>Ssiderea015358</t>
  </si>
  <si>
    <t>primary miRNA processing</t>
  </si>
  <si>
    <t>Ssiderea015381</t>
  </si>
  <si>
    <t>Ssiderea015483</t>
  </si>
  <si>
    <t>Ssiderea015490</t>
  </si>
  <si>
    <t>FG-GAP repeat</t>
  </si>
  <si>
    <t>Ssiderea015507</t>
  </si>
  <si>
    <t>ER-associated misfolded protein catabolic process</t>
  </si>
  <si>
    <t>Ssiderea015543</t>
  </si>
  <si>
    <t>Ssiderea015642</t>
  </si>
  <si>
    <t>splicing factor, suppressor of white-apricot</t>
  </si>
  <si>
    <t>Ssiderea015768</t>
  </si>
  <si>
    <t>Ssiderea015798</t>
  </si>
  <si>
    <t>Ssiderea015834</t>
  </si>
  <si>
    <t>Ssiderea015838</t>
  </si>
  <si>
    <t>Ssiderea015841</t>
  </si>
  <si>
    <t>Scaffold protein for the de novo synthesis of iron- sulfur (Fe-S) clusters within mitochondria, which is required for maturation of both mitochondrial and cytoplasmic 2Fe-2S and 4Fe-4S proteins</t>
  </si>
  <si>
    <t>Ssiderea015846</t>
  </si>
  <si>
    <t>Ssiderea015847</t>
  </si>
  <si>
    <t>Ssiderea015911</t>
  </si>
  <si>
    <t>Ssiderea015952</t>
  </si>
  <si>
    <t>Ssiderea016076</t>
  </si>
  <si>
    <t>Ssiderea016226</t>
  </si>
  <si>
    <t>Ssiderea016476</t>
  </si>
  <si>
    <t>Ssiderea016484</t>
  </si>
  <si>
    <t>Ssiderea016487</t>
  </si>
  <si>
    <t>Ssiderea016498</t>
  </si>
  <si>
    <t>Ssiderea016577</t>
  </si>
  <si>
    <t>Ssiderea016596</t>
  </si>
  <si>
    <t>Ssiderea016597</t>
  </si>
  <si>
    <t>granulocyte colony-stimulating factor signaling pathway</t>
  </si>
  <si>
    <t>Ssiderea016650</t>
  </si>
  <si>
    <t>tyrosyl-tRNA aminoacylation</t>
  </si>
  <si>
    <t>Ssiderea016661</t>
  </si>
  <si>
    <t>Ssiderea016668</t>
  </si>
  <si>
    <t>PB1 domain</t>
  </si>
  <si>
    <t>Ssiderea016699</t>
  </si>
  <si>
    <t>Ssiderea016715</t>
  </si>
  <si>
    <t>Plasmolipin</t>
  </si>
  <si>
    <t>Ssiderea016776</t>
  </si>
  <si>
    <t>Ssiderea016796</t>
  </si>
  <si>
    <t>Ssiderea016906</t>
  </si>
  <si>
    <t>Ssiderea017118</t>
  </si>
  <si>
    <t>Ssiderea017210</t>
  </si>
  <si>
    <t>Ssiderea017211</t>
  </si>
  <si>
    <t>Cirrhosis, autosomal recessive 1A (cirhin)</t>
  </si>
  <si>
    <t>Ssiderea017212</t>
  </si>
  <si>
    <t>Ssiderea017213</t>
  </si>
  <si>
    <t>Ssiderea017214</t>
  </si>
  <si>
    <t>Ssiderea017225</t>
  </si>
  <si>
    <t>intra-S DNA damage checkpoint</t>
  </si>
  <si>
    <t>Ssiderea017362</t>
  </si>
  <si>
    <t>Ssiderea017401</t>
  </si>
  <si>
    <t>cell redox homeostasis</t>
  </si>
  <si>
    <t>Ssiderea017548</t>
  </si>
  <si>
    <t>Ssiderea017575</t>
  </si>
  <si>
    <t>Nidogen 2a (osteonidogen)</t>
  </si>
  <si>
    <t>Ssiderea017630</t>
  </si>
  <si>
    <t>Ssiderea017795</t>
  </si>
  <si>
    <t>Ssiderea017934</t>
  </si>
  <si>
    <t>lipoprotein receptor-related protein 2</t>
  </si>
  <si>
    <t>Ssiderea017954</t>
  </si>
  <si>
    <t>Ssiderea017955</t>
  </si>
  <si>
    <t>Serine palmitoyltransferase, long chain base subunit 1</t>
  </si>
  <si>
    <t>Ssiderea017960</t>
  </si>
  <si>
    <t>glutaryl-CoA dehydrogenase</t>
  </si>
  <si>
    <t>Ssiderea018021</t>
  </si>
  <si>
    <t>Ssiderea018045</t>
  </si>
  <si>
    <t>selenium binding</t>
  </si>
  <si>
    <t>Ssiderea018064</t>
  </si>
  <si>
    <t>zinc finger</t>
  </si>
  <si>
    <t>Ssiderea018320</t>
  </si>
  <si>
    <t>Sidekick cell adhesion molecule</t>
  </si>
  <si>
    <t>Ssiderea018325</t>
  </si>
  <si>
    <t>chondroitin 6-sulfotransferase activity</t>
  </si>
  <si>
    <t>Ssiderea018335</t>
  </si>
  <si>
    <t>Ssiderea018481</t>
  </si>
  <si>
    <t>lathosterol oxidase activity</t>
  </si>
  <si>
    <t>Ssiderea018525</t>
  </si>
  <si>
    <t>Ssiderea018538</t>
  </si>
  <si>
    <t>Ssiderea018542</t>
  </si>
  <si>
    <t>Leucine Rich repeat</t>
  </si>
  <si>
    <t>Ssiderea018560</t>
  </si>
  <si>
    <t>Rab guanyl-nucleotide exchange factor activity</t>
  </si>
  <si>
    <t>Ssiderea018599</t>
  </si>
  <si>
    <t>Ssiderea018612</t>
  </si>
  <si>
    <t>Ssiderea018632</t>
  </si>
  <si>
    <t>Ssiderea018682</t>
  </si>
  <si>
    <t>peroxisome membrane targeting sequence binding</t>
  </si>
  <si>
    <t>Ssiderea018699</t>
  </si>
  <si>
    <t>Gamma-aminobutyric acid type B receptor subunit</t>
  </si>
  <si>
    <t>Ssiderea018808</t>
  </si>
  <si>
    <t>Ssiderea018810</t>
  </si>
  <si>
    <t>Ssiderea018824</t>
  </si>
  <si>
    <t>Ssiderea018825</t>
  </si>
  <si>
    <t>Ssiderea018875</t>
  </si>
  <si>
    <t>Ssiderea018985</t>
  </si>
  <si>
    <t>Ssiderea019086</t>
  </si>
  <si>
    <t>Ssiderea019087</t>
  </si>
  <si>
    <t>Ssiderea019179</t>
  </si>
  <si>
    <t>E3 ubiquitin-protein ligase</t>
  </si>
  <si>
    <t>Ssiderea019312</t>
  </si>
  <si>
    <t>Ssiderea019352</t>
  </si>
  <si>
    <t>2-amino-3-ketobutyrate coenzyme a ligase</t>
  </si>
  <si>
    <t>Ssiderea019354</t>
  </si>
  <si>
    <t>Ssiderea019422</t>
  </si>
  <si>
    <t>Ssiderea019425</t>
  </si>
  <si>
    <t>UDP-N-acetylglucosamine diphosphorylase activity</t>
  </si>
  <si>
    <t>Ssiderea019442</t>
  </si>
  <si>
    <t>phosphatidate cytidylyltransferase activity</t>
  </si>
  <si>
    <t>Ssiderea019516</t>
  </si>
  <si>
    <t>Ssiderea019676</t>
  </si>
  <si>
    <t>Persulfide dioxygenase ETHE1</t>
  </si>
  <si>
    <t>Ssiderea019688</t>
  </si>
  <si>
    <t>Ssiderea019697</t>
  </si>
  <si>
    <t>Ssiderea019783</t>
  </si>
  <si>
    <t>Ssiderea019841</t>
  </si>
  <si>
    <t>Ssiderea019899</t>
  </si>
  <si>
    <t>Nodal homolog</t>
  </si>
  <si>
    <t>Ssiderea019921</t>
  </si>
  <si>
    <t>Ssiderea019927</t>
  </si>
  <si>
    <t>Ssiderea019958</t>
  </si>
  <si>
    <t>Ssiderea020087</t>
  </si>
  <si>
    <t>aldehyde dehydrogenase (NAD) activity</t>
  </si>
  <si>
    <t>Ssiderea020230</t>
  </si>
  <si>
    <t>Ssiderea020249</t>
  </si>
  <si>
    <t>Ssiderea020482</t>
  </si>
  <si>
    <t>Ssiderea020698</t>
  </si>
  <si>
    <t>Ssiderea020901</t>
  </si>
  <si>
    <t>Serine threonine-protein kinase</t>
  </si>
  <si>
    <t>Ssiderea020916</t>
  </si>
  <si>
    <t>Ssiderea021167</t>
  </si>
  <si>
    <t>regulation of RNA splicing</t>
  </si>
  <si>
    <t>Ssiderea021170</t>
  </si>
  <si>
    <t>Ssiderea021187</t>
  </si>
  <si>
    <t>Ssiderea021201</t>
  </si>
  <si>
    <t>Ssiderea021219</t>
  </si>
  <si>
    <t>Synaptic vesicle membrane protein VAT-1 homolog</t>
  </si>
  <si>
    <t>Ssiderea021220</t>
  </si>
  <si>
    <t>Ssiderea021241</t>
  </si>
  <si>
    <t>Ssiderea021306</t>
  </si>
  <si>
    <t>GDP-mannose 4,6-dehydratase activity</t>
  </si>
  <si>
    <t>Ssiderea021315</t>
  </si>
  <si>
    <t>Importin 4</t>
  </si>
  <si>
    <t>Ssiderea021332</t>
  </si>
  <si>
    <t>Ssiderea021392</t>
  </si>
  <si>
    <t>transmembrane protein 189</t>
  </si>
  <si>
    <t>Ssiderea021418</t>
  </si>
  <si>
    <t>Ssiderea021424</t>
  </si>
  <si>
    <t>Ssiderea021429</t>
  </si>
  <si>
    <t>Ssiderea021445</t>
  </si>
  <si>
    <t>Ssiderea021573</t>
  </si>
  <si>
    <t>Ssiderea021580</t>
  </si>
  <si>
    <t>Ssiderea021645</t>
  </si>
  <si>
    <t>suppressor of cytokine signaling</t>
  </si>
  <si>
    <t>Ssiderea021781</t>
  </si>
  <si>
    <t>Ssiderea021860</t>
  </si>
  <si>
    <t>Ssiderea021920</t>
  </si>
  <si>
    <t>Ssiderea021975</t>
  </si>
  <si>
    <t>Ssiderea021997</t>
  </si>
  <si>
    <t>Ssiderea022036</t>
  </si>
  <si>
    <t>Ssiderea022059</t>
  </si>
  <si>
    <t>Ssiderea022066</t>
  </si>
  <si>
    <t>octopamine biosynthetic process</t>
  </si>
  <si>
    <t>Ssiderea022080</t>
  </si>
  <si>
    <t>Ssiderea022281</t>
  </si>
  <si>
    <t>Ssiderea022296</t>
  </si>
  <si>
    <t>Ssiderea022308</t>
  </si>
  <si>
    <t>Enolase family member 4</t>
  </si>
  <si>
    <t>Ssiderea022318</t>
  </si>
  <si>
    <t>Ssiderea022384</t>
  </si>
  <si>
    <t>Green fluorescent protein</t>
  </si>
  <si>
    <t>Ssiderea022529</t>
  </si>
  <si>
    <t>5'-nucleotidase activity</t>
  </si>
  <si>
    <t>Ssiderea022534</t>
  </si>
  <si>
    <t>Ssiderea022535</t>
  </si>
  <si>
    <t>Ssiderea022547</t>
  </si>
  <si>
    <t>histamine-induced gastric acid secretion</t>
  </si>
  <si>
    <t>Ssiderea022549</t>
  </si>
  <si>
    <t>Ssiderea022581</t>
  </si>
  <si>
    <t>Ssiderea022764</t>
  </si>
  <si>
    <t>Ssiderea022853</t>
  </si>
  <si>
    <t>Ssiderea022878</t>
  </si>
  <si>
    <t>regulation of neuron migration</t>
  </si>
  <si>
    <t>Ssiderea022879</t>
  </si>
  <si>
    <t>Ssiderea023011</t>
  </si>
  <si>
    <t>Ssiderea023116</t>
  </si>
  <si>
    <t>Ssiderea023118</t>
  </si>
  <si>
    <t>Ssiderea023132</t>
  </si>
  <si>
    <t>Ssiderea023225</t>
  </si>
  <si>
    <t>Chromosome 19 open reading frame 43</t>
  </si>
  <si>
    <t>Ssiderea023310</t>
  </si>
  <si>
    <t>Ssiderea023382</t>
  </si>
  <si>
    <t>Ssiderea023386</t>
  </si>
  <si>
    <t>Ssiderea023388</t>
  </si>
  <si>
    <t>Ssiderea023401</t>
  </si>
  <si>
    <t>Ssiderea023406</t>
  </si>
  <si>
    <t>Ssiderea023413</t>
  </si>
  <si>
    <t>Ssiderea023422</t>
  </si>
  <si>
    <t>Ssiderea023426</t>
  </si>
  <si>
    <t>Ssiderea023429</t>
  </si>
  <si>
    <t>Ssiderea023473</t>
  </si>
  <si>
    <t>histidyl-tRNA aminoacylation</t>
  </si>
  <si>
    <t>Ssiderea023541</t>
  </si>
  <si>
    <t>Catalyzes the radical-mediated insertion of two sulfur atoms into the C-6 and C-8 positions of the octanoyl moiety bound to the lipoyl domains of lipoate-dependent enzymes, thereby converting the octanoylated domains into lipoylated derivatives</t>
  </si>
  <si>
    <t>Ssiderea023552</t>
  </si>
  <si>
    <t>suppression of tumorigenicity 13 (colon carcinoma) (Hsp70 interacting protein)</t>
  </si>
  <si>
    <t>Ssiderea023606</t>
  </si>
  <si>
    <t>Ssiderea023769</t>
  </si>
  <si>
    <t>Ssiderea023785</t>
  </si>
  <si>
    <t>Ssiderea023788</t>
  </si>
  <si>
    <t>Ssiderea023814</t>
  </si>
  <si>
    <t>endoplasmic reticulum stress-induced pre-emptive quality control</t>
  </si>
  <si>
    <t>Ssiderea023882</t>
  </si>
  <si>
    <t>PFAM Alcohol dehydrogenase zinc-binding domain protein</t>
  </si>
  <si>
    <t>Ssiderea023883</t>
  </si>
  <si>
    <t>Ssiderea023893</t>
  </si>
  <si>
    <t>Collagen type XI alpha 1</t>
  </si>
  <si>
    <t>Ssiderea023919</t>
  </si>
  <si>
    <t>Ssiderea024050</t>
  </si>
  <si>
    <t>Ssiderea024052</t>
  </si>
  <si>
    <t>Ssiderea024073</t>
  </si>
  <si>
    <t>Ssiderea024105</t>
  </si>
  <si>
    <t>Ssiderea024123</t>
  </si>
  <si>
    <t>Ssiderea024129</t>
  </si>
  <si>
    <t>Ssiderea024139</t>
  </si>
  <si>
    <t>Ssiderea024198</t>
  </si>
  <si>
    <t>Ssiderea024230</t>
  </si>
  <si>
    <t>Ssiderea024272</t>
  </si>
  <si>
    <t>Ssiderea024275</t>
  </si>
  <si>
    <t>Ssiderea024276</t>
  </si>
  <si>
    <t>Ssiderea024314</t>
  </si>
  <si>
    <t>Ssiderea024393</t>
  </si>
  <si>
    <t>Ssiderea024427</t>
  </si>
  <si>
    <t>Ssiderea024553</t>
  </si>
  <si>
    <t>Ssiderea024612</t>
  </si>
  <si>
    <t>Cytochrome P450, family</t>
  </si>
  <si>
    <t>Ssiderea024675</t>
  </si>
  <si>
    <t>Ssiderea024708</t>
  </si>
  <si>
    <t>Ssiderea024711</t>
  </si>
  <si>
    <t>Ssiderea024746</t>
  </si>
  <si>
    <t>Ssiderea024816</t>
  </si>
  <si>
    <t>Ssiderea024825</t>
  </si>
  <si>
    <t>intein-mediated protein splicing</t>
  </si>
  <si>
    <t>Ssiderea024906</t>
  </si>
  <si>
    <t>Ssiderea024910</t>
  </si>
  <si>
    <t>Ssiderea024974</t>
  </si>
  <si>
    <t>Ssiderea025027</t>
  </si>
  <si>
    <t>Ssiderea025037</t>
  </si>
  <si>
    <t>Catalyzes the ferrous insertion into protoporphyrin IX</t>
  </si>
  <si>
    <t>Ssiderea025047</t>
  </si>
  <si>
    <t>Ssiderea025053</t>
  </si>
  <si>
    <t>Ssiderea025089</t>
  </si>
  <si>
    <t>NmrA-like family</t>
  </si>
  <si>
    <t>Ssiderea025135</t>
  </si>
  <si>
    <t>negative regulation of protein export from nucleus</t>
  </si>
  <si>
    <t>Ssiderea025177</t>
  </si>
  <si>
    <t>ankyrin repeat</t>
  </si>
  <si>
    <t>Ssiderea025312</t>
  </si>
  <si>
    <t>Transient receptor potential cation channel, subfamily A, member</t>
  </si>
  <si>
    <t>Ssiderea025320</t>
  </si>
  <si>
    <t>Calreticulin</t>
  </si>
  <si>
    <t>Ssiderea025342</t>
  </si>
  <si>
    <t>Ssiderea025360</t>
  </si>
  <si>
    <t>Ssiderea025440</t>
  </si>
  <si>
    <t>Ssiderea025556</t>
  </si>
  <si>
    <t>Ssiderea025567</t>
  </si>
  <si>
    <t>Ssiderea025653</t>
  </si>
  <si>
    <t>Ssiderea025806</t>
  </si>
  <si>
    <t>negative regulation of insulin receptor signaling pathway</t>
  </si>
  <si>
    <t>Ssiderea025926</t>
  </si>
  <si>
    <t>Ubiquitin exists either covalently attached to another protein, or free (unanchored). When covalently bound, it is conjugated to target proteins via an isopeptide bond either as a monomer (monoubiquitin), a polymer linked via different Lys residues of the ubiquitin (polyubiquitin chains) or a linear polymer linked via the initiator Met of the ubiquitin (linear polyubiquitin chains). Polyubiquitin chains, when attached to a target protein, have different functions depending on the Lys residue of the ubiquitin that is linked</t>
  </si>
  <si>
    <t>Ssiderea025958</t>
  </si>
  <si>
    <t>Ssiderea025984</t>
  </si>
  <si>
    <t>Ssiderea025986</t>
  </si>
  <si>
    <t>negative regulation of epithelial cell proliferation</t>
  </si>
  <si>
    <t>Ssiderea026168</t>
  </si>
  <si>
    <t>Ssiderea026169</t>
  </si>
  <si>
    <t>Ssiderea026208</t>
  </si>
  <si>
    <t>Ssiderea026252</t>
  </si>
  <si>
    <t>riboflavin transmembrane transporter activity</t>
  </si>
  <si>
    <t>Ssiderea026266</t>
  </si>
  <si>
    <t>Ssiderea026267</t>
  </si>
  <si>
    <t>negative regulation of nuclease activity</t>
  </si>
  <si>
    <t>Ssiderea026314</t>
  </si>
  <si>
    <t>Ssiderea026316</t>
  </si>
  <si>
    <t>Ssiderea026397</t>
  </si>
  <si>
    <t>Ssiderea026461</t>
  </si>
  <si>
    <t>Ssiderea026574</t>
  </si>
  <si>
    <t>Ssiderea026681</t>
  </si>
  <si>
    <t>Ssiderea026694</t>
  </si>
  <si>
    <t>Ssiderea026702</t>
  </si>
  <si>
    <t>Ssiderea026709</t>
  </si>
  <si>
    <t>Ssiderea026735</t>
  </si>
  <si>
    <t>Ssiderea026757</t>
  </si>
  <si>
    <t>Ssiderea026761</t>
  </si>
  <si>
    <t>Ssiderea026768</t>
  </si>
  <si>
    <t>sedoheptulose-7-phosphate:D-glyceraldehyde-3-phosphate glyceronetransferase activity</t>
  </si>
  <si>
    <t>Ssiderea026791</t>
  </si>
  <si>
    <t>Ssiderea026942</t>
  </si>
  <si>
    <t>von Willebrand factor (vWF) type A domain</t>
  </si>
  <si>
    <t>Ssiderea026962</t>
  </si>
  <si>
    <t>Ssiderea026971</t>
  </si>
  <si>
    <t>regulation of phosphoprotein phosphatase activity</t>
  </si>
  <si>
    <t>Ssiderea027077</t>
  </si>
  <si>
    <t>Ssiderea027103</t>
  </si>
  <si>
    <t>calcium-dependent phospholipid binding</t>
  </si>
  <si>
    <t>Ssiderea027135</t>
  </si>
  <si>
    <t>Catalyzes the three sequential steps of the methylation pathway of phosphatidylcholine biosynthesis, the SAM-dependent methylation of phosphatidylethanolamine (PE) to phosphatidylmonomethylethanolamine (PMME), PMME to phosphatidyldimethylethanolamine (PDME), and PDME to phosphatidylcholine (PC)</t>
  </si>
  <si>
    <t>Ssiderea027151</t>
  </si>
  <si>
    <t>Ssiderea027251</t>
  </si>
  <si>
    <t>Ssiderea027372</t>
  </si>
  <si>
    <t>Tnf receptor-associated factor 2</t>
  </si>
  <si>
    <t>Ssiderea027516</t>
  </si>
  <si>
    <t>RING-like zinc finger</t>
  </si>
  <si>
    <t>Ssiderea027537</t>
  </si>
  <si>
    <t>Ssiderea027541</t>
  </si>
  <si>
    <t>Ssiderea027596</t>
  </si>
  <si>
    <t>Ssiderea027757</t>
  </si>
  <si>
    <t>Double-stranded RNA binding motif</t>
  </si>
  <si>
    <t>Ssiderea027758</t>
  </si>
  <si>
    <t>Ssiderea027760</t>
  </si>
  <si>
    <t>Receptor L domain</t>
  </si>
  <si>
    <t>Ssiderea027808</t>
  </si>
  <si>
    <t>Ssiderea027809</t>
  </si>
  <si>
    <t>Ssiderea027875</t>
  </si>
  <si>
    <t>Enabled homolog</t>
  </si>
  <si>
    <t>Ssiderea027950</t>
  </si>
  <si>
    <t>Ssiderea027951</t>
  </si>
  <si>
    <t>Ssiderea027966</t>
  </si>
  <si>
    <t>tumor necrosis factor (ligand) superfamily, member</t>
  </si>
  <si>
    <t>Ssiderea028069</t>
  </si>
  <si>
    <t>Ssiderea028142</t>
  </si>
  <si>
    <t>rRNA-processing protein FCF1</t>
  </si>
  <si>
    <t>Ssiderea028273</t>
  </si>
  <si>
    <t>Ssiderea028340</t>
  </si>
  <si>
    <t>positive regulation of phosphorylation of RNA polymerase II C-terminal domain serine 2 residues</t>
  </si>
  <si>
    <t>Ssiderea028362</t>
  </si>
  <si>
    <t>WD repeat-containing protein 26</t>
  </si>
  <si>
    <t>Ssiderea028556</t>
  </si>
  <si>
    <t>Ssiderea028731</t>
  </si>
  <si>
    <t>Ssiderea029118</t>
  </si>
  <si>
    <t>5'-3' exonuclease activity</t>
  </si>
  <si>
    <t>Ssiderea029149</t>
  </si>
  <si>
    <t>tetracycline transmembrane transporter activity</t>
  </si>
  <si>
    <t>Ssiderea029169</t>
  </si>
  <si>
    <t>Ssiderea029220</t>
  </si>
  <si>
    <t>nuclear receptor transcription coactivator activity</t>
  </si>
  <si>
    <t>Ssiderea029278</t>
  </si>
  <si>
    <t>Ssiderea029316</t>
  </si>
  <si>
    <t>Ssiderea029360</t>
  </si>
  <si>
    <t>Ssiderea029361</t>
  </si>
  <si>
    <t>Ssiderea029402</t>
  </si>
  <si>
    <t>Ssiderea029404</t>
  </si>
  <si>
    <t>Ssiderea029477</t>
  </si>
  <si>
    <t>negative regulation of hematopoietic stem cell differentiation</t>
  </si>
  <si>
    <t>Ssiderea029551</t>
  </si>
  <si>
    <t>Ssiderea029563</t>
  </si>
  <si>
    <t>glucokinase activity</t>
  </si>
  <si>
    <t>Ssiderea029588</t>
  </si>
  <si>
    <t>Ssiderea029648</t>
  </si>
  <si>
    <t>Ssiderea029708</t>
  </si>
  <si>
    <t>Sequence-specific DNA binding. It is involved in the biological process described with regulation of transcription, DNA-templated</t>
  </si>
  <si>
    <t>Ssiderea029809</t>
  </si>
  <si>
    <t>Ssiderea029811</t>
  </si>
  <si>
    <t>Ssiderea029881</t>
  </si>
  <si>
    <t>tumor protein</t>
  </si>
  <si>
    <t>Ssiderea029933</t>
  </si>
  <si>
    <t>Ssiderea029956</t>
  </si>
  <si>
    <t>Ssiderea029957</t>
  </si>
  <si>
    <t>Ssiderea030001</t>
  </si>
  <si>
    <t>Galactosyltransferase</t>
  </si>
  <si>
    <t>Ssiderea030127</t>
  </si>
  <si>
    <t>Ubiquitin carboxyl-terminal hydrolase 48</t>
  </si>
  <si>
    <t>Ssiderea030143</t>
  </si>
  <si>
    <t>Ssiderea030239</t>
  </si>
  <si>
    <t>Ssiderea030261</t>
  </si>
  <si>
    <t>Ssiderea030302</t>
  </si>
  <si>
    <t>Folate receptor family</t>
  </si>
  <si>
    <t>Ssiderea030387</t>
  </si>
  <si>
    <t>Ssiderea030391</t>
  </si>
  <si>
    <t>Ssiderea030492</t>
  </si>
  <si>
    <t>Ssiderea030902</t>
  </si>
  <si>
    <t>oligosaccharide binding</t>
  </si>
  <si>
    <t>Ssiderea031312</t>
  </si>
  <si>
    <t>Ssiderea031371</t>
  </si>
  <si>
    <t>Ssiderea031406</t>
  </si>
  <si>
    <t>Ssiderea031427</t>
  </si>
  <si>
    <t>Ssiderea031474</t>
  </si>
  <si>
    <t>Ssiderea031519</t>
  </si>
  <si>
    <t>Src homology 3 domains</t>
  </si>
  <si>
    <t>Ssiderea031825</t>
  </si>
  <si>
    <t>viral capsid secondary envelopment</t>
  </si>
  <si>
    <t>Ssiderea031835</t>
  </si>
  <si>
    <t>prolyl-tRNA aminoacylation</t>
  </si>
  <si>
    <t>Ssiderea031836</t>
  </si>
  <si>
    <t>Ssiderea031857</t>
  </si>
  <si>
    <t>Ssiderea031880</t>
  </si>
  <si>
    <t>YLP motif-containing protein 1</t>
  </si>
  <si>
    <t>Ssiderea031960</t>
  </si>
  <si>
    <t>myosin light chain kinase activity</t>
  </si>
  <si>
    <t>Ssiderea032140</t>
  </si>
  <si>
    <t>Ssiderea032157</t>
  </si>
  <si>
    <t>Ssiderea032236</t>
  </si>
  <si>
    <t>Ssiderea032248</t>
  </si>
  <si>
    <t>Ssiderea032249</t>
  </si>
  <si>
    <t>Ssiderea032369</t>
  </si>
  <si>
    <t>system process</t>
  </si>
  <si>
    <t>Ssiderea032529</t>
  </si>
  <si>
    <t>Tumor necrosis factor receptor superfamily member</t>
  </si>
  <si>
    <t>Ssiderea032880</t>
  </si>
  <si>
    <t>Ssiderea032889</t>
  </si>
  <si>
    <t>Ssiderea032912</t>
  </si>
  <si>
    <t>Ssiderea032941</t>
  </si>
  <si>
    <t>Ssiderea033069</t>
  </si>
  <si>
    <t>Ssiderea033119</t>
  </si>
  <si>
    <t>Ssiderea033121</t>
  </si>
  <si>
    <t>Ssiderea033133</t>
  </si>
  <si>
    <t>Ssiderea033146</t>
  </si>
  <si>
    <t>hematopoietic progenitor cell differentiation</t>
  </si>
  <si>
    <t>Ssiderea033171</t>
  </si>
  <si>
    <t>Ssiderea033173</t>
  </si>
  <si>
    <t>EGF domain</t>
  </si>
  <si>
    <t>Ssiderea033177</t>
  </si>
  <si>
    <t>Ssiderea033187</t>
  </si>
  <si>
    <t>Ssiderea033216</t>
  </si>
  <si>
    <t>mitochondrial DNA replication</t>
  </si>
  <si>
    <t>Ssiderea033217</t>
  </si>
  <si>
    <t>Ssiderea033231</t>
  </si>
  <si>
    <t>MAP kinase activity</t>
  </si>
  <si>
    <t>Ssiderea033246</t>
  </si>
  <si>
    <t>RNA processing</t>
  </si>
  <si>
    <t>Ssiderea033268</t>
  </si>
  <si>
    <t>Ssiderea033368</t>
  </si>
  <si>
    <t>Ceramide synthase</t>
  </si>
  <si>
    <t>Ssiderea033439</t>
  </si>
  <si>
    <t>neuronal cell adhesion molecule</t>
  </si>
  <si>
    <t>Ssiderea033464</t>
  </si>
  <si>
    <t>Ssiderea033478</t>
  </si>
  <si>
    <t>Ssiderea033484</t>
  </si>
  <si>
    <t>Ssiderea033489</t>
  </si>
  <si>
    <t>Ssiderea033514</t>
  </si>
  <si>
    <t>Sodium-dependent phosphate transport protein</t>
  </si>
  <si>
    <t>Ssiderea033602</t>
  </si>
  <si>
    <t>Ssiderea033860</t>
  </si>
  <si>
    <t>SWI SNF related, matrix associated, actin dependent regulator of chromatin, subfamily c, member</t>
  </si>
  <si>
    <t>Ssiderea033867</t>
  </si>
  <si>
    <t>Ssiderea033969</t>
  </si>
  <si>
    <t>Granulin</t>
  </si>
  <si>
    <t>Ssiderea034011</t>
  </si>
  <si>
    <t>Ssiderea034035</t>
  </si>
  <si>
    <t>Iron-binding zinc finger CDGSH type</t>
  </si>
  <si>
    <t>Ssiderea034040</t>
  </si>
  <si>
    <t>Ssiderea034041</t>
  </si>
  <si>
    <t>Melanocortin 4 receptor</t>
  </si>
  <si>
    <t>Ssiderea034084</t>
  </si>
  <si>
    <t>Ssiderea034094</t>
  </si>
  <si>
    <t>adenyl-nucleotide exchange factor activity</t>
  </si>
  <si>
    <t>Ssiderea034106</t>
  </si>
  <si>
    <t>Ssiderea034143</t>
  </si>
  <si>
    <t>Ssiderea034260</t>
  </si>
  <si>
    <t>Ssiderea034370</t>
  </si>
  <si>
    <t>Sugar transporter</t>
  </si>
  <si>
    <t>Ssiderea034389</t>
  </si>
  <si>
    <t>Ssiderea034395</t>
  </si>
  <si>
    <t>Ssiderea034404</t>
  </si>
  <si>
    <t>Ssiderea034405</t>
  </si>
  <si>
    <t>Ssiderea034409</t>
  </si>
  <si>
    <t>Ssiderea034455</t>
  </si>
  <si>
    <t>Ssiderea034482</t>
  </si>
  <si>
    <t>mannose binding</t>
  </si>
  <si>
    <t>Ssiderea034505</t>
  </si>
  <si>
    <t>Ssiderea034719</t>
  </si>
  <si>
    <t>Ssiderea034815</t>
  </si>
  <si>
    <t>Ssiderea034867</t>
  </si>
  <si>
    <t>Ssiderea034877</t>
  </si>
  <si>
    <t>Transcriptional regulatory protein LGE1</t>
  </si>
  <si>
    <t>Ssiderea034880</t>
  </si>
  <si>
    <t>Amnionless</t>
  </si>
  <si>
    <t>Ssiderea034950</t>
  </si>
  <si>
    <t>Ssiderea034954</t>
  </si>
  <si>
    <t>Ssiderea034970</t>
  </si>
  <si>
    <t>complement activation, lectin pathway</t>
  </si>
  <si>
    <t>Ssiderea035016</t>
  </si>
  <si>
    <t>Forkhead associated domain</t>
  </si>
  <si>
    <t>Ssiderea035051</t>
  </si>
  <si>
    <t>Ssiderea035100</t>
  </si>
  <si>
    <t>Ssiderea035159</t>
  </si>
  <si>
    <t>histone demethylase activity (H3-monomethyl-K4 specific)</t>
  </si>
  <si>
    <t>Ssiderea035170</t>
  </si>
  <si>
    <t>2Fe-2S iron-sulfur cluster binding domain</t>
  </si>
  <si>
    <t>Ssiderea035298</t>
  </si>
  <si>
    <t>Protein tyrosine kinase</t>
  </si>
  <si>
    <t>Ssiderea035306</t>
  </si>
  <si>
    <t>PTK6 protein tyrosine kinase</t>
  </si>
  <si>
    <t>Ssiderea035374</t>
  </si>
  <si>
    <t>Ssiderea035390</t>
  </si>
  <si>
    <t>nutrient reservoir activity</t>
  </si>
  <si>
    <t>Ssiderea035401</t>
  </si>
  <si>
    <t>Ssiderea035462</t>
  </si>
  <si>
    <t>Ssiderea035529</t>
  </si>
  <si>
    <t>Ssiderea035532</t>
  </si>
  <si>
    <t>Ssiderea035545</t>
  </si>
  <si>
    <t>Ssiderea035570</t>
  </si>
  <si>
    <t>Ssiderea035576</t>
  </si>
  <si>
    <t>Ssiderea035585</t>
  </si>
  <si>
    <t>Ssiderea035587</t>
  </si>
  <si>
    <t>HCLS1 binding protein 3</t>
  </si>
  <si>
    <t>Ssiderea035653</t>
  </si>
  <si>
    <t>guanine nucleotide exchange factor 1</t>
  </si>
  <si>
    <t>Ssiderea035673</t>
  </si>
  <si>
    <t>Ssiderea035689</t>
  </si>
  <si>
    <t>Ssiderea035697</t>
  </si>
  <si>
    <t>methylcrotonoyl-Coenzyme A carboxylase 2 (beta)</t>
  </si>
  <si>
    <t>Ssiderea035714</t>
  </si>
  <si>
    <t>Ssiderea035804</t>
  </si>
  <si>
    <t>Ssiderea035909</t>
  </si>
  <si>
    <t>Ssiderea035911</t>
  </si>
  <si>
    <t>negative regulation of nuclear-transcribed mRNA catabolic process, nonsense-mediated decay</t>
  </si>
  <si>
    <t>Ssiderea035980</t>
  </si>
  <si>
    <t>Ssiderea035987</t>
  </si>
  <si>
    <t>Ssiderea035988</t>
  </si>
  <si>
    <t>Ssiderea035989</t>
  </si>
  <si>
    <t>Ssiderea035994</t>
  </si>
  <si>
    <t>Ssiderea035995</t>
  </si>
  <si>
    <t>Ssiderea035998</t>
  </si>
  <si>
    <t>Ssiderea036137</t>
  </si>
  <si>
    <t>Ssiderea036237</t>
  </si>
  <si>
    <t>gamma-aminobutyric acid type B receptor subunit</t>
  </si>
  <si>
    <t>Ssiderea036263</t>
  </si>
  <si>
    <t>RNA secondary structure unwinding</t>
  </si>
  <si>
    <t>Ssiderea036323</t>
  </si>
  <si>
    <t>Ssiderea036441</t>
  </si>
  <si>
    <t>Ssiderea036464</t>
  </si>
  <si>
    <t>Ssiderea036468</t>
  </si>
  <si>
    <t>Ssiderea036502</t>
  </si>
  <si>
    <t>Ssiderea036562</t>
  </si>
  <si>
    <t>SWI SNF-related matrix-associated actin-dependent regulator of chromatin subfamily A-like protein</t>
  </si>
  <si>
    <t>Ssiderea036682</t>
  </si>
  <si>
    <t>L-glutamate import across plasma membrane</t>
  </si>
  <si>
    <t>Ssiderea036716</t>
  </si>
  <si>
    <t>Ssiderea036721</t>
  </si>
  <si>
    <t>Ssiderea036722</t>
  </si>
  <si>
    <t>Ssiderea036731</t>
  </si>
  <si>
    <t>Ssiderea036745</t>
  </si>
  <si>
    <t>Ssiderea036778</t>
  </si>
  <si>
    <t>ring finger and CHY zinc finger</t>
  </si>
  <si>
    <t>Ssiderea037200</t>
  </si>
  <si>
    <t>angiotensin II receptor-associated protein</t>
  </si>
  <si>
    <t>Ssiderea037206</t>
  </si>
  <si>
    <t>Ssiderea037260</t>
  </si>
  <si>
    <t>Ssiderea037339</t>
  </si>
  <si>
    <t>Ssiderea037533</t>
  </si>
  <si>
    <t>Ssiderea037555</t>
  </si>
  <si>
    <t>Ssiderea037721</t>
  </si>
  <si>
    <t>Ssiderea037741</t>
  </si>
  <si>
    <t>Ssiderea038010</t>
  </si>
  <si>
    <t>Ssiderea038136</t>
  </si>
  <si>
    <t>Ssiderea038147</t>
  </si>
  <si>
    <t>Anticodon-binding domain</t>
  </si>
  <si>
    <t>Ssiderea038157</t>
  </si>
  <si>
    <t>regulation of chaperone-mediated protein folding</t>
  </si>
  <si>
    <t>Ssiderea038280</t>
  </si>
  <si>
    <t>Ssiderea038386</t>
  </si>
  <si>
    <t>Ssiderea038393</t>
  </si>
  <si>
    <t>methylmalonyl-CoA mutase activity</t>
  </si>
  <si>
    <t>Ssiderea038419</t>
  </si>
  <si>
    <t>homeobox</t>
  </si>
  <si>
    <t>Ssiderea038467</t>
  </si>
  <si>
    <t>Ssiderea038470</t>
  </si>
  <si>
    <t>Ssiderea038513</t>
  </si>
  <si>
    <t>Ssiderea038534</t>
  </si>
  <si>
    <t>Ssiderea038565</t>
  </si>
  <si>
    <t>acetylesterase activity</t>
  </si>
  <si>
    <t>Ssiderea038581</t>
  </si>
  <si>
    <t>Ssiderea038582</t>
  </si>
  <si>
    <t>Ssiderea038588</t>
  </si>
  <si>
    <t>Histone cluster 2, H2ab</t>
  </si>
  <si>
    <t>Ssiderea038593</t>
  </si>
  <si>
    <t>Ssiderea038602</t>
  </si>
  <si>
    <t>Ssiderea038655</t>
  </si>
  <si>
    <t>Ssiderea038677</t>
  </si>
  <si>
    <t>Ssiderea038678</t>
  </si>
  <si>
    <t>lens fiber cell differentiation</t>
  </si>
  <si>
    <t>Ssiderea038681</t>
  </si>
  <si>
    <t>Ssiderea038682</t>
  </si>
  <si>
    <t>Ssiderea038683</t>
  </si>
  <si>
    <t>Ssiderea038684</t>
  </si>
  <si>
    <t>Ssiderea038694</t>
  </si>
  <si>
    <t>Ssiderea038793</t>
  </si>
  <si>
    <t>Ssiderea038798</t>
  </si>
  <si>
    <t>Ssiderea038852</t>
  </si>
  <si>
    <t>Ssiderea038858</t>
  </si>
  <si>
    <t>Ssiderea038864</t>
  </si>
  <si>
    <t>Ssiderea038867</t>
  </si>
  <si>
    <t>ranBP-type and C3HC4-type zinc finger-containing protein</t>
  </si>
  <si>
    <t>Ssiderea038885</t>
  </si>
  <si>
    <t>Ssiderea038965</t>
  </si>
  <si>
    <t>Ssiderea038966</t>
  </si>
  <si>
    <t>Ssiderea039001</t>
  </si>
  <si>
    <t>Ssiderea039014</t>
  </si>
  <si>
    <t>coenzyme binding</t>
  </si>
  <si>
    <t>Ssiderea039070</t>
  </si>
  <si>
    <t>Ssiderea039075</t>
  </si>
  <si>
    <t>Replication timing regulatory factor 1</t>
  </si>
  <si>
    <t>Ssiderea039078</t>
  </si>
  <si>
    <t>Ssiderea039105</t>
  </si>
  <si>
    <t>negative regulation of transcription, DNA-templated</t>
  </si>
  <si>
    <t>Ssiderea039122</t>
  </si>
  <si>
    <t>Uncharacterized ACR, YdiU/UPF0061 family</t>
  </si>
  <si>
    <t>Ssiderea039160</t>
  </si>
  <si>
    <t>Ssiderea039239</t>
  </si>
  <si>
    <t>Ssiderea039248</t>
  </si>
  <si>
    <t>PHD-zinc-finger like domain</t>
  </si>
  <si>
    <t>Ssiderea039250</t>
  </si>
  <si>
    <t>Hairy enhancer-of-split related with YRPW motif</t>
  </si>
  <si>
    <t>Ssiderea039255</t>
  </si>
  <si>
    <t>Belongs to the G-protein coupled receptor 2 family</t>
  </si>
  <si>
    <t>Ssiderea039381</t>
  </si>
  <si>
    <t>Ssiderea039395</t>
  </si>
  <si>
    <t>tooth eruption</t>
  </si>
  <si>
    <t>Ssiderea039494</t>
  </si>
  <si>
    <t>F-box-like</t>
  </si>
  <si>
    <t>Ssiderea039506</t>
  </si>
  <si>
    <t>binding of sperm to zona pellucida</t>
  </si>
  <si>
    <t>Ssiderea039555</t>
  </si>
  <si>
    <t>DNA replication factor</t>
  </si>
  <si>
    <t>Ssiderea039557</t>
  </si>
  <si>
    <t>Core-binding factor</t>
  </si>
  <si>
    <t>Ssiderea039559</t>
  </si>
  <si>
    <t>Domain of unknown function (DUF4505)</t>
  </si>
  <si>
    <t>Ssiderea039589</t>
  </si>
  <si>
    <t>Ssiderea039599</t>
  </si>
  <si>
    <t>Ssiderea039605</t>
  </si>
  <si>
    <t>phosphoethanolamine N-methyltransferase</t>
  </si>
  <si>
    <t>Ssiderea039623</t>
  </si>
  <si>
    <t>HELP motif</t>
  </si>
  <si>
    <t>Ssiderea039753</t>
  </si>
  <si>
    <t>Lissencephaly type-1-like homology motif</t>
  </si>
  <si>
    <t>Ssiderea039820</t>
  </si>
  <si>
    <t>acetylgalactosaminyltransferase activity</t>
  </si>
  <si>
    <t>Ssiderea039830</t>
  </si>
  <si>
    <t>Ssiderea039980</t>
  </si>
  <si>
    <t>protein KIAA2012 homolog</t>
  </si>
  <si>
    <t>Ssiderea040106</t>
  </si>
  <si>
    <t>Ssiderea040172</t>
  </si>
  <si>
    <t>positive regulation of GTPase activity</t>
  </si>
  <si>
    <t>Ssiderea040201</t>
  </si>
  <si>
    <t>Iron/manganese superoxide dismutases, C-terminal domain</t>
  </si>
  <si>
    <t>Ssiderea040239</t>
  </si>
  <si>
    <t>Leucine-rich PPR motif-containing protein</t>
  </si>
  <si>
    <t>Ssiderea040287</t>
  </si>
  <si>
    <t>Ssiderea040457</t>
  </si>
  <si>
    <t>Ssiderea040493</t>
  </si>
  <si>
    <t>Ssiderea040674</t>
  </si>
  <si>
    <t>formimidoyltetrahydrofolate cyclodeaminase activity</t>
  </si>
  <si>
    <t>Ssiderea040698</t>
  </si>
  <si>
    <t>store-operated calcium channel activity</t>
  </si>
  <si>
    <t>Ssiderea041426</t>
  </si>
  <si>
    <t>Ssiderea041428</t>
  </si>
  <si>
    <t>atlastin GTPase</t>
  </si>
  <si>
    <t>Ssiderea041441</t>
  </si>
  <si>
    <t>molybdopterin molybdotransferase activity</t>
  </si>
  <si>
    <t>Ssiderea041515</t>
  </si>
  <si>
    <t>Ssiderea041613</t>
  </si>
  <si>
    <t>Thioredoxin domain-containing protein 17</t>
  </si>
  <si>
    <t>Ssiderea041617</t>
  </si>
  <si>
    <t>S-adenosylmethionine-dependent tRNA (m5U54) methyltransferase activity</t>
  </si>
  <si>
    <t>Ssiderea041622</t>
  </si>
  <si>
    <t>Ssiderea041634</t>
  </si>
  <si>
    <t>Belongs to the CD36 family</t>
  </si>
  <si>
    <t>Ssiderea041652</t>
  </si>
  <si>
    <t>Solute carrier family 13</t>
  </si>
  <si>
    <t>Ssiderea041900</t>
  </si>
  <si>
    <t>regulation of centriole replication</t>
  </si>
  <si>
    <t>Ssiderea041915</t>
  </si>
  <si>
    <t>Ssiderea042167</t>
  </si>
  <si>
    <t>5'-AMP-activated protein kinase catalytic subunit</t>
  </si>
  <si>
    <t>Ssiderea042177</t>
  </si>
  <si>
    <t>Ssiderea042206</t>
  </si>
  <si>
    <t>Ssiderea042271</t>
  </si>
  <si>
    <t>calcium-activated potassium channel activity</t>
  </si>
  <si>
    <t>Ssiderea042276</t>
  </si>
  <si>
    <t>Ssiderea042299</t>
  </si>
  <si>
    <t>UDP-glucuronic acid transmembrane transporter activity</t>
  </si>
  <si>
    <t>Ssiderea042331</t>
  </si>
  <si>
    <t>Centlein</t>
  </si>
  <si>
    <t>Ssiderea042332</t>
  </si>
  <si>
    <t>Ssiderea042375</t>
  </si>
  <si>
    <t>Ssiderea042426</t>
  </si>
  <si>
    <t>Ssiderea042469</t>
  </si>
  <si>
    <t>Ssiderea042513</t>
  </si>
  <si>
    <t>Ssiderea042606</t>
  </si>
  <si>
    <t>maintenance of mitotic sister chromatid cohesion</t>
  </si>
  <si>
    <t>Ssiderea042637</t>
  </si>
  <si>
    <t>Angel homolog</t>
  </si>
  <si>
    <t>Ssiderea042649</t>
  </si>
  <si>
    <t>Ssiderea042655</t>
  </si>
  <si>
    <t>Ssiderea042685</t>
  </si>
  <si>
    <t>HIV-1 Tat interactive protein 2</t>
  </si>
  <si>
    <t>Ssiderea042756</t>
  </si>
  <si>
    <t>Transferase activity, transferring phosphorus-containing groups</t>
  </si>
  <si>
    <t>Ssiderea042784</t>
  </si>
  <si>
    <t>Ssiderea042804</t>
  </si>
  <si>
    <t>Histone H1</t>
  </si>
  <si>
    <t>Ssiderea042837</t>
  </si>
  <si>
    <t>histone-lysine N-methyltransferase PRDM6</t>
  </si>
  <si>
    <t>Ssiderea043585</t>
  </si>
  <si>
    <t>negative regulation of plasminogen activation</t>
  </si>
  <si>
    <t>Ssiderea043592</t>
  </si>
  <si>
    <t>Ssiderea043606</t>
  </si>
  <si>
    <t>base-excision repair, AP site formation via deaminated base removal</t>
  </si>
  <si>
    <t>Ssiderea043643</t>
  </si>
  <si>
    <t>Ssiderea043685</t>
  </si>
  <si>
    <t>Ssiderea043713</t>
  </si>
  <si>
    <t>establishment of synaptic vesicle localization</t>
  </si>
  <si>
    <t>Ssiderea043935</t>
  </si>
  <si>
    <t>Ssiderea043958</t>
  </si>
  <si>
    <t>Ssiderea043968</t>
  </si>
  <si>
    <t>Ssiderea043971</t>
  </si>
  <si>
    <t>Ssiderea043984</t>
  </si>
  <si>
    <t>Ssiderea044195</t>
  </si>
  <si>
    <t>Ssiderea044198</t>
  </si>
  <si>
    <t>Ssiderea044228</t>
  </si>
  <si>
    <t>Ssiderea044233</t>
  </si>
  <si>
    <t>Ssiderea044277</t>
  </si>
  <si>
    <t>UBA-like domain-containing protein 2</t>
  </si>
  <si>
    <t>Ssiderea044451</t>
  </si>
  <si>
    <t>Ssiderea044458</t>
  </si>
  <si>
    <t>Ssiderea044485</t>
  </si>
  <si>
    <t>Autophagy-related protein 2 homolog</t>
  </si>
  <si>
    <t>Ssiderea044505</t>
  </si>
  <si>
    <t>intramolecular lyase activity</t>
  </si>
  <si>
    <t>Ssiderea044528</t>
  </si>
  <si>
    <t>Ssiderea044606</t>
  </si>
  <si>
    <t>fumarate hydratase activity</t>
  </si>
  <si>
    <t>Ssiderea044610</t>
  </si>
  <si>
    <t>transmembrane receptor protein tyrosine kinase activity</t>
  </si>
  <si>
    <t>Ssiderea044682</t>
  </si>
  <si>
    <t>Ssiderea044698</t>
  </si>
  <si>
    <t>carbonate dehydratase activity</t>
  </si>
  <si>
    <t>Ssiderea044727</t>
  </si>
  <si>
    <t>Ssiderea044761</t>
  </si>
  <si>
    <t>Ssiderea044768</t>
  </si>
  <si>
    <t>Ssiderea044795</t>
  </si>
  <si>
    <t>Ssiderea044854</t>
  </si>
  <si>
    <t>Ssiderea044868</t>
  </si>
  <si>
    <t>Ssiderea044907</t>
  </si>
  <si>
    <t>Ssiderea044913</t>
  </si>
  <si>
    <t>Ssiderea044931</t>
  </si>
  <si>
    <t>bactericidal permeability-increasing protein</t>
  </si>
  <si>
    <t>Ssiderea045051</t>
  </si>
  <si>
    <t>Ssiderea045096</t>
  </si>
  <si>
    <t>Ssiderea045234</t>
  </si>
  <si>
    <t>Ssiderea045239</t>
  </si>
  <si>
    <t>Ssiderea045314</t>
  </si>
  <si>
    <t>Ssiderea045318</t>
  </si>
  <si>
    <t>Belongs to the eIF-2B alpha beta delta subunits family. MtnA subfamily</t>
  </si>
  <si>
    <t>Ssiderea045392</t>
  </si>
  <si>
    <t>Uncharacterized conserved protein (DUF2152)</t>
  </si>
  <si>
    <t>Ssiderea045427</t>
  </si>
  <si>
    <t>Ssiderea045446</t>
  </si>
  <si>
    <t>WD40 repeats</t>
  </si>
  <si>
    <t>Ssiderea045518</t>
  </si>
  <si>
    <t>Ssiderea045546</t>
  </si>
  <si>
    <t>Ssiderea045582</t>
  </si>
  <si>
    <t>Ssiderea045603</t>
  </si>
  <si>
    <t>Ssiderea045604</t>
  </si>
  <si>
    <t>Ssiderea045672</t>
  </si>
  <si>
    <t>Ssiderea045692</t>
  </si>
  <si>
    <t>Ssiderea045876</t>
  </si>
  <si>
    <t>Rab interacting lysosomal protein-like 1</t>
  </si>
  <si>
    <t>Ssiderea045970</t>
  </si>
  <si>
    <t>Ssiderea045996</t>
  </si>
  <si>
    <t>FAD dependent oxidoreductase</t>
  </si>
  <si>
    <t>Ssiderea046012</t>
  </si>
  <si>
    <t>diphosphoinositol polyphosphate catabolic process</t>
  </si>
  <si>
    <t>Ssiderea046213</t>
  </si>
  <si>
    <t>Ssiderea046269</t>
  </si>
  <si>
    <t>Glutathione S-transferase kappa</t>
  </si>
  <si>
    <t>Ssiderea046293</t>
  </si>
  <si>
    <t>Ssiderea046295</t>
  </si>
  <si>
    <t>positive regulation of protein dephosphorylation</t>
  </si>
  <si>
    <t>Ssiderea046327</t>
  </si>
  <si>
    <t>Ssiderea046337</t>
  </si>
  <si>
    <t>Ssiderea046375</t>
  </si>
  <si>
    <t>Ssiderea046376</t>
  </si>
  <si>
    <t>Ssiderea046401</t>
  </si>
  <si>
    <t>positive regulation of Rho guanyl-nucleotide exchange factor activity</t>
  </si>
  <si>
    <t>Ssiderea046465</t>
  </si>
  <si>
    <t>Ssiderea046533</t>
  </si>
  <si>
    <t>Ssiderea046541</t>
  </si>
  <si>
    <t>Ssiderea046542</t>
  </si>
  <si>
    <t>negative regulation of histone acetylation</t>
  </si>
  <si>
    <t>Ssiderea046544</t>
  </si>
  <si>
    <t>Ssiderea046604</t>
  </si>
  <si>
    <t>pantothenate transmembrane transport</t>
  </si>
  <si>
    <t>Ssiderea046616</t>
  </si>
  <si>
    <t>Ssiderea046648</t>
  </si>
  <si>
    <t>Ssiderea046650</t>
  </si>
  <si>
    <t>regulation of ectodermal cell fate specification</t>
  </si>
  <si>
    <t>Ssiderea046656</t>
  </si>
  <si>
    <t>Belongs to the G-protein coupled receptor Fz Smo family</t>
  </si>
  <si>
    <t>Ssiderea046701</t>
  </si>
  <si>
    <t>DNA-directed 5'-3' RNA polymerase activity</t>
  </si>
  <si>
    <t>Ssiderea046730</t>
  </si>
  <si>
    <t>Ssiderea046734</t>
  </si>
  <si>
    <t>centromere complex assembly</t>
  </si>
  <si>
    <t>Ssiderea046872</t>
  </si>
  <si>
    <t>pancreatic epsilon cell differentiation</t>
  </si>
  <si>
    <t>Ssiderea046887</t>
  </si>
  <si>
    <t>negative regulation of fat cell proliferation</t>
  </si>
  <si>
    <t>Ssiderea046918</t>
  </si>
  <si>
    <t>Ssiderea046927</t>
  </si>
  <si>
    <t>P-loop containing NTP hydrolase pore-1</t>
  </si>
  <si>
    <t>Ssiderea046938</t>
  </si>
  <si>
    <t>Eukaryotic translation initiation factor 4A, isoform</t>
  </si>
  <si>
    <t>Ssiderea046965</t>
  </si>
  <si>
    <t>Ssiderea046972</t>
  </si>
  <si>
    <t>Ssiderea047070</t>
  </si>
  <si>
    <t>Ssiderea047074</t>
  </si>
  <si>
    <t>Ssiderea047112</t>
  </si>
  <si>
    <t>Ssiderea047163</t>
  </si>
  <si>
    <t>Ssiderea047229</t>
  </si>
  <si>
    <t>Ssiderea047391</t>
  </si>
  <si>
    <t>May act as a scaffolding protein within caveolar membranes. Interacts directly with G-protein alpha subunits and can functionally regulate their activity</t>
  </si>
  <si>
    <t>Ssiderea047401</t>
  </si>
  <si>
    <t>Ssiderea047479</t>
  </si>
  <si>
    <t>Ssiderea047593</t>
  </si>
  <si>
    <t>Hepatic leukemia factor</t>
  </si>
  <si>
    <t>Ssiderea047594</t>
  </si>
  <si>
    <t>Ssiderea047596</t>
  </si>
  <si>
    <t>Ssiderea047669</t>
  </si>
  <si>
    <t>Ribosomal RNA processing 8, methyltransferase, homolog (yeast)</t>
  </si>
  <si>
    <t>Ssiderea047734</t>
  </si>
  <si>
    <t>Ssiderea047810</t>
  </si>
  <si>
    <t>Ssiderea047876</t>
  </si>
  <si>
    <t>Protein of unknown function (DUF1298)</t>
  </si>
  <si>
    <t>Ssiderea047895</t>
  </si>
  <si>
    <t>Ssiderea047898</t>
  </si>
  <si>
    <t>Ssiderea047913</t>
  </si>
  <si>
    <t>Ssiderea047914</t>
  </si>
  <si>
    <t>Ssiderea047915</t>
  </si>
  <si>
    <t>Ssiderea048008</t>
  </si>
  <si>
    <t>Ssiderea048198</t>
  </si>
  <si>
    <t>nucleotide-binding oligomerization domain containing 1 signaling pathway</t>
  </si>
  <si>
    <t>Ssiderea048203</t>
  </si>
  <si>
    <t>protein homodimerization activity</t>
  </si>
  <si>
    <t>Ssiderea048476</t>
  </si>
  <si>
    <t>Alkaline ceramidase 3</t>
  </si>
  <si>
    <t>Ssiderea048477</t>
  </si>
  <si>
    <t>pre-replicative complex assembly involved in nuclear cell cycle DNA replication</t>
  </si>
  <si>
    <t>Ssiderea048494</t>
  </si>
  <si>
    <t>Translin-associated factor X-interacting N-terminus</t>
  </si>
  <si>
    <t>Ssiderea048495</t>
  </si>
  <si>
    <t>DnaJ molecular chaperone homology domain</t>
  </si>
  <si>
    <t>Ssiderea048511</t>
  </si>
  <si>
    <t>TMEM164 family</t>
  </si>
  <si>
    <t>Ssiderea048518</t>
  </si>
  <si>
    <t>thiosulfate sulfurtransferase activity</t>
  </si>
  <si>
    <t>Ssiderea048519</t>
  </si>
  <si>
    <t>Ssiderea048555</t>
  </si>
  <si>
    <t>Receptor-like tyrosine kinase</t>
  </si>
  <si>
    <t>Ssiderea048575</t>
  </si>
  <si>
    <t>Ssiderea048793</t>
  </si>
  <si>
    <t>Ssiderea048803</t>
  </si>
  <si>
    <t>Ssiderea048856</t>
  </si>
  <si>
    <t>Putative ephrin-receptor like</t>
  </si>
  <si>
    <t>Ssiderea048861</t>
  </si>
  <si>
    <t>Ssiderea048936</t>
  </si>
  <si>
    <t>Ssiderea049064</t>
  </si>
  <si>
    <t>Ssiderea049112</t>
  </si>
  <si>
    <t>Ssiderea049211</t>
  </si>
  <si>
    <t>Ssiderea049272</t>
  </si>
  <si>
    <t>WD domain, G-beta repeat</t>
  </si>
  <si>
    <t>Ssiderea049379</t>
  </si>
  <si>
    <t>ubiquitin conjugating enzyme binding</t>
  </si>
  <si>
    <t>Ssiderea049392</t>
  </si>
  <si>
    <t>Ssiderea049434</t>
  </si>
  <si>
    <t>Ssiderea049458</t>
  </si>
  <si>
    <t>Ssiderea049473</t>
  </si>
  <si>
    <t>Sulfotransferase family</t>
  </si>
  <si>
    <t>Ssiderea049480</t>
  </si>
  <si>
    <t>Ssiderea049489</t>
  </si>
  <si>
    <t>Ssiderea049588</t>
  </si>
  <si>
    <t>Ssiderea049612</t>
  </si>
  <si>
    <t>Belongs to the cyclin family</t>
  </si>
  <si>
    <t>Ssiderea049615</t>
  </si>
  <si>
    <t>Zinc finger protein 593</t>
  </si>
  <si>
    <t>Ssiderea049620</t>
  </si>
  <si>
    <t>Ssiderea049646</t>
  </si>
  <si>
    <t>Ssiderea049730</t>
  </si>
  <si>
    <t>copper ion homeostasis</t>
  </si>
  <si>
    <t>Ssiderea049747</t>
  </si>
  <si>
    <t>Ssiderea049766</t>
  </si>
  <si>
    <t>Ssiderea050017</t>
  </si>
  <si>
    <t>Ssiderea050025</t>
  </si>
  <si>
    <t>SMG6 nonsense mediated mRNA decay factor</t>
  </si>
  <si>
    <t>Ssiderea050105</t>
  </si>
  <si>
    <t>Ssiderea050180</t>
  </si>
  <si>
    <t>Ssiderea050181</t>
  </si>
  <si>
    <t>cullin family protein binding</t>
  </si>
  <si>
    <t>Ssiderea050215</t>
  </si>
  <si>
    <t>Ssiderea050310</t>
  </si>
  <si>
    <t>Ssiderea050429</t>
  </si>
  <si>
    <t>Ssiderea050433</t>
  </si>
  <si>
    <t>Ssiderea050440</t>
  </si>
  <si>
    <t>Ssiderea050441</t>
  </si>
  <si>
    <t>Ssiderea050453</t>
  </si>
  <si>
    <t>Belongs to the universal ribosomal protein uL1 family</t>
  </si>
  <si>
    <t>Ssiderea050455</t>
  </si>
  <si>
    <t>Ssiderea050458</t>
  </si>
  <si>
    <t>Ssiderea050459</t>
  </si>
  <si>
    <t>Ssiderea050555</t>
  </si>
  <si>
    <t>Sodium:neurotransmitter symporter family</t>
  </si>
  <si>
    <t>Ssiderea050758</t>
  </si>
  <si>
    <t>Ssiderea050779</t>
  </si>
  <si>
    <t>Ssiderea050788</t>
  </si>
  <si>
    <t>Ssiderea050800</t>
  </si>
  <si>
    <t>regulation of copper ion transmembrane transport</t>
  </si>
  <si>
    <t>Ssiderea050924</t>
  </si>
  <si>
    <t>maturation of SSU-rRNA from tricistronic rRNA transcript (SSU-rRNA, 5.8S rRNA, LSU-rRNA)</t>
  </si>
  <si>
    <t>Ssiderea051137</t>
  </si>
  <si>
    <t>Ssiderea051151</t>
  </si>
  <si>
    <t>calcium ion-regulated exocytosis of neurotransmitter</t>
  </si>
  <si>
    <t>Ssiderea051173</t>
  </si>
  <si>
    <t>Ssiderea051177</t>
  </si>
  <si>
    <t>tRNA C5-cytosine methylation</t>
  </si>
  <si>
    <t>Ssiderea051213</t>
  </si>
  <si>
    <t>Component of the transcription regulatory histone acetylation (HAT) complex SAGA, a multiprotein complex that activates transcription by remodeling chromatin and mediating histone acetylation and deubiquitination. Within the SAGA complex, participates in a subcomplex that specifically deubiquitinates</t>
  </si>
  <si>
    <t>Ssiderea051264</t>
  </si>
  <si>
    <t>Ssiderea051431</t>
  </si>
  <si>
    <t>glycerate dehydrogenase activity</t>
  </si>
  <si>
    <t>Ssiderea051440</t>
  </si>
  <si>
    <t>Ssiderea051622</t>
  </si>
  <si>
    <t>Ssiderea051670</t>
  </si>
  <si>
    <t>Ssiderea051699</t>
  </si>
  <si>
    <t>Ssiderea051783</t>
  </si>
  <si>
    <t>regulation of cohesin loading</t>
  </si>
  <si>
    <t>Ssiderea051795</t>
  </si>
  <si>
    <t>Ssiderea051803</t>
  </si>
  <si>
    <t>Belongs to the fatty acid desaturase type 1 family</t>
  </si>
  <si>
    <t>Ssiderea051804</t>
  </si>
  <si>
    <t>Ssiderea052025</t>
  </si>
  <si>
    <t>Ssiderea052048</t>
  </si>
  <si>
    <t>Ssiderea052111</t>
  </si>
  <si>
    <t>GTPase regulator activity</t>
  </si>
  <si>
    <t>Ssiderea052201</t>
  </si>
  <si>
    <t>dioxygenase activity</t>
  </si>
  <si>
    <t>Ssiderea052213</t>
  </si>
  <si>
    <t>Ssiderea052255</t>
  </si>
  <si>
    <t>Ssiderea052343</t>
  </si>
  <si>
    <t>Ssiderea052352</t>
  </si>
  <si>
    <t>Ssiderea052474</t>
  </si>
  <si>
    <t>Ssiderea052522</t>
  </si>
  <si>
    <t>Ssiderea052550</t>
  </si>
  <si>
    <t>protein localization to nucleolus</t>
  </si>
  <si>
    <t>Ssiderea052606</t>
  </si>
  <si>
    <t>zinc transporter</t>
  </si>
  <si>
    <t>Ssiderea052612</t>
  </si>
  <si>
    <t>Ssiderea052625</t>
  </si>
  <si>
    <t>Ssiderea052652</t>
  </si>
  <si>
    <t>Protein disulfide isomerase family A member 4</t>
  </si>
  <si>
    <t>Ssiderea052690</t>
  </si>
  <si>
    <t>Ssiderea052692</t>
  </si>
  <si>
    <t>Ssiderea052812</t>
  </si>
  <si>
    <t>Ssiderea052852</t>
  </si>
  <si>
    <t>rRNA (pseudouridine) methyltransferase activity</t>
  </si>
  <si>
    <t>Ssiderea052859</t>
  </si>
  <si>
    <t>Ssiderea052863</t>
  </si>
  <si>
    <t>Ssiderea052866</t>
  </si>
  <si>
    <t>Ssiderea052904</t>
  </si>
  <si>
    <t>nucleic acid-templated transcription</t>
  </si>
  <si>
    <t>Ssiderea052941</t>
  </si>
  <si>
    <t>Ssiderea052942</t>
  </si>
  <si>
    <t>Ssiderea052944</t>
  </si>
  <si>
    <t>Ssiderea052948</t>
  </si>
  <si>
    <t>Ssiderea052982</t>
  </si>
  <si>
    <t>Ssiderea052983</t>
  </si>
  <si>
    <t>transmembrane signaling receptor activity. It is involved in the biological process described with cell surface receptor signaling pathway</t>
  </si>
  <si>
    <t>Ssiderea053078</t>
  </si>
  <si>
    <t>quercetin 2,3-dioxygenase activity</t>
  </si>
  <si>
    <t>Ssiderea053080</t>
  </si>
  <si>
    <t>Malic enzyme</t>
  </si>
  <si>
    <t>Ssiderea053134</t>
  </si>
  <si>
    <t>Collagen, type VI, alpha 6</t>
  </si>
  <si>
    <t>Ssiderea053141</t>
  </si>
  <si>
    <t>biological adhesion</t>
  </si>
  <si>
    <t>Ssiderea053152</t>
  </si>
  <si>
    <t>Ssiderea053153</t>
  </si>
  <si>
    <t>Collagen alpha-4(VI) chain-like</t>
  </si>
  <si>
    <t>Ssiderea053157</t>
  </si>
  <si>
    <t>Collagen alpha-5(VI)</t>
  </si>
  <si>
    <t>Ssiderea053245</t>
  </si>
  <si>
    <t>Ssiderea053264</t>
  </si>
  <si>
    <t>glutamate synthase (NADH) activity. It is involved in the biological process described with oxidation-reduction process</t>
  </si>
  <si>
    <t>Ssiderea053276</t>
  </si>
  <si>
    <t>Ssiderea053362</t>
  </si>
  <si>
    <t>Ssiderea053364</t>
  </si>
  <si>
    <t>Ssiderea053367</t>
  </si>
  <si>
    <t>Ssiderea053371</t>
  </si>
  <si>
    <t>Ssiderea053531</t>
  </si>
  <si>
    <t>Ssiderea053590</t>
  </si>
  <si>
    <t>Ssiderea053631</t>
  </si>
  <si>
    <t>cytoskeletal anchoring at nuclear membrane</t>
  </si>
  <si>
    <t>Ssiderea053633</t>
  </si>
  <si>
    <t>Von Willebrand factor</t>
  </si>
  <si>
    <t>Ssiderea053647</t>
  </si>
  <si>
    <t>solute carrier family 35, member D3</t>
  </si>
  <si>
    <t>Ssiderea053680</t>
  </si>
  <si>
    <t>Deoxyribodipyrimidine photo-lyase activity. It is involved in the biological process described with DNA repair</t>
  </si>
  <si>
    <t>Ssiderea053724</t>
  </si>
  <si>
    <t>Ssiderea053753</t>
  </si>
  <si>
    <t>Ssiderea053812</t>
  </si>
  <si>
    <t>ubiquitin binding</t>
  </si>
  <si>
    <t>Ssiderea053815</t>
  </si>
  <si>
    <t>Ssiderea054015</t>
  </si>
  <si>
    <t>Ssiderea054119</t>
  </si>
  <si>
    <t>Ssiderea054155</t>
  </si>
  <si>
    <t>Ssiderea054169</t>
  </si>
  <si>
    <t>Ssiderea054218</t>
  </si>
  <si>
    <t>Ssiderea054258</t>
  </si>
  <si>
    <t>Ssiderea054264</t>
  </si>
  <si>
    <t>haloacid dehalogenase-like hydrolase</t>
  </si>
  <si>
    <t>Ssiderea054270</t>
  </si>
  <si>
    <t>death domain-associated protein</t>
  </si>
  <si>
    <t>Ssiderea054400</t>
  </si>
  <si>
    <t>Ssiderea054441</t>
  </si>
  <si>
    <t>Ssiderea054459</t>
  </si>
  <si>
    <t>Ssiderea054493</t>
  </si>
  <si>
    <t>Belongs to the protein kinase superfamily. Tyr protein kinase family</t>
  </si>
  <si>
    <t>Ssiderea054514</t>
  </si>
  <si>
    <t>positive regulation of cell-substrate adhesion</t>
  </si>
  <si>
    <t>Ssiderea054515</t>
  </si>
  <si>
    <t>protein kinase binding</t>
  </si>
  <si>
    <t>Ssiderea054532</t>
  </si>
  <si>
    <t>Ssiderea054638</t>
  </si>
  <si>
    <t>endodermal-mesodermal cell signaling</t>
  </si>
  <si>
    <t>Ssiderea054648</t>
  </si>
  <si>
    <t>Wu fj29h11</t>
  </si>
  <si>
    <t>Ssiderea054651</t>
  </si>
  <si>
    <t>Ssiderea054663</t>
  </si>
  <si>
    <t>Heparan-alpha-glucosaminide N-acetyltransferase</t>
  </si>
  <si>
    <t>Ssiderea054708</t>
  </si>
  <si>
    <t>negative regulation of cell proliferation involved in kidney development</t>
  </si>
  <si>
    <t>Ssiderea054712</t>
  </si>
  <si>
    <t>Ssiderea054850</t>
  </si>
  <si>
    <t>Ssiderea054855</t>
  </si>
  <si>
    <t>Ssiderea054856</t>
  </si>
  <si>
    <t>monooxygenase activity</t>
  </si>
  <si>
    <t>Ssiderea054863</t>
  </si>
  <si>
    <t>Ssiderea054866</t>
  </si>
  <si>
    <t>Ssiderea054937</t>
  </si>
  <si>
    <t>Ssiderea054938</t>
  </si>
  <si>
    <t>CREB ATF bZIP transcription</t>
  </si>
  <si>
    <t>Ssiderea054999</t>
  </si>
  <si>
    <t>FMN-dependent dehydrogenase</t>
  </si>
  <si>
    <t>Ssiderea055002</t>
  </si>
  <si>
    <t>Ssiderea055050</t>
  </si>
  <si>
    <t>Ssiderea055131</t>
  </si>
  <si>
    <t>Ssiderea055169</t>
  </si>
  <si>
    <t>anterior/posterior pattern specification</t>
  </si>
  <si>
    <t>Ssiderea055212</t>
  </si>
  <si>
    <t>Ssiderea055228</t>
  </si>
  <si>
    <t>Ssiderea055235</t>
  </si>
  <si>
    <t>Ssiderea055256</t>
  </si>
  <si>
    <t>Ssiderea055257</t>
  </si>
  <si>
    <t>Ssiderea055287</t>
  </si>
  <si>
    <t>Ssiderea055305</t>
  </si>
  <si>
    <t>protein O-linked-mannose beta-1,2-N-acetylglucosaminyltransferase 1</t>
  </si>
  <si>
    <t>Ssiderea055339</t>
  </si>
  <si>
    <t>gamma-aminobutyric acid:sodium symporter activity</t>
  </si>
  <si>
    <t>Ssiderea055441</t>
  </si>
  <si>
    <t>Ssiderea055450</t>
  </si>
  <si>
    <t>thromboxane A2 receptor binding</t>
  </si>
  <si>
    <t>Ssiderea055473</t>
  </si>
  <si>
    <t>Ssiderea055476</t>
  </si>
  <si>
    <t>Ssiderea055496</t>
  </si>
  <si>
    <t>Ssiderea055497</t>
  </si>
  <si>
    <t>Ssiderea055500</t>
  </si>
  <si>
    <t>Ssiderea055516</t>
  </si>
  <si>
    <t>Belongs to the 5'-nucleotidase family</t>
  </si>
  <si>
    <t>Ssiderea055669</t>
  </si>
  <si>
    <t>Von Hippel-Lindau disease tumor</t>
  </si>
  <si>
    <t>Ssiderea055693</t>
  </si>
  <si>
    <t>response to osmotic stress</t>
  </si>
  <si>
    <t>Ssiderea055762</t>
  </si>
  <si>
    <t>Ssiderea055795</t>
  </si>
  <si>
    <t>Ssiderea055845</t>
  </si>
  <si>
    <t>Ssiderea055847</t>
  </si>
  <si>
    <t>Ssiderea055862</t>
  </si>
  <si>
    <t>Ssiderea055877</t>
  </si>
  <si>
    <t>Cubilin (intrinsic factor-cobalamin receptor)</t>
  </si>
  <si>
    <t>Ssiderea055895</t>
  </si>
  <si>
    <t>P or trefoil or TFF domain</t>
  </si>
  <si>
    <t>Ssiderea055950</t>
  </si>
  <si>
    <t>Ssiderea055995</t>
  </si>
  <si>
    <t>Ssiderea056042</t>
  </si>
  <si>
    <t>Ssiderea056043</t>
  </si>
  <si>
    <t>Ssiderea056251</t>
  </si>
  <si>
    <t>Ssiderea056267</t>
  </si>
  <si>
    <t>reductase B3</t>
  </si>
  <si>
    <t>Ssiderea056335</t>
  </si>
  <si>
    <t>Fibroblast growth factor 8</t>
  </si>
  <si>
    <t>Ssiderea056380</t>
  </si>
  <si>
    <t>UPF0577 protein</t>
  </si>
  <si>
    <t>Ssiderea056490</t>
  </si>
  <si>
    <t>Ssiderea056512</t>
  </si>
  <si>
    <t>Ssiderea056516</t>
  </si>
  <si>
    <t>Centrosome and spindle pole associated protein 1</t>
  </si>
  <si>
    <t>Ssiderea056521</t>
  </si>
  <si>
    <t>Proton-conducting pore forming subunit of the membrane integral V0 complex of vacuolar ATPase. V-ATPase is responsible for acidifying a variety of intracellular compartments in eukaryotic cells</t>
  </si>
  <si>
    <t>Ssiderea056578</t>
  </si>
  <si>
    <t>Ssiderea056671</t>
  </si>
  <si>
    <t>Ssiderea056734</t>
  </si>
  <si>
    <t>Ssiderea056756</t>
  </si>
  <si>
    <t>histidine transport</t>
  </si>
  <si>
    <t>Ssiderea056787</t>
  </si>
  <si>
    <t>Ssiderea056789</t>
  </si>
  <si>
    <t>Ssiderea056812</t>
  </si>
  <si>
    <t>Ssiderea056833</t>
  </si>
  <si>
    <t>Ssiderea056854</t>
  </si>
  <si>
    <t>Ssiderea056923</t>
  </si>
  <si>
    <t>Maternal embryonic leucine zipper kinase</t>
  </si>
  <si>
    <t>Ssiderea057180</t>
  </si>
  <si>
    <t>Ssiderea057203</t>
  </si>
  <si>
    <t>Ssiderea057216</t>
  </si>
  <si>
    <t>Ssiderea057220</t>
  </si>
  <si>
    <t>Ssiderea057264</t>
  </si>
  <si>
    <t>Ssiderea057265</t>
  </si>
  <si>
    <t>Ssiderea057270</t>
  </si>
  <si>
    <t>Ssiderea057316</t>
  </si>
  <si>
    <t>Belongs to the actin-binding proteins ADF family</t>
  </si>
  <si>
    <t>Ssiderea057390</t>
  </si>
  <si>
    <t>Ssiderea057468</t>
  </si>
  <si>
    <t>ATP-citrate synthase is the primary enzyme responsible for the synthesis of cytosolic acetyl-CoA in many tissues</t>
  </si>
  <si>
    <t>Ssiderea057558</t>
  </si>
  <si>
    <t>Ssiderea057568</t>
  </si>
  <si>
    <t>L-alpha-amino acid transmembrane transport</t>
  </si>
  <si>
    <t>Ssiderea057624</t>
  </si>
  <si>
    <t>gamma-glutamyl-peptidase activity</t>
  </si>
  <si>
    <t>Ssiderea057628</t>
  </si>
  <si>
    <t>Metal ion binding</t>
  </si>
  <si>
    <t>Ssiderea057779</t>
  </si>
  <si>
    <t>Ssiderea057803</t>
  </si>
  <si>
    <t>cubilin (intrinsic factor-cobalamin receptor)</t>
  </si>
  <si>
    <t>Ssiderea057804</t>
  </si>
  <si>
    <t>cobalamin catabolic process</t>
  </si>
  <si>
    <t>Ssiderea057814</t>
  </si>
  <si>
    <t>Ssiderea057816</t>
  </si>
  <si>
    <t>ATP-binding cassette, sub-family B (MDR TAP), member 1</t>
  </si>
  <si>
    <t>Ssiderea057817</t>
  </si>
  <si>
    <t>ATP-binding cassette, subfamily B (MDR TAP), member</t>
  </si>
  <si>
    <t>Ssiderea057818</t>
  </si>
  <si>
    <t>Ssiderea057937</t>
  </si>
  <si>
    <t>Ssiderea057951</t>
  </si>
  <si>
    <t>Ssiderea057952</t>
  </si>
  <si>
    <t>Ssiderea058010</t>
  </si>
  <si>
    <t>Ssiderea058025</t>
  </si>
  <si>
    <t>Ssiderea058051</t>
  </si>
  <si>
    <t>cellular stress response to acidic pH</t>
  </si>
  <si>
    <t>Ssiderea058053</t>
  </si>
  <si>
    <t>Mitochondrial carrier protein</t>
  </si>
  <si>
    <t>Ssiderea058084</t>
  </si>
  <si>
    <t>Ssiderea058130</t>
  </si>
  <si>
    <t>Ssiderea058212</t>
  </si>
  <si>
    <t>Ssiderea058258</t>
  </si>
  <si>
    <t>heat shock protein 90kDa beta (Grp94), member 1</t>
  </si>
  <si>
    <t>Ssiderea058296</t>
  </si>
  <si>
    <t>Ssiderea058301</t>
  </si>
  <si>
    <t>Ssiderea058307</t>
  </si>
  <si>
    <t>Ssiderea058310</t>
  </si>
  <si>
    <t>Ssiderea058311</t>
  </si>
  <si>
    <t>Ssiderea058364</t>
  </si>
  <si>
    <t>Ssiderea058365</t>
  </si>
  <si>
    <t>Ssiderea058585</t>
  </si>
  <si>
    <t>Ssiderea058744</t>
  </si>
  <si>
    <t>Cytochrome c oxidase is the component of the respiratory chain that catalyzes the reduction of oxygen to water. Subunits 1- 3 form the functional core of the enzyme complex. CO I is the catalytic subunit of the enzyme. Electrons originating in cytochrome c are transferred via the copper A center of subunit 2 and heme A of subunit 1 to the bimetallic center formed by heme A3 and copper B</t>
  </si>
  <si>
    <t>Ssiderea59216</t>
  </si>
  <si>
    <t>Ssiderea59597</t>
  </si>
  <si>
    <t>Ssiderea60138</t>
  </si>
  <si>
    <t>Ssiderea60156</t>
  </si>
  <si>
    <t>Ssiderea60263</t>
  </si>
  <si>
    <t>Ssiderea60314</t>
  </si>
  <si>
    <t>Ssiderea60337</t>
  </si>
  <si>
    <t>Ssiderea60450</t>
  </si>
  <si>
    <t>Ssiderea60456</t>
  </si>
  <si>
    <t>negative regulation of axon extension involved in regeneration</t>
  </si>
  <si>
    <t>Ssiderea60496</t>
  </si>
  <si>
    <t>Ssiderea60675</t>
  </si>
  <si>
    <t>HEAT repeat containing 9</t>
  </si>
  <si>
    <t>Ssiderea60799</t>
  </si>
  <si>
    <t>Ssiderea60899</t>
  </si>
  <si>
    <t>Ssiderea60975</t>
  </si>
  <si>
    <t>Ssiderea61444</t>
  </si>
  <si>
    <t>Ssiderea61470</t>
  </si>
  <si>
    <t>Ssiderea62282</t>
  </si>
  <si>
    <t>Ssiderea62397</t>
  </si>
  <si>
    <t>embryonic brain development</t>
  </si>
  <si>
    <t>Ssiderea62466</t>
  </si>
  <si>
    <t>Chromo Shadow Domain</t>
  </si>
  <si>
    <t>Ssiderea62525</t>
  </si>
  <si>
    <t>Ssiderea62574</t>
  </si>
  <si>
    <t>Ssiderea62780</t>
  </si>
  <si>
    <t>regulation of vesicle fusion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</si>
</sst>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family val="2"/>
      <scheme val="minor"/>
    </font>
    <font>
      <b/>
      <sz val="12"/>
      <color rgb="FF000000"/>
      <name val="Times New Roman"/>
      <family val="1"/>
    </font>
    <font>
      <b/>
      <sz val="12"/>
      <color theme="1"/>
      <name val="Times New Roman"/>
      <family val="1"/>
    </font>
    <font>
      <i/>
      <sz val="12"/>
      <color theme="1"/>
      <name val="Times New Roman"/>
      <family val="1"/>
    </font>
    <font>
      <sz val="12"/>
      <color theme="1"/>
      <name val="Times New Roman"/>
      <family val="1"/>
    </font>
    <font>
      <sz val="12"/>
      <color rgb="FF000000"/>
      <name val="Times New Roman"/>
      <family val="1"/>
    </font>
  </fonts>
  <fills count="2">
    <fill>
      <patternFill patternType="none"/>
    </fill>
    <fill>
      <patternFill patternType="gray125"/>
    </fill>
  </fills>
  <borders count="10">
    <border>
      <left/>
      <right/>
      <top/>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65"/>
      </top>
      <bottom/>
      <diagonal/>
    </border>
    <border>
      <left style="thin">
        <color rgb="FF999999"/>
      </left>
      <right/>
      <top/>
      <bottom/>
      <diagonal/>
    </border>
    <border>
      <left style="thin">
        <color rgb="FF999999"/>
      </left>
      <right style="thin">
        <color rgb="FF999999"/>
      </right>
      <top/>
      <bottom/>
      <diagonal/>
    </border>
    <border>
      <left style="thin">
        <color indexed="65"/>
      </left>
      <right/>
      <top style="thin">
        <color rgb="FF999999"/>
      </top>
      <bottom/>
      <diagonal/>
    </border>
    <border>
      <left style="thin">
        <color rgb="FF999999"/>
      </left>
      <right/>
      <top style="thin">
        <color rgb="FF999999"/>
      </top>
      <bottom style="thin">
        <color rgb="FF999999"/>
      </bottom>
      <diagonal/>
    </border>
    <border>
      <left style="thin">
        <color indexed="65"/>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1" xfId="0" applyBorder="1"/>
    <xf numFmtId="0" fontId="0" fillId="0" borderId="2" xfId="0" applyBorder="1"/>
    <xf numFmtId="0" fontId="3" fillId="0" borderId="0" xfId="0" applyFont="1"/>
    <xf numFmtId="0" fontId="4" fillId="0" borderId="0" xfId="0" applyFont="1"/>
    <xf numFmtId="0" fontId="5" fillId="0" borderId="0" xfId="0" applyFont="1"/>
    <xf numFmtId="0" fontId="5" fillId="0" borderId="0" xfId="0" applyFont="1" applyAlignment="1">
      <alignment horizontal="right"/>
    </xf>
    <xf numFmtId="9" fontId="4" fillId="0" borderId="0" xfId="0" applyNumberFormat="1" applyFont="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 xfId="0" pivotButton="1" applyBorder="1"/>
  </cellXfs>
  <cellStyles count="1">
    <cellStyle name="Normal" xfId="0" builtinId="0"/>
  </cellStyles>
  <dxfs count="2">
    <dxf>
      <fill>
        <patternFill patternType="solid">
          <fgColor rgb="FFB6D7A8"/>
          <bgColor rgb="FFB6D7A8"/>
        </patternFill>
      </fill>
    </dxf>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urban%20resilience%20tables.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ichael Studivan" refreshedDate="46115.636437962959" refreshedVersion="8" recordCount="5379" xr:uid="{209C73F3-78E7-664E-9C01-AD0270095678}">
  <cacheSource type="worksheet">
    <worksheetSource ref="A1:H5380" sheet="Dataset S2 commongenes treatmen" r:id="rId2"/>
  </cacheSource>
  <cacheFields count="8">
    <cacheField name="Species" numFmtId="0">
      <sharedItems count="2">
        <s v="Orbicella faveolata"/>
        <s v="Siderastrea siderea"/>
      </sharedItems>
    </cacheField>
    <cacheField name="Comparison" numFmtId="0">
      <sharedItems count="3">
        <s v="Bleaching vs OA"/>
        <s v="OA + Bleaching vs OA"/>
        <s v="OA + Bleaching vs Bleaching"/>
      </sharedItems>
    </cacheField>
    <cacheField name="Gene ID" numFmtId="0">
      <sharedItems/>
    </cacheField>
    <cacheField name="OA lpv" numFmtId="0">
      <sharedItems containsString="0" containsBlank="1" containsNumber="1" minValue="-8.9395906000000007" maxValue="10.9866036"/>
    </cacheField>
    <cacheField name="Bleaching lpv" numFmtId="0">
      <sharedItems containsString="0" containsBlank="1" containsNumber="1" minValue="-102.03176000000001" maxValue="39.724664199999999"/>
    </cacheField>
    <cacheField name="OA + Bleaching lpv" numFmtId="0">
      <sharedItems containsString="0" containsBlank="1" containsNumber="1" minValue="-109.86731" maxValue="39.2362903"/>
    </cacheField>
    <cacheField name="Relationship" numFmtId="0">
      <sharedItems/>
    </cacheField>
    <cacheField name="Gene Annotation"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79">
  <r>
    <x v="0"/>
    <x v="0"/>
    <s v="Ofaveolata000010"/>
    <n v="2.7082834600000001"/>
    <n v="14.1192514"/>
    <m/>
    <s v="Direct"/>
    <s v="NA"/>
  </r>
  <r>
    <x v="0"/>
    <x v="0"/>
    <s v="Ofaveolata000015"/>
    <n v="1.26238049"/>
    <n v="2.5287182600000002"/>
    <m/>
    <s v="Direct"/>
    <s v="protein dimerization activity"/>
  </r>
  <r>
    <x v="0"/>
    <x v="0"/>
    <s v="Ofaveolata000053"/>
    <n v="2.7094085699999999"/>
    <n v="-6.9265677999999999"/>
    <m/>
    <s v="Inverse"/>
    <s v="protein-disulfide reductase (glutathione) activity"/>
  </r>
  <r>
    <x v="0"/>
    <x v="0"/>
    <s v="Ofaveolata000104"/>
    <n v="-2.6639482000000001"/>
    <n v="-3.3399323999999999"/>
    <m/>
    <s v="Direct"/>
    <s v="PX domain"/>
  </r>
  <r>
    <x v="0"/>
    <x v="0"/>
    <s v="Ofaveolata000139"/>
    <n v="-1.3894434"/>
    <n v="-1.4614754999999999"/>
    <m/>
    <s v="Direct"/>
    <s v="NA"/>
  </r>
  <r>
    <x v="0"/>
    <x v="0"/>
    <s v="Ofaveolata000216"/>
    <n v="2.0421916000000002"/>
    <n v="1.0176518999999999"/>
    <m/>
    <s v="Direct"/>
    <s v="cellular zinc ion homeostasis"/>
  </r>
  <r>
    <x v="0"/>
    <x v="0"/>
    <s v="Ofaveolata000414"/>
    <n v="-1.0005109999999999"/>
    <n v="-2.8542277999999999"/>
    <m/>
    <s v="Direct"/>
    <s v="NA"/>
  </r>
  <r>
    <x v="0"/>
    <x v="0"/>
    <s v="Ofaveolata000449"/>
    <n v="1.9404219300000001"/>
    <n v="-14.616334"/>
    <m/>
    <s v="Inverse"/>
    <s v="Lactose-binding lectin l-2-like"/>
  </r>
  <r>
    <x v="0"/>
    <x v="0"/>
    <s v="Ofaveolata000572"/>
    <n v="-1.8071542"/>
    <n v="-4.2735700999999997"/>
    <m/>
    <s v="Direct"/>
    <s v="Cobalamin-independent synthase, Catalytic domain"/>
  </r>
  <r>
    <x v="0"/>
    <x v="0"/>
    <s v="Ofaveolata000592"/>
    <n v="-1.6859761"/>
    <n v="1.0093700800000001"/>
    <m/>
    <s v="Inverse"/>
    <s v="Transmembrane protein 173"/>
  </r>
  <r>
    <x v="0"/>
    <x v="0"/>
    <s v="Ofaveolata000719"/>
    <n v="1.77531751"/>
    <n v="1.9886736599999999"/>
    <m/>
    <s v="Direct"/>
    <s v="alpha1-adrenergic receptor activity"/>
  </r>
  <r>
    <x v="0"/>
    <x v="0"/>
    <s v="Ofaveolata000742"/>
    <n v="1.5308279300000001"/>
    <n v="-1.5378978999999999"/>
    <m/>
    <s v="Inverse"/>
    <s v="peptidase inhibitor activity"/>
  </r>
  <r>
    <x v="0"/>
    <x v="0"/>
    <s v="Ofaveolata000882"/>
    <n v="1.2138961100000001"/>
    <n v="5.9881867099999999"/>
    <m/>
    <s v="Direct"/>
    <s v="cortical actin cytoskeleton organization"/>
  </r>
  <r>
    <x v="0"/>
    <x v="0"/>
    <s v="Ofaveolata000921"/>
    <n v="-1.1438497999999999"/>
    <n v="-2.2290597999999999"/>
    <m/>
    <s v="Direct"/>
    <s v="histone H4-K16 acetylation"/>
  </r>
  <r>
    <x v="0"/>
    <x v="0"/>
    <s v="Ofaveolata000952"/>
    <n v="3.2401225199999999"/>
    <n v="-1.4033551"/>
    <m/>
    <s v="Inverse"/>
    <s v="NA"/>
  </r>
  <r>
    <x v="0"/>
    <x v="0"/>
    <s v="Ofaveolata000959"/>
    <n v="3.43805899"/>
    <n v="-1.1336563"/>
    <m/>
    <s v="Inverse"/>
    <s v="NA"/>
  </r>
  <r>
    <x v="0"/>
    <x v="0"/>
    <s v="Ofaveolata000962"/>
    <n v="1.61827315"/>
    <n v="-7.8110396"/>
    <m/>
    <s v="Inverse"/>
    <s v="NA"/>
  </r>
  <r>
    <x v="0"/>
    <x v="0"/>
    <s v="Ofaveolata000965"/>
    <n v="1.44631797"/>
    <n v="-1.3681504"/>
    <m/>
    <s v="Inverse"/>
    <s v="NA"/>
  </r>
  <r>
    <x v="0"/>
    <x v="0"/>
    <s v="Ofaveolata001202"/>
    <n v="2.4446342599999999"/>
    <n v="-10.598463000000001"/>
    <m/>
    <s v="Inverse"/>
    <s v="NA"/>
  </r>
  <r>
    <x v="0"/>
    <x v="0"/>
    <s v="Ofaveolata001229"/>
    <n v="-1.8384864000000001"/>
    <n v="-3.8942369999999999"/>
    <m/>
    <s v="Direct"/>
    <s v="NA"/>
  </r>
  <r>
    <x v="0"/>
    <x v="0"/>
    <s v="Ofaveolata001235"/>
    <n v="-3.9849408999999998"/>
    <n v="-5.8995116999999997"/>
    <m/>
    <s v="Direct"/>
    <s v="NA"/>
  </r>
  <r>
    <x v="0"/>
    <x v="0"/>
    <s v="Ofaveolata001402"/>
    <n v="-2.7001355999999999"/>
    <n v="-2.5323559000000002"/>
    <m/>
    <s v="Direct"/>
    <s v="Calcineurin-like phosphoesterase"/>
  </r>
  <r>
    <x v="0"/>
    <x v="0"/>
    <s v="Ofaveolata001455"/>
    <n v="1.0334759"/>
    <n v="-1.4120899"/>
    <m/>
    <s v="Inverse"/>
    <s v="transmembrane transport"/>
  </r>
  <r>
    <x v="0"/>
    <x v="0"/>
    <s v="Ofaveolata001490"/>
    <n v="-1.3700123"/>
    <n v="-1.4432631"/>
    <m/>
    <s v="Direct"/>
    <s v="ATP binding"/>
  </r>
  <r>
    <x v="0"/>
    <x v="0"/>
    <s v="Ofaveolata001520"/>
    <n v="-3.6889655000000001"/>
    <n v="-1.0653098999999999"/>
    <m/>
    <s v="Direct"/>
    <s v="metallocarboxypeptidase activity"/>
  </r>
  <r>
    <x v="0"/>
    <x v="0"/>
    <s v="Ofaveolata001563"/>
    <n v="-2.5145298999999999"/>
    <n v="-6.2791819000000002"/>
    <m/>
    <s v="Direct"/>
    <s v="Belongs to the carnitine choline acetyltransferase family"/>
  </r>
  <r>
    <x v="0"/>
    <x v="0"/>
    <s v="Ofaveolata001594"/>
    <n v="1.01965046"/>
    <n v="-10.101601"/>
    <m/>
    <s v="Inverse"/>
    <s v="NA"/>
  </r>
  <r>
    <x v="0"/>
    <x v="0"/>
    <s v="Ofaveolata001608"/>
    <n v="1.5440095700000001"/>
    <n v="-4.4723018000000003"/>
    <m/>
    <s v="Inverse"/>
    <s v="NA"/>
  </r>
  <r>
    <x v="0"/>
    <x v="0"/>
    <s v="Ofaveolata001666"/>
    <n v="-1.2405374"/>
    <n v="-2.0910818"/>
    <m/>
    <s v="Direct"/>
    <s v="eukaryotic initiation factor 4E binding"/>
  </r>
  <r>
    <x v="0"/>
    <x v="0"/>
    <s v="Ofaveolata001668"/>
    <n v="1.08521874"/>
    <n v="-1.6394032000000001"/>
    <m/>
    <s v="Inverse"/>
    <s v="NA"/>
  </r>
  <r>
    <x v="0"/>
    <x v="0"/>
    <s v="Ofaveolata001713"/>
    <n v="1.50699432"/>
    <n v="-12.863184"/>
    <m/>
    <s v="Inverse"/>
    <s v="NA"/>
  </r>
  <r>
    <x v="0"/>
    <x v="0"/>
    <s v="Ofaveolata001714"/>
    <n v="1.71528189"/>
    <n v="-10.631677"/>
    <m/>
    <s v="Inverse"/>
    <s v="NA"/>
  </r>
  <r>
    <x v="0"/>
    <x v="0"/>
    <s v="Ofaveolata001715"/>
    <n v="2.1885144300000001"/>
    <n v="-10.084066999999999"/>
    <m/>
    <s v="Inverse"/>
    <s v="NA"/>
  </r>
  <r>
    <x v="0"/>
    <x v="0"/>
    <s v="Ofaveolata001721"/>
    <n v="1.84745377"/>
    <n v="-7.2937557999999996"/>
    <m/>
    <s v="Inverse"/>
    <s v="NA"/>
  </r>
  <r>
    <x v="0"/>
    <x v="0"/>
    <s v="Ofaveolata001724"/>
    <n v="1.0470809700000001"/>
    <n v="-4.7203001999999996"/>
    <m/>
    <s v="Inverse"/>
    <s v="NA"/>
  </r>
  <r>
    <x v="0"/>
    <x v="0"/>
    <s v="Ofaveolata001725"/>
    <n v="2.1756774000000001"/>
    <n v="-2.9351489000000002"/>
    <m/>
    <s v="Inverse"/>
    <s v="NA"/>
  </r>
  <r>
    <x v="0"/>
    <x v="0"/>
    <s v="Ofaveolata001730"/>
    <n v="1.46247215"/>
    <n v="-9.2066321999999996"/>
    <m/>
    <s v="Inverse"/>
    <s v="NA"/>
  </r>
  <r>
    <x v="0"/>
    <x v="0"/>
    <s v="Ofaveolata001732"/>
    <n v="1.7658814599999999"/>
    <n v="-7.6721434000000004"/>
    <m/>
    <s v="Inverse"/>
    <s v="NA"/>
  </r>
  <r>
    <x v="0"/>
    <x v="0"/>
    <s v="Ofaveolata001733"/>
    <n v="1.9692564699999999"/>
    <n v="-9.4338063999999999"/>
    <m/>
    <s v="Inverse"/>
    <s v="NA"/>
  </r>
  <r>
    <x v="0"/>
    <x v="0"/>
    <s v="Ofaveolata001734"/>
    <n v="2.5748107"/>
    <n v="-13.512852000000001"/>
    <m/>
    <s v="Inverse"/>
    <s v="NA"/>
  </r>
  <r>
    <x v="0"/>
    <x v="0"/>
    <s v="Ofaveolata001805"/>
    <n v="1.0436867400000001"/>
    <n v="4.9691996300000003"/>
    <m/>
    <s v="Direct"/>
    <s v="Ligand for members of the frizzled family of seven transmembrane receptors"/>
  </r>
  <r>
    <x v="0"/>
    <x v="0"/>
    <s v="Ofaveolata001823"/>
    <n v="1.3754530199999999"/>
    <n v="1.15318532"/>
    <m/>
    <s v="Direct"/>
    <s v="NA"/>
  </r>
  <r>
    <x v="0"/>
    <x v="0"/>
    <s v="Ofaveolata001858"/>
    <n v="-1.0006307000000001"/>
    <n v="1.3704321699999999"/>
    <m/>
    <s v="Inverse"/>
    <s v="NA"/>
  </r>
  <r>
    <x v="0"/>
    <x v="0"/>
    <s v="Ofaveolata001887"/>
    <n v="1.86805427"/>
    <n v="-7.1828162000000004"/>
    <m/>
    <s v="Inverse"/>
    <s v="negative regulation of canonical Wnt signaling pathway involved in cardiac muscle cell fate commitment"/>
  </r>
  <r>
    <x v="0"/>
    <x v="0"/>
    <s v="Ofaveolata001889"/>
    <n v="1.68408797"/>
    <n v="-6.9601207"/>
    <m/>
    <s v="Inverse"/>
    <s v="NA"/>
  </r>
  <r>
    <x v="0"/>
    <x v="0"/>
    <s v="Ofaveolata001952"/>
    <n v="1.2783836"/>
    <n v="1.3804990699999999"/>
    <m/>
    <s v="Direct"/>
    <s v="G-protein coupled receptor activity"/>
  </r>
  <r>
    <x v="0"/>
    <x v="0"/>
    <s v="Ofaveolata002017"/>
    <n v="1.0609191"/>
    <n v="-5.2843621000000001"/>
    <m/>
    <s v="Inverse"/>
    <s v="phospholipase A2 activity (consuming 1,2-dipalmitoylphosphatidylcholine)"/>
  </r>
  <r>
    <x v="0"/>
    <x v="0"/>
    <s v="Ofaveolata002142"/>
    <n v="3.1321907800000002"/>
    <n v="-1.2486549"/>
    <m/>
    <s v="Inverse"/>
    <s v="positive regulation of epithelial to mesenchymal transition"/>
  </r>
  <r>
    <x v="0"/>
    <x v="0"/>
    <s v="Ofaveolata002144"/>
    <n v="-1.2668394000000001"/>
    <n v="-2.1520746000000002"/>
    <m/>
    <s v="Direct"/>
    <s v="Transmembrane protein 258"/>
  </r>
  <r>
    <x v="0"/>
    <x v="0"/>
    <s v="Ofaveolata002172"/>
    <n v="-2.5169011999999999"/>
    <n v="-4.6576240000000002"/>
    <m/>
    <s v="Direct"/>
    <s v="carboxypeptidase Q"/>
  </r>
  <r>
    <x v="0"/>
    <x v="0"/>
    <s v="Ofaveolata002239"/>
    <n v="1.7811513999999999"/>
    <n v="-5.4715277999999996"/>
    <m/>
    <s v="Inverse"/>
    <s v="NA"/>
  </r>
  <r>
    <x v="0"/>
    <x v="0"/>
    <s v="Ofaveolata002242"/>
    <n v="1.51002696"/>
    <n v="-2.4501466999999999"/>
    <m/>
    <s v="Inverse"/>
    <s v="NA"/>
  </r>
  <r>
    <x v="0"/>
    <x v="0"/>
    <s v="Ofaveolata002291"/>
    <n v="-1.2551999"/>
    <n v="-1.6969584"/>
    <m/>
    <s v="Direct"/>
    <s v="oxidoreductase activity"/>
  </r>
  <r>
    <x v="0"/>
    <x v="0"/>
    <s v="Ofaveolata002345"/>
    <n v="1.76768937"/>
    <n v="-12.931882"/>
    <m/>
    <s v="Inverse"/>
    <s v="NA"/>
  </r>
  <r>
    <x v="0"/>
    <x v="0"/>
    <s v="Ofaveolata002376"/>
    <n v="-1.9404219"/>
    <n v="-5.5524820000000004"/>
    <m/>
    <s v="Direct"/>
    <s v="NA"/>
  </r>
  <r>
    <x v="0"/>
    <x v="0"/>
    <s v="Ofaveolata002478"/>
    <n v="-2.2238429000000002"/>
    <n v="-1.5442800000000001"/>
    <m/>
    <s v="Direct"/>
    <s v="NA"/>
  </r>
  <r>
    <x v="0"/>
    <x v="0"/>
    <s v="Ofaveolata002551"/>
    <n v="-2.0366371000000001"/>
    <n v="-1.8447515000000001"/>
    <m/>
    <s v="Direct"/>
    <s v="NA"/>
  </r>
  <r>
    <x v="0"/>
    <x v="0"/>
    <s v="Ofaveolata002574"/>
    <n v="1.3676691400000001"/>
    <n v="-5.6181349999999997"/>
    <m/>
    <s v="Inverse"/>
    <s v="NA"/>
  </r>
  <r>
    <x v="0"/>
    <x v="0"/>
    <s v="Ofaveolata002642"/>
    <n v="-1.0216837999999999"/>
    <n v="-1.3026685"/>
    <m/>
    <s v="Direct"/>
    <s v="Fes/CIP4 homology domain"/>
  </r>
  <r>
    <x v="0"/>
    <x v="0"/>
    <s v="Ofaveolata002736"/>
    <n v="-1.1480262000000001"/>
    <n v="-1.3702616000000001"/>
    <m/>
    <s v="Direct"/>
    <s v="NA"/>
  </r>
  <r>
    <x v="0"/>
    <x v="0"/>
    <s v="Ofaveolata002772"/>
    <n v="-2.8924541000000001"/>
    <n v="-3.4108588000000002"/>
    <m/>
    <s v="Direct"/>
    <s v="Nidogen-like"/>
  </r>
  <r>
    <x v="0"/>
    <x v="0"/>
    <s v="Ofaveolata002774"/>
    <n v="-1.0737699999999999"/>
    <n v="-1.6003963999999999"/>
    <m/>
    <s v="Direct"/>
    <s v="Astacin (Peptidase family M12A)"/>
  </r>
  <r>
    <x v="0"/>
    <x v="0"/>
    <s v="Ofaveolata002788"/>
    <n v="1.68597606"/>
    <n v="1.03375266"/>
    <m/>
    <s v="Direct"/>
    <s v="NA"/>
  </r>
  <r>
    <x v="0"/>
    <x v="0"/>
    <s v="Ofaveolata002790"/>
    <n v="-1.0471661999999999"/>
    <n v="-6.9514344000000001"/>
    <m/>
    <s v="Direct"/>
    <s v="NA"/>
  </r>
  <r>
    <x v="0"/>
    <x v="0"/>
    <s v="Ofaveolata002794"/>
    <n v="-1.3649359000000001"/>
    <n v="-7.0796315999999999"/>
    <m/>
    <s v="Direct"/>
    <s v="NA"/>
  </r>
  <r>
    <x v="0"/>
    <x v="0"/>
    <s v="Ofaveolata002898"/>
    <n v="1.3403444900000001"/>
    <n v="-9.8974259"/>
    <m/>
    <s v="Inverse"/>
    <s v="NA"/>
  </r>
  <r>
    <x v="0"/>
    <x v="0"/>
    <s v="Ofaveolata002916"/>
    <n v="1.5755857900000001"/>
    <n v="-14.623307"/>
    <m/>
    <s v="Inverse"/>
    <s v="NA"/>
  </r>
  <r>
    <x v="0"/>
    <x v="0"/>
    <s v="Ofaveolata002917"/>
    <n v="5.06672163"/>
    <n v="-1.4784373"/>
    <m/>
    <s v="Inverse"/>
    <s v="NA"/>
  </r>
  <r>
    <x v="0"/>
    <x v="0"/>
    <s v="Ofaveolata002981"/>
    <n v="-1.8777121000000001"/>
    <n v="-3.4216853999999999"/>
    <m/>
    <s v="Direct"/>
    <s v="NA"/>
  </r>
  <r>
    <x v="0"/>
    <x v="0"/>
    <s v="Ofaveolata003085"/>
    <n v="1.8788538299999999"/>
    <n v="-9.4338063999999999"/>
    <m/>
    <s v="Inverse"/>
    <s v="NA"/>
  </r>
  <r>
    <x v="0"/>
    <x v="0"/>
    <s v="Ofaveolata003086"/>
    <n v="1.74353165"/>
    <n v="-10.511108999999999"/>
    <m/>
    <s v="Inverse"/>
    <s v="NA"/>
  </r>
  <r>
    <x v="0"/>
    <x v="0"/>
    <s v="Ofaveolata003181"/>
    <n v="-3.7584266"/>
    <n v="-2.4473406"/>
    <m/>
    <s v="Direct"/>
    <s v="neurexin family protein binding"/>
  </r>
  <r>
    <x v="0"/>
    <x v="0"/>
    <s v="Ofaveolata003229"/>
    <n v="2.1342811400000001"/>
    <n v="-3.3597033999999999"/>
    <m/>
    <s v="Inverse"/>
    <s v="coreceptor activity involved in Wnt signaling pathway, planar cell polarity pathway"/>
  </r>
  <r>
    <x v="0"/>
    <x v="0"/>
    <s v="Ofaveolata003232"/>
    <n v="1.0755802699999999"/>
    <n v="-8.5597542000000004"/>
    <m/>
    <s v="Inverse"/>
    <s v="NA"/>
  </r>
  <r>
    <x v="0"/>
    <x v="0"/>
    <s v="Ofaveolata003233"/>
    <n v="1.1093750200000001"/>
    <n v="-8.1750463"/>
    <m/>
    <s v="Inverse"/>
    <s v="NA"/>
  </r>
  <r>
    <x v="0"/>
    <x v="0"/>
    <s v="Ofaveolata003357"/>
    <n v="-1.6421924000000001"/>
    <n v="-3.0193332000000002"/>
    <m/>
    <s v="Direct"/>
    <s v="macromolecule localization"/>
  </r>
  <r>
    <x v="0"/>
    <x v="0"/>
    <s v="Ofaveolata003472"/>
    <n v="-1.213171"/>
    <n v="-1.2509106000000001"/>
    <m/>
    <s v="Direct"/>
    <s v="cell division"/>
  </r>
  <r>
    <x v="0"/>
    <x v="0"/>
    <s v="Ofaveolata003478"/>
    <n v="-1.6859761"/>
    <n v="-5.7316642"/>
    <m/>
    <s v="Direct"/>
    <s v="MMPL family"/>
  </r>
  <r>
    <x v="0"/>
    <x v="0"/>
    <s v="Ofaveolata003589"/>
    <n v="1.1048708300000001"/>
    <n v="-4.9969133000000001"/>
    <m/>
    <s v="Inverse"/>
    <s v="NA"/>
  </r>
  <r>
    <x v="0"/>
    <x v="0"/>
    <s v="Ofaveolata003608"/>
    <n v="4.6387466899999996"/>
    <n v="4.1671365700000003"/>
    <m/>
    <s v="Direct"/>
    <s v="NA"/>
  </r>
  <r>
    <x v="0"/>
    <x v="0"/>
    <s v="Ofaveolata003639"/>
    <n v="-3.3115488000000002"/>
    <n v="-1.7702792000000001"/>
    <m/>
    <s v="Direct"/>
    <s v="ephrin receptor activity"/>
  </r>
  <r>
    <x v="0"/>
    <x v="0"/>
    <s v="Ofaveolata003645"/>
    <n v="2.4520469899999999"/>
    <n v="-2.0093426999999999"/>
    <m/>
    <s v="Inverse"/>
    <s v="serine-type endopeptidase activity"/>
  </r>
  <r>
    <x v="0"/>
    <x v="0"/>
    <s v="Ofaveolata003648"/>
    <n v="1.46013737"/>
    <n v="-8.2676832000000005"/>
    <m/>
    <s v="Inverse"/>
    <s v="serine-type endopeptidase activity"/>
  </r>
  <r>
    <x v="0"/>
    <x v="0"/>
    <s v="Ofaveolata003661"/>
    <n v="1.460553"/>
    <n v="-1.0221648000000001"/>
    <m/>
    <s v="Inverse"/>
    <s v="Belongs to the peptidase M10A family"/>
  </r>
  <r>
    <x v="0"/>
    <x v="0"/>
    <s v="Ofaveolata003751"/>
    <n v="1.8950327"/>
    <n v="5.1796364400000003"/>
    <m/>
    <s v="Direct"/>
    <s v="Tachylectin"/>
  </r>
  <r>
    <x v="0"/>
    <x v="0"/>
    <s v="Ofaveolata003857"/>
    <n v="1.6319367899999999"/>
    <n v="-1.1428632999999999"/>
    <m/>
    <s v="Inverse"/>
    <s v="NA"/>
  </r>
  <r>
    <x v="0"/>
    <x v="0"/>
    <s v="Ofaveolata003932"/>
    <n v="-2.5061377999999999"/>
    <n v="-2.1717857"/>
    <m/>
    <s v="Direct"/>
    <s v="Tissue factor pathway inhibitor"/>
  </r>
  <r>
    <x v="0"/>
    <x v="0"/>
    <s v="Ofaveolata003972"/>
    <n v="-1.4950323999999999"/>
    <n v="-1.2630813999999999"/>
    <m/>
    <s v="Direct"/>
    <s v="NA"/>
  </r>
  <r>
    <x v="0"/>
    <x v="0"/>
    <s v="Ofaveolata003974"/>
    <n v="-1.6027899000000001"/>
    <n v="-1.3383193"/>
    <m/>
    <s v="Direct"/>
    <s v="NA"/>
  </r>
  <r>
    <x v="0"/>
    <x v="0"/>
    <s v="Ofaveolata003976"/>
    <n v="-2.4520469999999999"/>
    <n v="-1.2283656000000001"/>
    <m/>
    <s v="Direct"/>
    <s v="NA"/>
  </r>
  <r>
    <x v="0"/>
    <x v="0"/>
    <s v="Ofaveolata003977"/>
    <n v="-1.6027899000000001"/>
    <n v="2.9027899100000001"/>
    <m/>
    <s v="Inverse"/>
    <s v="NA"/>
  </r>
  <r>
    <x v="0"/>
    <x v="0"/>
    <s v="Ofaveolata004231"/>
    <n v="-3.5030622999999999"/>
    <n v="-5.9039951000000004"/>
    <m/>
    <s v="Direct"/>
    <s v="NA"/>
  </r>
  <r>
    <x v="0"/>
    <x v="0"/>
    <s v="Ofaveolata004405"/>
    <n v="1.21034398"/>
    <n v="3.1001533700000001"/>
    <m/>
    <s v="Direct"/>
    <s v="NA"/>
  </r>
  <r>
    <x v="0"/>
    <x v="0"/>
    <s v="Ofaveolata004474"/>
    <n v="-1.6564681000000001"/>
    <n v="-2.2814610000000002"/>
    <m/>
    <s v="Direct"/>
    <s v="ubiquitin-like protein ligase activity"/>
  </r>
  <r>
    <x v="0"/>
    <x v="0"/>
    <s v="Ofaveolata004508"/>
    <n v="-1.4437431000000001"/>
    <n v="-1.1746506000000001"/>
    <m/>
    <s v="Direct"/>
    <s v="Thrombospondin type 1 repeats"/>
  </r>
  <r>
    <x v="0"/>
    <x v="0"/>
    <s v="Ofaveolata004537"/>
    <n v="-1.0518035999999999"/>
    <n v="-2.9910899"/>
    <m/>
    <s v="Direct"/>
    <s v="NA"/>
  </r>
  <r>
    <x v="0"/>
    <x v="0"/>
    <s v="Ofaveolata004538"/>
    <n v="-1.1991885"/>
    <n v="-2.150131"/>
    <m/>
    <s v="Direct"/>
    <s v="Transmembrane protein 181"/>
  </r>
  <r>
    <x v="0"/>
    <x v="0"/>
    <s v="Ofaveolata004540"/>
    <n v="1.1571117900000001"/>
    <n v="2.0029241799999999"/>
    <m/>
    <s v="Direct"/>
    <s v="unfolded protein binding"/>
  </r>
  <r>
    <x v="0"/>
    <x v="0"/>
    <s v="Ofaveolata004807"/>
    <n v="-2.9346545000000002"/>
    <n v="1.9852000000000001"/>
    <m/>
    <s v="Inverse"/>
    <s v="NA"/>
  </r>
  <r>
    <x v="0"/>
    <x v="0"/>
    <s v="Ofaveolata004811"/>
    <n v="-1.7494856999999999"/>
    <n v="3.5476460400000001"/>
    <m/>
    <s v="Inverse"/>
    <s v="NA"/>
  </r>
  <r>
    <x v="0"/>
    <x v="0"/>
    <s v="Ofaveolata004828"/>
    <n v="-3.1144319"/>
    <n v="-2.5206974"/>
    <m/>
    <s v="Direct"/>
    <s v="NA"/>
  </r>
  <r>
    <x v="0"/>
    <x v="0"/>
    <s v="Ofaveolata004830"/>
    <n v="-1.532977"/>
    <n v="-2.9880575"/>
    <m/>
    <s v="Direct"/>
    <s v="NA"/>
  </r>
  <r>
    <x v="0"/>
    <x v="0"/>
    <s v="Ofaveolata004859"/>
    <n v="-1.1991885"/>
    <n v="-2.6374094000000001"/>
    <m/>
    <s v="Direct"/>
    <s v="NA"/>
  </r>
  <r>
    <x v="0"/>
    <x v="0"/>
    <s v="Ofaveolata004949"/>
    <n v="1.6053809699999999"/>
    <n v="-10.202484999999999"/>
    <m/>
    <s v="Inverse"/>
    <s v="NA"/>
  </r>
  <r>
    <x v="0"/>
    <x v="0"/>
    <s v="Ofaveolata004990"/>
    <n v="1.98959887"/>
    <n v="1.03588312"/>
    <m/>
    <s v="Direct"/>
    <s v="NA"/>
  </r>
  <r>
    <x v="0"/>
    <x v="0"/>
    <s v="Ofaveolata005158"/>
    <n v="1.35922286"/>
    <n v="-8.2597427999999997"/>
    <m/>
    <s v="Inverse"/>
    <s v="NA"/>
  </r>
  <r>
    <x v="0"/>
    <x v="0"/>
    <s v="Ofaveolata005198"/>
    <n v="-1.1937677"/>
    <n v="-1.9057978"/>
    <m/>
    <s v="Direct"/>
    <s v="calcium ion binding"/>
  </r>
  <r>
    <x v="0"/>
    <x v="0"/>
    <s v="Ofaveolata005263"/>
    <n v="1.49062191"/>
    <n v="-6.7266336999999998"/>
    <m/>
    <s v="Inverse"/>
    <s v="negative chemotaxis"/>
  </r>
  <r>
    <x v="0"/>
    <x v="0"/>
    <s v="Ofaveolata005301"/>
    <n v="-1.7509361999999999"/>
    <n v="-3.0610819"/>
    <m/>
    <s v="Direct"/>
    <s v="iron-sulfur transferase activity"/>
  </r>
  <r>
    <x v="0"/>
    <x v="0"/>
    <s v="Ofaveolata005305"/>
    <n v="-2.7069619"/>
    <n v="-7.5633414999999999"/>
    <m/>
    <s v="Direct"/>
    <s v="zinc ion binding"/>
  </r>
  <r>
    <x v="0"/>
    <x v="0"/>
    <s v="Ofaveolata005370"/>
    <n v="-1.4375876000000001"/>
    <n v="-8.1125793999999996"/>
    <m/>
    <s v="Direct"/>
    <s v="cellular iron ion homeostasis"/>
  </r>
  <r>
    <x v="0"/>
    <x v="0"/>
    <s v="Ofaveolata005418"/>
    <n v="-2.379489"/>
    <n v="-3.1252213000000002"/>
    <m/>
    <s v="Direct"/>
    <s v="molting cycle, collagen and cuticulin-based cuticle"/>
  </r>
  <r>
    <x v="0"/>
    <x v="0"/>
    <s v="Ofaveolata005419"/>
    <n v="-2.6639482000000001"/>
    <n v="-2.8826820999999998"/>
    <m/>
    <s v="Direct"/>
    <s v="molting cycle, collagen and cuticulin-based cuticle"/>
  </r>
  <r>
    <x v="0"/>
    <x v="0"/>
    <s v="Ofaveolata005486"/>
    <n v="-2.5581782"/>
    <n v="-3.3983694999999998"/>
    <m/>
    <s v="Direct"/>
    <s v="L-iditol 2-dehydrogenase activity"/>
  </r>
  <r>
    <x v="0"/>
    <x v="0"/>
    <s v="Ofaveolata005513"/>
    <n v="-1.3983029"/>
    <n v="-1.4136807"/>
    <m/>
    <s v="Direct"/>
    <s v="Hemimethylated DNA-binding protein YccV like"/>
  </r>
  <r>
    <x v="0"/>
    <x v="0"/>
    <s v="Ofaveolata005554"/>
    <n v="-1.1671794"/>
    <n v="-1.035539"/>
    <m/>
    <s v="Direct"/>
    <s v="NA"/>
  </r>
  <r>
    <x v="0"/>
    <x v="0"/>
    <s v="Ofaveolata005736"/>
    <n v="1.94707736"/>
    <n v="-2.6791520000000002"/>
    <m/>
    <s v="Inverse"/>
    <s v="Kinesin motor, catalytic domain. ATPase."/>
  </r>
  <r>
    <x v="0"/>
    <x v="0"/>
    <s v="Ofaveolata005887"/>
    <n v="-2.7611254999999999"/>
    <n v="-6.6230773999999997"/>
    <m/>
    <s v="Direct"/>
    <s v="Dienelactone hydrolase family"/>
  </r>
  <r>
    <x v="0"/>
    <x v="0"/>
    <s v="Ofaveolata005955"/>
    <n v="-1.7721214000000001"/>
    <n v="-2.7345996000000001"/>
    <m/>
    <s v="Direct"/>
    <s v="endosomal transport"/>
  </r>
  <r>
    <x v="0"/>
    <x v="0"/>
    <s v="Ofaveolata005956"/>
    <n v="-2.473563"/>
    <n v="-1.6595061"/>
    <m/>
    <s v="Direct"/>
    <s v="skeletal muscle fiber development"/>
  </r>
  <r>
    <x v="0"/>
    <x v="0"/>
    <s v="Ofaveolata005964"/>
    <n v="2.2204967199999999"/>
    <n v="1.3369834199999999"/>
    <m/>
    <s v="Direct"/>
    <s v="Belongs to the peptidase M10A family"/>
  </r>
  <r>
    <x v="0"/>
    <x v="0"/>
    <s v="Ofaveolata005998"/>
    <n v="1.77173391"/>
    <n v="1.9575851799999999"/>
    <m/>
    <s v="Direct"/>
    <s v="CAAX-box protein maturation"/>
  </r>
  <r>
    <x v="0"/>
    <x v="0"/>
    <s v="Ofaveolata006107"/>
    <n v="-2.5276131999999998"/>
    <n v="-1.4149843"/>
    <m/>
    <s v="Direct"/>
    <s v="bisphosphoglycerate 3-phosphatase activity"/>
  </r>
  <r>
    <x v="0"/>
    <x v="0"/>
    <s v="Ofaveolata006198"/>
    <n v="-1.2183018999999999"/>
    <n v="-1.0971276999999999"/>
    <m/>
    <s v="Direct"/>
    <s v="NA"/>
  </r>
  <r>
    <x v="0"/>
    <x v="0"/>
    <s v="Ofaveolata006253"/>
    <n v="1.7528422400000001"/>
    <n v="-6.4734021000000004"/>
    <m/>
    <s v="Inverse"/>
    <s v="NA"/>
  </r>
  <r>
    <x v="0"/>
    <x v="0"/>
    <s v="Ofaveolata006256"/>
    <n v="2.3530242000000001"/>
    <n v="-1.5247226"/>
    <m/>
    <s v="Inverse"/>
    <s v="NA"/>
  </r>
  <r>
    <x v="0"/>
    <x v="0"/>
    <s v="Ofaveolata006294"/>
    <n v="1.73685858"/>
    <n v="2.4125611600000001"/>
    <m/>
    <s v="Direct"/>
    <s v="cell-matrix adhesion"/>
  </r>
  <r>
    <x v="0"/>
    <x v="0"/>
    <s v="Ofaveolata006370"/>
    <n v="1.6858593799999999"/>
    <n v="-24.308772000000001"/>
    <m/>
    <s v="Inverse"/>
    <s v="NA"/>
  </r>
  <r>
    <x v="0"/>
    <x v="0"/>
    <s v="Ofaveolata006376"/>
    <n v="-1.7717339000000001"/>
    <n v="-4.1913777000000003"/>
    <m/>
    <s v="Direct"/>
    <s v="NA"/>
  </r>
  <r>
    <x v="0"/>
    <x v="0"/>
    <s v="Ofaveolata006433"/>
    <n v="1.2534106599999999"/>
    <n v="3.0659373400000001"/>
    <m/>
    <s v="Direct"/>
    <s v="NA"/>
  </r>
  <r>
    <x v="0"/>
    <x v="0"/>
    <s v="Ofaveolata006443"/>
    <n v="-1.1318204000000001"/>
    <n v="-1.8648393999999999"/>
    <m/>
    <s v="Direct"/>
    <s v="NA"/>
  </r>
  <r>
    <x v="0"/>
    <x v="0"/>
    <s v="Ofaveolata006566"/>
    <n v="-2.6360961999999999"/>
    <n v="-1.8144252000000001"/>
    <m/>
    <s v="Direct"/>
    <s v="barrier to autointegration factor 1"/>
  </r>
  <r>
    <x v="0"/>
    <x v="0"/>
    <s v="Ofaveolata006598"/>
    <n v="-1.2937562"/>
    <n v="-1.466852"/>
    <m/>
    <s v="Direct"/>
    <s v="glutaminyl-peptide cyclotransferase activity"/>
  </r>
  <r>
    <x v="0"/>
    <x v="0"/>
    <s v="Ofaveolata006691"/>
    <n v="-1.5674733000000001"/>
    <n v="-2.4303267000000002"/>
    <m/>
    <s v="Direct"/>
    <s v="rRNA (uridine-2'-O-)-methyltransferase activity"/>
  </r>
  <r>
    <x v="0"/>
    <x v="0"/>
    <s v="Ofaveolata006897"/>
    <n v="-1.2100453"/>
    <n v="-1.3350090999999999"/>
    <m/>
    <s v="Direct"/>
    <s v="NA"/>
  </r>
  <r>
    <x v="0"/>
    <x v="0"/>
    <s v="Ofaveolata006910"/>
    <n v="-3.7552720000000002"/>
    <n v="-13.336264"/>
    <m/>
    <s v="Direct"/>
    <s v="NA"/>
  </r>
  <r>
    <x v="0"/>
    <x v="0"/>
    <s v="Ofaveolata007062"/>
    <n v="2.69860473"/>
    <n v="-1.0658957"/>
    <m/>
    <s v="Inverse"/>
    <s v="Pentafunctional AROM polypeptide-like"/>
  </r>
  <r>
    <x v="0"/>
    <x v="0"/>
    <s v="Ofaveolata007104"/>
    <n v="-1.2253166"/>
    <n v="-2.2291856000000001"/>
    <m/>
    <s v="Direct"/>
    <s v="dynactin binding"/>
  </r>
  <r>
    <x v="0"/>
    <x v="0"/>
    <s v="Ofaveolata007437"/>
    <n v="1.5350208000000001"/>
    <n v="15.966555700000001"/>
    <m/>
    <s v="Direct"/>
    <s v="acetyl-CoA metabolic process"/>
  </r>
  <r>
    <x v="0"/>
    <x v="0"/>
    <s v="Ofaveolata007460"/>
    <n v="-1.1699387999999999"/>
    <n v="-1.3415815"/>
    <m/>
    <s v="Direct"/>
    <s v="NA"/>
  </r>
  <r>
    <x v="0"/>
    <x v="0"/>
    <s v="Ofaveolata007795"/>
    <n v="1.9404219300000001"/>
    <n v="1.05078019"/>
    <m/>
    <s v="Direct"/>
    <s v="polycystic kidney disease protein 1-like"/>
  </r>
  <r>
    <x v="0"/>
    <x v="0"/>
    <s v="Ofaveolata007927"/>
    <n v="-3.1144319"/>
    <n v="-3.5753881999999999"/>
    <m/>
    <s v="Direct"/>
    <s v="asparaginase activity"/>
  </r>
  <r>
    <x v="0"/>
    <x v="0"/>
    <s v="Ofaveolata007940"/>
    <n v="1.376493"/>
    <n v="-2.7527248000000002"/>
    <m/>
    <s v="Inverse"/>
    <s v="Globin"/>
  </r>
  <r>
    <x v="0"/>
    <x v="0"/>
    <s v="Ofaveolata007956"/>
    <n v="-1.7721214000000001"/>
    <n v="-2.7984740000000001"/>
    <m/>
    <s v="Direct"/>
    <s v="E3 ubiquitin-protein ligase synoviolin"/>
  </r>
  <r>
    <x v="0"/>
    <x v="0"/>
    <s v="Ofaveolata007983"/>
    <n v="1.33737642"/>
    <n v="1.2336022499999999"/>
    <m/>
    <s v="Direct"/>
    <s v="NA"/>
  </r>
  <r>
    <x v="0"/>
    <x v="0"/>
    <s v="Ofaveolata007989"/>
    <n v="-1.0436867000000001"/>
    <n v="-3.4410810000000001"/>
    <m/>
    <s v="Direct"/>
    <s v="subunit of the gamma-secretase complex, an endoprotease complex that catalyzes the intramembrane cleavage of integral membrane proteins such as Notch receptors"/>
  </r>
  <r>
    <x v="0"/>
    <x v="0"/>
    <s v="Ofaveolata008090"/>
    <n v="-1.2059776"/>
    <n v="-1.0289741999999999"/>
    <m/>
    <s v="Direct"/>
    <s v="NA"/>
  </r>
  <r>
    <x v="0"/>
    <x v="0"/>
    <s v="Ofaveolata008149"/>
    <n v="-1.5069942999999999"/>
    <n v="-3.6708118999999999"/>
    <m/>
    <s v="Direct"/>
    <s v="NA"/>
  </r>
  <r>
    <x v="0"/>
    <x v="0"/>
    <s v="Ofaveolata008257"/>
    <n v="1.5329769499999999"/>
    <n v="-6.5050938"/>
    <m/>
    <s v="Inverse"/>
    <s v="NA"/>
  </r>
  <r>
    <x v="0"/>
    <x v="0"/>
    <s v="Ofaveolata008267"/>
    <n v="1.03087653"/>
    <n v="-4.1739416"/>
    <m/>
    <s v="Inverse"/>
    <s v="peroxidase activity"/>
  </r>
  <r>
    <x v="0"/>
    <x v="0"/>
    <s v="Ofaveolata008394"/>
    <n v="2.09913528"/>
    <n v="-23.779128"/>
    <m/>
    <s v="Inverse"/>
    <s v="peptidyl-prolyl cis-trans isomerase activity"/>
  </r>
  <r>
    <x v="0"/>
    <x v="0"/>
    <s v="Ofaveolata008535"/>
    <n v="2.1565563700000001"/>
    <n v="-2.5756937"/>
    <m/>
    <s v="Inverse"/>
    <s v="NA"/>
  </r>
  <r>
    <x v="0"/>
    <x v="0"/>
    <s v="Ofaveolata009043"/>
    <n v="1.0406690999999999"/>
    <n v="-4.5119194"/>
    <m/>
    <s v="Inverse"/>
    <s v="NA"/>
  </r>
  <r>
    <x v="0"/>
    <x v="0"/>
    <s v="Ofaveolata009049"/>
    <n v="1.26196218"/>
    <n v="-2.4463737000000001"/>
    <m/>
    <s v="Inverse"/>
    <s v="NA"/>
  </r>
  <r>
    <x v="0"/>
    <x v="0"/>
    <s v="Ofaveolata009102"/>
    <n v="-1.2405374"/>
    <n v="-1.4608017"/>
    <m/>
    <s v="Direct"/>
    <s v="fibroblast growth factor-activated receptor activity"/>
  </r>
  <r>
    <x v="0"/>
    <x v="0"/>
    <s v="Ofaveolata009257"/>
    <n v="2.5061378300000001"/>
    <n v="-1.5207245"/>
    <m/>
    <s v="Inverse"/>
    <s v="Belongs to the glycosyltransferase 43 family"/>
  </r>
  <r>
    <x v="0"/>
    <x v="0"/>
    <s v="Ofaveolata009302"/>
    <n v="2.5145299099999998"/>
    <n v="-9.5294445999999997"/>
    <m/>
    <s v="Inverse"/>
    <s v="neurogenic locus notch homolog protein"/>
  </r>
  <r>
    <x v="0"/>
    <x v="0"/>
    <s v="Ofaveolata009338"/>
    <n v="-1.2268368999999999"/>
    <n v="-2.9109821"/>
    <m/>
    <s v="Direct"/>
    <s v="NA"/>
  </r>
  <r>
    <x v="0"/>
    <x v="0"/>
    <s v="Ofaveolata009407"/>
    <n v="-1.2676099999999999"/>
    <n v="-3.6287216999999998"/>
    <m/>
    <s v="Direct"/>
    <s v="fibroblast growth factor-activated receptor activity"/>
  </r>
  <r>
    <x v="0"/>
    <x v="0"/>
    <s v="Ofaveolata009599"/>
    <n v="-2.4520469999999999"/>
    <n v="2.2519237099999998"/>
    <m/>
    <s v="Inverse"/>
    <s v="NA"/>
  </r>
  <r>
    <x v="0"/>
    <x v="0"/>
    <s v="Ofaveolata009607"/>
    <n v="-1.4450259999999999"/>
    <n v="-1.4961228"/>
    <m/>
    <s v="Direct"/>
    <s v="NA"/>
  </r>
  <r>
    <x v="0"/>
    <x v="0"/>
    <s v="Ofaveolata009609"/>
    <n v="3.2065842"/>
    <n v="4.6728561900000001"/>
    <m/>
    <s v="Direct"/>
    <s v="RNA binding motif protein"/>
  </r>
  <r>
    <x v="0"/>
    <x v="0"/>
    <s v="Ofaveolata009789"/>
    <n v="-1.0436867000000001"/>
    <n v="-1.0938658000000001"/>
    <m/>
    <s v="Direct"/>
    <s v="NA"/>
  </r>
  <r>
    <x v="0"/>
    <x v="0"/>
    <s v="Ofaveolata010071"/>
    <n v="-1.4560892000000001"/>
    <n v="2.2042480599999998"/>
    <m/>
    <s v="Inverse"/>
    <s v="NA"/>
  </r>
  <r>
    <x v="0"/>
    <x v="0"/>
    <s v="Ofaveolata010190"/>
    <n v="2.4498564799999998"/>
    <n v="5.0809244400000004"/>
    <m/>
    <s v="Direct"/>
    <s v="neurotrophin receptor activity"/>
  </r>
  <r>
    <x v="0"/>
    <x v="0"/>
    <s v="Ofaveolata010222"/>
    <n v="2.7611254600000001"/>
    <n v="-3.3193117999999999"/>
    <m/>
    <s v="Inverse"/>
    <s v="NA"/>
  </r>
  <r>
    <x v="0"/>
    <x v="0"/>
    <s v="Ofaveolata010287"/>
    <n v="-2.4267482999999999"/>
    <n v="-2.2719879999999999"/>
    <m/>
    <s v="Direct"/>
    <s v="NA"/>
  </r>
  <r>
    <x v="0"/>
    <x v="0"/>
    <s v="Ofaveolata010299"/>
    <n v="-1.6027899000000001"/>
    <n v="-1.7946652000000001"/>
    <m/>
    <s v="Direct"/>
    <s v="acyl-coenzyme A thioesterase"/>
  </r>
  <r>
    <x v="0"/>
    <x v="0"/>
    <s v="Ofaveolata010384"/>
    <n v="-2.2365955"/>
    <n v="-2.8554940000000002"/>
    <m/>
    <s v="Direct"/>
    <s v="procollagen-proline 3-dioxygenase activity"/>
  </r>
  <r>
    <x v="0"/>
    <x v="0"/>
    <s v="Ofaveolata010491"/>
    <n v="-1.0852187"/>
    <n v="-1.4714910999999999"/>
    <m/>
    <s v="Direct"/>
    <s v="Arrestin (or S-antigen), N-terminal domain"/>
  </r>
  <r>
    <x v="0"/>
    <x v="0"/>
    <s v="Ofaveolata010511"/>
    <n v="-1.9920993"/>
    <n v="-2.6401900999999999"/>
    <m/>
    <s v="Direct"/>
    <s v="NA"/>
  </r>
  <r>
    <x v="0"/>
    <x v="0"/>
    <s v="Ofaveolata010570"/>
    <n v="1.7467672299999999"/>
    <n v="-4.3196168999999998"/>
    <m/>
    <s v="Inverse"/>
    <s v="NA"/>
  </r>
  <r>
    <x v="0"/>
    <x v="0"/>
    <s v="Ofaveolata010732"/>
    <n v="-1.7360164"/>
    <n v="-4.2094288000000004"/>
    <m/>
    <s v="Direct"/>
    <s v="positive regulation of TOR signaling"/>
  </r>
  <r>
    <x v="0"/>
    <x v="0"/>
    <s v="Ofaveolata010794"/>
    <n v="-1.0960899"/>
    <n v="2.3930246999999998"/>
    <m/>
    <s v="Inverse"/>
    <s v="D-arabinitol dehydrogenase 1-like"/>
  </r>
  <r>
    <x v="0"/>
    <x v="0"/>
    <s v="Ofaveolata010796"/>
    <n v="1.4685670200000001"/>
    <n v="-6.7640069"/>
    <m/>
    <s v="Inverse"/>
    <s v="glutathione peroxidase activity"/>
  </r>
  <r>
    <x v="0"/>
    <x v="0"/>
    <s v="Ofaveolata010797"/>
    <n v="1.53156658"/>
    <n v="1.3124102900000001"/>
    <m/>
    <s v="Direct"/>
    <s v="NA"/>
  </r>
  <r>
    <x v="0"/>
    <x v="0"/>
    <s v="Ofaveolata011077"/>
    <n v="3.7552719699999999"/>
    <n v="1.31402281"/>
    <m/>
    <s v="Direct"/>
    <s v="neuronal"/>
  </r>
  <r>
    <x v="0"/>
    <x v="0"/>
    <s v="Ofaveolata011147"/>
    <n v="-2.7069619"/>
    <n v="-2.8362677000000001"/>
    <m/>
    <s v="Direct"/>
    <s v="cysteine-type endopeptidase inhibitor activity"/>
  </r>
  <r>
    <x v="0"/>
    <x v="0"/>
    <s v="Ofaveolata011228"/>
    <n v="-1.2747702000000001"/>
    <n v="-2.3909047999999999"/>
    <m/>
    <s v="Direct"/>
    <s v="negative regulation of protein localization to centrosome"/>
  </r>
  <r>
    <x v="0"/>
    <x v="0"/>
    <s v="Ofaveolata011375"/>
    <n v="-2.5027183000000002"/>
    <n v="-1.2729280999999999"/>
    <m/>
    <s v="Direct"/>
    <s v="Universal stress protein family"/>
  </r>
  <r>
    <x v="0"/>
    <x v="0"/>
    <s v="Ofaveolata011707"/>
    <n v="-1.0593208999999999"/>
    <n v="-1.6199395999999999"/>
    <m/>
    <s v="Direct"/>
    <s v="NA"/>
  </r>
  <r>
    <x v="0"/>
    <x v="0"/>
    <s v="Ofaveolata012632"/>
    <n v="2.0702497499999999"/>
    <n v="-5.9526849000000004"/>
    <m/>
    <s v="Inverse"/>
    <s v="NA"/>
  </r>
  <r>
    <x v="0"/>
    <x v="0"/>
    <s v="Ofaveolata012655"/>
    <n v="1.3306383900000001"/>
    <n v="-2.6604523000000002"/>
    <m/>
    <s v="Inverse"/>
    <s v="zinc ion binding"/>
  </r>
  <r>
    <x v="0"/>
    <x v="0"/>
    <s v="Ofaveolata012694"/>
    <n v="1.3322797799999999"/>
    <n v="-12.587588999999999"/>
    <m/>
    <s v="Inverse"/>
    <s v="NA"/>
  </r>
  <r>
    <x v="0"/>
    <x v="0"/>
    <s v="Ofaveolata012700"/>
    <n v="2.3582261500000001"/>
    <n v="-1.1171702999999999"/>
    <m/>
    <s v="Inverse"/>
    <s v="NA"/>
  </r>
  <r>
    <x v="0"/>
    <x v="0"/>
    <s v="Ofaveolata012701"/>
    <n v="1.9243410599999999"/>
    <n v="-4.1251651000000003"/>
    <m/>
    <s v="Inverse"/>
    <s v="NA"/>
  </r>
  <r>
    <x v="0"/>
    <x v="0"/>
    <s v="Ofaveolata012705"/>
    <n v="1.1865764299999999"/>
    <n v="-9.0317424000000006"/>
    <m/>
    <s v="Inverse"/>
    <s v="NA"/>
  </r>
  <r>
    <x v="0"/>
    <x v="0"/>
    <s v="Ofaveolata012707"/>
    <n v="1.0116907100000001"/>
    <n v="-4.6565139999999996"/>
    <m/>
    <s v="Inverse"/>
    <s v="NA"/>
  </r>
  <r>
    <x v="0"/>
    <x v="0"/>
    <s v="Ofaveolata012708"/>
    <n v="1.3137764199999999"/>
    <n v="-4.5871766000000003"/>
    <m/>
    <s v="Inverse"/>
    <s v="NA"/>
  </r>
  <r>
    <x v="0"/>
    <x v="0"/>
    <s v="Ofaveolata012743"/>
    <n v="-1.213171"/>
    <n v="-1.3213362"/>
    <m/>
    <s v="Direct"/>
    <s v="NA"/>
  </r>
  <r>
    <x v="0"/>
    <x v="0"/>
    <s v="Ofaveolata012750"/>
    <n v="1.89395319"/>
    <n v="1.14849019"/>
    <m/>
    <s v="Direct"/>
    <s v="NA"/>
  </r>
  <r>
    <x v="0"/>
    <x v="0"/>
    <s v="Ofaveolata012781"/>
    <n v="-1.7026707000000001"/>
    <n v="-2.9027899000000001"/>
    <m/>
    <s v="Direct"/>
    <s v="NA"/>
  </r>
  <r>
    <x v="0"/>
    <x v="0"/>
    <s v="Ofaveolata012899"/>
    <n v="1.4892896799999999"/>
    <n v="-3.3152765999999998"/>
    <m/>
    <s v="Inverse"/>
    <s v="sulfuric ester hydrolase activity"/>
  </r>
  <r>
    <x v="0"/>
    <x v="0"/>
    <s v="Ofaveolata012935"/>
    <n v="-1.5031030000000001"/>
    <n v="-2.5380308"/>
    <m/>
    <s v="Direct"/>
    <s v="histone binding"/>
  </r>
  <r>
    <x v="0"/>
    <x v="0"/>
    <s v="Ofaveolata012985"/>
    <n v="-1.2183018999999999"/>
    <n v="-6.0089528000000003"/>
    <m/>
    <s v="Direct"/>
    <s v="NA"/>
  </r>
  <r>
    <x v="0"/>
    <x v="0"/>
    <s v="Ofaveolata013005"/>
    <n v="1.27858235"/>
    <n v="2.2919258400000002"/>
    <m/>
    <s v="Direct"/>
    <s v="Belongs to the sodium solute symporter (SSF) (TC 2.A.21) family"/>
  </r>
  <r>
    <x v="0"/>
    <x v="0"/>
    <s v="Ofaveolata013087"/>
    <n v="-1.9019946999999999"/>
    <n v="12.310794599999999"/>
    <m/>
    <s v="Inverse"/>
    <s v="calcium ion binding"/>
  </r>
  <r>
    <x v="0"/>
    <x v="0"/>
    <s v="Ofaveolata013095"/>
    <n v="-2.7305784000000002"/>
    <n v="-8.5868011000000006"/>
    <m/>
    <s v="Direct"/>
    <s v="NA"/>
  </r>
  <r>
    <x v="0"/>
    <x v="0"/>
    <s v="Ofaveolata013130"/>
    <n v="1.1487254600000001"/>
    <n v="-1.1119779000000001"/>
    <m/>
    <s v="Inverse"/>
    <s v="coreceptor activity involved in Wnt signaling pathway, planar cell polarity pathway"/>
  </r>
  <r>
    <x v="0"/>
    <x v="0"/>
    <s v="Ofaveolata013287"/>
    <n v="-1.0977144999999999"/>
    <n v="-1.8126918999999999"/>
    <m/>
    <s v="Direct"/>
    <s v="Si dkey-5i3.5"/>
  </r>
  <r>
    <x v="0"/>
    <x v="0"/>
    <s v="Ofaveolata013335"/>
    <n v="1.0960899"/>
    <n v="1.0475536599999999"/>
    <m/>
    <s v="Direct"/>
    <s v="NA"/>
  </r>
  <r>
    <x v="0"/>
    <x v="0"/>
    <s v="Ofaveolata013348"/>
    <n v="-1.0343720999999999"/>
    <n v="-1.2425147999999999"/>
    <m/>
    <s v="Direct"/>
    <s v="NA"/>
  </r>
  <r>
    <x v="0"/>
    <x v="0"/>
    <s v="Ofaveolata013368"/>
    <n v="-2.6539016000000002"/>
    <n v="-4.7950974000000004"/>
    <m/>
    <s v="Direct"/>
    <s v="NA"/>
  </r>
  <r>
    <x v="0"/>
    <x v="0"/>
    <s v="Ofaveolata013370"/>
    <n v="-2.7570404000000002"/>
    <n v="-6.6730483999999999"/>
    <m/>
    <s v="Direct"/>
    <s v="NA"/>
  </r>
  <r>
    <x v="0"/>
    <x v="0"/>
    <s v="Ofaveolata013386"/>
    <n v="-2.3530242000000001"/>
    <n v="-2.1367802999999999"/>
    <m/>
    <s v="Direct"/>
    <s v="NA"/>
  </r>
  <r>
    <x v="0"/>
    <x v="0"/>
    <s v="Ofaveolata013485"/>
    <n v="-1.9306455"/>
    <n v="-2.8605355000000001"/>
    <m/>
    <s v="Direct"/>
    <s v="glycogen (starch) synthase activity"/>
  </r>
  <r>
    <x v="0"/>
    <x v="0"/>
    <s v="Ofaveolata013730"/>
    <n v="-1.2600363000000001"/>
    <n v="-1.7750394"/>
    <m/>
    <s v="Direct"/>
    <s v="NA"/>
  </r>
  <r>
    <x v="0"/>
    <x v="0"/>
    <s v="Ofaveolata013818"/>
    <n v="-1.2252367"/>
    <n v="-4.1238365000000003"/>
    <m/>
    <s v="Direct"/>
    <s v="Glutathione S-transferase, N-terminal domain"/>
  </r>
  <r>
    <x v="0"/>
    <x v="0"/>
    <s v="Ofaveolata013894"/>
    <n v="-2.5281747000000001"/>
    <n v="-2.8133127999999998"/>
    <m/>
    <s v="Direct"/>
    <s v="cilium disassembly"/>
  </r>
  <r>
    <x v="0"/>
    <x v="0"/>
    <s v="Ofaveolata013958"/>
    <n v="-1.6359573000000001"/>
    <n v="-1.6230868000000001"/>
    <m/>
    <s v="Direct"/>
    <s v="TENA/THI-4/PQQC family"/>
  </r>
  <r>
    <x v="0"/>
    <x v="0"/>
    <s v="Ofaveolata013965"/>
    <n v="-1.5465742"/>
    <n v="-1.8831499"/>
    <m/>
    <s v="Direct"/>
    <s v="NA"/>
  </r>
  <r>
    <x v="0"/>
    <x v="0"/>
    <s v="Ofaveolata014189"/>
    <n v="1.8451027499999999"/>
    <n v="-2.7907993000000002"/>
    <m/>
    <s v="Inverse"/>
    <s v="alpha-L-fucosidase activity"/>
  </r>
  <r>
    <x v="0"/>
    <x v="0"/>
    <s v="Ofaveolata014321"/>
    <n v="-1.2038884000000001"/>
    <n v="-2.4480936"/>
    <m/>
    <s v="Direct"/>
    <s v="NA"/>
  </r>
  <r>
    <x v="0"/>
    <x v="0"/>
    <s v="Ofaveolata014545"/>
    <n v="-1.261706"/>
    <n v="-2.3958917"/>
    <m/>
    <s v="Direct"/>
    <s v="Meiosis expressed gene 1 protein homolog"/>
  </r>
  <r>
    <x v="0"/>
    <x v="0"/>
    <s v="Ofaveolata014737"/>
    <n v="-1.2268368999999999"/>
    <n v="-1.1423521999999999"/>
    <m/>
    <s v="Direct"/>
    <s v="7 transmembrane receptor (rhodopsin family)"/>
  </r>
  <r>
    <x v="0"/>
    <x v="0"/>
    <s v="Ofaveolata014914"/>
    <n v="2.3233525500000001"/>
    <n v="-1.7205128000000001"/>
    <m/>
    <s v="Inverse"/>
    <s v="Dermatopontin"/>
  </r>
  <r>
    <x v="0"/>
    <x v="0"/>
    <s v="Ofaveolata014970"/>
    <n v="-1.6657090999999999"/>
    <n v="-1.6644481"/>
    <m/>
    <s v="Direct"/>
    <s v="negative regulation of protein localization to ciliary membrane"/>
  </r>
  <r>
    <x v="0"/>
    <x v="0"/>
    <s v="Ofaveolata014975"/>
    <n v="2.0868259199999999"/>
    <n v="-12.018731000000001"/>
    <m/>
    <s v="Inverse"/>
    <s v="NA"/>
  </r>
  <r>
    <x v="0"/>
    <x v="0"/>
    <s v="Ofaveolata014995"/>
    <n v="-1.2446740000000001"/>
    <n v="-1.0211676000000001"/>
    <m/>
    <s v="Direct"/>
    <s v="Functions as actin-binding component of the Arp2 3 complex which is involved in regulation of actin polymerization and together with an activating nucleation-promoting factor (NPF) mediates the formation of branched actin networks"/>
  </r>
  <r>
    <x v="0"/>
    <x v="0"/>
    <s v="Ofaveolata015101"/>
    <n v="-1.4103763"/>
    <n v="-9.0251944000000002"/>
    <m/>
    <s v="Direct"/>
    <s v="NA"/>
  </r>
  <r>
    <x v="0"/>
    <x v="0"/>
    <s v="Ofaveolata015217"/>
    <n v="-1.0553081"/>
    <n v="-3.6193578"/>
    <m/>
    <s v="Direct"/>
    <s v="O-fucosyltransferase 2"/>
  </r>
  <r>
    <x v="0"/>
    <x v="0"/>
    <s v="Ofaveolata015357"/>
    <n v="-1.0260505"/>
    <n v="-4.8668725000000004"/>
    <m/>
    <s v="Direct"/>
    <s v="vesicle fusion with Golgi apparatus"/>
  </r>
  <r>
    <x v="0"/>
    <x v="0"/>
    <s v="Ofaveolata015516"/>
    <n v="-1.3132554000000001"/>
    <n v="-2.7816141000000001"/>
    <m/>
    <s v="Direct"/>
    <s v="NA"/>
  </r>
  <r>
    <x v="0"/>
    <x v="0"/>
    <s v="Ofaveolata015525"/>
    <n v="-1.2738265"/>
    <n v="1.5905403899999999"/>
    <m/>
    <s v="Inverse"/>
    <s v="NA"/>
  </r>
  <r>
    <x v="0"/>
    <x v="0"/>
    <s v="Ofaveolata015532"/>
    <n v="-1.4115255"/>
    <n v="-1.5198434000000001"/>
    <m/>
    <s v="Direct"/>
    <s v="ATPase activity, coupled to transmembrane movement of substances"/>
  </r>
  <r>
    <x v="0"/>
    <x v="0"/>
    <s v="Ofaveolata015761"/>
    <n v="-1.6859761"/>
    <n v="-1.383669"/>
    <m/>
    <s v="Direct"/>
    <s v="carbohydrate binding"/>
  </r>
  <r>
    <x v="0"/>
    <x v="0"/>
    <s v="Ofaveolata015856"/>
    <n v="-8.9395906000000007"/>
    <n v="-1.0281020000000001"/>
    <m/>
    <s v="Direct"/>
    <s v="NA"/>
  </r>
  <r>
    <x v="0"/>
    <x v="0"/>
    <s v="Ofaveolata016020"/>
    <n v="1.7016554100000001"/>
    <n v="5.85963748"/>
    <m/>
    <s v="Direct"/>
    <s v="Universal stress protein family"/>
  </r>
  <r>
    <x v="0"/>
    <x v="0"/>
    <s v="Ofaveolata016131"/>
    <n v="1.05475911"/>
    <n v="-8.5878376000000003"/>
    <m/>
    <s v="Inverse"/>
    <s v="NA"/>
  </r>
  <r>
    <x v="0"/>
    <x v="0"/>
    <s v="Ofaveolata016157"/>
    <n v="-1.0963083"/>
    <n v="-3.1724800000000002"/>
    <m/>
    <s v="Direct"/>
    <s v="NA"/>
  </r>
  <r>
    <x v="0"/>
    <x v="0"/>
    <s v="Ofaveolata016206"/>
    <n v="-1.0819369999999999"/>
    <n v="-1.1027815000000001"/>
    <m/>
    <s v="Direct"/>
    <s v="myo-inositol transport"/>
  </r>
  <r>
    <x v="0"/>
    <x v="0"/>
    <s v="Ofaveolata016235"/>
    <n v="1.30743933"/>
    <n v="-1.0408293"/>
    <m/>
    <s v="Inverse"/>
    <s v="NA"/>
  </r>
  <r>
    <x v="0"/>
    <x v="0"/>
    <s v="Ofaveolata016246"/>
    <n v="1.0334759"/>
    <n v="-3.8404848"/>
    <m/>
    <s v="Inverse"/>
    <s v="NA"/>
  </r>
  <r>
    <x v="0"/>
    <x v="0"/>
    <s v="Ofaveolata016252"/>
    <n v="1.56512082"/>
    <n v="-1.3295524999999999"/>
    <m/>
    <s v="Inverse"/>
    <s v="NA"/>
  </r>
  <r>
    <x v="0"/>
    <x v="0"/>
    <s v="Ofaveolata016255"/>
    <n v="2.0906941099999998"/>
    <n v="-2.0930518999999999"/>
    <m/>
    <s v="Inverse"/>
    <s v="NA"/>
  </r>
  <r>
    <x v="0"/>
    <x v="0"/>
    <s v="Ofaveolata016258"/>
    <n v="2.3260250500000001"/>
    <n v="-12.761623"/>
    <m/>
    <s v="Inverse"/>
    <s v="NA"/>
  </r>
  <r>
    <x v="0"/>
    <x v="0"/>
    <s v="Ofaveolata016260"/>
    <n v="2.2304948599999999"/>
    <n v="-7.0006687000000003"/>
    <m/>
    <s v="Inverse"/>
    <s v="NA"/>
  </r>
  <r>
    <x v="0"/>
    <x v="0"/>
    <s v="Ofaveolata016327"/>
    <n v="-1.2721085000000001"/>
    <n v="-2.7684432000000001"/>
    <m/>
    <s v="Direct"/>
    <s v="ubiquitin-protein transferase activity"/>
  </r>
  <r>
    <x v="0"/>
    <x v="0"/>
    <s v="Ofaveolata016434"/>
    <n v="-2.1669892000000002"/>
    <n v="-2.8226849999999999"/>
    <m/>
    <s v="Direct"/>
    <s v="NA"/>
  </r>
  <r>
    <x v="0"/>
    <x v="0"/>
    <s v="Ofaveolata016491"/>
    <n v="-2.6871710000000002"/>
    <n v="-1.3698824000000001"/>
    <m/>
    <s v="Direct"/>
    <s v="NA"/>
  </r>
  <r>
    <x v="0"/>
    <x v="0"/>
    <s v="Ofaveolata016588"/>
    <n v="1.6866862499999999"/>
    <n v="-19.711349999999999"/>
    <m/>
    <s v="Inverse"/>
    <s v="NA"/>
  </r>
  <r>
    <x v="0"/>
    <x v="0"/>
    <s v="Ofaveolata016589"/>
    <n v="1.68597606"/>
    <n v="-6.8078526000000004"/>
    <m/>
    <s v="Inverse"/>
    <s v="NA"/>
  </r>
  <r>
    <x v="0"/>
    <x v="0"/>
    <s v="Ofaveolata016590"/>
    <n v="2.50532127"/>
    <n v="-9.9175359000000007"/>
    <m/>
    <s v="Inverse"/>
    <s v="NA"/>
  </r>
  <r>
    <x v="0"/>
    <x v="0"/>
    <s v="Ofaveolata016591"/>
    <n v="1.89621431"/>
    <n v="-5.7703731999999999"/>
    <m/>
    <s v="Inverse"/>
    <s v="NA"/>
  </r>
  <r>
    <x v="0"/>
    <x v="0"/>
    <s v="Ofaveolata016596"/>
    <n v="1.460553"/>
    <n v="-12.079803999999999"/>
    <m/>
    <s v="Inverse"/>
    <s v="NA"/>
  </r>
  <r>
    <x v="0"/>
    <x v="0"/>
    <s v="Ofaveolata016643"/>
    <n v="1.34978854"/>
    <n v="-10.234959999999999"/>
    <m/>
    <s v="Inverse"/>
    <s v="NA"/>
  </r>
  <r>
    <x v="0"/>
    <x v="0"/>
    <s v="Ofaveolata016659"/>
    <n v="-1.2747702000000001"/>
    <n v="-1.6543595"/>
    <m/>
    <s v="Direct"/>
    <s v="mitochondrial electron transport, NADH to ubiquinone"/>
  </r>
  <r>
    <x v="0"/>
    <x v="0"/>
    <s v="Ofaveolata016671"/>
    <n v="3.55370951"/>
    <n v="5.4926876299999998"/>
    <m/>
    <s v="Direct"/>
    <s v="NADH dehydrogenase ubiquinone 1 alpha subcomplex subunit 4"/>
  </r>
  <r>
    <x v="0"/>
    <x v="0"/>
    <s v="Ofaveolata016958"/>
    <n v="-1.8305925999999999"/>
    <n v="-2.8536402000000001"/>
    <m/>
    <s v="Direct"/>
    <s v="organic anion transmembrane transporter activity"/>
  </r>
  <r>
    <x v="0"/>
    <x v="0"/>
    <s v="Ofaveolata016995"/>
    <n v="-2.7611254999999999"/>
    <n v="-2.0045744000000001"/>
    <m/>
    <s v="Direct"/>
    <s v="Thiamin pyrophosphokinase 1"/>
  </r>
  <r>
    <x v="0"/>
    <x v="0"/>
    <s v="Ofaveolata017051"/>
    <n v="-1.5440096000000001"/>
    <n v="-1.273971"/>
    <m/>
    <s v="Direct"/>
    <s v="protein transport to vacuole involved in ubiquitin-dependent protein catabolic process via the multivesicular body sorting pathway"/>
  </r>
  <r>
    <x v="0"/>
    <x v="0"/>
    <s v="Ofaveolata017057"/>
    <n v="1.60355683"/>
    <n v="-9.6895836000000006"/>
    <m/>
    <s v="Inverse"/>
    <s v="NA"/>
  </r>
  <r>
    <x v="0"/>
    <x v="0"/>
    <s v="Ofaveolata017058"/>
    <n v="1.7727359"/>
    <n v="-9.9196059000000005"/>
    <m/>
    <s v="Inverse"/>
    <s v="NA"/>
  </r>
  <r>
    <x v="0"/>
    <x v="0"/>
    <s v="Ofaveolata017062"/>
    <n v="2.04182511"/>
    <n v="-14.971496"/>
    <m/>
    <s v="Inverse"/>
    <s v="NA"/>
  </r>
  <r>
    <x v="0"/>
    <x v="0"/>
    <s v="Ofaveolata017075"/>
    <n v="1.13565217"/>
    <n v="1.26224537"/>
    <m/>
    <s v="Direct"/>
    <s v="NA"/>
  </r>
  <r>
    <x v="0"/>
    <x v="0"/>
    <s v="Ofaveolata017130"/>
    <n v="2.2288473400000002"/>
    <n v="-2.0024316999999998"/>
    <m/>
    <s v="Inverse"/>
    <s v="NA"/>
  </r>
  <r>
    <x v="0"/>
    <x v="0"/>
    <s v="Ofaveolata017133"/>
    <n v="1.4495057899999999"/>
    <n v="-1.0227808"/>
    <m/>
    <s v="Inverse"/>
    <s v="NA"/>
  </r>
  <r>
    <x v="0"/>
    <x v="0"/>
    <s v="Ofaveolata017138"/>
    <n v="1.28671359"/>
    <n v="-18.67127"/>
    <m/>
    <s v="Inverse"/>
    <s v="NA"/>
  </r>
  <r>
    <x v="0"/>
    <x v="0"/>
    <s v="Ofaveolata017139"/>
    <n v="1.1842556099999999"/>
    <n v="-19.400207000000002"/>
    <m/>
    <s v="Inverse"/>
    <s v="NA"/>
  </r>
  <r>
    <x v="0"/>
    <x v="0"/>
    <s v="Ofaveolata017140"/>
    <n v="1.3649359299999999"/>
    <n v="-14.971496"/>
    <m/>
    <s v="Inverse"/>
    <s v="NA"/>
  </r>
  <r>
    <x v="0"/>
    <x v="0"/>
    <s v="Ofaveolata017141"/>
    <n v="1.34978854"/>
    <n v="-20.502794000000002"/>
    <m/>
    <s v="Inverse"/>
    <s v="NA"/>
  </r>
  <r>
    <x v="0"/>
    <x v="0"/>
    <s v="Ofaveolata017142"/>
    <n v="1.31759816"/>
    <n v="-13.907304999999999"/>
    <m/>
    <s v="Inverse"/>
    <s v="Galactose binding lectin domain"/>
  </r>
  <r>
    <x v="0"/>
    <x v="0"/>
    <s v="Ofaveolata017270"/>
    <n v="1.2412964099999999"/>
    <n v="1.2428602900000001"/>
    <m/>
    <s v="Direct"/>
    <s v="negative regulation of Ras protein signal transduction"/>
  </r>
  <r>
    <x v="0"/>
    <x v="0"/>
    <s v="Ofaveolata017337"/>
    <n v="-1.696089"/>
    <n v="-2.6374094000000001"/>
    <m/>
    <s v="Direct"/>
    <s v="Defective in cullin neddylation 1 domain containing"/>
  </r>
  <r>
    <x v="0"/>
    <x v="0"/>
    <s v="Ofaveolata017468"/>
    <n v="-2.2020441000000002"/>
    <n v="-3.1737582"/>
    <m/>
    <s v="Direct"/>
    <s v="Argininosuccinate"/>
  </r>
  <r>
    <x v="0"/>
    <x v="0"/>
    <s v="Ofaveolata017552"/>
    <n v="1.89395319"/>
    <n v="1.69903114"/>
    <m/>
    <s v="Direct"/>
    <s v="mitochondrial fusion"/>
  </r>
  <r>
    <x v="0"/>
    <x v="0"/>
    <s v="Ofaveolata017578"/>
    <n v="1.4170627600000001"/>
    <n v="1.4927480099999999"/>
    <m/>
    <s v="Direct"/>
    <s v="NA"/>
  </r>
  <r>
    <x v="0"/>
    <x v="0"/>
    <s v="Ofaveolata017589"/>
    <n v="-2.1394112999999999"/>
    <n v="-4.1501368000000003"/>
    <m/>
    <s v="Direct"/>
    <s v="NA"/>
  </r>
  <r>
    <x v="0"/>
    <x v="0"/>
    <s v="Ofaveolata017838"/>
    <n v="1.73685858"/>
    <n v="4.4038841"/>
    <m/>
    <s v="Direct"/>
    <s v="Tyrosine kinase, catalytic domain"/>
  </r>
  <r>
    <x v="0"/>
    <x v="0"/>
    <s v="Ofaveolata017869"/>
    <n v="1.7802125099999999"/>
    <n v="-7.8358587999999996"/>
    <m/>
    <s v="Inverse"/>
    <s v="NA"/>
  </r>
  <r>
    <x v="0"/>
    <x v="0"/>
    <s v="Ofaveolata017873"/>
    <n v="2.4520469899999999"/>
    <n v="3.9137636499999999"/>
    <m/>
    <s v="Direct"/>
    <s v="NA"/>
  </r>
  <r>
    <x v="0"/>
    <x v="0"/>
    <s v="Ofaveolata017910"/>
    <n v="4.2525841900000003"/>
    <n v="2.0949398700000001"/>
    <m/>
    <s v="Direct"/>
    <s v="NA"/>
  </r>
  <r>
    <x v="0"/>
    <x v="0"/>
    <s v="Ofaveolata018164"/>
    <n v="-3.2401225"/>
    <n v="-1.2592911"/>
    <m/>
    <s v="Direct"/>
    <s v="NA"/>
  </r>
  <r>
    <x v="0"/>
    <x v="0"/>
    <s v="Ofaveolata018302"/>
    <n v="-1.8136269"/>
    <n v="-1.7081550000000001"/>
    <m/>
    <s v="Direct"/>
    <s v="ectonucleotide pyrophosphatase phosphodiesterase"/>
  </r>
  <r>
    <x v="0"/>
    <x v="0"/>
    <s v="Ofaveolata018371"/>
    <n v="-1.3613166999999999"/>
    <n v="-1.1466117"/>
    <m/>
    <s v="Direct"/>
    <s v="positive regulation of interleukin-10 biosynthetic process"/>
  </r>
  <r>
    <x v="0"/>
    <x v="0"/>
    <s v="Ofaveolata018388"/>
    <n v="-2.7963003999999998"/>
    <n v="-1.6849190999999999"/>
    <m/>
    <s v="Direct"/>
    <s v="sequence-specific DNA binding"/>
  </r>
  <r>
    <x v="0"/>
    <x v="0"/>
    <s v="Ofaveolata018491"/>
    <n v="-1.0682400999999999"/>
    <n v="-2.4354974999999999"/>
    <m/>
    <s v="Direct"/>
    <s v="translation initiation factor activity"/>
  </r>
  <r>
    <x v="0"/>
    <x v="0"/>
    <s v="Ofaveolata018785"/>
    <n v="1.33737642"/>
    <n v="-1.312006"/>
    <m/>
    <s v="Inverse"/>
    <s v="NA"/>
  </r>
  <r>
    <x v="0"/>
    <x v="0"/>
    <s v="Ofaveolata018790"/>
    <n v="-1.2495704000000001"/>
    <n v="-1.0851105000000001"/>
    <m/>
    <s v="Direct"/>
    <s v="NA"/>
  </r>
  <r>
    <x v="0"/>
    <x v="0"/>
    <s v="Ofaveolata018927"/>
    <n v="-2.5900639999999999"/>
    <n v="-3.7592257999999998"/>
    <m/>
    <s v="Direct"/>
    <s v="Belongs to the SelWTH family. Selenoprotein T subfamily"/>
  </r>
  <r>
    <x v="0"/>
    <x v="0"/>
    <s v="Ofaveolata019014"/>
    <n v="1.8781043900000001"/>
    <n v="-10.940806"/>
    <m/>
    <s v="Inverse"/>
    <s v="Metalloendopeptidase activity. It is involved in the biological process described with proteolysis"/>
  </r>
  <r>
    <x v="0"/>
    <x v="0"/>
    <s v="Ofaveolata019018"/>
    <n v="1.1799358099999999"/>
    <n v="-2.3794284000000001"/>
    <m/>
    <s v="Inverse"/>
    <s v="krueppel associated box"/>
  </r>
  <r>
    <x v="0"/>
    <x v="0"/>
    <s v="Ofaveolata019127"/>
    <n v="-1.213171"/>
    <n v="-1.6969584"/>
    <m/>
    <s v="Direct"/>
    <s v="glucuronosyltransferase activity"/>
  </r>
  <r>
    <x v="0"/>
    <x v="0"/>
    <s v="Ofaveolata019206"/>
    <n v="1.3754530199999999"/>
    <n v="2.4931197900000002"/>
    <m/>
    <s v="Direct"/>
    <s v="NA"/>
  </r>
  <r>
    <x v="0"/>
    <x v="0"/>
    <s v="Ofaveolata019340"/>
    <n v="-1.3878238000000001"/>
    <n v="-2.7210359999999998"/>
    <m/>
    <s v="Direct"/>
    <s v="furry homolog"/>
  </r>
  <r>
    <x v="0"/>
    <x v="0"/>
    <s v="Ofaveolata019433"/>
    <n v="-1.1356522"/>
    <n v="-1.6516077"/>
    <m/>
    <s v="Direct"/>
    <s v="regulation of CD8-positive, alpha-beta T cell proliferation"/>
  </r>
  <r>
    <x v="0"/>
    <x v="0"/>
    <s v="Ofaveolata019617"/>
    <n v="-1.1003290999999999"/>
    <n v="-2.8414777999999998"/>
    <m/>
    <s v="Direct"/>
    <s v="tripeptidyl-peptidase activity"/>
  </r>
  <r>
    <x v="0"/>
    <x v="0"/>
    <s v="Ofaveolata019732"/>
    <n v="2.7429853300000002"/>
    <n v="2.1884524700000001"/>
    <m/>
    <s v="Direct"/>
    <s v="NACHT and WD repeat"/>
  </r>
  <r>
    <x v="0"/>
    <x v="0"/>
    <s v="Ofaveolata019752"/>
    <n v="-2.5061377999999999"/>
    <n v="-1.5956178000000001"/>
    <m/>
    <s v="Direct"/>
    <s v="regulation of canonical Wnt signaling pathway"/>
  </r>
  <r>
    <x v="0"/>
    <x v="0"/>
    <s v="Ofaveolata019793"/>
    <n v="1.2188997699999999"/>
    <n v="-1.7872665999999999"/>
    <m/>
    <s v="Inverse"/>
    <s v="major facilitator superfamily"/>
  </r>
  <r>
    <x v="0"/>
    <x v="0"/>
    <s v="Ofaveolata019868"/>
    <n v="-2.5408322000000001"/>
    <n v="-2.4473406"/>
    <m/>
    <s v="Direct"/>
    <s v="NA"/>
  </r>
  <r>
    <x v="0"/>
    <x v="0"/>
    <s v="Ofaveolata019918"/>
    <n v="3.6889655399999999"/>
    <n v="4.37238521"/>
    <m/>
    <s v="Direct"/>
    <s v="Rho guanyl-nucleotide exchange factor activity"/>
  </r>
  <r>
    <x v="0"/>
    <x v="0"/>
    <s v="Ofaveolata019954"/>
    <n v="-1.5998196"/>
    <n v="-1.3180149999999999"/>
    <m/>
    <s v="Direct"/>
    <s v="ITP binding"/>
  </r>
  <r>
    <x v="0"/>
    <x v="0"/>
    <s v="Ofaveolata020644"/>
    <n v="1.1287674299999999"/>
    <n v="-4.9713634999999998"/>
    <m/>
    <s v="Inverse"/>
    <s v="Metalloendopeptidase activity. It is involved in the biological process described with proteolysis"/>
  </r>
  <r>
    <x v="0"/>
    <x v="0"/>
    <s v="Ofaveolata020991"/>
    <n v="1.1540910200000001"/>
    <n v="1.2921486600000001"/>
    <m/>
    <s v="Direct"/>
    <s v="Glutamate/Leucine/Phenylalanine/Valine dehydrogenase"/>
  </r>
  <r>
    <x v="0"/>
    <x v="0"/>
    <s v="Ofaveolata021074"/>
    <n v="-1.9663008"/>
    <n v="-1.6697154000000001"/>
    <m/>
    <s v="Direct"/>
    <s v="NA"/>
  </r>
  <r>
    <x v="0"/>
    <x v="0"/>
    <s v="Ofaveolata021137"/>
    <n v="1.0417748"/>
    <n v="-2.4670264"/>
    <m/>
    <s v="Inverse"/>
    <s v="Pregnancy-associated plasma protein-A"/>
  </r>
  <r>
    <x v="0"/>
    <x v="0"/>
    <s v="Ofaveolata021203"/>
    <n v="-2.3681633"/>
    <n v="-1.0555729"/>
    <m/>
    <s v="Direct"/>
    <s v="canonical Wnt signaling pathway involved in negative regulation of apoptotic process"/>
  </r>
  <r>
    <x v="0"/>
    <x v="0"/>
    <s v="Ofaveolata021270"/>
    <n v="-1.1757225"/>
    <n v="-1.4662358"/>
    <m/>
    <s v="Direct"/>
    <s v="NA"/>
  </r>
  <r>
    <x v="0"/>
    <x v="0"/>
    <s v="Ofaveolata021396"/>
    <n v="2.0431965499999998"/>
    <n v="-4.0413569000000003"/>
    <m/>
    <s v="Inverse"/>
    <s v="glutamic-type peptidase activity"/>
  </r>
  <r>
    <x v="0"/>
    <x v="0"/>
    <s v="Ofaveolata021422"/>
    <n v="-1.9470774"/>
    <n v="-1.591477"/>
    <m/>
    <s v="Direct"/>
    <s v="NA"/>
  </r>
  <r>
    <x v="0"/>
    <x v="0"/>
    <s v="Ofaveolata021485"/>
    <n v="-1.9426475000000001"/>
    <n v="-1.6888996000000001"/>
    <m/>
    <s v="Direct"/>
    <s v="NA"/>
  </r>
  <r>
    <x v="0"/>
    <x v="0"/>
    <s v="Ofaveolata021550"/>
    <n v="-1.5123736999999999"/>
    <n v="-1.4987945"/>
    <m/>
    <s v="Direct"/>
    <s v="Sparc osteonectin, cwcv and kazal-like domains proteoglycan (testican) 2"/>
  </r>
  <r>
    <x v="0"/>
    <x v="0"/>
    <s v="Ofaveolata021922"/>
    <n v="-1.6972299"/>
    <n v="3.53735942"/>
    <m/>
    <s v="Inverse"/>
    <s v="Suppression of tumorigenicity 13 (colon carcinoma) (Hsp70 interacting protein)"/>
  </r>
  <r>
    <x v="0"/>
    <x v="0"/>
    <s v="Ofaveolata021968"/>
    <n v="1.68597606"/>
    <n v="-10.550367"/>
    <m/>
    <s v="Inverse"/>
    <s v="metallocarboxypeptidase activity"/>
  </r>
  <r>
    <x v="0"/>
    <x v="0"/>
    <s v="Ofaveolata021979"/>
    <n v="-1.0960899"/>
    <n v="-1.1366163"/>
    <m/>
    <s v="Direct"/>
    <s v="NA"/>
  </r>
  <r>
    <x v="0"/>
    <x v="0"/>
    <s v="Ofaveolata022011"/>
    <n v="-1.4950323999999999"/>
    <n v="3.14536836"/>
    <m/>
    <s v="Inverse"/>
    <s v="NA"/>
  </r>
  <r>
    <x v="0"/>
    <x v="0"/>
    <s v="Ofaveolata022018"/>
    <n v="1.21830186"/>
    <n v="-11.372134000000001"/>
    <m/>
    <s v="Inverse"/>
    <s v="NA"/>
  </r>
  <r>
    <x v="0"/>
    <x v="0"/>
    <s v="Ofaveolata022092"/>
    <n v="-1.1692564999999999"/>
    <n v="-3.2761627"/>
    <m/>
    <s v="Direct"/>
    <s v="pyrimidine nucleotide transmembrane transporter activity"/>
  </r>
  <r>
    <x v="0"/>
    <x v="0"/>
    <s v="Ofaveolata022112"/>
    <n v="-1.543504"/>
    <n v="-1.4441181000000001"/>
    <m/>
    <s v="Direct"/>
    <s v="NA"/>
  </r>
  <r>
    <x v="0"/>
    <x v="0"/>
    <s v="Ofaveolata022261"/>
    <n v="2.3530242000000001"/>
    <n v="-4.4759225999999996"/>
    <m/>
    <s v="Inverse"/>
    <s v="NA"/>
  </r>
  <r>
    <x v="0"/>
    <x v="0"/>
    <s v="Ofaveolata022366"/>
    <n v="1.6113242000000001"/>
    <n v="-14.655351"/>
    <m/>
    <s v="Inverse"/>
    <s v="G-protein coupled receptor activity"/>
  </r>
  <r>
    <x v="0"/>
    <x v="0"/>
    <s v="Ofaveolata022387"/>
    <n v="1.68209933"/>
    <n v="4.3851250799999999"/>
    <m/>
    <s v="Direct"/>
    <s v="NA"/>
  </r>
  <r>
    <x v="0"/>
    <x v="0"/>
    <s v="Ofaveolata022464"/>
    <n v="-1.2784701000000001"/>
    <n v="-4.9421369999999998"/>
    <m/>
    <s v="Direct"/>
    <s v="Dynein, light chain"/>
  </r>
  <r>
    <x v="0"/>
    <x v="0"/>
    <s v="Ofaveolata022639"/>
    <n v="1.7658814599999999"/>
    <n v="-6.6845083000000001"/>
    <m/>
    <s v="Inverse"/>
    <s v="carbohydrate binding"/>
  </r>
  <r>
    <x v="0"/>
    <x v="0"/>
    <s v="Ofaveolata022676"/>
    <n v="-1.2884635"/>
    <n v="-3.0562406000000002"/>
    <m/>
    <s v="Direct"/>
    <s v="Phosphoenolpyruvate phosphomutase"/>
  </r>
  <r>
    <x v="0"/>
    <x v="0"/>
    <s v="Ofaveolata022700"/>
    <n v="-1.2504123"/>
    <n v="-1.0564480999999999"/>
    <m/>
    <s v="Direct"/>
    <s v="Functions as component of the Arp2 3 complex which is involved in regulation of actin polymerization and together with an activating nucleation-promoting factor (NPF) mediates the formation of branched actin networks"/>
  </r>
  <r>
    <x v="0"/>
    <x v="0"/>
    <s v="Ofaveolata022743"/>
    <n v="1.6564681400000001"/>
    <n v="-1.8527594999999999"/>
    <m/>
    <s v="Inverse"/>
    <s v="peptidase inhibitor activity"/>
  </r>
  <r>
    <x v="0"/>
    <x v="0"/>
    <s v="Ofaveolata022807"/>
    <n v="-1.1637297"/>
    <n v="-2.0848787"/>
    <m/>
    <s v="Direct"/>
    <s v="peptidase inhibitor activity"/>
  </r>
  <r>
    <x v="0"/>
    <x v="0"/>
    <s v="Ofaveolata022881"/>
    <n v="-1.4053112999999999"/>
    <n v="-6.6482685999999998"/>
    <m/>
    <s v="Direct"/>
    <s v="bleomycin hydrolase"/>
  </r>
  <r>
    <x v="0"/>
    <x v="0"/>
    <s v="Ofaveolata022899"/>
    <n v="1.06751076"/>
    <n v="-1.2505147999999999"/>
    <m/>
    <s v="Inverse"/>
    <s v="NA"/>
  </r>
  <r>
    <x v="0"/>
    <x v="0"/>
    <s v="Ofaveolata023024"/>
    <n v="1.2548796200000001"/>
    <n v="-1.2325618"/>
    <m/>
    <s v="Inverse"/>
    <s v="Isocitrate lyase family"/>
  </r>
  <r>
    <x v="0"/>
    <x v="0"/>
    <s v="Ofaveolata023143"/>
    <n v="-1.2747702000000001"/>
    <n v="1.1825251800000001"/>
    <m/>
    <s v="Inverse"/>
    <s v="cellular macromolecule catabolic process"/>
  </r>
  <r>
    <x v="0"/>
    <x v="0"/>
    <s v="Ofaveolata023144"/>
    <n v="-1.5508306999999999"/>
    <n v="1.6081963100000001"/>
    <m/>
    <s v="Inverse"/>
    <s v="Ubiquitin homologues"/>
  </r>
  <r>
    <x v="0"/>
    <x v="0"/>
    <s v="Ofaveolata023156"/>
    <n v="-1.6443255999999999"/>
    <n v="-1.8446094"/>
    <m/>
    <s v="Direct"/>
    <s v="Cystatin-like domain"/>
  </r>
  <r>
    <x v="0"/>
    <x v="0"/>
    <s v="Ofaveolata023261"/>
    <n v="-1.0438182"/>
    <n v="-2.277952"/>
    <m/>
    <s v="Direct"/>
    <s v="It is involved in the biological process described with chromatin remodeling"/>
  </r>
  <r>
    <x v="0"/>
    <x v="0"/>
    <s v="Ofaveolata023968"/>
    <n v="-1.3990826999999999"/>
    <n v="-1.0027423"/>
    <m/>
    <s v="Direct"/>
    <s v="factor 19"/>
  </r>
  <r>
    <x v="0"/>
    <x v="0"/>
    <s v="Ofaveolata024021"/>
    <n v="1.68597606"/>
    <n v="1.1825334300000001"/>
    <m/>
    <s v="Direct"/>
    <s v="NA"/>
  </r>
  <r>
    <x v="0"/>
    <x v="0"/>
    <s v="Ofaveolata024054"/>
    <n v="1.20597756"/>
    <n v="2.7222619199999998"/>
    <m/>
    <s v="Direct"/>
    <s v="NA"/>
  </r>
  <r>
    <x v="0"/>
    <x v="0"/>
    <s v="Ofaveolata024064"/>
    <n v="-1.4052889"/>
    <n v="-2.3847629000000001"/>
    <m/>
    <s v="Direct"/>
    <s v="Amino acid permease"/>
  </r>
  <r>
    <x v="0"/>
    <x v="0"/>
    <s v="Ofaveolata024073"/>
    <n v="-1.1003586000000001"/>
    <n v="-2.5436209999999999"/>
    <m/>
    <s v="Direct"/>
    <s v="metal ion binding"/>
  </r>
  <r>
    <x v="0"/>
    <x v="0"/>
    <s v="Ofaveolata024079"/>
    <n v="-1.5069942999999999"/>
    <n v="3.9087286099999998"/>
    <m/>
    <s v="Inverse"/>
    <s v="RNA-directed 5'-3' RNA polymerase activity"/>
  </r>
  <r>
    <x v="0"/>
    <x v="0"/>
    <s v="Ofaveolata024304"/>
    <n v="-2.3582261"/>
    <n v="-1.0253456000000001"/>
    <m/>
    <s v="Direct"/>
    <s v="DN3 thymocyte differentiation"/>
  </r>
  <r>
    <x v="0"/>
    <x v="0"/>
    <s v="Ofaveolata024308"/>
    <n v="-1.4283882999999999"/>
    <n v="-6.6274819000000003"/>
    <m/>
    <s v="Direct"/>
    <s v="positive regulation of exoribonuclease activity"/>
  </r>
  <r>
    <x v="0"/>
    <x v="0"/>
    <s v="Ofaveolata024327"/>
    <n v="1.2235559600000001"/>
    <n v="1.52803322"/>
    <m/>
    <s v="Direct"/>
    <s v="NA"/>
  </r>
  <r>
    <x v="0"/>
    <x v="0"/>
    <s v="Ofaveolata024342"/>
    <n v="1.0682401399999999"/>
    <n v="-4.8055031000000001"/>
    <m/>
    <s v="Inverse"/>
    <s v="Animal haem peroxidase"/>
  </r>
  <r>
    <x v="0"/>
    <x v="0"/>
    <s v="Ofaveolata024360"/>
    <n v="-2.6835155999999998"/>
    <n v="-1.6995521"/>
    <m/>
    <s v="Direct"/>
    <s v="NA"/>
  </r>
  <r>
    <x v="0"/>
    <x v="0"/>
    <s v="Ofaveolata024364"/>
    <n v="-1.0593747"/>
    <n v="-2.8541911"/>
    <m/>
    <s v="Direct"/>
    <s v="acetate-CoA ligase activity"/>
  </r>
  <r>
    <x v="0"/>
    <x v="0"/>
    <s v="Ofaveolata024468"/>
    <n v="-2.7611254999999999"/>
    <n v="-1.1232385"/>
    <m/>
    <s v="Direct"/>
    <s v="ATP binding. It is involved in the biological process described with protein phosphorylation"/>
  </r>
  <r>
    <x v="0"/>
    <x v="0"/>
    <s v="Ofaveolata024486"/>
    <n v="1.6403333099999999"/>
    <n v="-1.0646183"/>
    <m/>
    <s v="Inverse"/>
    <s v="NA"/>
  </r>
  <r>
    <x v="0"/>
    <x v="0"/>
    <s v="Ofaveolata024492"/>
    <n v="1.17150471"/>
    <n v="-2.4772813999999999"/>
    <m/>
    <s v="Inverse"/>
    <s v="NA"/>
  </r>
  <r>
    <x v="0"/>
    <x v="0"/>
    <s v="Ofaveolata024494"/>
    <n v="-1.6859761"/>
    <n v="-8.7205638000000008"/>
    <m/>
    <s v="Direct"/>
    <s v="Protein of unknown function (DUF2615)"/>
  </r>
  <r>
    <x v="0"/>
    <x v="0"/>
    <s v="Ofaveolata024538"/>
    <n v="1.68597606"/>
    <n v="1.16847911"/>
    <m/>
    <s v="Direct"/>
    <s v="NA"/>
  </r>
  <r>
    <x v="0"/>
    <x v="0"/>
    <s v="Ofaveolata024711"/>
    <n v="-1.4176971"/>
    <n v="-2.5436209999999999"/>
    <m/>
    <s v="Direct"/>
    <s v="metalloaminopeptidase activity"/>
  </r>
  <r>
    <x v="0"/>
    <x v="0"/>
    <s v="Ofaveolata024742"/>
    <n v="-2.5061377999999999"/>
    <n v="-1.9776172000000001"/>
    <m/>
    <s v="Direct"/>
    <s v="NA"/>
  </r>
  <r>
    <x v="0"/>
    <x v="0"/>
    <s v="Ofaveolata024772"/>
    <n v="-1.6710048"/>
    <n v="-1.216496"/>
    <m/>
    <s v="Direct"/>
    <s v="cell adhesion"/>
  </r>
  <r>
    <x v="0"/>
    <x v="0"/>
    <s v="Ofaveolata024855"/>
    <n v="-1.5465742"/>
    <n v="-1.1848578000000001"/>
    <m/>
    <s v="Direct"/>
    <s v="WW domain-containing oxidoreductase"/>
  </r>
  <r>
    <x v="0"/>
    <x v="0"/>
    <s v="Ofaveolata024904"/>
    <n v="-2.7069619"/>
    <n v="-2.5818401999999998"/>
    <m/>
    <s v="Direct"/>
    <s v="Collagen triple helix"/>
  </r>
  <r>
    <x v="0"/>
    <x v="0"/>
    <s v="Ofaveolata024921"/>
    <n v="-2.1011218999999999"/>
    <n v="-1.2707135000000001"/>
    <m/>
    <s v="Direct"/>
    <s v="NA"/>
  </r>
  <r>
    <x v="0"/>
    <x v="0"/>
    <s v="Ofaveolata024927"/>
    <n v="-5.3664414000000003"/>
    <n v="-3.1307757000000001"/>
    <m/>
    <s v="Direct"/>
    <s v="TNF receptor-associated factor"/>
  </r>
  <r>
    <x v="0"/>
    <x v="0"/>
    <s v="Ofaveolata025030"/>
    <n v="1.0006306599999999"/>
    <n v="1.3305730200000001"/>
    <m/>
    <s v="Direct"/>
    <s v="PAP associated domain containing 7"/>
  </r>
  <r>
    <x v="0"/>
    <x v="0"/>
    <s v="Ofaveolata025070"/>
    <n v="-1.7182354"/>
    <n v="-2.6054941"/>
    <m/>
    <s v="Direct"/>
    <s v="positive regulation of NLRP3 inflammasome complex assembly"/>
  </r>
  <r>
    <x v="0"/>
    <x v="0"/>
    <s v="Ofaveolata025153"/>
    <n v="2.63609619"/>
    <n v="2.3839524299999999"/>
    <m/>
    <s v="Direct"/>
    <s v="NA"/>
  </r>
  <r>
    <x v="0"/>
    <x v="0"/>
    <s v="Ofaveolata025187"/>
    <n v="1.5429020899999999"/>
    <n v="-3.2791481999999998"/>
    <m/>
    <s v="Inverse"/>
    <s v="NA"/>
  </r>
  <r>
    <x v="0"/>
    <x v="0"/>
    <s v="Ofaveolata025189"/>
    <n v="1.46844551"/>
    <n v="-14.051104"/>
    <m/>
    <s v="Inverse"/>
    <s v="structural constituent of cuticle"/>
  </r>
  <r>
    <x v="0"/>
    <x v="0"/>
    <s v="Ofaveolata025190"/>
    <n v="1.0010637600000001"/>
    <n v="-17.607279999999999"/>
    <m/>
    <s v="Inverse"/>
    <s v="structural constituent of cuticle"/>
  </r>
  <r>
    <x v="0"/>
    <x v="0"/>
    <s v="Ofaveolata025193"/>
    <n v="1.3558602099999999"/>
    <n v="-14.422558"/>
    <m/>
    <s v="Inverse"/>
    <s v="structural constituent of cuticle"/>
  </r>
  <r>
    <x v="0"/>
    <x v="0"/>
    <s v="Ofaveolata025264"/>
    <n v="1.0417748"/>
    <n v="2.0754229099999999"/>
    <m/>
    <s v="Direct"/>
    <s v="Collagen triple helix"/>
  </r>
  <r>
    <x v="0"/>
    <x v="0"/>
    <s v="Ofaveolata025430"/>
    <n v="1.74353165"/>
    <n v="-4.3052590000000004"/>
    <m/>
    <s v="Inverse"/>
    <s v="NA"/>
  </r>
  <r>
    <x v="0"/>
    <x v="0"/>
    <s v="Ofaveolata025437"/>
    <n v="1.6672407199999999"/>
    <n v="-13.868516"/>
    <m/>
    <s v="Inverse"/>
    <s v="peptidase inhibitor activity"/>
  </r>
  <r>
    <x v="0"/>
    <x v="0"/>
    <s v="Ofaveolata025439"/>
    <n v="1.2621273900000001"/>
    <n v="-3.6478514999999998"/>
    <m/>
    <s v="Inverse"/>
    <s v="positive regulation of epithelial to mesenchymal transition"/>
  </r>
  <r>
    <x v="0"/>
    <x v="0"/>
    <s v="Ofaveolata025475"/>
    <n v="-1.4510318"/>
    <n v="-2.1401656"/>
    <m/>
    <s v="Direct"/>
    <s v="Dehydrogenase reductase SDR family member"/>
  </r>
  <r>
    <x v="0"/>
    <x v="0"/>
    <s v="Ofaveolata025486"/>
    <n v="-1.6124366999999999"/>
    <n v="-18.308727000000001"/>
    <m/>
    <s v="Direct"/>
    <s v="dolichyl-diphosphooligosaccharide-protein glycotransferase activity"/>
  </r>
  <r>
    <x v="0"/>
    <x v="0"/>
    <s v="Ofaveolata025547"/>
    <n v="6.0437872800000001"/>
    <n v="1.8623094499999999"/>
    <m/>
    <s v="Direct"/>
    <s v="Ankyrin repeats (many copies)"/>
  </r>
  <r>
    <x v="0"/>
    <x v="0"/>
    <s v="Ofaveolata025694"/>
    <n v="-1.8451027"/>
    <n v="-13.805263"/>
    <m/>
    <s v="Direct"/>
    <s v="NA"/>
  </r>
  <r>
    <x v="0"/>
    <x v="0"/>
    <s v="Ofaveolata025729"/>
    <n v="-1.0073852000000001"/>
    <n v="-4.1945085999999998"/>
    <m/>
    <s v="Direct"/>
    <s v="negative regulation of cell growth"/>
  </r>
  <r>
    <x v="0"/>
    <x v="0"/>
    <s v="Ofaveolata025762"/>
    <n v="-1.2632587"/>
    <n v="-3.8161233999999999"/>
    <m/>
    <s v="Direct"/>
    <s v="protein modification by small protein conjugation"/>
  </r>
  <r>
    <x v="0"/>
    <x v="0"/>
    <s v="Ofaveolata025865"/>
    <n v="-2.3250198000000002"/>
    <n v="-1.8194953"/>
    <m/>
    <s v="Direct"/>
    <s v="NA"/>
  </r>
  <r>
    <x v="0"/>
    <x v="0"/>
    <s v="Ofaveolata025891"/>
    <n v="-5.0667216000000002"/>
    <n v="-9.9479959000000004"/>
    <m/>
    <s v="Direct"/>
    <s v="antigen processing and presentation of exogenous peptide antigen via MHC class I"/>
  </r>
  <r>
    <x v="0"/>
    <x v="0"/>
    <s v="Ofaveolata025892"/>
    <n v="-2.7611254999999999"/>
    <n v="-2.4480936"/>
    <m/>
    <s v="Direct"/>
    <s v="antigen processing and presentation of exogenous peptide antigen via MHC class I"/>
  </r>
  <r>
    <x v="0"/>
    <x v="0"/>
    <s v="Ofaveolata026043"/>
    <n v="-1.7301268000000001"/>
    <n v="-1.8280320000000001"/>
    <m/>
    <s v="Direct"/>
    <s v="NA"/>
  </r>
  <r>
    <x v="0"/>
    <x v="0"/>
    <s v="Ofaveolata026055"/>
    <n v="-1.6706255000000001"/>
    <n v="-2.2366174999999999"/>
    <m/>
    <s v="Direct"/>
    <s v="ubiquitin-like protein-specific protease activity"/>
  </r>
  <r>
    <x v="0"/>
    <x v="0"/>
    <s v="Ofaveolata026139"/>
    <n v="2.0906941099999998"/>
    <n v="1.8072035799999999"/>
    <m/>
    <s v="Direct"/>
    <s v="adenylate cyclase-activating G-protein coupled receptor signaling pathway"/>
  </r>
  <r>
    <x v="0"/>
    <x v="0"/>
    <s v="Ofaveolata026176"/>
    <n v="-3.6418096000000002"/>
    <n v="-1.5451447"/>
    <m/>
    <s v="Direct"/>
    <s v="lipid metabolic process"/>
  </r>
  <r>
    <x v="0"/>
    <x v="0"/>
    <s v="Ofaveolata026191"/>
    <n v="-4.6628183999999999"/>
    <n v="-3.9198960999999999"/>
    <m/>
    <s v="Direct"/>
    <s v="NA"/>
  </r>
  <r>
    <x v="0"/>
    <x v="0"/>
    <s v="Ofaveolata026192"/>
    <n v="-3.1144319"/>
    <n v="-1.4585303999999999"/>
    <m/>
    <s v="Direct"/>
    <s v="NA"/>
  </r>
  <r>
    <x v="0"/>
    <x v="0"/>
    <s v="Ofaveolata026232"/>
    <n v="-1.1234481000000001"/>
    <n v="-1.1763162"/>
    <m/>
    <s v="Direct"/>
    <s v="NA"/>
  </r>
  <r>
    <x v="0"/>
    <x v="0"/>
    <s v="Ofaveolata026239"/>
    <n v="-1.6708156999999999"/>
    <n v="-2.4630751000000002"/>
    <m/>
    <s v="Direct"/>
    <s v="Family with sequence similarity 69 member C"/>
  </r>
  <r>
    <x v="0"/>
    <x v="0"/>
    <s v="Ofaveolata026390"/>
    <n v="2.0564280699999999"/>
    <n v="-3.3286699999999998"/>
    <m/>
    <s v="Inverse"/>
    <s v="NA"/>
  </r>
  <r>
    <x v="0"/>
    <x v="0"/>
    <s v="Ofaveolata026393"/>
    <n v="-1.5314055"/>
    <n v="2.9463920199999998"/>
    <m/>
    <s v="Inverse"/>
    <s v="NA"/>
  </r>
  <r>
    <x v="0"/>
    <x v="0"/>
    <s v="Ofaveolata026674"/>
    <n v="1.89664915"/>
    <n v="-2.7907993000000002"/>
    <m/>
    <s v="Inverse"/>
    <s v="structural constituent of cytoskeleton"/>
  </r>
  <r>
    <x v="0"/>
    <x v="0"/>
    <s v="Ofaveolata026741"/>
    <n v="-1.556996"/>
    <n v="1.4127939599999999"/>
    <m/>
    <s v="Inverse"/>
    <s v="hemangioblast cell differentiation"/>
  </r>
  <r>
    <x v="0"/>
    <x v="0"/>
    <s v="Ofaveolata026759"/>
    <n v="1.0154038299999999"/>
    <n v="-4.6658397000000003"/>
    <m/>
    <s v="Inverse"/>
    <s v="proton channel activity"/>
  </r>
  <r>
    <x v="0"/>
    <x v="0"/>
    <s v="Ofaveolata026871"/>
    <n v="1.8986075200000001"/>
    <n v="2.8131933899999999"/>
    <m/>
    <s v="Direct"/>
    <s v="NA"/>
  </r>
  <r>
    <x v="0"/>
    <x v="0"/>
    <s v="Ofaveolata026972"/>
    <n v="-1.866252"/>
    <n v="-1.2047285000000001"/>
    <m/>
    <s v="Direct"/>
    <s v="Nucleoporin"/>
  </r>
  <r>
    <x v="0"/>
    <x v="0"/>
    <s v="Ofaveolata026978"/>
    <n v="-1.5755858"/>
    <n v="-1.7008601000000001"/>
    <m/>
    <s v="Direct"/>
    <s v="NA"/>
  </r>
  <r>
    <x v="0"/>
    <x v="0"/>
    <s v="Ofaveolata027055"/>
    <n v="-1.6859761"/>
    <n v="-1.5143542000000001"/>
    <m/>
    <s v="Direct"/>
    <s v="Myosin, light"/>
  </r>
  <r>
    <x v="0"/>
    <x v="0"/>
    <s v="Ofaveolata027109"/>
    <n v="-1.2551999"/>
    <n v="16.391345900000001"/>
    <m/>
    <s v="Inverse"/>
    <s v="NA"/>
  </r>
  <r>
    <x v="0"/>
    <x v="0"/>
    <s v="Ofaveolata027450"/>
    <n v="1.3949575000000001"/>
    <n v="-19.641179999999999"/>
    <m/>
    <s v="Inverse"/>
    <s v="NA"/>
  </r>
  <r>
    <x v="0"/>
    <x v="0"/>
    <s v="Ofaveolata027542"/>
    <n v="-3.5433213000000001"/>
    <n v="-2.3620418999999999"/>
    <m/>
    <s v="Direct"/>
    <s v="Eukaryotic-type carbonic anhydrase"/>
  </r>
  <r>
    <x v="0"/>
    <x v="0"/>
    <s v="Ofaveolata027545"/>
    <n v="-3.6005850000000001"/>
    <n v="-7.6856337000000003"/>
    <m/>
    <s v="Direct"/>
    <s v="carbonic anhydrase"/>
  </r>
  <r>
    <x v="0"/>
    <x v="0"/>
    <s v="Ofaveolata027747"/>
    <n v="-2.3282398999999998"/>
    <n v="-2.4055485999999999"/>
    <m/>
    <s v="Direct"/>
    <s v="NA"/>
  </r>
  <r>
    <x v="0"/>
    <x v="0"/>
    <s v="Ofaveolata027775"/>
    <n v="1.2266015299999999"/>
    <n v="-3.9756604000000002"/>
    <m/>
    <s v="Inverse"/>
    <s v="protein serine/threonine kinase activity"/>
  </r>
  <r>
    <x v="0"/>
    <x v="0"/>
    <s v="Ofaveolata027889"/>
    <n v="-3.9593804000000001"/>
    <n v="-3.8724382999999998"/>
    <m/>
    <s v="Direct"/>
    <s v="tachykinin receptor activity"/>
  </r>
  <r>
    <x v="0"/>
    <x v="0"/>
    <s v="Ofaveolata028098"/>
    <n v="-2.6360961999999999"/>
    <n v="-1.3553329000000001"/>
    <m/>
    <s v="Direct"/>
    <s v="NA"/>
  </r>
  <r>
    <x v="0"/>
    <x v="0"/>
    <s v="Ofaveolata028190"/>
    <n v="-3.7273067000000002"/>
    <n v="-7.0596560999999998"/>
    <m/>
    <s v="Direct"/>
    <s v="camera-type eye development"/>
  </r>
  <r>
    <x v="0"/>
    <x v="0"/>
    <s v="Ofaveolata028207"/>
    <n v="-1.8404632999999999"/>
    <n v="-2.7495402000000002"/>
    <m/>
    <s v="Direct"/>
    <s v="Cupin-like domain"/>
  </r>
  <r>
    <x v="0"/>
    <x v="0"/>
    <s v="Ofaveolata028767"/>
    <n v="-1.2280366"/>
    <n v="-8.9641552999999998"/>
    <m/>
    <s v="Direct"/>
    <s v="PPIases accelerate the folding of proteins. It catalyzes the cis-trans isomerization of proline imidic peptide bonds in oligopeptides"/>
  </r>
  <r>
    <x v="0"/>
    <x v="0"/>
    <s v="Ofaveolata028919"/>
    <n v="-1.3869393999999999"/>
    <n v="-1.3166255"/>
    <m/>
    <s v="Direct"/>
    <s v="SHC (Src homology 2 domain containing) transforming protein"/>
  </r>
  <r>
    <x v="0"/>
    <x v="0"/>
    <s v="Ofaveolata028976"/>
    <n v="2.9328114300000001"/>
    <n v="1.9195696900000001"/>
    <m/>
    <s v="Direct"/>
    <s v="NA"/>
  </r>
  <r>
    <x v="0"/>
    <x v="0"/>
    <s v="Ofaveolata029062"/>
    <n v="-1.5379499999999999"/>
    <n v="-3.3970425"/>
    <m/>
    <s v="Direct"/>
    <s v="Ankyrin repeat and SOCS box"/>
  </r>
  <r>
    <x v="0"/>
    <x v="0"/>
    <s v="Ofaveolata029114"/>
    <n v="1.0960899"/>
    <n v="1.6720692100000001"/>
    <m/>
    <s v="Direct"/>
    <s v="NA"/>
  </r>
  <r>
    <x v="0"/>
    <x v="0"/>
    <s v="Ofaveolata029115"/>
    <n v="1.7658814599999999"/>
    <n v="1.4206129700000001"/>
    <m/>
    <s v="Direct"/>
    <s v="NA"/>
  </r>
  <r>
    <x v="0"/>
    <x v="0"/>
    <s v="Ofaveolata029199"/>
    <n v="2.4520469899999999"/>
    <n v="4.8962046700000004"/>
    <m/>
    <s v="Direct"/>
    <s v="NA"/>
  </r>
  <r>
    <x v="0"/>
    <x v="0"/>
    <s v="Ofaveolata029215"/>
    <n v="-3.7552720000000002"/>
    <n v="-2.0248203999999999"/>
    <m/>
    <s v="Direct"/>
    <s v="NA"/>
  </r>
  <r>
    <x v="0"/>
    <x v="0"/>
    <s v="Ofaveolata029232"/>
    <n v="-3.1954080999999999"/>
    <n v="-3.1674627000000002"/>
    <m/>
    <s v="Direct"/>
    <s v="NA"/>
  </r>
  <r>
    <x v="0"/>
    <x v="0"/>
    <s v="Ofaveolata029312"/>
    <n v="-1.4450259999999999"/>
    <n v="-1.0458589"/>
    <m/>
    <s v="Direct"/>
    <s v="NA"/>
  </r>
  <r>
    <x v="0"/>
    <x v="0"/>
    <s v="Ofaveolata029423"/>
    <n v="1.6421923700000001"/>
    <n v="-4.8529466000000001"/>
    <m/>
    <s v="Inverse"/>
    <s v="miRNA binding"/>
  </r>
  <r>
    <x v="0"/>
    <x v="0"/>
    <s v="Ofaveolata029433"/>
    <n v="-1.1890114000000001"/>
    <n v="-1.4417692"/>
    <m/>
    <s v="Direct"/>
    <s v="Caspase domain"/>
  </r>
  <r>
    <x v="0"/>
    <x v="0"/>
    <s v="Ofaveolata029486"/>
    <n v="2.2272648400000001"/>
    <n v="1.63076789"/>
    <m/>
    <s v="Direct"/>
    <s v="neuronal calcium sensor"/>
  </r>
  <r>
    <x v="0"/>
    <x v="0"/>
    <s v="Ofaveolata029525"/>
    <n v="-1.8526328000000001"/>
    <n v="1.63901462"/>
    <m/>
    <s v="Inverse"/>
    <s v="Interferon induced with helicase C domain 1"/>
  </r>
  <r>
    <x v="0"/>
    <x v="0"/>
    <s v="Ofaveolata029659"/>
    <n v="-1.6235417000000001"/>
    <n v="-1.4899340000000001"/>
    <m/>
    <s v="Direct"/>
    <s v="Specifically binds 5-hydroxymethylcytosine (5hmC)- containing DNA in stem cells, suggesting that it acts as a specific reader of 5hmC in stem cells. May act as a peptidase"/>
  </r>
  <r>
    <x v="0"/>
    <x v="0"/>
    <s v="Ofaveolata029662"/>
    <n v="-1.6836252"/>
    <n v="-1.3673297"/>
    <m/>
    <s v="Direct"/>
    <s v="negative regulation of transcription elongation from RNA polymerase II promoter"/>
  </r>
  <r>
    <x v="0"/>
    <x v="0"/>
    <s v="Ofaveolata029736"/>
    <n v="-1.2747702000000001"/>
    <n v="-2.6374094000000001"/>
    <m/>
    <s v="Direct"/>
    <s v="Belongs to the uridine kinase family"/>
  </r>
  <r>
    <x v="0"/>
    <x v="0"/>
    <s v="Ofaveolata029779"/>
    <n v="1.055428"/>
    <n v="-4.3264217"/>
    <m/>
    <s v="Inverse"/>
    <s v="NA"/>
  </r>
  <r>
    <x v="0"/>
    <x v="0"/>
    <s v="Ofaveolata029819"/>
    <n v="1.21830186"/>
    <n v="-4.4191381999999999"/>
    <m/>
    <s v="Inverse"/>
    <s v="coreceptor activity involved in Wnt signaling pathway, planar cell polarity pathway"/>
  </r>
  <r>
    <x v="0"/>
    <x v="0"/>
    <s v="Ofaveolata029897"/>
    <n v="-1.0750706000000001"/>
    <n v="-1.5581011"/>
    <m/>
    <s v="Direct"/>
    <s v="UDP-glucoronosyl and UDP-glucosyl transferase"/>
  </r>
  <r>
    <x v="0"/>
    <x v="0"/>
    <s v="Ofaveolata030025"/>
    <n v="1.04148873"/>
    <n v="1.0498960399999999"/>
    <m/>
    <s v="Direct"/>
    <s v="NA"/>
  </r>
  <r>
    <x v="0"/>
    <x v="0"/>
    <s v="Ofaveolata030101"/>
    <n v="-1.0263563"/>
    <n v="-1.2473295"/>
    <m/>
    <s v="Direct"/>
    <s v="maturation of LSU-rRNA from tricistronic rRNA transcript (SSU-rRNA, 5.8S rRNA, LSU-rRNA)"/>
  </r>
  <r>
    <x v="0"/>
    <x v="0"/>
    <s v="Ofaveolata030193"/>
    <n v="-1.3579215"/>
    <n v="-1.4374742"/>
    <m/>
    <s v="Direct"/>
    <s v="NA"/>
  </r>
  <r>
    <x v="0"/>
    <x v="0"/>
    <s v="Ofaveolata030220"/>
    <n v="-1.7375882"/>
    <n v="6.4409224199999997"/>
    <m/>
    <s v="Inverse"/>
    <s v="thioesterase binding"/>
  </r>
  <r>
    <x v="0"/>
    <x v="0"/>
    <s v="Ofaveolata030360"/>
    <n v="1.3000004300000001"/>
    <n v="-1.7940498"/>
    <m/>
    <s v="Inverse"/>
    <s v="NA"/>
  </r>
  <r>
    <x v="0"/>
    <x v="0"/>
    <s v="Ofaveolata030362"/>
    <n v="1.5458071900000001"/>
    <n v="-6.2632089999999998"/>
    <m/>
    <s v="Inverse"/>
    <s v="NA"/>
  </r>
  <r>
    <x v="0"/>
    <x v="0"/>
    <s v="Ofaveolata030363"/>
    <n v="1.0002678199999999"/>
    <n v="-3.0281459000000002"/>
    <m/>
    <s v="Inverse"/>
    <s v="NA"/>
  </r>
  <r>
    <x v="0"/>
    <x v="0"/>
    <s v="Ofaveolata030373"/>
    <n v="-1.2137884999999999"/>
    <n v="-2.0424088999999999"/>
    <m/>
    <s v="Direct"/>
    <s v="thyroid hormone transmembrane transporter activity"/>
  </r>
  <r>
    <x v="0"/>
    <x v="0"/>
    <s v="Ofaveolata030409"/>
    <n v="-1.138709"/>
    <n v="-3.1291863000000002"/>
    <m/>
    <s v="Direct"/>
    <s v="sulfiredoxin activity"/>
  </r>
  <r>
    <x v="0"/>
    <x v="0"/>
    <s v="Ofaveolata030454"/>
    <n v="-4.2041443000000003"/>
    <n v="-6.0071488999999998"/>
    <m/>
    <s v="Direct"/>
    <s v="NA"/>
  </r>
  <r>
    <x v="0"/>
    <x v="0"/>
    <s v="Ofaveolata030458"/>
    <n v="4.0528592400000001"/>
    <n v="-1.3736025000000001"/>
    <m/>
    <s v="Inverse"/>
    <s v="NA"/>
  </r>
  <r>
    <x v="0"/>
    <x v="0"/>
    <s v="Ofaveolata030516"/>
    <n v="-1.0196505"/>
    <n v="-1.0610584000000001"/>
    <m/>
    <s v="Direct"/>
    <s v="NA"/>
  </r>
  <r>
    <x v="0"/>
    <x v="0"/>
    <s v="Ofaveolata030623"/>
    <n v="-1.7991476"/>
    <n v="-2.2892187000000002"/>
    <m/>
    <s v="Direct"/>
    <s v="RNA splicing"/>
  </r>
  <r>
    <x v="0"/>
    <x v="0"/>
    <s v="Ofaveolata030847"/>
    <n v="-2.0788897"/>
    <n v="-4.2735700999999997"/>
    <m/>
    <s v="Direct"/>
    <s v="regulation of Cdc42 protein signal transduction"/>
  </r>
  <r>
    <x v="0"/>
    <x v="0"/>
    <s v="Ofaveolata030855"/>
    <n v="-1.1194097000000001"/>
    <n v="-3.6617780999999998"/>
    <m/>
    <s v="Direct"/>
    <s v="Proprotein convertase subtilisin kexin type"/>
  </r>
  <r>
    <x v="0"/>
    <x v="0"/>
    <s v="Ofaveolata030884"/>
    <n v="-1.2688177"/>
    <n v="-3.9904259999999998"/>
    <m/>
    <s v="Direct"/>
    <s v="Protein rolling stone-like"/>
  </r>
  <r>
    <x v="0"/>
    <x v="0"/>
    <s v="Ofaveolata031065"/>
    <n v="1.6551252599999999"/>
    <n v="1.6220417300000001"/>
    <m/>
    <s v="Direct"/>
    <s v="supervillin"/>
  </r>
  <r>
    <x v="0"/>
    <x v="0"/>
    <s v="Ofaveolata031084"/>
    <n v="2.1445750399999999"/>
    <n v="-2.0506647"/>
    <m/>
    <s v="Inverse"/>
    <s v="Carboxypeptidase"/>
  </r>
  <r>
    <x v="0"/>
    <x v="0"/>
    <s v="Ofaveolata031172"/>
    <n v="-4.6387466999999996"/>
    <n v="-2.5818401999999998"/>
    <m/>
    <s v="Direct"/>
    <s v="sequence-specific DNA binding"/>
  </r>
  <r>
    <x v="0"/>
    <x v="0"/>
    <s v="Ofaveolata031645"/>
    <n v="4.6387466899999996"/>
    <n v="-1.5827253999999999"/>
    <m/>
    <s v="Inverse"/>
    <s v="NA"/>
  </r>
  <r>
    <x v="0"/>
    <x v="0"/>
    <s v="Ofaveolata031675"/>
    <n v="1.1730168000000001"/>
    <n v="-1.7905180000000001"/>
    <m/>
    <s v="Inverse"/>
    <s v="NA"/>
  </r>
  <r>
    <x v="0"/>
    <x v="0"/>
    <s v="Ofaveolata031705"/>
    <n v="-1.2937749000000001"/>
    <n v="-1.0393497"/>
    <m/>
    <s v="Direct"/>
    <s v="NA"/>
  </r>
  <r>
    <x v="0"/>
    <x v="0"/>
    <s v="Ofaveolata031733"/>
    <n v="-1.0140826000000001"/>
    <n v="-5.1092858999999997"/>
    <m/>
    <s v="Direct"/>
    <s v="NA"/>
  </r>
  <r>
    <x v="0"/>
    <x v="0"/>
    <s v="Ofaveolata031831"/>
    <n v="-1.3366852"/>
    <n v="-1.2633616000000001"/>
    <m/>
    <s v="Direct"/>
    <s v="NA"/>
  </r>
  <r>
    <x v="0"/>
    <x v="0"/>
    <s v="Ofaveolata031858"/>
    <n v="-1.7182354"/>
    <n v="-2.3133374999999998"/>
    <m/>
    <s v="Direct"/>
    <s v="negative regulation of zinc ion transmembrane import"/>
  </r>
  <r>
    <x v="0"/>
    <x v="0"/>
    <s v="Ofaveolata031939"/>
    <n v="-1.4103763"/>
    <n v="-5.5877882999999997"/>
    <m/>
    <s v="Direct"/>
    <s v="carnitine O-palmitoyltransferase activity"/>
  </r>
  <r>
    <x v="0"/>
    <x v="0"/>
    <s v="Ofaveolata032009"/>
    <n v="2.1132705500000002"/>
    <n v="3.35039664"/>
    <m/>
    <s v="Direct"/>
    <s v="NA"/>
  </r>
  <r>
    <x v="0"/>
    <x v="0"/>
    <s v="Ofaveolata032073"/>
    <n v="-4.6141025999999998"/>
    <n v="-3.3961947000000001"/>
    <m/>
    <s v="Direct"/>
    <s v="NA"/>
  </r>
  <r>
    <x v="0"/>
    <x v="0"/>
    <s v="Ofaveolata032312"/>
    <n v="1.23121992"/>
    <n v="-2.3534095000000002"/>
    <m/>
    <s v="Inverse"/>
    <s v="NA"/>
  </r>
  <r>
    <x v="0"/>
    <x v="0"/>
    <s v="Ofaveolata032705"/>
    <n v="-1.1228952999999999"/>
    <n v="-1.3336760999999999"/>
    <m/>
    <s v="Direct"/>
    <s v="NA"/>
  </r>
  <r>
    <x v="0"/>
    <x v="0"/>
    <s v="Ofaveolata032785"/>
    <n v="-1.213171"/>
    <n v="-1.3385488999999999"/>
    <m/>
    <s v="Direct"/>
    <s v="Glutathione S-transferase mu"/>
  </r>
  <r>
    <x v="0"/>
    <x v="0"/>
    <s v="Ofaveolata032816"/>
    <n v="-1.2593761999999999"/>
    <n v="-4.4959426999999996"/>
    <m/>
    <s v="Direct"/>
    <s v="Required for protein import into peroxisomes"/>
  </r>
  <r>
    <x v="0"/>
    <x v="0"/>
    <s v="Ofaveolata032852"/>
    <n v="1.08521874"/>
    <n v="3.0171209700000001"/>
    <m/>
    <s v="Direct"/>
    <s v="NA"/>
  </r>
  <r>
    <x v="0"/>
    <x v="0"/>
    <s v="Ofaveolata032952"/>
    <n v="1.4510317699999999"/>
    <n v="-7.5127471999999997"/>
    <m/>
    <s v="Inverse"/>
    <s v="GPCR-Autoproteolysis INducing (GAIN) domain"/>
  </r>
  <r>
    <x v="0"/>
    <x v="0"/>
    <s v="Ofaveolata033040"/>
    <n v="-1.2288117999999999"/>
    <n v="2.5695755"/>
    <m/>
    <s v="Inverse"/>
    <s v="basic region leucin zipper"/>
  </r>
  <r>
    <x v="0"/>
    <x v="0"/>
    <s v="Ofaveolata033143"/>
    <n v="-1.7966527999999999"/>
    <n v="-1.7542156"/>
    <m/>
    <s v="Direct"/>
    <s v="NA"/>
  </r>
  <r>
    <x v="0"/>
    <x v="0"/>
    <s v="Ofaveolata033195"/>
    <n v="-1.8277075"/>
    <n v="-5.9037024000000002"/>
    <m/>
    <s v="Direct"/>
    <s v="NA"/>
  </r>
  <r>
    <x v="0"/>
    <x v="0"/>
    <s v="Ofaveolata033393"/>
    <n v="1.52039065"/>
    <n v="1.9828622600000001"/>
    <m/>
    <s v="Direct"/>
    <s v="NA"/>
  </r>
  <r>
    <x v="0"/>
    <x v="0"/>
    <s v="Ofaveolata033537"/>
    <n v="-2.1589813000000002"/>
    <n v="-1.0993333999999999"/>
    <m/>
    <s v="Direct"/>
    <s v="NA"/>
  </r>
  <r>
    <x v="0"/>
    <x v="0"/>
    <s v="Ofaveolata033565"/>
    <n v="1.94707736"/>
    <n v="-2.3299634"/>
    <m/>
    <s v="Inverse"/>
    <s v="NA"/>
  </r>
  <r>
    <x v="0"/>
    <x v="0"/>
    <s v="Ofaveolata033647"/>
    <n v="-2.9919961000000002"/>
    <n v="-3.6739025999999999"/>
    <m/>
    <s v="Direct"/>
    <s v="NA"/>
  </r>
  <r>
    <x v="0"/>
    <x v="0"/>
    <s v="Ofaveolata033678"/>
    <n v="2.2204967199999999"/>
    <n v="-8.4721302999999999"/>
    <m/>
    <s v="Inverse"/>
    <s v="NA"/>
  </r>
  <r>
    <x v="0"/>
    <x v="0"/>
    <s v="Ofaveolata033690"/>
    <n v="3.9914660799999999"/>
    <n v="-2.6688657999999998"/>
    <m/>
    <s v="Inverse"/>
    <s v="NA"/>
  </r>
  <r>
    <x v="0"/>
    <x v="0"/>
    <s v="Ofaveolata033695"/>
    <n v="-1.5156670999999999"/>
    <n v="-2.5301241999999999"/>
    <m/>
    <s v="Direct"/>
    <s v="NA"/>
  </r>
  <r>
    <x v="0"/>
    <x v="0"/>
    <s v="Ofaveolata033730"/>
    <n v="-1.7528421999999999"/>
    <n v="-1.6741626000000001"/>
    <m/>
    <s v="Direct"/>
    <s v="optic vesicle morphogenesis"/>
  </r>
  <r>
    <x v="0"/>
    <x v="0"/>
    <s v="Ofaveolata033784"/>
    <n v="-1.213171"/>
    <n v="-1.0210051"/>
    <m/>
    <s v="Direct"/>
    <s v="Solute carrier family 35, member G1"/>
  </r>
  <r>
    <x v="0"/>
    <x v="0"/>
    <s v="Ofaveolata033931"/>
    <n v="-1.0263563"/>
    <n v="-2.9160533000000002"/>
    <m/>
    <s v="Direct"/>
    <s v="NA"/>
  </r>
  <r>
    <x v="0"/>
    <x v="0"/>
    <s v="Ofaveolata034016"/>
    <n v="1.38227239"/>
    <n v="-2.6374094000000001"/>
    <m/>
    <s v="Inverse"/>
    <s v="NA"/>
  </r>
  <r>
    <x v="0"/>
    <x v="0"/>
    <s v="Ofaveolata034018"/>
    <n v="1.4130069000000001"/>
    <n v="-2.8815219999999999"/>
    <m/>
    <s v="Inverse"/>
    <s v="NA"/>
  </r>
  <r>
    <x v="0"/>
    <x v="0"/>
    <s v="Ofaveolata034020"/>
    <n v="1.68597606"/>
    <n v="-7.3384612999999996"/>
    <m/>
    <s v="Inverse"/>
    <s v="NA"/>
  </r>
  <r>
    <x v="0"/>
    <x v="0"/>
    <s v="Ofaveolata034021"/>
    <n v="1.07376998"/>
    <n v="-1.4696273"/>
    <m/>
    <s v="Inverse"/>
    <s v="NA"/>
  </r>
  <r>
    <x v="0"/>
    <x v="0"/>
    <s v="Ofaveolata034052"/>
    <n v="-1.4950323999999999"/>
    <n v="-1.9088181"/>
    <m/>
    <s v="Direct"/>
    <s v="myelination"/>
  </r>
  <r>
    <x v="0"/>
    <x v="0"/>
    <s v="Ofaveolata034137"/>
    <n v="2.7611254600000001"/>
    <n v="1.00549957"/>
    <m/>
    <s v="Direct"/>
    <s v="response to hypoxia"/>
  </r>
  <r>
    <x v="0"/>
    <x v="0"/>
    <s v="Ofaveolata034148"/>
    <n v="2.7364300500000001"/>
    <n v="2.3366361100000002"/>
    <m/>
    <s v="Direct"/>
    <s v="Egl-9 family hypoxia-inducible factor"/>
  </r>
  <r>
    <x v="0"/>
    <x v="0"/>
    <s v="Ofaveolata034304"/>
    <n v="-1.2495704000000001"/>
    <n v="-1.6550965"/>
    <m/>
    <s v="Direct"/>
    <s v="NA"/>
  </r>
  <r>
    <x v="0"/>
    <x v="0"/>
    <s v="Ofaveolata034323"/>
    <n v="-2.9874234999999998"/>
    <n v="-1.0908528"/>
    <m/>
    <s v="Direct"/>
    <s v="NA"/>
  </r>
  <r>
    <x v="0"/>
    <x v="0"/>
    <s v="Ofaveolata034386"/>
    <n v="-1.7658815000000001"/>
    <n v="-5.4984925999999996"/>
    <m/>
    <s v="Direct"/>
    <s v="Component of the BLOC-1 complex, a complex that is required for normal biogenesis of lysosome-related organelles (LRO), such as platelet dense granules and melanosomes. In concert with the AP-3 complex, the BLOC-1 complex is required to target membrane pr"/>
  </r>
  <r>
    <x v="0"/>
    <x v="0"/>
    <s v="Ofaveolata034780"/>
    <n v="-1.8680543000000001"/>
    <n v="-5.2004900000000003"/>
    <m/>
    <s v="Direct"/>
    <s v="zinc finger CCCH-type containing"/>
  </r>
  <r>
    <x v="0"/>
    <x v="0"/>
    <s v="Ofaveolata034812"/>
    <n v="1.3649359299999999"/>
    <n v="-3.3392195999999998"/>
    <m/>
    <s v="Inverse"/>
    <s v="arachidonic acid secretion"/>
  </r>
  <r>
    <x v="0"/>
    <x v="0"/>
    <s v="Ofaveolata034842"/>
    <n v="1.2131710200000001"/>
    <n v="-1.2110505"/>
    <m/>
    <s v="Inverse"/>
    <s v="Belongs to the peptidase S1 family"/>
  </r>
  <r>
    <x v="0"/>
    <x v="0"/>
    <s v="Ofaveolata034866"/>
    <n v="1.1467285599999999"/>
    <n v="1.6970651400000001"/>
    <m/>
    <s v="Direct"/>
    <s v="K02A2.6-like"/>
  </r>
  <r>
    <x v="0"/>
    <x v="0"/>
    <s v="Ofaveolata035042"/>
    <n v="1.1524041"/>
    <n v="-8.1493011000000006"/>
    <m/>
    <s v="Inverse"/>
    <s v="NA"/>
  </r>
  <r>
    <x v="0"/>
    <x v="0"/>
    <s v="Ofaveolata035121"/>
    <n v="-3.2466121000000001"/>
    <n v="-9.7235800999999995"/>
    <m/>
    <s v="Direct"/>
    <s v="7 transmembrane receptor (rhodopsin family)"/>
  </r>
  <r>
    <x v="0"/>
    <x v="0"/>
    <s v="Ofaveolata035192"/>
    <n v="-1.2632587"/>
    <n v="2.37362831"/>
    <m/>
    <s v="Inverse"/>
    <s v="regulation of mitotic cell cycle"/>
  </r>
  <r>
    <x v="0"/>
    <x v="0"/>
    <s v="Ofaveolata035248"/>
    <n v="-1.2292065999999999"/>
    <n v="-1.989554"/>
    <m/>
    <s v="Direct"/>
    <s v="semaphorin receptor binding"/>
  </r>
  <r>
    <x v="0"/>
    <x v="0"/>
    <s v="Ofaveolata035554"/>
    <n v="-3.7560595999999999"/>
    <n v="-1.4460618999999999"/>
    <m/>
    <s v="Direct"/>
    <s v="Kelch-like protein 17"/>
  </r>
  <r>
    <x v="0"/>
    <x v="0"/>
    <s v="Ofaveolata035634"/>
    <n v="-2.7187036"/>
    <n v="-4.0335339000000001"/>
    <m/>
    <s v="Direct"/>
    <s v="serine-type endopeptidase activity"/>
  </r>
  <r>
    <x v="0"/>
    <x v="0"/>
    <s v="Ofaveolata035635"/>
    <n v="-1.4103763"/>
    <n v="-1.3122274"/>
    <m/>
    <s v="Direct"/>
    <s v="serine-type endopeptidase activity"/>
  </r>
  <r>
    <x v="0"/>
    <x v="0"/>
    <s v="Ofaveolata035636"/>
    <n v="-5.3664414000000003"/>
    <n v="-1.1872933999999999"/>
    <m/>
    <s v="Direct"/>
    <s v="serine-type endopeptidase activity"/>
  </r>
  <r>
    <x v="0"/>
    <x v="0"/>
    <s v="Ofaveolata035637"/>
    <n v="-2.3509698999999999"/>
    <n v="-1.3734162999999999"/>
    <m/>
    <s v="Direct"/>
    <s v="serine-type endopeptidase activity"/>
  </r>
  <r>
    <x v="0"/>
    <x v="0"/>
    <s v="Ofaveolata035638"/>
    <n v="-4.2129962000000001"/>
    <n v="-14.422558"/>
    <m/>
    <s v="Direct"/>
    <s v="serine-type endopeptidase activity"/>
  </r>
  <r>
    <x v="0"/>
    <x v="0"/>
    <s v="Ofaveolata035717"/>
    <n v="2.5169011999999999"/>
    <n v="-2.0171866000000001"/>
    <m/>
    <s v="Inverse"/>
    <s v="NA"/>
  </r>
  <r>
    <x v="0"/>
    <x v="0"/>
    <s v="Ofaveolata036553"/>
    <n v="1.71823536"/>
    <n v="-4.8271569999999997"/>
    <m/>
    <s v="Inverse"/>
    <s v="NA"/>
  </r>
  <r>
    <x v="0"/>
    <x v="0"/>
    <s v="Ofaveolata036569"/>
    <n v="-3.12378"/>
    <n v="-1.7619062000000001"/>
    <m/>
    <s v="Direct"/>
    <s v="Belongs to the glycosyl hydrolase 18 family"/>
  </r>
  <r>
    <x v="0"/>
    <x v="1"/>
    <s v="Ofaveolata000010"/>
    <n v="2.7082834600000001"/>
    <m/>
    <n v="9.8755729799999994"/>
    <s v="Direct"/>
    <s v="NA"/>
  </r>
  <r>
    <x v="0"/>
    <x v="1"/>
    <s v="Ofaveolata000015"/>
    <n v="1.26238049"/>
    <m/>
    <n v="1.09576425"/>
    <s v="Direct"/>
    <s v="protein dimerization activity"/>
  </r>
  <r>
    <x v="0"/>
    <x v="1"/>
    <s v="Ofaveolata000053"/>
    <n v="2.7094085699999999"/>
    <m/>
    <n v="-4.7599233999999999"/>
    <s v="Inverse"/>
    <s v="protein-disulfide reductase (glutathione) activity"/>
  </r>
  <r>
    <x v="0"/>
    <x v="1"/>
    <s v="Ofaveolata000104"/>
    <n v="-2.6639482000000001"/>
    <m/>
    <n v="-2.5034470999999998"/>
    <s v="Direct"/>
    <s v="PX domain"/>
  </r>
  <r>
    <x v="0"/>
    <x v="1"/>
    <s v="Ofaveolata000139"/>
    <n v="-1.3894434"/>
    <m/>
    <n v="-1.6734382999999999"/>
    <s v="Direct"/>
    <s v="NA"/>
  </r>
  <r>
    <x v="0"/>
    <x v="1"/>
    <s v="Ofaveolata000414"/>
    <n v="-1.0005109999999999"/>
    <m/>
    <n v="-1.052238"/>
    <s v="Direct"/>
    <s v="NA"/>
  </r>
  <r>
    <x v="0"/>
    <x v="1"/>
    <s v="Ofaveolata000449"/>
    <n v="1.9404219300000001"/>
    <m/>
    <n v="-8.6631537999999999"/>
    <s v="Inverse"/>
    <s v="Lactose-binding lectin l-2-like"/>
  </r>
  <r>
    <x v="0"/>
    <x v="1"/>
    <s v="Ofaveolata000572"/>
    <n v="-1.8071542"/>
    <m/>
    <n v="-3.1596090999999999"/>
    <s v="Direct"/>
    <s v="Cobalamin-independent synthase, Catalytic domain"/>
  </r>
  <r>
    <x v="0"/>
    <x v="1"/>
    <s v="Ofaveolata000742"/>
    <n v="1.5308279300000001"/>
    <m/>
    <n v="-1.3866202999999999"/>
    <s v="Inverse"/>
    <s v="peptidase inhibitor activity"/>
  </r>
  <r>
    <x v="0"/>
    <x v="1"/>
    <s v="Ofaveolata000882"/>
    <n v="1.2138961100000001"/>
    <m/>
    <n v="2.4620991999999999"/>
    <s v="Direct"/>
    <s v="cortical actin cytoskeleton organization"/>
  </r>
  <r>
    <x v="0"/>
    <x v="1"/>
    <s v="Ofaveolata000921"/>
    <n v="-1.1438497999999999"/>
    <m/>
    <n v="-2.0135564000000001"/>
    <s v="Direct"/>
    <s v="histone H4-K16 acetylation"/>
  </r>
  <r>
    <x v="0"/>
    <x v="1"/>
    <s v="Ofaveolata000952"/>
    <n v="3.2401225199999999"/>
    <m/>
    <n v="-1.7362534999999999"/>
    <s v="Inverse"/>
    <s v="NA"/>
  </r>
  <r>
    <x v="0"/>
    <x v="1"/>
    <s v="Ofaveolata000962"/>
    <n v="1.61827315"/>
    <m/>
    <n v="-5.7932905999999997"/>
    <s v="Inverse"/>
    <s v="NA"/>
  </r>
  <r>
    <x v="0"/>
    <x v="1"/>
    <s v="Ofaveolata001202"/>
    <n v="2.4446342599999999"/>
    <m/>
    <n v="-7.8708074000000003"/>
    <s v="Inverse"/>
    <s v="NA"/>
  </r>
  <r>
    <x v="0"/>
    <x v="1"/>
    <s v="Ofaveolata001229"/>
    <n v="-1.8384864000000001"/>
    <m/>
    <n v="-2.7181746000000002"/>
    <s v="Direct"/>
    <s v="NA"/>
  </r>
  <r>
    <x v="0"/>
    <x v="1"/>
    <s v="Ofaveolata001235"/>
    <n v="-3.9849408999999998"/>
    <m/>
    <n v="-5.7731380000000003"/>
    <s v="Direct"/>
    <s v="NA"/>
  </r>
  <r>
    <x v="0"/>
    <x v="1"/>
    <s v="Ofaveolata001366"/>
    <n v="-1.1549493"/>
    <m/>
    <n v="-1.0998595"/>
    <s v="Direct"/>
    <s v="alpha-L-fucosidase activity"/>
  </r>
  <r>
    <x v="0"/>
    <x v="1"/>
    <s v="Ofaveolata001402"/>
    <n v="-2.7001355999999999"/>
    <m/>
    <n v="-2.0029452999999999"/>
    <s v="Direct"/>
    <s v="Calcineurin-like phosphoesterase"/>
  </r>
  <r>
    <x v="0"/>
    <x v="1"/>
    <s v="Ofaveolata001455"/>
    <n v="1.0334759"/>
    <m/>
    <n v="-1.7529893999999999"/>
    <s v="Inverse"/>
    <s v="transmembrane transport"/>
  </r>
  <r>
    <x v="0"/>
    <x v="1"/>
    <s v="Ofaveolata001490"/>
    <n v="-1.3700123"/>
    <m/>
    <n v="-2.1435973000000001"/>
    <s v="Direct"/>
    <s v="ATP binding"/>
  </r>
  <r>
    <x v="0"/>
    <x v="1"/>
    <s v="Ofaveolata001563"/>
    <n v="-2.5145298999999999"/>
    <m/>
    <n v="-6.9089273999999996"/>
    <s v="Direct"/>
    <s v="Belongs to the carnitine choline acetyltransferase family"/>
  </r>
  <r>
    <x v="0"/>
    <x v="1"/>
    <s v="Ofaveolata001564"/>
    <n v="-1.8015764999999999"/>
    <m/>
    <n v="-1.3298217000000001"/>
    <s v="Direct"/>
    <s v="RNA polymerase II transcription corepressor binding"/>
  </r>
  <r>
    <x v="0"/>
    <x v="1"/>
    <s v="Ofaveolata001594"/>
    <n v="1.01965046"/>
    <m/>
    <n v="-7.5156109000000004"/>
    <s v="Inverse"/>
    <s v="NA"/>
  </r>
  <r>
    <x v="0"/>
    <x v="1"/>
    <s v="Ofaveolata001608"/>
    <n v="1.5440095700000001"/>
    <m/>
    <n v="-3.0647764"/>
    <s v="Inverse"/>
    <s v="NA"/>
  </r>
  <r>
    <x v="0"/>
    <x v="1"/>
    <s v="Ofaveolata001666"/>
    <n v="-1.2405374"/>
    <m/>
    <n v="-5.7572292000000003"/>
    <s v="Direct"/>
    <s v="eukaryotic initiation factor 4E binding"/>
  </r>
  <r>
    <x v="0"/>
    <x v="1"/>
    <s v="Ofaveolata001713"/>
    <n v="1.50699432"/>
    <m/>
    <n v="-8.3374106999999995"/>
    <s v="Inverse"/>
    <s v="NA"/>
  </r>
  <r>
    <x v="0"/>
    <x v="1"/>
    <s v="Ofaveolata001714"/>
    <n v="1.71528189"/>
    <m/>
    <n v="-8.2252702000000006"/>
    <s v="Inverse"/>
    <s v="NA"/>
  </r>
  <r>
    <x v="0"/>
    <x v="1"/>
    <s v="Ofaveolata001715"/>
    <n v="2.1885144300000001"/>
    <m/>
    <n v="-8.0054543000000002"/>
    <s v="Inverse"/>
    <s v="NA"/>
  </r>
  <r>
    <x v="0"/>
    <x v="1"/>
    <s v="Ofaveolata001721"/>
    <n v="1.84745377"/>
    <m/>
    <n v="-5.3574219999999997"/>
    <s v="Inverse"/>
    <s v="NA"/>
  </r>
  <r>
    <x v="0"/>
    <x v="1"/>
    <s v="Ofaveolata001724"/>
    <n v="1.0470809700000001"/>
    <m/>
    <n v="-4.6303134000000004"/>
    <s v="Inverse"/>
    <s v="NA"/>
  </r>
  <r>
    <x v="0"/>
    <x v="1"/>
    <s v="Ofaveolata001725"/>
    <n v="2.1756774000000001"/>
    <m/>
    <n v="-4.9191928000000003"/>
    <s v="Inverse"/>
    <s v="NA"/>
  </r>
  <r>
    <x v="0"/>
    <x v="1"/>
    <s v="Ofaveolata001730"/>
    <n v="1.46247215"/>
    <m/>
    <n v="-8.1607398999999994"/>
    <s v="Inverse"/>
    <s v="NA"/>
  </r>
  <r>
    <x v="0"/>
    <x v="1"/>
    <s v="Ofaveolata001732"/>
    <n v="1.7658814599999999"/>
    <m/>
    <n v="-7.4991197999999999"/>
    <s v="Inverse"/>
    <s v="NA"/>
  </r>
  <r>
    <x v="0"/>
    <x v="1"/>
    <s v="Ofaveolata001733"/>
    <n v="1.9692564699999999"/>
    <m/>
    <n v="-8.0329210999999994"/>
    <s v="Inverse"/>
    <s v="NA"/>
  </r>
  <r>
    <x v="0"/>
    <x v="1"/>
    <s v="Ofaveolata001734"/>
    <n v="2.5748107"/>
    <m/>
    <n v="-11.274386"/>
    <s v="Inverse"/>
    <s v="NA"/>
  </r>
  <r>
    <x v="0"/>
    <x v="1"/>
    <s v="Ofaveolata001805"/>
    <n v="1.0436867400000001"/>
    <m/>
    <n v="4.3733429199999998"/>
    <s v="Direct"/>
    <s v="Ligand for members of the frizzled family of seven transmembrane receptors"/>
  </r>
  <r>
    <x v="0"/>
    <x v="1"/>
    <s v="Ofaveolata001887"/>
    <n v="1.86805427"/>
    <m/>
    <n v="-4.9790489000000004"/>
    <s v="Inverse"/>
    <s v="negative regulation of canonical Wnt signaling pathway involved in cardiac muscle cell fate commitment"/>
  </r>
  <r>
    <x v="0"/>
    <x v="1"/>
    <s v="Ofaveolata001889"/>
    <n v="1.68408797"/>
    <m/>
    <n v="-4.1831223"/>
    <s v="Inverse"/>
    <s v="NA"/>
  </r>
  <r>
    <x v="0"/>
    <x v="1"/>
    <s v="Ofaveolata001911"/>
    <n v="-1.3649359000000001"/>
    <m/>
    <n v="-1.0957642999999999"/>
    <s v="Direct"/>
    <s v="Trace amine-associated receptor"/>
  </r>
  <r>
    <x v="0"/>
    <x v="1"/>
    <s v="Ofaveolata002016"/>
    <n v="-3.4901863"/>
    <m/>
    <n v="-2.1334032999999999"/>
    <s v="Direct"/>
    <s v="Hairy and enhancer of split-related protein helt"/>
  </r>
  <r>
    <x v="0"/>
    <x v="1"/>
    <s v="Ofaveolata002017"/>
    <n v="1.0609191"/>
    <m/>
    <n v="-2.7916514000000001"/>
    <s v="Inverse"/>
    <s v="phospholipase A2 activity (consuming 1,2-dipalmitoylphosphatidylcholine)"/>
  </r>
  <r>
    <x v="0"/>
    <x v="1"/>
    <s v="Ofaveolata002144"/>
    <n v="-1.2668394000000001"/>
    <m/>
    <n v="-3.1636586000000002"/>
    <s v="Direct"/>
    <s v="Transmembrane protein 258"/>
  </r>
  <r>
    <x v="0"/>
    <x v="1"/>
    <s v="Ofaveolata002172"/>
    <n v="-2.5169011999999999"/>
    <m/>
    <n v="-4.5682492000000003"/>
    <s v="Direct"/>
    <s v="carboxypeptidase Q"/>
  </r>
  <r>
    <x v="0"/>
    <x v="1"/>
    <s v="Ofaveolata002239"/>
    <n v="1.7811513999999999"/>
    <m/>
    <n v="-1.9106091000000001"/>
    <s v="Inverse"/>
    <s v="NA"/>
  </r>
  <r>
    <x v="0"/>
    <x v="1"/>
    <s v="Ofaveolata002242"/>
    <n v="1.51002696"/>
    <m/>
    <n v="-2.1603036000000002"/>
    <s v="Inverse"/>
    <s v="NA"/>
  </r>
  <r>
    <x v="0"/>
    <x v="1"/>
    <s v="Ofaveolata002291"/>
    <n v="-1.2551999"/>
    <m/>
    <n v="-2.8998290999999998"/>
    <s v="Direct"/>
    <s v="oxidoreductase activity"/>
  </r>
  <r>
    <x v="0"/>
    <x v="1"/>
    <s v="Ofaveolata002345"/>
    <n v="1.76768937"/>
    <m/>
    <n v="-9.9916944000000001"/>
    <s v="Inverse"/>
    <s v="NA"/>
  </r>
  <r>
    <x v="0"/>
    <x v="1"/>
    <s v="Ofaveolata002376"/>
    <n v="-1.9404219"/>
    <m/>
    <n v="-3.3763665999999999"/>
    <s v="Direct"/>
    <s v="NA"/>
  </r>
  <r>
    <x v="0"/>
    <x v="1"/>
    <s v="Ofaveolata002467"/>
    <n v="-1.9904888999999999"/>
    <m/>
    <n v="-1.4696198"/>
    <s v="Direct"/>
    <s v="NA"/>
  </r>
  <r>
    <x v="0"/>
    <x v="1"/>
    <s v="Ofaveolata002478"/>
    <n v="-2.2238429000000002"/>
    <m/>
    <n v="-1.8079599"/>
    <s v="Direct"/>
    <s v="NA"/>
  </r>
  <r>
    <x v="0"/>
    <x v="1"/>
    <s v="Ofaveolata002479"/>
    <n v="-1.7753175000000001"/>
    <m/>
    <n v="-1.1578358"/>
    <s v="Direct"/>
    <s v="inflammatory response"/>
  </r>
  <r>
    <x v="0"/>
    <x v="1"/>
    <s v="Ofaveolata002551"/>
    <n v="-2.0366371000000001"/>
    <m/>
    <n v="-4.5003602000000003"/>
    <s v="Direct"/>
    <s v="NA"/>
  </r>
  <r>
    <x v="0"/>
    <x v="1"/>
    <s v="Ofaveolata002574"/>
    <n v="1.3676691400000001"/>
    <m/>
    <n v="-5.4063771999999997"/>
    <s v="Inverse"/>
    <s v="NA"/>
  </r>
  <r>
    <x v="0"/>
    <x v="1"/>
    <s v="Ofaveolata002642"/>
    <n v="-1.0216837999999999"/>
    <m/>
    <n v="-1.1981295999999999"/>
    <s v="Direct"/>
    <s v="Fes/CIP4 homology domain"/>
  </r>
  <r>
    <x v="0"/>
    <x v="1"/>
    <s v="Ofaveolata002736"/>
    <n v="-1.1480262000000001"/>
    <m/>
    <n v="-1.5730624"/>
    <s v="Direct"/>
    <s v="NA"/>
  </r>
  <r>
    <x v="0"/>
    <x v="1"/>
    <s v="Ofaveolata002772"/>
    <n v="-2.8924541000000001"/>
    <m/>
    <n v="-2.4525117999999999"/>
    <s v="Direct"/>
    <s v="Nidogen-like"/>
  </r>
  <r>
    <x v="0"/>
    <x v="1"/>
    <s v="Ofaveolata002790"/>
    <n v="-1.0471661999999999"/>
    <m/>
    <n v="-9.7423488000000003"/>
    <s v="Direct"/>
    <s v="NA"/>
  </r>
  <r>
    <x v="0"/>
    <x v="1"/>
    <s v="Ofaveolata002794"/>
    <n v="-1.3649359000000001"/>
    <m/>
    <n v="-6.2430747000000002"/>
    <s v="Direct"/>
    <s v="NA"/>
  </r>
  <r>
    <x v="0"/>
    <x v="1"/>
    <s v="Ofaveolata002898"/>
    <n v="1.3403444900000001"/>
    <m/>
    <n v="-4.8299216999999999"/>
    <s v="Inverse"/>
    <s v="NA"/>
  </r>
  <r>
    <x v="0"/>
    <x v="1"/>
    <s v="Ofaveolata002916"/>
    <n v="1.5755857900000001"/>
    <m/>
    <n v="-11.10711"/>
    <s v="Inverse"/>
    <s v="NA"/>
  </r>
  <r>
    <x v="0"/>
    <x v="1"/>
    <s v="Ofaveolata002917"/>
    <n v="5.06672163"/>
    <m/>
    <n v="-1.636147"/>
    <s v="Inverse"/>
    <s v="NA"/>
  </r>
  <r>
    <x v="0"/>
    <x v="1"/>
    <s v="Ofaveolata002953"/>
    <n v="-1.0093875000000001"/>
    <m/>
    <n v="-1.1756438"/>
    <s v="Direct"/>
    <s v="NA"/>
  </r>
  <r>
    <x v="0"/>
    <x v="1"/>
    <s v="Ofaveolata002981"/>
    <n v="-1.8777121000000001"/>
    <m/>
    <n v="-4.4091345000000004"/>
    <s v="Direct"/>
    <s v="NA"/>
  </r>
  <r>
    <x v="0"/>
    <x v="1"/>
    <s v="Ofaveolata003028"/>
    <n v="-1.2231506000000001"/>
    <m/>
    <n v="-1.0126945000000001"/>
    <s v="Direct"/>
    <s v="transforming growth factor beta receptor signaling pathway"/>
  </r>
  <r>
    <x v="0"/>
    <x v="1"/>
    <s v="Ofaveolata003052"/>
    <n v="1.5550084200000001"/>
    <m/>
    <n v="1.02256999"/>
    <s v="Direct"/>
    <s v="glycine amidinotransferase"/>
  </r>
  <r>
    <x v="0"/>
    <x v="1"/>
    <s v="Ofaveolata003085"/>
    <n v="1.8788538299999999"/>
    <m/>
    <n v="-9.1710580999999998"/>
    <s v="Inverse"/>
    <s v="NA"/>
  </r>
  <r>
    <x v="0"/>
    <x v="1"/>
    <s v="Ofaveolata003086"/>
    <n v="1.74353165"/>
    <m/>
    <n v="-5.6978428000000001"/>
    <s v="Inverse"/>
    <s v="NA"/>
  </r>
  <r>
    <x v="0"/>
    <x v="1"/>
    <s v="Ofaveolata003181"/>
    <n v="-3.7584266"/>
    <m/>
    <n v="-2.3481583000000001"/>
    <s v="Direct"/>
    <s v="neurexin family protein binding"/>
  </r>
  <r>
    <x v="0"/>
    <x v="1"/>
    <s v="Ofaveolata003229"/>
    <n v="2.1342811400000001"/>
    <m/>
    <n v="-3.1783622999999999"/>
    <s v="Inverse"/>
    <s v="coreceptor activity involved in Wnt signaling pathway, planar cell polarity pathway"/>
  </r>
  <r>
    <x v="0"/>
    <x v="1"/>
    <s v="Ofaveolata003232"/>
    <n v="1.0755802699999999"/>
    <m/>
    <n v="-5.3543075"/>
    <s v="Inverse"/>
    <s v="NA"/>
  </r>
  <r>
    <x v="0"/>
    <x v="1"/>
    <s v="Ofaveolata003233"/>
    <n v="1.1093750200000001"/>
    <m/>
    <n v="-5.9442370999999996"/>
    <s v="Inverse"/>
    <s v="NA"/>
  </r>
  <r>
    <x v="0"/>
    <x v="1"/>
    <s v="Ofaveolata003357"/>
    <n v="-1.6421924000000001"/>
    <m/>
    <n v="-2.4636181000000001"/>
    <s v="Direct"/>
    <s v="macromolecule localization"/>
  </r>
  <r>
    <x v="0"/>
    <x v="1"/>
    <s v="Ofaveolata003421"/>
    <n v="-1.4869334000000001"/>
    <m/>
    <n v="-1.1370178"/>
    <s v="Direct"/>
    <s v="NA"/>
  </r>
  <r>
    <x v="0"/>
    <x v="1"/>
    <s v="Ofaveolata003471"/>
    <n v="-1.2100453"/>
    <m/>
    <n v="1.58304643"/>
    <s v="Inverse"/>
    <s v="Prolyl 4-hydroxylase alpha subunit homologues."/>
  </r>
  <r>
    <x v="0"/>
    <x v="1"/>
    <s v="Ofaveolata003478"/>
    <n v="-1.6859761"/>
    <m/>
    <n v="-4.7512853000000002"/>
    <s v="Direct"/>
    <s v="MMPL family"/>
  </r>
  <r>
    <x v="0"/>
    <x v="1"/>
    <s v="Ofaveolata003589"/>
    <n v="1.1048708300000001"/>
    <m/>
    <n v="-2.990529"/>
    <s v="Inverse"/>
    <s v="NA"/>
  </r>
  <r>
    <x v="0"/>
    <x v="1"/>
    <s v="Ofaveolata003633"/>
    <n v="-1.5031030000000001"/>
    <m/>
    <n v="-1.7234408999999999"/>
    <s v="Direct"/>
    <s v="ephrin receptor activity"/>
  </r>
  <r>
    <x v="0"/>
    <x v="1"/>
    <s v="Ofaveolata003639"/>
    <n v="-3.3115488000000002"/>
    <m/>
    <n v="-6.2272334999999996"/>
    <s v="Direct"/>
    <s v="ephrin receptor activity"/>
  </r>
  <r>
    <x v="0"/>
    <x v="1"/>
    <s v="Ofaveolata003645"/>
    <n v="2.4520469899999999"/>
    <m/>
    <n v="-1.8213790999999999"/>
    <s v="Inverse"/>
    <s v="serine-type endopeptidase activity"/>
  </r>
  <r>
    <x v="0"/>
    <x v="1"/>
    <s v="Ofaveolata003648"/>
    <n v="1.46013737"/>
    <m/>
    <n v="-6.9494702999999998"/>
    <s v="Inverse"/>
    <s v="serine-type endopeptidase activity"/>
  </r>
  <r>
    <x v="0"/>
    <x v="1"/>
    <s v="Ofaveolata003661"/>
    <n v="1.460553"/>
    <m/>
    <n v="-2.3130614"/>
    <s v="Inverse"/>
    <s v="Belongs to the peptidase M10A family"/>
  </r>
  <r>
    <x v="0"/>
    <x v="1"/>
    <s v="Ofaveolata003751"/>
    <n v="1.8950327"/>
    <m/>
    <n v="3.8233547400000001"/>
    <s v="Direct"/>
    <s v="Tachylectin"/>
  </r>
  <r>
    <x v="0"/>
    <x v="1"/>
    <s v="Ofaveolata003857"/>
    <n v="1.6319367899999999"/>
    <m/>
    <n v="-1.0145465"/>
    <s v="Inverse"/>
    <s v="NA"/>
  </r>
  <r>
    <x v="0"/>
    <x v="1"/>
    <s v="Ofaveolata003932"/>
    <n v="-2.5061377999999999"/>
    <m/>
    <n v="-1.2246884"/>
    <s v="Direct"/>
    <s v="Tissue factor pathway inhibitor"/>
  </r>
  <r>
    <x v="0"/>
    <x v="1"/>
    <s v="Ofaveolata003972"/>
    <n v="-1.4950323999999999"/>
    <m/>
    <n v="-1.0982787000000001"/>
    <s v="Direct"/>
    <s v="NA"/>
  </r>
  <r>
    <x v="0"/>
    <x v="1"/>
    <s v="Ofaveolata003976"/>
    <n v="-2.4520469999999999"/>
    <m/>
    <n v="-1.7615905999999999"/>
    <s v="Direct"/>
    <s v="NA"/>
  </r>
  <r>
    <x v="0"/>
    <x v="1"/>
    <s v="Ofaveolata003977"/>
    <n v="-1.6027899000000001"/>
    <m/>
    <n v="1.4768663900000001"/>
    <s v="Inverse"/>
    <s v="NA"/>
  </r>
  <r>
    <x v="0"/>
    <x v="1"/>
    <s v="Ofaveolata004231"/>
    <n v="-3.5030622999999999"/>
    <m/>
    <n v="-5.9316244999999999"/>
    <s v="Direct"/>
    <s v="NA"/>
  </r>
  <r>
    <x v="0"/>
    <x v="1"/>
    <s v="Ofaveolata004474"/>
    <n v="-1.6564681000000001"/>
    <m/>
    <n v="-1.4044270000000001"/>
    <s v="Direct"/>
    <s v="ubiquitin-like protein ligase activity"/>
  </r>
  <r>
    <x v="0"/>
    <x v="1"/>
    <s v="Ofaveolata004481"/>
    <n v="2.63609619"/>
    <m/>
    <n v="2.0102743799999998"/>
    <s v="Direct"/>
    <s v="somite specification"/>
  </r>
  <r>
    <x v="0"/>
    <x v="1"/>
    <s v="Ofaveolata004508"/>
    <n v="-1.4437431000000001"/>
    <m/>
    <n v="-1.0592686"/>
    <s v="Direct"/>
    <s v="Thrombospondin type 1 repeats"/>
  </r>
  <r>
    <x v="0"/>
    <x v="1"/>
    <s v="Ofaveolata004537"/>
    <n v="-1.0518035999999999"/>
    <m/>
    <n v="-3.3749215000000001"/>
    <s v="Direct"/>
    <s v="NA"/>
  </r>
  <r>
    <x v="0"/>
    <x v="1"/>
    <s v="Ofaveolata004538"/>
    <n v="-1.1991885"/>
    <m/>
    <n v="-1.7736155"/>
    <s v="Direct"/>
    <s v="Transmembrane protein 181"/>
  </r>
  <r>
    <x v="0"/>
    <x v="1"/>
    <s v="Ofaveolata004775"/>
    <n v="-2.326025"/>
    <m/>
    <n v="-2.7569971"/>
    <s v="Direct"/>
    <s v="NA"/>
  </r>
  <r>
    <x v="0"/>
    <x v="1"/>
    <s v="Ofaveolata004811"/>
    <n v="-1.7494856999999999"/>
    <m/>
    <n v="2.6109064399999999"/>
    <s v="Inverse"/>
    <s v="NA"/>
  </r>
  <r>
    <x v="0"/>
    <x v="1"/>
    <s v="Ofaveolata004828"/>
    <n v="-3.1144319"/>
    <m/>
    <n v="-2.1651099"/>
    <s v="Direct"/>
    <s v="NA"/>
  </r>
  <r>
    <x v="0"/>
    <x v="1"/>
    <s v="Ofaveolata004830"/>
    <n v="-1.532977"/>
    <m/>
    <n v="-1.3903958000000001"/>
    <s v="Direct"/>
    <s v="NA"/>
  </r>
  <r>
    <x v="0"/>
    <x v="1"/>
    <s v="Ofaveolata004859"/>
    <n v="-1.1991885"/>
    <m/>
    <n v="-2.1348970999999999"/>
    <s v="Direct"/>
    <s v="NA"/>
  </r>
  <r>
    <x v="0"/>
    <x v="1"/>
    <s v="Ofaveolata004949"/>
    <n v="1.6053809699999999"/>
    <m/>
    <n v="-8.0849633000000001"/>
    <s v="Inverse"/>
    <s v="NA"/>
  </r>
  <r>
    <x v="0"/>
    <x v="1"/>
    <s v="Ofaveolata005158"/>
    <n v="1.35922286"/>
    <m/>
    <n v="-5.7540063999999997"/>
    <s v="Inverse"/>
    <s v="NA"/>
  </r>
  <r>
    <x v="0"/>
    <x v="1"/>
    <s v="Ofaveolata005198"/>
    <n v="-1.1937677"/>
    <m/>
    <n v="-2.1960316999999998"/>
    <s v="Direct"/>
    <s v="calcium ion binding"/>
  </r>
  <r>
    <x v="0"/>
    <x v="1"/>
    <s v="Ofaveolata005263"/>
    <n v="1.49062191"/>
    <m/>
    <n v="-4.4670538999999998"/>
    <s v="Inverse"/>
    <s v="negative chemotaxis"/>
  </r>
  <r>
    <x v="0"/>
    <x v="1"/>
    <s v="Ofaveolata005301"/>
    <n v="-1.7509361999999999"/>
    <m/>
    <n v="-3.3103343999999999"/>
    <s v="Direct"/>
    <s v="iron-sulfur transferase activity"/>
  </r>
  <r>
    <x v="0"/>
    <x v="1"/>
    <s v="Ofaveolata005305"/>
    <n v="-2.7069619"/>
    <m/>
    <n v="-5.7048078000000002"/>
    <s v="Direct"/>
    <s v="zinc ion binding"/>
  </r>
  <r>
    <x v="0"/>
    <x v="1"/>
    <s v="Ofaveolata005370"/>
    <n v="-1.4375876000000001"/>
    <m/>
    <n v="-4.7158123999999999"/>
    <s v="Direct"/>
    <s v="cellular iron ion homeostasis"/>
  </r>
  <r>
    <x v="0"/>
    <x v="1"/>
    <s v="Ofaveolata005418"/>
    <n v="-2.379489"/>
    <m/>
    <n v="-4.5880786999999996"/>
    <s v="Direct"/>
    <s v="molting cycle, collagen and cuticulin-based cuticle"/>
  </r>
  <r>
    <x v="0"/>
    <x v="1"/>
    <s v="Ofaveolata005419"/>
    <n v="-2.6639482000000001"/>
    <m/>
    <n v="-4.5094564999999998"/>
    <s v="Direct"/>
    <s v="molting cycle, collagen and cuticulin-based cuticle"/>
  </r>
  <r>
    <x v="0"/>
    <x v="1"/>
    <s v="Ofaveolata005426"/>
    <n v="-1.6131257999999999"/>
    <m/>
    <n v="-1.3693295999999999"/>
    <s v="Direct"/>
    <s v="NA"/>
  </r>
  <r>
    <x v="0"/>
    <x v="1"/>
    <s v="Ofaveolata005486"/>
    <n v="-2.5581782"/>
    <m/>
    <n v="-5.3052636"/>
    <s v="Direct"/>
    <s v="L-iditol 2-dehydrogenase activity"/>
  </r>
  <r>
    <x v="0"/>
    <x v="1"/>
    <s v="Ofaveolata005490"/>
    <n v="1.1663553099999999"/>
    <m/>
    <n v="-2.0617022999999999"/>
    <s v="Inverse"/>
    <s v="NA"/>
  </r>
  <r>
    <x v="0"/>
    <x v="1"/>
    <s v="Ofaveolata005513"/>
    <n v="-1.3983029"/>
    <m/>
    <n v="-1.0366668000000001"/>
    <s v="Direct"/>
    <s v="Hemimethylated DNA-binding protein YccV like"/>
  </r>
  <r>
    <x v="0"/>
    <x v="1"/>
    <s v="Ofaveolata005554"/>
    <n v="-1.1671794"/>
    <m/>
    <n v="-2.7710477999999998"/>
    <s v="Direct"/>
    <s v="NA"/>
  </r>
  <r>
    <x v="0"/>
    <x v="1"/>
    <s v="Ofaveolata005736"/>
    <n v="1.94707736"/>
    <m/>
    <n v="-1.4890428"/>
    <s v="Inverse"/>
    <s v="Kinesin motor, catalytic domain. ATPase."/>
  </r>
  <r>
    <x v="0"/>
    <x v="1"/>
    <s v="Ofaveolata005887"/>
    <n v="-2.7611254999999999"/>
    <m/>
    <n v="-7.2786657999999997"/>
    <s v="Direct"/>
    <s v="Dienelactone hydrolase family"/>
  </r>
  <r>
    <x v="0"/>
    <x v="1"/>
    <s v="Ofaveolata005955"/>
    <n v="-1.7721214000000001"/>
    <m/>
    <n v="-2.0432020999999998"/>
    <s v="Direct"/>
    <s v="endosomal transport"/>
  </r>
  <r>
    <x v="0"/>
    <x v="1"/>
    <s v="Ofaveolata005956"/>
    <n v="-2.473563"/>
    <m/>
    <n v="-1.1125571999999999"/>
    <s v="Direct"/>
    <s v="skeletal muscle fiber development"/>
  </r>
  <r>
    <x v="0"/>
    <x v="1"/>
    <s v="Ofaveolata005957"/>
    <n v="-1.9156964999999999"/>
    <m/>
    <n v="-1.9158017000000001"/>
    <s v="Direct"/>
    <s v="skeletal muscle fiber development"/>
  </r>
  <r>
    <x v="0"/>
    <x v="1"/>
    <s v="Ofaveolata005964"/>
    <n v="2.2204967199999999"/>
    <m/>
    <n v="1.2629336600000001"/>
    <s v="Direct"/>
    <s v="Belongs to the peptidase M10A family"/>
  </r>
  <r>
    <x v="0"/>
    <x v="1"/>
    <s v="Ofaveolata005998"/>
    <n v="1.77173391"/>
    <m/>
    <n v="1.9401130200000001"/>
    <s v="Direct"/>
    <s v="CAAX-box protein maturation"/>
  </r>
  <r>
    <x v="0"/>
    <x v="1"/>
    <s v="Ofaveolata006107"/>
    <n v="-2.5276131999999998"/>
    <m/>
    <n v="-3.9635571999999999"/>
    <s v="Direct"/>
    <s v="bisphosphoglycerate 3-phosphatase activity"/>
  </r>
  <r>
    <x v="0"/>
    <x v="1"/>
    <s v="Ofaveolata006198"/>
    <n v="-1.2183018999999999"/>
    <m/>
    <n v="-2.7064200999999999"/>
    <s v="Direct"/>
    <s v="NA"/>
  </r>
  <r>
    <x v="0"/>
    <x v="1"/>
    <s v="Ofaveolata006253"/>
    <n v="1.7528422400000001"/>
    <m/>
    <n v="-5.5217682999999997"/>
    <s v="Inverse"/>
    <s v="NA"/>
  </r>
  <r>
    <x v="0"/>
    <x v="1"/>
    <s v="Ofaveolata006265"/>
    <n v="-2.0906940999999999"/>
    <m/>
    <n v="-1.0231376999999999"/>
    <s v="Direct"/>
    <s v="NA"/>
  </r>
  <r>
    <x v="0"/>
    <x v="1"/>
    <s v="Ofaveolata006294"/>
    <n v="1.73685858"/>
    <m/>
    <n v="2.02918237"/>
    <s v="Direct"/>
    <s v="cell-matrix adhesion"/>
  </r>
  <r>
    <x v="0"/>
    <x v="1"/>
    <s v="Ofaveolata006370"/>
    <n v="1.6858593799999999"/>
    <m/>
    <n v="-18.000022999999999"/>
    <s v="Inverse"/>
    <s v="NA"/>
  </r>
  <r>
    <x v="0"/>
    <x v="1"/>
    <s v="Ofaveolata006376"/>
    <n v="-1.7717339000000001"/>
    <m/>
    <n v="-2.3010587"/>
    <s v="Direct"/>
    <s v="NA"/>
  </r>
  <r>
    <x v="0"/>
    <x v="1"/>
    <s v="Ofaveolata006420"/>
    <n v="-2.0991352999999999"/>
    <m/>
    <n v="-2.0477740999999998"/>
    <s v="Direct"/>
    <s v="NA"/>
  </r>
  <r>
    <x v="0"/>
    <x v="1"/>
    <s v="Ofaveolata006433"/>
    <n v="1.2534106599999999"/>
    <m/>
    <n v="2.6462789299999998"/>
    <s v="Direct"/>
    <s v="NA"/>
  </r>
  <r>
    <x v="0"/>
    <x v="1"/>
    <s v="Ofaveolata006443"/>
    <n v="-1.1318204000000001"/>
    <m/>
    <n v="-1.4068578"/>
    <s v="Direct"/>
    <s v="NA"/>
  </r>
  <r>
    <x v="0"/>
    <x v="1"/>
    <s v="Ofaveolata006566"/>
    <n v="-2.6360961999999999"/>
    <m/>
    <n v="-5.0524354999999996"/>
    <s v="Direct"/>
    <s v="barrier to autointegration factor 1"/>
  </r>
  <r>
    <x v="0"/>
    <x v="1"/>
    <s v="Ofaveolata006691"/>
    <n v="-1.5674733000000001"/>
    <m/>
    <n v="-1.8079599"/>
    <s v="Direct"/>
    <s v="rRNA (uridine-2'-O-)-methyltransferase activity"/>
  </r>
  <r>
    <x v="0"/>
    <x v="1"/>
    <s v="Ofaveolata006804"/>
    <n v="-2.6639482000000001"/>
    <m/>
    <n v="-2.0518366000000001"/>
    <s v="Direct"/>
    <s v="Zinc finger C-x8-C-x5-C-x3-H type (and similar)"/>
  </r>
  <r>
    <x v="0"/>
    <x v="1"/>
    <s v="Ofaveolata006897"/>
    <n v="-1.2100453"/>
    <m/>
    <n v="-1.9667110000000001"/>
    <s v="Direct"/>
    <s v="NA"/>
  </r>
  <r>
    <x v="0"/>
    <x v="1"/>
    <s v="Ofaveolata006910"/>
    <n v="-3.7552720000000002"/>
    <m/>
    <n v="-13.537568"/>
    <s v="Direct"/>
    <s v="NA"/>
  </r>
  <r>
    <x v="0"/>
    <x v="1"/>
    <s v="Ofaveolata007062"/>
    <n v="2.69860473"/>
    <m/>
    <n v="-1.0058069000000001"/>
    <s v="Inverse"/>
    <s v="Pentafunctional AROM polypeptide-like"/>
  </r>
  <r>
    <x v="0"/>
    <x v="1"/>
    <s v="Ofaveolata007098"/>
    <n v="-2.0991352999999999"/>
    <m/>
    <n v="-2.7625410000000001"/>
    <s v="Direct"/>
    <s v="negative regulation of appetite"/>
  </r>
  <r>
    <x v="0"/>
    <x v="1"/>
    <s v="Ofaveolata007100"/>
    <n v="1.06997484"/>
    <m/>
    <n v="1.1385464199999999"/>
    <s v="Direct"/>
    <s v="CS domain"/>
  </r>
  <r>
    <x v="0"/>
    <x v="1"/>
    <s v="Ofaveolata007104"/>
    <n v="-1.2253166"/>
    <m/>
    <n v="-3.7445648"/>
    <s v="Direct"/>
    <s v="dynactin binding"/>
  </r>
  <r>
    <x v="0"/>
    <x v="1"/>
    <s v="Ofaveolata007437"/>
    <n v="1.5350208000000001"/>
    <m/>
    <n v="13.5590796"/>
    <s v="Direct"/>
    <s v="acetyl-CoA metabolic process"/>
  </r>
  <r>
    <x v="0"/>
    <x v="1"/>
    <s v="Ofaveolata007460"/>
    <n v="-1.1699387999999999"/>
    <m/>
    <n v="-1.594708"/>
    <s v="Direct"/>
    <s v="NA"/>
  </r>
  <r>
    <x v="0"/>
    <x v="1"/>
    <s v="Ofaveolata007801"/>
    <n v="-1.2012977"/>
    <m/>
    <n v="-1.0092445000000001"/>
    <s v="Direct"/>
    <s v="voltage-gated potassium channel activity"/>
  </r>
  <r>
    <x v="0"/>
    <x v="1"/>
    <s v="Ofaveolata007885"/>
    <n v="-1.0070675"/>
    <m/>
    <n v="-1.1651841999999999"/>
    <s v="Direct"/>
    <s v="XIAP-associated factor 1-like"/>
  </r>
  <r>
    <x v="0"/>
    <x v="1"/>
    <s v="Ofaveolata007927"/>
    <n v="-3.1144319"/>
    <m/>
    <n v="-2.990529"/>
    <s v="Direct"/>
    <s v="asparaginase activity"/>
  </r>
  <r>
    <x v="0"/>
    <x v="1"/>
    <s v="Ofaveolata007940"/>
    <n v="1.376493"/>
    <m/>
    <n v="-1.6037656"/>
    <s v="Inverse"/>
    <s v="Globin"/>
  </r>
  <r>
    <x v="0"/>
    <x v="1"/>
    <s v="Ofaveolata007956"/>
    <n v="-1.7721214000000001"/>
    <m/>
    <n v="-1.8517576"/>
    <s v="Direct"/>
    <s v="E3 ubiquitin-protein ligase synoviolin"/>
  </r>
  <r>
    <x v="0"/>
    <x v="1"/>
    <s v="Ofaveolata007989"/>
    <n v="-1.0436867000000001"/>
    <m/>
    <n v="-3.9434942999999998"/>
    <s v="Direct"/>
    <s v="subunit of the gamma-secretase complex, an endoprotease complex that catalyzes the intramembrane cleavage of integral membrane proteins such as Notch receptors"/>
  </r>
  <r>
    <x v="0"/>
    <x v="1"/>
    <s v="Ofaveolata008090"/>
    <n v="-1.2059776"/>
    <m/>
    <n v="-1.7143113999999999"/>
    <s v="Direct"/>
    <s v="NA"/>
  </r>
  <r>
    <x v="0"/>
    <x v="1"/>
    <s v="Ofaveolata008149"/>
    <n v="-1.5069942999999999"/>
    <m/>
    <n v="-5.6995142000000003"/>
    <s v="Direct"/>
    <s v="NA"/>
  </r>
  <r>
    <x v="0"/>
    <x v="1"/>
    <s v="Ofaveolata008257"/>
    <n v="1.5329769499999999"/>
    <m/>
    <n v="-4.8122166999999996"/>
    <s v="Inverse"/>
    <s v="NA"/>
  </r>
  <r>
    <x v="0"/>
    <x v="1"/>
    <s v="Ofaveolata008267"/>
    <n v="1.03087653"/>
    <m/>
    <n v="-1.9324325"/>
    <s v="Inverse"/>
    <s v="peroxidase activity"/>
  </r>
  <r>
    <x v="0"/>
    <x v="1"/>
    <s v="Ofaveolata008394"/>
    <n v="2.09913528"/>
    <m/>
    <n v="-18.395230000000002"/>
    <s v="Inverse"/>
    <s v="peptidyl-prolyl cis-trans isomerase activity"/>
  </r>
  <r>
    <x v="0"/>
    <x v="1"/>
    <s v="Ofaveolata008535"/>
    <n v="2.1565563700000001"/>
    <m/>
    <n v="-1.3266332000000001"/>
    <s v="Inverse"/>
    <s v="NA"/>
  </r>
  <r>
    <x v="0"/>
    <x v="1"/>
    <s v="Ofaveolata008567"/>
    <n v="-1.1571118"/>
    <m/>
    <n v="-1.6802238"/>
    <s v="Direct"/>
    <s v="NA"/>
  </r>
  <r>
    <x v="0"/>
    <x v="1"/>
    <s v="Ofaveolata009043"/>
    <n v="1.0406690999999999"/>
    <m/>
    <n v="-2.7710477999999998"/>
    <s v="Inverse"/>
    <s v="NA"/>
  </r>
  <r>
    <x v="0"/>
    <x v="1"/>
    <s v="Ofaveolata009049"/>
    <n v="1.26196218"/>
    <m/>
    <n v="-1.6798005"/>
    <s v="Inverse"/>
    <s v="NA"/>
  </r>
  <r>
    <x v="0"/>
    <x v="1"/>
    <s v="Ofaveolata009257"/>
    <n v="2.5061378300000001"/>
    <m/>
    <n v="-1.0488978"/>
    <s v="Inverse"/>
    <s v="Belongs to the glycosyltransferase 43 family"/>
  </r>
  <r>
    <x v="0"/>
    <x v="1"/>
    <s v="Ofaveolata009302"/>
    <n v="2.5145299099999998"/>
    <m/>
    <n v="-5.9181343999999996"/>
    <s v="Inverse"/>
    <s v="neurogenic locus notch homolog protein"/>
  </r>
  <r>
    <x v="0"/>
    <x v="1"/>
    <s v="Ofaveolata009338"/>
    <n v="-1.2268368999999999"/>
    <m/>
    <n v="-3.8425375000000002"/>
    <s v="Direct"/>
    <s v="NA"/>
  </r>
  <r>
    <x v="0"/>
    <x v="1"/>
    <s v="Ofaveolata009407"/>
    <n v="-1.2676099999999999"/>
    <m/>
    <n v="-3.8267601999999998"/>
    <s v="Direct"/>
    <s v="fibroblast growth factor-activated receptor activity"/>
  </r>
  <r>
    <x v="0"/>
    <x v="1"/>
    <s v="Ofaveolata009599"/>
    <n v="-2.4520469999999999"/>
    <m/>
    <n v="2.2747872199999999"/>
    <s v="Inverse"/>
    <s v="NA"/>
  </r>
  <r>
    <x v="0"/>
    <x v="1"/>
    <s v="Ofaveolata009607"/>
    <n v="-1.4450259999999999"/>
    <m/>
    <n v="-1.8822901999999999"/>
    <s v="Direct"/>
    <s v="NA"/>
  </r>
  <r>
    <x v="0"/>
    <x v="1"/>
    <s v="Ofaveolata009789"/>
    <n v="-1.0436867000000001"/>
    <m/>
    <n v="-1.2836917000000001"/>
    <s v="Direct"/>
    <s v="NA"/>
  </r>
  <r>
    <x v="0"/>
    <x v="1"/>
    <s v="Ofaveolata010025"/>
    <n v="-1.5314217999999999"/>
    <m/>
    <n v="-1.0492614"/>
    <s v="Direct"/>
    <s v="NA"/>
  </r>
  <r>
    <x v="0"/>
    <x v="1"/>
    <s v="Ofaveolata010071"/>
    <n v="-1.4560892000000001"/>
    <m/>
    <n v="1.84582713"/>
    <s v="Inverse"/>
    <s v="NA"/>
  </r>
  <r>
    <x v="0"/>
    <x v="1"/>
    <s v="Ofaveolata010180"/>
    <n v="-2.0078133"/>
    <m/>
    <n v="-2.0094834000000001"/>
    <s v="Direct"/>
    <s v="epithelial to mesenchymal transition"/>
  </r>
  <r>
    <x v="0"/>
    <x v="1"/>
    <s v="Ofaveolata010190"/>
    <n v="2.4498564799999998"/>
    <m/>
    <n v="4.1339861200000003"/>
    <s v="Direct"/>
    <s v="neurotrophin receptor activity"/>
  </r>
  <r>
    <x v="0"/>
    <x v="1"/>
    <s v="Ofaveolata010222"/>
    <n v="2.7611254600000001"/>
    <m/>
    <n v="-3.5088650000000001"/>
    <s v="Inverse"/>
    <s v="NA"/>
  </r>
  <r>
    <x v="0"/>
    <x v="1"/>
    <s v="Ofaveolata010299"/>
    <n v="-1.6027899000000001"/>
    <m/>
    <n v="-3.4375494"/>
    <s v="Direct"/>
    <s v="acyl-coenzyme A thioesterase"/>
  </r>
  <r>
    <x v="0"/>
    <x v="1"/>
    <s v="Ofaveolata010384"/>
    <n v="-2.2365955"/>
    <m/>
    <n v="-3.2152856000000001"/>
    <s v="Direct"/>
    <s v="procollagen-proline 3-dioxygenase activity"/>
  </r>
  <r>
    <x v="0"/>
    <x v="1"/>
    <s v="Ofaveolata010491"/>
    <n v="-1.0852187"/>
    <m/>
    <n v="-1.3661818999999999"/>
    <s v="Direct"/>
    <s v="Arrestin (or S-antigen), N-terminal domain"/>
  </r>
  <r>
    <x v="0"/>
    <x v="1"/>
    <s v="Ofaveolata010511"/>
    <n v="-1.9920993"/>
    <m/>
    <n v="-4.147691"/>
    <s v="Direct"/>
    <s v="NA"/>
  </r>
  <r>
    <x v="0"/>
    <x v="1"/>
    <s v="Ofaveolata010570"/>
    <n v="1.7467672299999999"/>
    <m/>
    <n v="-2.0909224000000002"/>
    <s v="Inverse"/>
    <s v="NA"/>
  </r>
  <r>
    <x v="0"/>
    <x v="1"/>
    <s v="Ofaveolata010629"/>
    <n v="-1.5818232000000001"/>
    <m/>
    <n v="-2.0869531000000001"/>
    <s v="Direct"/>
    <s v="negative regulation of TOR signaling"/>
  </r>
  <r>
    <x v="0"/>
    <x v="1"/>
    <s v="Ofaveolata010632"/>
    <n v="-1.9168095000000001"/>
    <m/>
    <n v="-1.5654151000000001"/>
    <s v="Direct"/>
    <s v="NA"/>
  </r>
  <r>
    <x v="0"/>
    <x v="1"/>
    <s v="Ofaveolata010677"/>
    <n v="1.21378849"/>
    <m/>
    <n v="2.5595469099999999"/>
    <s v="Direct"/>
    <s v="manganese ion transmembrane transporter activity"/>
  </r>
  <r>
    <x v="0"/>
    <x v="1"/>
    <s v="Ofaveolata010732"/>
    <n v="-1.7360164"/>
    <m/>
    <n v="-2.4087553000000002"/>
    <s v="Direct"/>
    <s v="positive regulation of TOR signaling"/>
  </r>
  <r>
    <x v="0"/>
    <x v="1"/>
    <s v="Ofaveolata010794"/>
    <n v="-1.0960899"/>
    <m/>
    <n v="1.0907804299999999"/>
    <s v="Inverse"/>
    <s v="D-arabinitol dehydrogenase 1-like"/>
  </r>
  <r>
    <x v="0"/>
    <x v="1"/>
    <s v="Ofaveolata010796"/>
    <n v="1.4685670200000001"/>
    <m/>
    <n v="-4.805294"/>
    <s v="Inverse"/>
    <s v="glutathione peroxidase activity"/>
  </r>
  <r>
    <x v="0"/>
    <x v="1"/>
    <s v="Ofaveolata010814"/>
    <n v="-1.2101868"/>
    <m/>
    <n v="-1.8645148"/>
    <s v="Direct"/>
    <s v="Glucose-induced degradation protein 8 homolog"/>
  </r>
  <r>
    <x v="0"/>
    <x v="1"/>
    <s v="Ofaveolata010965"/>
    <n v="-1.0422556999999999"/>
    <m/>
    <n v="-1.9666332"/>
    <s v="Direct"/>
    <s v="isocitrate dehydrogenase (NADP+) activity"/>
  </r>
  <r>
    <x v="0"/>
    <x v="1"/>
    <s v="Ofaveolata011068"/>
    <n v="-2.2839616"/>
    <m/>
    <n v="-2.0899200000000002"/>
    <s v="Direct"/>
    <s v="renal phosphate ion absorption"/>
  </r>
  <r>
    <x v="0"/>
    <x v="1"/>
    <s v="Ofaveolata011077"/>
    <n v="3.7552719699999999"/>
    <m/>
    <n v="1.4881518499999999"/>
    <s v="Direct"/>
    <s v="neuronal"/>
  </r>
  <r>
    <x v="0"/>
    <x v="1"/>
    <s v="Ofaveolata011147"/>
    <n v="-2.7069619"/>
    <m/>
    <n v="-3.7191633999999998"/>
    <s v="Direct"/>
    <s v="cysteine-type endopeptidase inhibitor activity"/>
  </r>
  <r>
    <x v="0"/>
    <x v="1"/>
    <s v="Ofaveolata011228"/>
    <n v="-1.2747702000000001"/>
    <m/>
    <n v="-1.8683814999999999"/>
    <s v="Direct"/>
    <s v="negative regulation of protein localization to centrosome"/>
  </r>
  <r>
    <x v="0"/>
    <x v="1"/>
    <s v="Ofaveolata011375"/>
    <n v="-2.5027183000000002"/>
    <m/>
    <n v="-4.2433977000000001"/>
    <s v="Direct"/>
    <s v="Universal stress protein family"/>
  </r>
  <r>
    <x v="0"/>
    <x v="1"/>
    <s v="Ofaveolata011707"/>
    <n v="-1.0593208999999999"/>
    <m/>
    <n v="-1.607605"/>
    <s v="Direct"/>
    <s v="NA"/>
  </r>
  <r>
    <x v="0"/>
    <x v="1"/>
    <s v="Ofaveolata012288"/>
    <n v="-1.3187907999999999"/>
    <m/>
    <n v="-1.5497471"/>
    <s v="Direct"/>
    <s v="dipeptidase activity"/>
  </r>
  <r>
    <x v="0"/>
    <x v="1"/>
    <s v="Ofaveolata012625"/>
    <n v="-1.2668394000000001"/>
    <m/>
    <n v="-2.0862847000000002"/>
    <s v="Direct"/>
    <s v="regulation of cilium-dependent cell motility"/>
  </r>
  <r>
    <x v="0"/>
    <x v="1"/>
    <s v="Ofaveolata012632"/>
    <n v="2.0702497499999999"/>
    <m/>
    <n v="-3.9788549999999998"/>
    <s v="Inverse"/>
    <s v="NA"/>
  </r>
  <r>
    <x v="0"/>
    <x v="1"/>
    <s v="Ofaveolata012655"/>
    <n v="1.3306383900000001"/>
    <m/>
    <n v="-2.0840926"/>
    <s v="Inverse"/>
    <s v="zinc ion binding"/>
  </r>
  <r>
    <x v="0"/>
    <x v="1"/>
    <s v="Ofaveolata012694"/>
    <n v="1.3322797799999999"/>
    <m/>
    <n v="-10.826692"/>
    <s v="Inverse"/>
    <s v="NA"/>
  </r>
  <r>
    <x v="0"/>
    <x v="1"/>
    <s v="Ofaveolata012699"/>
    <n v="1.99801567"/>
    <m/>
    <n v="1.3755117100000001"/>
    <s v="Direct"/>
    <s v="Activating transcription factor"/>
  </r>
  <r>
    <x v="0"/>
    <x v="1"/>
    <s v="Ofaveolata012700"/>
    <n v="2.3582261500000001"/>
    <m/>
    <n v="-1.0241787"/>
    <s v="Inverse"/>
    <s v="NA"/>
  </r>
  <r>
    <x v="0"/>
    <x v="1"/>
    <s v="Ofaveolata012701"/>
    <n v="1.9243410599999999"/>
    <m/>
    <n v="-1.3498490999999999"/>
    <s v="Inverse"/>
    <s v="NA"/>
  </r>
  <r>
    <x v="0"/>
    <x v="1"/>
    <s v="Ofaveolata012705"/>
    <n v="1.1865764299999999"/>
    <m/>
    <n v="-6.3992154000000001"/>
    <s v="Inverse"/>
    <s v="NA"/>
  </r>
  <r>
    <x v="0"/>
    <x v="1"/>
    <s v="Ofaveolata012707"/>
    <n v="1.0116907100000001"/>
    <m/>
    <n v="-2.1636302999999999"/>
    <s v="Inverse"/>
    <s v="NA"/>
  </r>
  <r>
    <x v="0"/>
    <x v="1"/>
    <s v="Ofaveolata012708"/>
    <n v="1.3137764199999999"/>
    <m/>
    <n v="-5.2882609"/>
    <s v="Inverse"/>
    <s v="NA"/>
  </r>
  <r>
    <x v="0"/>
    <x v="1"/>
    <s v="Ofaveolata012743"/>
    <n v="-1.213171"/>
    <m/>
    <n v="-1.9734088000000001"/>
    <s v="Direct"/>
    <s v="NA"/>
  </r>
  <r>
    <x v="0"/>
    <x v="1"/>
    <s v="Ofaveolata012750"/>
    <n v="1.89395319"/>
    <m/>
    <n v="2.2614345299999998"/>
    <s v="Direct"/>
    <s v="NA"/>
  </r>
  <r>
    <x v="0"/>
    <x v="1"/>
    <s v="Ofaveolata012781"/>
    <n v="-1.7026707000000001"/>
    <m/>
    <n v="-2.2377034999999998"/>
    <s v="Direct"/>
    <s v="NA"/>
  </r>
  <r>
    <x v="0"/>
    <x v="1"/>
    <s v="Ofaveolata012865"/>
    <n v="-1.0828853000000001"/>
    <m/>
    <n v="-2.2257017000000001"/>
    <s v="Direct"/>
    <s v="NA"/>
  </r>
  <r>
    <x v="0"/>
    <x v="1"/>
    <s v="Ofaveolata012899"/>
    <n v="1.4892896799999999"/>
    <m/>
    <n v="-1.9349544999999999"/>
    <s v="Inverse"/>
    <s v="sulfuric ester hydrolase activity"/>
  </r>
  <r>
    <x v="0"/>
    <x v="1"/>
    <s v="Ofaveolata012935"/>
    <n v="-1.5031030000000001"/>
    <m/>
    <n v="-1.0541026"/>
    <s v="Direct"/>
    <s v="histone binding"/>
  </r>
  <r>
    <x v="0"/>
    <x v="1"/>
    <s v="Ofaveolata012985"/>
    <n v="-1.2183018999999999"/>
    <m/>
    <n v="-7.6526468000000003"/>
    <s v="Direct"/>
    <s v="NA"/>
  </r>
  <r>
    <x v="0"/>
    <x v="1"/>
    <s v="Ofaveolata013087"/>
    <n v="-1.9019946999999999"/>
    <m/>
    <n v="9.9425992599999997"/>
    <s v="Inverse"/>
    <s v="calcium ion binding"/>
  </r>
  <r>
    <x v="0"/>
    <x v="1"/>
    <s v="Ofaveolata013095"/>
    <n v="-2.7305784000000002"/>
    <m/>
    <n v="-8.9971692999999995"/>
    <s v="Direct"/>
    <s v="NA"/>
  </r>
  <r>
    <x v="0"/>
    <x v="1"/>
    <s v="Ofaveolata013123"/>
    <n v="2.0220831700000002"/>
    <m/>
    <n v="-1.7515202000000001"/>
    <s v="Inverse"/>
    <s v="integrin binding"/>
  </r>
  <r>
    <x v="0"/>
    <x v="1"/>
    <s v="Ofaveolata013287"/>
    <n v="-1.0977144999999999"/>
    <m/>
    <n v="-3.6264740999999998"/>
    <s v="Direct"/>
    <s v="Si dkey-5i3.5"/>
  </r>
  <r>
    <x v="0"/>
    <x v="1"/>
    <s v="Ofaveolata013348"/>
    <n v="-1.0343720999999999"/>
    <m/>
    <n v="-3.6987323000000001"/>
    <s v="Direct"/>
    <s v="NA"/>
  </r>
  <r>
    <x v="0"/>
    <x v="1"/>
    <s v="Ofaveolata013368"/>
    <n v="-2.6539016000000002"/>
    <m/>
    <n v="-6.0830446"/>
    <s v="Direct"/>
    <s v="NA"/>
  </r>
  <r>
    <x v="0"/>
    <x v="1"/>
    <s v="Ofaveolata013370"/>
    <n v="-2.7570404000000002"/>
    <m/>
    <n v="-6.2832705000000004"/>
    <s v="Direct"/>
    <s v="NA"/>
  </r>
  <r>
    <x v="0"/>
    <x v="1"/>
    <s v="Ofaveolata013386"/>
    <n v="-2.3530242000000001"/>
    <m/>
    <n v="-1.7711796"/>
    <s v="Direct"/>
    <s v="NA"/>
  </r>
  <r>
    <x v="0"/>
    <x v="1"/>
    <s v="Ofaveolata013485"/>
    <n v="-1.9306455"/>
    <m/>
    <n v="-2.6872262"/>
    <s v="Direct"/>
    <s v="glycogen (starch) synthase activity"/>
  </r>
  <r>
    <x v="0"/>
    <x v="1"/>
    <s v="Ofaveolata013556"/>
    <n v="1.62570126"/>
    <m/>
    <n v="-1.7479104000000001"/>
    <s v="Inverse"/>
    <s v="steroid binding"/>
  </r>
  <r>
    <x v="0"/>
    <x v="1"/>
    <s v="Ofaveolata013702"/>
    <n v="-1.7721214000000001"/>
    <m/>
    <n v="-3.7351646000000001"/>
    <s v="Direct"/>
    <s v="NA"/>
  </r>
  <r>
    <x v="0"/>
    <x v="1"/>
    <s v="Ofaveolata013730"/>
    <n v="-1.2600363000000001"/>
    <m/>
    <n v="-3.0929649000000001"/>
    <s v="Direct"/>
    <s v="NA"/>
  </r>
  <r>
    <x v="0"/>
    <x v="1"/>
    <s v="Ofaveolata013818"/>
    <n v="-1.2252367"/>
    <m/>
    <n v="-6.9626174000000001"/>
    <s v="Direct"/>
    <s v="Glutathione S-transferase, N-terminal domain"/>
  </r>
  <r>
    <x v="0"/>
    <x v="1"/>
    <s v="Ofaveolata013894"/>
    <n v="-2.5281747000000001"/>
    <m/>
    <n v="-2.2736776000000001"/>
    <s v="Direct"/>
    <s v="cilium disassembly"/>
  </r>
  <r>
    <x v="0"/>
    <x v="1"/>
    <s v="Ofaveolata013939"/>
    <n v="2.1858620800000002"/>
    <m/>
    <n v="2.7605315500000001"/>
    <s v="Direct"/>
    <s v="NA"/>
  </r>
  <r>
    <x v="0"/>
    <x v="1"/>
    <s v="Ofaveolata013965"/>
    <n v="-1.5465742"/>
    <m/>
    <n v="-2.0840926"/>
    <s v="Direct"/>
    <s v="NA"/>
  </r>
  <r>
    <x v="0"/>
    <x v="1"/>
    <s v="Ofaveolata014189"/>
    <n v="1.8451027499999999"/>
    <m/>
    <n v="-2.1051313999999999"/>
    <s v="Inverse"/>
    <s v="alpha-L-fucosidase activity"/>
  </r>
  <r>
    <x v="0"/>
    <x v="1"/>
    <s v="Ofaveolata014321"/>
    <n v="-1.2038884000000001"/>
    <m/>
    <n v="-2.0518366000000001"/>
    <s v="Direct"/>
    <s v="NA"/>
  </r>
  <r>
    <x v="0"/>
    <x v="1"/>
    <s v="Ofaveolata014545"/>
    <n v="-1.261706"/>
    <m/>
    <n v="-3.5067168"/>
    <s v="Direct"/>
    <s v="Meiosis expressed gene 1 protein homolog"/>
  </r>
  <r>
    <x v="0"/>
    <x v="1"/>
    <s v="Ofaveolata014566"/>
    <n v="-1.4510318"/>
    <m/>
    <n v="-1.3545141999999999"/>
    <s v="Direct"/>
    <s v="Growth factor receptor-bound protein 2"/>
  </r>
  <r>
    <x v="0"/>
    <x v="1"/>
    <s v="Ofaveolata014737"/>
    <n v="-1.2268368999999999"/>
    <m/>
    <n v="-2.5731856"/>
    <s v="Direct"/>
    <s v="7 transmembrane receptor (rhodopsin family)"/>
  </r>
  <r>
    <x v="0"/>
    <x v="1"/>
    <s v="Ofaveolata014852"/>
    <n v="5.9609222700000002"/>
    <m/>
    <n v="3.9679333300000001"/>
    <s v="Direct"/>
    <s v="IPT/TIG domain"/>
  </r>
  <r>
    <x v="0"/>
    <x v="1"/>
    <s v="Ofaveolata014914"/>
    <n v="2.3233525500000001"/>
    <m/>
    <n v="-1.4233359000000001"/>
    <s v="Inverse"/>
    <s v="Dermatopontin"/>
  </r>
  <r>
    <x v="0"/>
    <x v="1"/>
    <s v="Ofaveolata014970"/>
    <n v="-1.6657090999999999"/>
    <m/>
    <n v="-2.1639097"/>
    <s v="Direct"/>
    <s v="negative regulation of protein localization to ciliary membrane"/>
  </r>
  <r>
    <x v="0"/>
    <x v="1"/>
    <s v="Ofaveolata014975"/>
    <n v="2.0868259199999999"/>
    <m/>
    <n v="-6.5186299999999999"/>
    <s v="Inverse"/>
    <s v="NA"/>
  </r>
  <r>
    <x v="0"/>
    <x v="1"/>
    <s v="Ofaveolata014995"/>
    <n v="-1.2446740000000001"/>
    <m/>
    <n v="-1.7929423"/>
    <s v="Direct"/>
    <s v="Functions as actin-binding component of the Arp2 3 complex which is involved in regulation of actin polymerization and together with an activating nucleation-promoting factor (NPF) mediates the formation of branched actin networks"/>
  </r>
  <r>
    <x v="0"/>
    <x v="1"/>
    <s v="Ofaveolata015101"/>
    <n v="-1.4103763"/>
    <m/>
    <n v="-9.9448503000000006"/>
    <s v="Direct"/>
    <s v="NA"/>
  </r>
  <r>
    <x v="0"/>
    <x v="1"/>
    <s v="Ofaveolata015217"/>
    <n v="-1.0553081"/>
    <m/>
    <n v="-1.2316579000000001"/>
    <s v="Direct"/>
    <s v="O-fucosyltransferase 2"/>
  </r>
  <r>
    <x v="0"/>
    <x v="1"/>
    <s v="Ofaveolata015357"/>
    <n v="-1.0260505"/>
    <m/>
    <n v="-4.805294"/>
    <s v="Direct"/>
    <s v="vesicle fusion with Golgi apparatus"/>
  </r>
  <r>
    <x v="0"/>
    <x v="1"/>
    <s v="Ofaveolata015516"/>
    <n v="-1.3132554000000001"/>
    <m/>
    <n v="-1.5775071000000001"/>
    <s v="Direct"/>
    <s v="NA"/>
  </r>
  <r>
    <x v="0"/>
    <x v="1"/>
    <s v="Ofaveolata015525"/>
    <n v="-1.2738265"/>
    <m/>
    <n v="1.76116607"/>
    <s v="Inverse"/>
    <s v="NA"/>
  </r>
  <r>
    <x v="0"/>
    <x v="1"/>
    <s v="Ofaveolata015532"/>
    <n v="-1.4115255"/>
    <m/>
    <n v="-1.6153369"/>
    <s v="Direct"/>
    <s v="ATPase activity, coupled to transmembrane movement of substances"/>
  </r>
  <r>
    <x v="0"/>
    <x v="1"/>
    <s v="Ofaveolata015761"/>
    <n v="-1.6859761"/>
    <m/>
    <n v="-1.1522363"/>
    <s v="Direct"/>
    <s v="carbohydrate binding"/>
  </r>
  <r>
    <x v="0"/>
    <x v="1"/>
    <s v="Ofaveolata015856"/>
    <n v="-8.9395906000000007"/>
    <m/>
    <n v="-5.0130694"/>
    <s v="Direct"/>
    <s v="NA"/>
  </r>
  <r>
    <x v="0"/>
    <x v="1"/>
    <s v="Ofaveolata016020"/>
    <n v="1.7016554100000001"/>
    <m/>
    <n v="5.2943685199999999"/>
    <s v="Direct"/>
    <s v="Universal stress protein family"/>
  </r>
  <r>
    <x v="0"/>
    <x v="1"/>
    <s v="Ofaveolata016131"/>
    <n v="1.05475911"/>
    <m/>
    <n v="-5.0773902"/>
    <s v="Inverse"/>
    <s v="NA"/>
  </r>
  <r>
    <x v="0"/>
    <x v="1"/>
    <s v="Ofaveolata016157"/>
    <n v="-1.0963083"/>
    <m/>
    <n v="-5.9054278"/>
    <s v="Direct"/>
    <s v="NA"/>
  </r>
  <r>
    <x v="0"/>
    <x v="1"/>
    <s v="Ofaveolata016246"/>
    <n v="1.0334759"/>
    <m/>
    <n v="-3.4872413999999998"/>
    <s v="Inverse"/>
    <s v="NA"/>
  </r>
  <r>
    <x v="0"/>
    <x v="1"/>
    <s v="Ofaveolata016252"/>
    <n v="1.56512082"/>
    <m/>
    <n v="-1.4802917"/>
    <s v="Inverse"/>
    <s v="NA"/>
  </r>
  <r>
    <x v="0"/>
    <x v="1"/>
    <s v="Ofaveolata016255"/>
    <n v="2.0906941099999998"/>
    <m/>
    <n v="-1.2110082"/>
    <s v="Inverse"/>
    <s v="NA"/>
  </r>
  <r>
    <x v="0"/>
    <x v="1"/>
    <s v="Ofaveolata016258"/>
    <n v="2.3260250500000001"/>
    <m/>
    <n v="-7.5453058000000004"/>
    <s v="Inverse"/>
    <s v="NA"/>
  </r>
  <r>
    <x v="0"/>
    <x v="1"/>
    <s v="Ofaveolata016260"/>
    <n v="2.2304948599999999"/>
    <m/>
    <n v="-3.4466915"/>
    <s v="Inverse"/>
    <s v="NA"/>
  </r>
  <r>
    <x v="0"/>
    <x v="1"/>
    <s v="Ofaveolata016327"/>
    <n v="-1.2721085000000001"/>
    <m/>
    <n v="-3.5079950000000002"/>
    <s v="Direct"/>
    <s v="ubiquitin-protein transferase activity"/>
  </r>
  <r>
    <x v="0"/>
    <x v="1"/>
    <s v="Ofaveolata016434"/>
    <n v="-2.1669892000000002"/>
    <m/>
    <n v="-2.347505"/>
    <s v="Direct"/>
    <s v="NA"/>
  </r>
  <r>
    <x v="0"/>
    <x v="1"/>
    <s v="Ofaveolata016491"/>
    <n v="-2.6871710000000002"/>
    <m/>
    <n v="-3.1334545"/>
    <s v="Direct"/>
    <s v="NA"/>
  </r>
  <r>
    <x v="0"/>
    <x v="1"/>
    <s v="Ofaveolata016588"/>
    <n v="1.6866862499999999"/>
    <m/>
    <n v="-13.810053"/>
    <s v="Inverse"/>
    <s v="NA"/>
  </r>
  <r>
    <x v="0"/>
    <x v="1"/>
    <s v="Ofaveolata016589"/>
    <n v="1.68597606"/>
    <m/>
    <n v="-4.4139945999999997"/>
    <s v="Inverse"/>
    <s v="NA"/>
  </r>
  <r>
    <x v="0"/>
    <x v="1"/>
    <s v="Ofaveolata016590"/>
    <n v="2.50532127"/>
    <m/>
    <n v="-7.3825368999999998"/>
    <s v="Inverse"/>
    <s v="NA"/>
  </r>
  <r>
    <x v="0"/>
    <x v="1"/>
    <s v="Ofaveolata016591"/>
    <n v="1.89621431"/>
    <m/>
    <n v="-3.3825886000000001"/>
    <s v="Inverse"/>
    <s v="NA"/>
  </r>
  <r>
    <x v="0"/>
    <x v="1"/>
    <s v="Ofaveolata016596"/>
    <n v="1.460553"/>
    <m/>
    <n v="-9.5079930000000008"/>
    <s v="Inverse"/>
    <s v="NA"/>
  </r>
  <r>
    <x v="0"/>
    <x v="1"/>
    <s v="Ofaveolata016643"/>
    <n v="1.34978854"/>
    <m/>
    <n v="-6.7710894000000001"/>
    <s v="Inverse"/>
    <s v="NA"/>
  </r>
  <r>
    <x v="0"/>
    <x v="1"/>
    <s v="Ofaveolata016659"/>
    <n v="-1.2747702000000001"/>
    <m/>
    <n v="-2.5002469999999999"/>
    <s v="Direct"/>
    <s v="mitochondrial electron transport, NADH to ubiquinone"/>
  </r>
  <r>
    <x v="0"/>
    <x v="1"/>
    <s v="Ofaveolata016671"/>
    <n v="3.55370951"/>
    <m/>
    <n v="3.1384842100000001"/>
    <s v="Direct"/>
    <s v="NADH dehydrogenase ubiquinone 1 alpha subcomplex subunit 4"/>
  </r>
  <r>
    <x v="0"/>
    <x v="1"/>
    <s v="Ofaveolata016688"/>
    <n v="-1.2405374"/>
    <m/>
    <n v="-1.3937539999999999"/>
    <s v="Direct"/>
    <s v="NA"/>
  </r>
  <r>
    <x v="0"/>
    <x v="1"/>
    <s v="Ofaveolata016958"/>
    <n v="-1.8305925999999999"/>
    <m/>
    <n v="-6.0644499999999999"/>
    <s v="Direct"/>
    <s v="organic anion transmembrane transporter activity"/>
  </r>
  <r>
    <x v="0"/>
    <x v="1"/>
    <s v="Ofaveolata016995"/>
    <n v="-2.7611254999999999"/>
    <m/>
    <n v="-2.3943992999999999"/>
    <s v="Direct"/>
    <s v="Thiamin pyrophosphokinase 1"/>
  </r>
  <r>
    <x v="0"/>
    <x v="1"/>
    <s v="Ofaveolata017057"/>
    <n v="1.60355683"/>
    <m/>
    <n v="-3.5140226999999999"/>
    <s v="Inverse"/>
    <s v="NA"/>
  </r>
  <r>
    <x v="0"/>
    <x v="1"/>
    <s v="Ofaveolata017058"/>
    <n v="1.7727359"/>
    <m/>
    <n v="-7.6146982999999997"/>
    <s v="Inverse"/>
    <s v="NA"/>
  </r>
  <r>
    <x v="0"/>
    <x v="1"/>
    <s v="Ofaveolata017062"/>
    <n v="2.04182511"/>
    <m/>
    <n v="-10.05564"/>
    <s v="Inverse"/>
    <s v="NA"/>
  </r>
  <r>
    <x v="0"/>
    <x v="1"/>
    <s v="Ofaveolata017130"/>
    <n v="2.2288473400000002"/>
    <m/>
    <n v="-1.0760124"/>
    <s v="Inverse"/>
    <s v="NA"/>
  </r>
  <r>
    <x v="0"/>
    <x v="1"/>
    <s v="Ofaveolata017138"/>
    <n v="1.28671359"/>
    <m/>
    <n v="-12.996027"/>
    <s v="Inverse"/>
    <s v="NA"/>
  </r>
  <r>
    <x v="0"/>
    <x v="1"/>
    <s v="Ofaveolata017139"/>
    <n v="1.1842556099999999"/>
    <m/>
    <n v="-12.970672"/>
    <s v="Inverse"/>
    <s v="NA"/>
  </r>
  <r>
    <x v="0"/>
    <x v="1"/>
    <s v="Ofaveolata017140"/>
    <n v="1.3649359299999999"/>
    <m/>
    <n v="-7.9065285000000003"/>
    <s v="Inverse"/>
    <s v="NA"/>
  </r>
  <r>
    <x v="0"/>
    <x v="1"/>
    <s v="Ofaveolata017141"/>
    <n v="1.34978854"/>
    <m/>
    <n v="-13.060452"/>
    <s v="Inverse"/>
    <s v="NA"/>
  </r>
  <r>
    <x v="0"/>
    <x v="1"/>
    <s v="Ofaveolata017142"/>
    <n v="1.31759816"/>
    <m/>
    <n v="-10.286545"/>
    <s v="Inverse"/>
    <s v="Galactose binding lectin domain"/>
  </r>
  <r>
    <x v="0"/>
    <x v="1"/>
    <s v="Ofaveolata017270"/>
    <n v="1.2412964099999999"/>
    <m/>
    <n v="1.8071671899999999"/>
    <s v="Direct"/>
    <s v="negative regulation of Ras protein signal transduction"/>
  </r>
  <r>
    <x v="0"/>
    <x v="1"/>
    <s v="Ofaveolata017337"/>
    <n v="-1.696089"/>
    <m/>
    <n v="-4.4264622999999998"/>
    <s v="Direct"/>
    <s v="Defective in cullin neddylation 1 domain containing"/>
  </r>
  <r>
    <x v="0"/>
    <x v="1"/>
    <s v="Ofaveolata017468"/>
    <n v="-2.2020441000000002"/>
    <m/>
    <n v="-3.5176460000000001"/>
    <s v="Direct"/>
    <s v="Argininosuccinate"/>
  </r>
  <r>
    <x v="0"/>
    <x v="1"/>
    <s v="Ofaveolata017589"/>
    <n v="-2.1394112999999999"/>
    <m/>
    <n v="-2.6127302000000001"/>
    <s v="Direct"/>
    <s v="NA"/>
  </r>
  <r>
    <x v="0"/>
    <x v="1"/>
    <s v="Ofaveolata017815"/>
    <n v="-1.1356908999999999"/>
    <m/>
    <n v="-1.0708606000000001"/>
    <s v="Direct"/>
    <s v="NA"/>
  </r>
  <r>
    <x v="0"/>
    <x v="1"/>
    <s v="Ofaveolata017869"/>
    <n v="1.7802125099999999"/>
    <m/>
    <n v="-8.2927152"/>
    <s v="Inverse"/>
    <s v="NA"/>
  </r>
  <r>
    <x v="0"/>
    <x v="1"/>
    <s v="Ofaveolata017873"/>
    <n v="2.4520469899999999"/>
    <m/>
    <n v="2.9449754800000001"/>
    <s v="Direct"/>
    <s v="NA"/>
  </r>
  <r>
    <x v="0"/>
    <x v="1"/>
    <s v="Ofaveolata017910"/>
    <n v="4.2525841900000003"/>
    <m/>
    <n v="1.9755650600000001"/>
    <s v="Direct"/>
    <s v="NA"/>
  </r>
  <r>
    <x v="0"/>
    <x v="1"/>
    <s v="Ofaveolata018164"/>
    <n v="-3.2401225"/>
    <m/>
    <n v="-1.9381358"/>
    <s v="Direct"/>
    <s v="NA"/>
  </r>
  <r>
    <x v="0"/>
    <x v="1"/>
    <s v="Ofaveolata018302"/>
    <n v="-1.8136269"/>
    <m/>
    <n v="-2.2066759999999999"/>
    <s v="Direct"/>
    <s v="ectonucleotide pyrophosphatase phosphodiesterase"/>
  </r>
  <r>
    <x v="0"/>
    <x v="1"/>
    <s v="Ofaveolata018388"/>
    <n v="-2.7963003999999998"/>
    <m/>
    <n v="-1.1194554000000001"/>
    <s v="Direct"/>
    <s v="sequence-specific DNA binding"/>
  </r>
  <r>
    <x v="0"/>
    <x v="1"/>
    <s v="Ofaveolata018491"/>
    <n v="-1.0682400999999999"/>
    <m/>
    <n v="-5.4580209999999996"/>
    <s v="Direct"/>
    <s v="translation initiation factor activity"/>
  </r>
  <r>
    <x v="0"/>
    <x v="1"/>
    <s v="Ofaveolata018790"/>
    <n v="-1.2495704000000001"/>
    <m/>
    <n v="-1.1461737999999999"/>
    <s v="Direct"/>
    <s v="NA"/>
  </r>
  <r>
    <x v="0"/>
    <x v="1"/>
    <s v="Ofaveolata018927"/>
    <n v="-2.5900639999999999"/>
    <m/>
    <n v="-4.7146046999999998"/>
    <s v="Direct"/>
    <s v="Belongs to the SelWTH family. Selenoprotein T subfamily"/>
  </r>
  <r>
    <x v="0"/>
    <x v="1"/>
    <s v="Ofaveolata019014"/>
    <n v="1.8781043900000001"/>
    <m/>
    <n v="-9.8755729999999993"/>
    <s v="Inverse"/>
    <s v="Metalloendopeptidase activity. It is involved in the biological process described with proteolysis"/>
  </r>
  <r>
    <x v="0"/>
    <x v="1"/>
    <s v="Ofaveolata019340"/>
    <n v="-1.3878238000000001"/>
    <m/>
    <n v="-2.3240902000000001"/>
    <s v="Direct"/>
    <s v="furry homolog"/>
  </r>
  <r>
    <x v="0"/>
    <x v="1"/>
    <s v="Ofaveolata019617"/>
    <n v="-1.1003290999999999"/>
    <m/>
    <n v="-4.0700136999999996"/>
    <s v="Direct"/>
    <s v="tripeptidyl-peptidase activity"/>
  </r>
  <r>
    <x v="0"/>
    <x v="1"/>
    <s v="Ofaveolata019732"/>
    <n v="2.7429853300000002"/>
    <m/>
    <n v="2.50089081"/>
    <s v="Direct"/>
    <s v="NACHT and WD repeat"/>
  </r>
  <r>
    <x v="0"/>
    <x v="1"/>
    <s v="Ofaveolata019868"/>
    <n v="-2.5408322000000001"/>
    <m/>
    <n v="-1.4730736"/>
    <s v="Direct"/>
    <s v="NA"/>
  </r>
  <r>
    <x v="0"/>
    <x v="1"/>
    <s v="Ofaveolata019918"/>
    <n v="3.6889655399999999"/>
    <m/>
    <n v="3.67328038"/>
    <s v="Direct"/>
    <s v="Rho guanyl-nucleotide exchange factor activity"/>
  </r>
  <r>
    <x v="0"/>
    <x v="1"/>
    <s v="Ofaveolata019954"/>
    <n v="-1.5998196"/>
    <m/>
    <n v="-2.2977405000000002"/>
    <s v="Direct"/>
    <s v="ITP binding"/>
  </r>
  <r>
    <x v="0"/>
    <x v="1"/>
    <s v="Ofaveolata020644"/>
    <n v="1.1287674299999999"/>
    <m/>
    <n v="-3.1914245999999999"/>
    <s v="Inverse"/>
    <s v="Metalloendopeptidase activity. It is involved in the biological process described with proteolysis"/>
  </r>
  <r>
    <x v="0"/>
    <x v="1"/>
    <s v="Ofaveolata021056"/>
    <n v="-1.9671597999999999"/>
    <m/>
    <n v="-2.0899200000000002"/>
    <s v="Direct"/>
    <s v="actin monomer binding"/>
  </r>
  <r>
    <x v="0"/>
    <x v="1"/>
    <s v="Ofaveolata021137"/>
    <n v="1.0417748"/>
    <m/>
    <n v="-1.4819252999999999"/>
    <s v="Inverse"/>
    <s v="Pregnancy-associated plasma protein-A"/>
  </r>
  <r>
    <x v="0"/>
    <x v="1"/>
    <s v="Ofaveolata021396"/>
    <n v="2.0431965499999998"/>
    <m/>
    <n v="-2.7561027999999999"/>
    <s v="Inverse"/>
    <s v="glutamic-type peptidase activity"/>
  </r>
  <r>
    <x v="0"/>
    <x v="1"/>
    <s v="Ofaveolata021422"/>
    <n v="-1.9470774"/>
    <m/>
    <n v="-3.3878770999999999"/>
    <s v="Direct"/>
    <s v="NA"/>
  </r>
  <r>
    <x v="0"/>
    <x v="1"/>
    <s v="Ofaveolata021459"/>
    <n v="-1.0537498000000001"/>
    <m/>
    <n v="-1.8457553"/>
    <s v="Direct"/>
    <s v="negative regulation of superoxide anion generation"/>
  </r>
  <r>
    <x v="0"/>
    <x v="1"/>
    <s v="Ofaveolata021550"/>
    <n v="-1.5123736999999999"/>
    <m/>
    <n v="-3.1483574999999999"/>
    <s v="Direct"/>
    <s v="Sparc osteonectin, cwcv and kazal-like domains proteoglycan (testican) 2"/>
  </r>
  <r>
    <x v="0"/>
    <x v="1"/>
    <s v="Ofaveolata021556"/>
    <n v="-4.321231"/>
    <m/>
    <n v="-1.5473361999999999"/>
    <s v="Direct"/>
    <s v="intracellular cholesterol transport"/>
  </r>
  <r>
    <x v="0"/>
    <x v="1"/>
    <s v="Ofaveolata021922"/>
    <n v="-1.6972299"/>
    <m/>
    <n v="2.5253434000000001"/>
    <s v="Inverse"/>
    <s v="Suppression of tumorigenicity 13 (colon carcinoma) (Hsp70 interacting protein)"/>
  </r>
  <r>
    <x v="0"/>
    <x v="1"/>
    <s v="Ofaveolata021968"/>
    <n v="1.68597606"/>
    <m/>
    <n v="-6.9494702999999998"/>
    <s v="Inverse"/>
    <s v="metallocarboxypeptidase activity"/>
  </r>
  <r>
    <x v="0"/>
    <x v="1"/>
    <s v="Ofaveolata022011"/>
    <n v="-1.4950323999999999"/>
    <m/>
    <n v="1.3328892400000001"/>
    <s v="Inverse"/>
    <s v="NA"/>
  </r>
  <r>
    <x v="0"/>
    <x v="1"/>
    <s v="Ofaveolata022018"/>
    <n v="1.21830186"/>
    <m/>
    <n v="-6.2984951000000002"/>
    <s v="Inverse"/>
    <s v="NA"/>
  </r>
  <r>
    <x v="0"/>
    <x v="1"/>
    <s v="Ofaveolata022092"/>
    <n v="-1.1692564999999999"/>
    <m/>
    <n v="-5.3543075"/>
    <s v="Direct"/>
    <s v="pyrimidine nucleotide transmembrane transporter activity"/>
  </r>
  <r>
    <x v="0"/>
    <x v="1"/>
    <s v="Ofaveolata022112"/>
    <n v="-1.543504"/>
    <m/>
    <n v="-1.2403294"/>
    <s v="Direct"/>
    <s v="NA"/>
  </r>
  <r>
    <x v="0"/>
    <x v="1"/>
    <s v="Ofaveolata022261"/>
    <n v="2.3530242000000001"/>
    <m/>
    <n v="-2.8227954"/>
    <s v="Inverse"/>
    <s v="NA"/>
  </r>
  <r>
    <x v="0"/>
    <x v="1"/>
    <s v="Ofaveolata022366"/>
    <n v="1.6113242000000001"/>
    <m/>
    <n v="-7.0070126000000004"/>
    <s v="Inverse"/>
    <s v="G-protein coupled receptor activity"/>
  </r>
  <r>
    <x v="0"/>
    <x v="1"/>
    <s v="Ofaveolata022387"/>
    <n v="1.68209933"/>
    <m/>
    <n v="2.2669048300000001"/>
    <s v="Direct"/>
    <s v="NA"/>
  </r>
  <r>
    <x v="0"/>
    <x v="1"/>
    <s v="Ofaveolata022464"/>
    <n v="-1.2784701000000001"/>
    <m/>
    <n v="-6.9191104000000001"/>
    <s v="Direct"/>
    <s v="Dynein, light chain"/>
  </r>
  <r>
    <x v="0"/>
    <x v="1"/>
    <s v="Ofaveolata022506"/>
    <n v="3.3115488399999999"/>
    <m/>
    <n v="-2.1243504999999998"/>
    <s v="Inverse"/>
    <s v="metalloendopeptidase activity"/>
  </r>
  <r>
    <x v="0"/>
    <x v="1"/>
    <s v="Ofaveolata022639"/>
    <n v="1.7658814599999999"/>
    <m/>
    <n v="-4.2828894000000002"/>
    <s v="Inverse"/>
    <s v="carbohydrate binding"/>
  </r>
  <r>
    <x v="0"/>
    <x v="1"/>
    <s v="Ofaveolata022676"/>
    <n v="-1.2884635"/>
    <m/>
    <n v="-3.7912124999999999"/>
    <s v="Direct"/>
    <s v="Phosphoenolpyruvate phosphomutase"/>
  </r>
  <r>
    <x v="0"/>
    <x v="1"/>
    <s v="Ofaveolata022700"/>
    <n v="-1.2504123"/>
    <m/>
    <n v="-1.2866739"/>
    <s v="Direct"/>
    <s v="Functions as component of the Arp2 3 complex which is involved in regulation of actin polymerization and together with an activating nucleation-promoting factor (NPF) mediates the formation of branched actin networks"/>
  </r>
  <r>
    <x v="0"/>
    <x v="1"/>
    <s v="Ofaveolata022807"/>
    <n v="-1.1637297"/>
    <m/>
    <n v="-4.2665366999999996"/>
    <s v="Direct"/>
    <s v="peptidase inhibitor activity"/>
  </r>
  <r>
    <x v="0"/>
    <x v="1"/>
    <s v="Ofaveolata022881"/>
    <n v="-1.4053112999999999"/>
    <m/>
    <n v="-5.0535182000000001"/>
    <s v="Direct"/>
    <s v="bleomycin hydrolase"/>
  </r>
  <r>
    <x v="0"/>
    <x v="1"/>
    <s v="Ofaveolata022899"/>
    <n v="1.06751076"/>
    <m/>
    <n v="-1.6740701"/>
    <s v="Inverse"/>
    <s v="NA"/>
  </r>
  <r>
    <x v="0"/>
    <x v="1"/>
    <s v="Ofaveolata023024"/>
    <n v="1.2548796200000001"/>
    <m/>
    <n v="-2.7491750000000001"/>
    <s v="Inverse"/>
    <s v="Isocitrate lyase family"/>
  </r>
  <r>
    <x v="0"/>
    <x v="1"/>
    <s v="Ofaveolata023061"/>
    <n v="-1.5508306999999999"/>
    <m/>
    <n v="-3.3069994"/>
    <s v="Direct"/>
    <s v="F-box LRR-repeat protein"/>
  </r>
  <r>
    <x v="0"/>
    <x v="1"/>
    <s v="Ofaveolata023156"/>
    <n v="-1.6443255999999999"/>
    <m/>
    <n v="-5.9433430999999999"/>
    <s v="Direct"/>
    <s v="Cystatin-like domain"/>
  </r>
  <r>
    <x v="0"/>
    <x v="1"/>
    <s v="Ofaveolata023261"/>
    <n v="-1.0438182"/>
    <m/>
    <n v="-1.8985505"/>
    <s v="Direct"/>
    <s v="It is involved in the biological process described with chromatin remodeling"/>
  </r>
  <r>
    <x v="0"/>
    <x v="1"/>
    <s v="Ofaveolata023792"/>
    <n v="-1.6027899000000001"/>
    <m/>
    <n v="-1.4028195999999999"/>
    <s v="Direct"/>
    <s v="NA"/>
  </r>
  <r>
    <x v="0"/>
    <x v="1"/>
    <s v="Ofaveolata023968"/>
    <n v="-1.3990826999999999"/>
    <m/>
    <n v="-1.1586075"/>
    <s v="Direct"/>
    <s v="factor 19"/>
  </r>
  <r>
    <x v="0"/>
    <x v="1"/>
    <s v="Ofaveolata024064"/>
    <n v="-1.4052889"/>
    <m/>
    <n v="-2.5412837000000001"/>
    <s v="Direct"/>
    <s v="Amino acid permease"/>
  </r>
  <r>
    <x v="0"/>
    <x v="1"/>
    <s v="Ofaveolata024073"/>
    <n v="-1.1003586000000001"/>
    <m/>
    <n v="-1.7264592999999999"/>
    <s v="Direct"/>
    <s v="metal ion binding"/>
  </r>
  <r>
    <x v="0"/>
    <x v="1"/>
    <s v="Ofaveolata024079"/>
    <n v="-1.5069942999999999"/>
    <m/>
    <n v="1.75289147"/>
    <s v="Inverse"/>
    <s v="RNA-directed 5'-3' RNA polymerase activity"/>
  </r>
  <r>
    <x v="0"/>
    <x v="1"/>
    <s v="Ofaveolata024216"/>
    <n v="-1.4466844000000001"/>
    <m/>
    <n v="-1.9600679999999999"/>
    <s v="Direct"/>
    <s v="FKBP-type peptidyl-prolyl cis-trans isomerase"/>
  </r>
  <r>
    <x v="0"/>
    <x v="1"/>
    <s v="Ofaveolata024308"/>
    <n v="-1.4283882999999999"/>
    <m/>
    <n v="-3.9148298000000001"/>
    <s v="Direct"/>
    <s v="positive regulation of exoribonuclease activity"/>
  </r>
  <r>
    <x v="0"/>
    <x v="1"/>
    <s v="Ofaveolata024342"/>
    <n v="1.0682401399999999"/>
    <m/>
    <n v="-2.8760463999999999"/>
    <s v="Inverse"/>
    <s v="Animal haem peroxidase"/>
  </r>
  <r>
    <x v="0"/>
    <x v="1"/>
    <s v="Ofaveolata024360"/>
    <n v="-2.6835155999999998"/>
    <m/>
    <n v="-2.1088564000000001"/>
    <s v="Direct"/>
    <s v="NA"/>
  </r>
  <r>
    <x v="0"/>
    <x v="1"/>
    <s v="Ofaveolata024364"/>
    <n v="-1.0593747"/>
    <m/>
    <n v="-3.8755413999999999"/>
    <s v="Direct"/>
    <s v="acetate-CoA ligase activity"/>
  </r>
  <r>
    <x v="0"/>
    <x v="1"/>
    <s v="Ofaveolata024468"/>
    <n v="-2.7611254999999999"/>
    <m/>
    <n v="-1.6579119"/>
    <s v="Direct"/>
    <s v="ATP binding. It is involved in the biological process described with protein phosphorylation"/>
  </r>
  <r>
    <x v="0"/>
    <x v="1"/>
    <s v="Ofaveolata024492"/>
    <n v="1.17150471"/>
    <m/>
    <n v="-1.9709350000000001"/>
    <s v="Inverse"/>
    <s v="NA"/>
  </r>
  <r>
    <x v="0"/>
    <x v="1"/>
    <s v="Ofaveolata024494"/>
    <n v="-1.6859761"/>
    <m/>
    <n v="-7.8139934999999996"/>
    <s v="Direct"/>
    <s v="Protein of unknown function (DUF2615)"/>
  </r>
  <r>
    <x v="0"/>
    <x v="1"/>
    <s v="Ofaveolata024540"/>
    <n v="-1.5458072"/>
    <m/>
    <n v="-2.7625410000000001"/>
    <s v="Direct"/>
    <s v="NA"/>
  </r>
  <r>
    <x v="0"/>
    <x v="1"/>
    <s v="Ofaveolata024742"/>
    <n v="-2.5061377999999999"/>
    <m/>
    <n v="-4.8321873000000002"/>
    <s v="Direct"/>
    <s v="NA"/>
  </r>
  <r>
    <x v="0"/>
    <x v="1"/>
    <s v="Ofaveolata024855"/>
    <n v="-1.5465742"/>
    <m/>
    <n v="-1.6111129"/>
    <s v="Direct"/>
    <s v="WW domain-containing oxidoreductase"/>
  </r>
  <r>
    <x v="0"/>
    <x v="1"/>
    <s v="Ofaveolata024904"/>
    <n v="-2.7069619"/>
    <m/>
    <n v="-1.4075738"/>
    <s v="Direct"/>
    <s v="Collagen triple helix"/>
  </r>
  <r>
    <x v="0"/>
    <x v="1"/>
    <s v="Ofaveolata024921"/>
    <n v="-2.1011218999999999"/>
    <m/>
    <n v="-1.7581100999999999"/>
    <s v="Direct"/>
    <s v="NA"/>
  </r>
  <r>
    <x v="0"/>
    <x v="1"/>
    <s v="Ofaveolata024927"/>
    <n v="-5.3664414000000003"/>
    <m/>
    <n v="-4.4290617000000001"/>
    <s v="Direct"/>
    <s v="TNF receptor-associated factor"/>
  </r>
  <r>
    <x v="0"/>
    <x v="1"/>
    <s v="Ofaveolata024929"/>
    <n v="-1.6015298"/>
    <m/>
    <n v="-2.1036858000000001"/>
    <s v="Direct"/>
    <s v="TNF receptor-associated factor"/>
  </r>
  <r>
    <x v="0"/>
    <x v="1"/>
    <s v="Ofaveolata024963"/>
    <n v="-6.611599"/>
    <m/>
    <n v="-1.8537551999999999"/>
    <s v="Direct"/>
    <s v="cysteine-type endopeptidase activity"/>
  </r>
  <r>
    <x v="0"/>
    <x v="1"/>
    <s v="Ofaveolata025014"/>
    <n v="-1.1805832999999999"/>
    <m/>
    <n v="-1.3544814999999999"/>
    <s v="Direct"/>
    <s v="NA"/>
  </r>
  <r>
    <x v="0"/>
    <x v="1"/>
    <s v="Ofaveolata025050"/>
    <n v="-2.7611254999999999"/>
    <m/>
    <n v="-1.0295042999999999"/>
    <s v="Direct"/>
    <s v="NA"/>
  </r>
  <r>
    <x v="0"/>
    <x v="1"/>
    <s v="Ofaveolata025070"/>
    <n v="-1.7182354"/>
    <m/>
    <n v="-1.6679908999999999"/>
    <s v="Direct"/>
    <s v="positive regulation of NLRP3 inflammasome complex assembly"/>
  </r>
  <r>
    <x v="0"/>
    <x v="1"/>
    <s v="Ofaveolata025102"/>
    <n v="1.2600362700000001"/>
    <m/>
    <n v="-3.9487409000000002"/>
    <s v="Inverse"/>
    <s v="cellular response to nitroglycerin"/>
  </r>
  <r>
    <x v="0"/>
    <x v="1"/>
    <s v="Ofaveolata025187"/>
    <n v="1.5429020899999999"/>
    <m/>
    <n v="-3.8123349000000002"/>
    <s v="Inverse"/>
    <s v="NA"/>
  </r>
  <r>
    <x v="0"/>
    <x v="1"/>
    <s v="Ofaveolata025189"/>
    <n v="1.46844551"/>
    <m/>
    <n v="-7.7963909999999998"/>
    <s v="Inverse"/>
    <s v="structural constituent of cuticle"/>
  </r>
  <r>
    <x v="0"/>
    <x v="1"/>
    <s v="Ofaveolata025190"/>
    <n v="1.0010637600000001"/>
    <m/>
    <n v="-11.946096000000001"/>
    <s v="Inverse"/>
    <s v="structural constituent of cuticle"/>
  </r>
  <r>
    <x v="0"/>
    <x v="1"/>
    <s v="Ofaveolata025193"/>
    <n v="1.3558602099999999"/>
    <m/>
    <n v="-9.3204781000000008"/>
    <s v="Inverse"/>
    <s v="structural constituent of cuticle"/>
  </r>
  <r>
    <x v="0"/>
    <x v="1"/>
    <s v="Ofaveolata025430"/>
    <n v="1.74353165"/>
    <m/>
    <n v="-4.0317411999999999"/>
    <s v="Inverse"/>
    <s v="NA"/>
  </r>
  <r>
    <x v="0"/>
    <x v="1"/>
    <s v="Ofaveolata025437"/>
    <n v="1.6672407199999999"/>
    <m/>
    <n v="-9.4042779000000003"/>
    <s v="Inverse"/>
    <s v="peptidase inhibitor activity"/>
  </r>
  <r>
    <x v="0"/>
    <x v="1"/>
    <s v="Ofaveolata025439"/>
    <n v="1.2621273900000001"/>
    <m/>
    <n v="-1.8834930000000001"/>
    <s v="Inverse"/>
    <s v="positive regulation of epithelial to mesenchymal transition"/>
  </r>
  <r>
    <x v="0"/>
    <x v="1"/>
    <s v="Ofaveolata025475"/>
    <n v="-1.4510318"/>
    <m/>
    <n v="-2.1530201999999998"/>
    <s v="Direct"/>
    <s v="Dehydrogenase reductase SDR family member"/>
  </r>
  <r>
    <x v="0"/>
    <x v="1"/>
    <s v="Ofaveolata025486"/>
    <n v="-1.6124366999999999"/>
    <m/>
    <n v="-19.453358999999999"/>
    <s v="Direct"/>
    <s v="dolichyl-diphosphooligosaccharide-protein glycotransferase activity"/>
  </r>
  <r>
    <x v="0"/>
    <x v="1"/>
    <s v="Ofaveolata025694"/>
    <n v="-1.8451027"/>
    <m/>
    <n v="-11.439742000000001"/>
    <s v="Direct"/>
    <s v="NA"/>
  </r>
  <r>
    <x v="0"/>
    <x v="1"/>
    <s v="Ofaveolata025729"/>
    <n v="-1.0073852000000001"/>
    <m/>
    <n v="-3.1332632"/>
    <s v="Direct"/>
    <s v="negative regulation of cell growth"/>
  </r>
  <r>
    <x v="0"/>
    <x v="1"/>
    <s v="Ofaveolata025762"/>
    <n v="-1.2632587"/>
    <m/>
    <n v="-3.2032451000000002"/>
    <s v="Direct"/>
    <s v="protein modification by small protein conjugation"/>
  </r>
  <r>
    <x v="0"/>
    <x v="1"/>
    <s v="Ofaveolata025818"/>
    <n v="1.0436867400000001"/>
    <m/>
    <n v="1.2311418000000001"/>
    <s v="Direct"/>
    <s v="NA"/>
  </r>
  <r>
    <x v="0"/>
    <x v="1"/>
    <s v="Ofaveolata025865"/>
    <n v="-2.3250198000000002"/>
    <m/>
    <n v="-2.0893065000000002"/>
    <s v="Direct"/>
    <s v="NA"/>
  </r>
  <r>
    <x v="0"/>
    <x v="1"/>
    <s v="Ofaveolata025891"/>
    <n v="-5.0667216000000002"/>
    <m/>
    <n v="-10.535645000000001"/>
    <s v="Direct"/>
    <s v="antigen processing and presentation of exogenous peptide antigen via MHC class I"/>
  </r>
  <r>
    <x v="0"/>
    <x v="1"/>
    <s v="Ofaveolata025892"/>
    <n v="-2.7611254999999999"/>
    <m/>
    <n v="-7.279496"/>
    <s v="Direct"/>
    <s v="antigen processing and presentation of exogenous peptide antigen via MHC class I"/>
  </r>
  <r>
    <x v="0"/>
    <x v="1"/>
    <s v="Ofaveolata026043"/>
    <n v="-1.7301268000000001"/>
    <m/>
    <n v="-1.3972545999999999"/>
    <s v="Direct"/>
    <s v="NA"/>
  </r>
  <r>
    <x v="0"/>
    <x v="1"/>
    <s v="Ofaveolata026055"/>
    <n v="-1.6706255000000001"/>
    <m/>
    <n v="-1.9349544999999999"/>
    <s v="Direct"/>
    <s v="ubiquitin-like protein-specific protease activity"/>
  </r>
  <r>
    <x v="0"/>
    <x v="1"/>
    <s v="Ofaveolata026139"/>
    <n v="2.0906941099999998"/>
    <m/>
    <n v="1.59929185"/>
    <s v="Direct"/>
    <s v="adenylate cyclase-activating G-protein coupled receptor signaling pathway"/>
  </r>
  <r>
    <x v="0"/>
    <x v="1"/>
    <s v="Ofaveolata026158"/>
    <n v="2.5111733599999999"/>
    <m/>
    <n v="-1.8267853000000001"/>
    <s v="Inverse"/>
    <s v="Belongs to the glutathione peroxidase family"/>
  </r>
  <r>
    <x v="0"/>
    <x v="1"/>
    <s v="Ofaveolata026176"/>
    <n v="-3.6418096000000002"/>
    <m/>
    <n v="-1.0897866"/>
    <s v="Direct"/>
    <s v="lipid metabolic process"/>
  </r>
  <r>
    <x v="0"/>
    <x v="1"/>
    <s v="Ofaveolata026191"/>
    <n v="-4.6628183999999999"/>
    <m/>
    <n v="-3.3935578"/>
    <s v="Direct"/>
    <s v="NA"/>
  </r>
  <r>
    <x v="0"/>
    <x v="1"/>
    <s v="Ofaveolata026192"/>
    <n v="-3.1144319"/>
    <m/>
    <n v="-1.1706603"/>
    <s v="Direct"/>
    <s v="NA"/>
  </r>
  <r>
    <x v="0"/>
    <x v="1"/>
    <s v="Ofaveolata026239"/>
    <n v="-1.6708156999999999"/>
    <m/>
    <n v="-4.4070334999999998"/>
    <s v="Direct"/>
    <s v="Family with sequence similarity 69 member C"/>
  </r>
  <r>
    <x v="0"/>
    <x v="1"/>
    <s v="Ofaveolata026309"/>
    <n v="-1.5148348"/>
    <m/>
    <n v="-1.0118288"/>
    <s v="Direct"/>
    <s v="NA"/>
  </r>
  <r>
    <x v="0"/>
    <x v="1"/>
    <s v="Ofaveolata026390"/>
    <n v="2.0564280699999999"/>
    <m/>
    <n v="-2.3916917"/>
    <s v="Inverse"/>
    <s v="NA"/>
  </r>
  <r>
    <x v="0"/>
    <x v="1"/>
    <s v="Ofaveolata026393"/>
    <n v="-1.5314055"/>
    <m/>
    <n v="3.3333460000000001"/>
    <s v="Inverse"/>
    <s v="NA"/>
  </r>
  <r>
    <x v="0"/>
    <x v="1"/>
    <s v="Ofaveolata026674"/>
    <n v="1.89664915"/>
    <m/>
    <n v="-2.2594788000000001"/>
    <s v="Inverse"/>
    <s v="structural constituent of cytoskeleton"/>
  </r>
  <r>
    <x v="0"/>
    <x v="1"/>
    <s v="Ofaveolata026759"/>
    <n v="1.0154038299999999"/>
    <m/>
    <n v="-3.7180453"/>
    <s v="Inverse"/>
    <s v="proton channel activity"/>
  </r>
  <r>
    <x v="0"/>
    <x v="1"/>
    <s v="Ofaveolata026871"/>
    <n v="1.8986075200000001"/>
    <m/>
    <n v="1.4996534399999999"/>
    <s v="Direct"/>
    <s v="NA"/>
  </r>
  <r>
    <x v="0"/>
    <x v="1"/>
    <s v="Ofaveolata026978"/>
    <n v="-1.5755858"/>
    <m/>
    <n v="-1.3741513999999999"/>
    <s v="Direct"/>
    <s v="NA"/>
  </r>
  <r>
    <x v="0"/>
    <x v="1"/>
    <s v="Ofaveolata027029"/>
    <n v="-1.1693614999999999"/>
    <m/>
    <n v="-1.0736645"/>
    <s v="Direct"/>
    <s v="NA"/>
  </r>
  <r>
    <x v="0"/>
    <x v="1"/>
    <s v="Ofaveolata027055"/>
    <n v="-1.6859761"/>
    <m/>
    <n v="-3.1752508000000002"/>
    <s v="Direct"/>
    <s v="Myosin, light"/>
  </r>
  <r>
    <x v="0"/>
    <x v="1"/>
    <s v="Ofaveolata027109"/>
    <n v="-1.2551999"/>
    <m/>
    <n v="11.060110399999999"/>
    <s v="Inverse"/>
    <s v="NA"/>
  </r>
  <r>
    <x v="0"/>
    <x v="1"/>
    <s v="Ofaveolata027450"/>
    <n v="1.3949575000000001"/>
    <m/>
    <n v="-14.02242"/>
    <s v="Inverse"/>
    <s v="NA"/>
  </r>
  <r>
    <x v="0"/>
    <x v="1"/>
    <s v="Ofaveolata027542"/>
    <n v="-3.5433213000000001"/>
    <m/>
    <n v="-1.0542130999999999"/>
    <s v="Direct"/>
    <s v="Eukaryotic-type carbonic anhydrase"/>
  </r>
  <r>
    <x v="0"/>
    <x v="1"/>
    <s v="Ofaveolata027545"/>
    <n v="-3.6005850000000001"/>
    <m/>
    <n v="-7.4802451000000003"/>
    <s v="Direct"/>
    <s v="carbonic anhydrase"/>
  </r>
  <r>
    <x v="0"/>
    <x v="1"/>
    <s v="Ofaveolata027747"/>
    <n v="-2.3282398999999998"/>
    <m/>
    <n v="-3.0511575999999998"/>
    <s v="Direct"/>
    <s v="NA"/>
  </r>
  <r>
    <x v="0"/>
    <x v="1"/>
    <s v="Ofaveolata027775"/>
    <n v="1.2266015299999999"/>
    <m/>
    <n v="-2.9646992000000001"/>
    <s v="Inverse"/>
    <s v="protein serine/threonine kinase activity"/>
  </r>
  <r>
    <x v="0"/>
    <x v="1"/>
    <s v="Ofaveolata027834"/>
    <n v="-1.5224499"/>
    <m/>
    <n v="-1.0386245999999999"/>
    <s v="Direct"/>
    <s v="inhibin, beta A"/>
  </r>
  <r>
    <x v="0"/>
    <x v="1"/>
    <s v="Ofaveolata027889"/>
    <n v="-3.9593804000000001"/>
    <m/>
    <n v="-4.1812978999999997"/>
    <s v="Direct"/>
    <s v="tachykinin receptor activity"/>
  </r>
  <r>
    <x v="0"/>
    <x v="1"/>
    <s v="Ofaveolata027935"/>
    <n v="-1.2524196000000001"/>
    <m/>
    <n v="-1.2799796999999999"/>
    <s v="Direct"/>
    <s v="NA"/>
  </r>
  <r>
    <x v="0"/>
    <x v="1"/>
    <s v="Ofaveolata028098"/>
    <n v="-2.6360961999999999"/>
    <m/>
    <n v="-2.1994232999999999"/>
    <s v="Direct"/>
    <s v="NA"/>
  </r>
  <r>
    <x v="0"/>
    <x v="1"/>
    <s v="Ofaveolata028190"/>
    <n v="-3.7273067000000002"/>
    <m/>
    <n v="-2.7852301000000002"/>
    <s v="Direct"/>
    <s v="camera-type eye development"/>
  </r>
  <r>
    <x v="0"/>
    <x v="1"/>
    <s v="Ofaveolata028207"/>
    <n v="-1.8404632999999999"/>
    <m/>
    <n v="-4.0804172000000003"/>
    <s v="Direct"/>
    <s v="Cupin-like domain"/>
  </r>
  <r>
    <x v="0"/>
    <x v="1"/>
    <s v="Ofaveolata028767"/>
    <n v="-1.2280366"/>
    <m/>
    <n v="-8.1753595000000008"/>
    <s v="Direct"/>
    <s v="PPIases accelerate the folding of proteins. It catalyzes the cis-trans isomerization of proline imidic peptide bonds in oligopeptides"/>
  </r>
  <r>
    <x v="0"/>
    <x v="1"/>
    <s v="Ofaveolata028780"/>
    <n v="-2.379489"/>
    <m/>
    <n v="-5.5793366000000004"/>
    <s v="Direct"/>
    <s v="skeletal muscle satellite cell commitment"/>
  </r>
  <r>
    <x v="0"/>
    <x v="1"/>
    <s v="Ofaveolata028919"/>
    <n v="-1.3869393999999999"/>
    <m/>
    <n v="-1.5635192"/>
    <s v="Direct"/>
    <s v="SHC (Src homology 2 domain containing) transforming protein"/>
  </r>
  <r>
    <x v="0"/>
    <x v="1"/>
    <s v="Ofaveolata029062"/>
    <n v="-1.5379499999999999"/>
    <m/>
    <n v="-6.5960217999999999"/>
    <s v="Direct"/>
    <s v="Ankyrin repeat and SOCS box"/>
  </r>
  <r>
    <x v="0"/>
    <x v="1"/>
    <s v="Ofaveolata029087"/>
    <n v="-1.5458072"/>
    <m/>
    <n v="-1.4546577999999999"/>
    <s v="Direct"/>
    <s v="regulation of microtubule polymerization or depolymerization"/>
  </r>
  <r>
    <x v="0"/>
    <x v="1"/>
    <s v="Ofaveolata029102"/>
    <n v="1.02652038"/>
    <m/>
    <n v="-1.3187704"/>
    <s v="Inverse"/>
    <s v="NA"/>
  </r>
  <r>
    <x v="0"/>
    <x v="1"/>
    <s v="Ofaveolata029114"/>
    <n v="1.0960899"/>
    <m/>
    <n v="2.5322311900000001"/>
    <s v="Direct"/>
    <s v="NA"/>
  </r>
  <r>
    <x v="0"/>
    <x v="1"/>
    <s v="Ofaveolata029115"/>
    <n v="1.7658814599999999"/>
    <m/>
    <n v="1.9492563899999999"/>
    <s v="Direct"/>
    <s v="NA"/>
  </r>
  <r>
    <x v="0"/>
    <x v="1"/>
    <s v="Ofaveolata029193"/>
    <n v="-1.7360164"/>
    <m/>
    <n v="-1.3119955999999999"/>
    <s v="Direct"/>
    <s v="MAC/Perforin domain"/>
  </r>
  <r>
    <x v="0"/>
    <x v="1"/>
    <s v="Ofaveolata029210"/>
    <n v="-2.7028981000000001"/>
    <m/>
    <n v="-1.2506971"/>
    <s v="Direct"/>
    <s v="NA"/>
  </r>
  <r>
    <x v="0"/>
    <x v="1"/>
    <s v="Ofaveolata029215"/>
    <n v="-3.7552720000000002"/>
    <m/>
    <n v="-3.3930478000000002"/>
    <s v="Direct"/>
    <s v="NA"/>
  </r>
  <r>
    <x v="0"/>
    <x v="1"/>
    <s v="Ofaveolata029232"/>
    <n v="-3.1954080999999999"/>
    <m/>
    <n v="-4.1645184000000004"/>
    <s v="Direct"/>
    <s v="NA"/>
  </r>
  <r>
    <x v="0"/>
    <x v="1"/>
    <s v="Ofaveolata029312"/>
    <n v="-1.4450259999999999"/>
    <m/>
    <n v="-5.1366455999999996"/>
    <s v="Direct"/>
    <s v="NA"/>
  </r>
  <r>
    <x v="0"/>
    <x v="1"/>
    <s v="Ofaveolata029423"/>
    <n v="1.6421923700000001"/>
    <m/>
    <n v="-2.6109064000000002"/>
    <s v="Inverse"/>
    <s v="miRNA binding"/>
  </r>
  <r>
    <x v="0"/>
    <x v="1"/>
    <s v="Ofaveolata029433"/>
    <n v="-1.1890114000000001"/>
    <m/>
    <n v="-1.1093362"/>
    <s v="Direct"/>
    <s v="Caspase domain"/>
  </r>
  <r>
    <x v="0"/>
    <x v="1"/>
    <s v="Ofaveolata029486"/>
    <n v="2.2272648400000001"/>
    <m/>
    <n v="1.00850102"/>
    <s v="Direct"/>
    <s v="neuronal calcium sensor"/>
  </r>
  <r>
    <x v="0"/>
    <x v="1"/>
    <s v="Ofaveolata029525"/>
    <n v="-1.8526328000000001"/>
    <m/>
    <n v="1.54631253"/>
    <s v="Inverse"/>
    <s v="Interferon induced with helicase C domain 1"/>
  </r>
  <r>
    <x v="0"/>
    <x v="1"/>
    <s v="Ofaveolata029659"/>
    <n v="-1.6235417000000001"/>
    <m/>
    <n v="-1.9274849999999999"/>
    <s v="Direct"/>
    <s v="Specifically binds 5-hydroxymethylcytosine (5hmC)- containing DNA in stem cells, suggesting that it acts as a specific reader of 5hmC in stem cells. May act as a peptidase"/>
  </r>
  <r>
    <x v="0"/>
    <x v="1"/>
    <s v="Ofaveolata029693"/>
    <n v="-3.6889655000000001"/>
    <m/>
    <n v="1.0074960500000001"/>
    <s v="Inverse"/>
    <s v="NA"/>
  </r>
  <r>
    <x v="0"/>
    <x v="1"/>
    <s v="Ofaveolata029736"/>
    <n v="-1.2747702000000001"/>
    <m/>
    <n v="-3.4377393000000001"/>
    <s v="Direct"/>
    <s v="Belongs to the uridine kinase family"/>
  </r>
  <r>
    <x v="0"/>
    <x v="1"/>
    <s v="Ofaveolata029779"/>
    <n v="1.055428"/>
    <m/>
    <n v="-2.7509752999999999"/>
    <s v="Inverse"/>
    <s v="NA"/>
  </r>
  <r>
    <x v="0"/>
    <x v="1"/>
    <s v="Ofaveolata029819"/>
    <n v="1.21830186"/>
    <m/>
    <n v="-3.7458437"/>
    <s v="Inverse"/>
    <s v="coreceptor activity involved in Wnt signaling pathway, planar cell polarity pathway"/>
  </r>
  <r>
    <x v="0"/>
    <x v="1"/>
    <s v="Ofaveolata029850"/>
    <n v="-1.2266014999999999"/>
    <m/>
    <n v="-1.0494056"/>
    <s v="Direct"/>
    <s v="Chromosome 1 open reading frame 53"/>
  </r>
  <r>
    <x v="0"/>
    <x v="1"/>
    <s v="Ofaveolata029897"/>
    <n v="-1.0750706000000001"/>
    <m/>
    <n v="-2.1877124999999999"/>
    <s v="Direct"/>
    <s v="UDP-glucoronosyl and UDP-glucosyl transferase"/>
  </r>
  <r>
    <x v="0"/>
    <x v="1"/>
    <s v="Ofaveolata030101"/>
    <n v="-1.0263563"/>
    <m/>
    <n v="-2.3916917"/>
    <s v="Direct"/>
    <s v="maturation of LSU-rRNA from tricistronic rRNA transcript (SSU-rRNA, 5.8S rRNA, LSU-rRNA)"/>
  </r>
  <r>
    <x v="0"/>
    <x v="1"/>
    <s v="Ofaveolata030193"/>
    <n v="-1.3579215"/>
    <m/>
    <n v="-3.5437935999999999"/>
    <s v="Direct"/>
    <s v="NA"/>
  </r>
  <r>
    <x v="0"/>
    <x v="1"/>
    <s v="Ofaveolata030220"/>
    <n v="-1.7375882"/>
    <m/>
    <n v="4.6145729199999996"/>
    <s v="Inverse"/>
    <s v="thioesterase binding"/>
  </r>
  <r>
    <x v="0"/>
    <x v="1"/>
    <s v="Ofaveolata030360"/>
    <n v="1.3000004300000001"/>
    <m/>
    <n v="-1.5784828"/>
    <s v="Inverse"/>
    <s v="NA"/>
  </r>
  <r>
    <x v="0"/>
    <x v="1"/>
    <s v="Ofaveolata030362"/>
    <n v="1.5458071900000001"/>
    <m/>
    <n v="-5.6476626999999997"/>
    <s v="Inverse"/>
    <s v="NA"/>
  </r>
  <r>
    <x v="0"/>
    <x v="1"/>
    <s v="Ofaveolata030363"/>
    <n v="1.0002678199999999"/>
    <m/>
    <n v="-1.0126374"/>
    <s v="Inverse"/>
    <s v="NA"/>
  </r>
  <r>
    <x v="0"/>
    <x v="1"/>
    <s v="Ofaveolata030373"/>
    <n v="-1.2137884999999999"/>
    <m/>
    <n v="-2.0625529999999999"/>
    <s v="Direct"/>
    <s v="thyroid hormone transmembrane transporter activity"/>
  </r>
  <r>
    <x v="0"/>
    <x v="1"/>
    <s v="Ofaveolata030394"/>
    <n v="-1.0210893999999999"/>
    <m/>
    <n v="-1.188672"/>
    <s v="Direct"/>
    <s v="Belongs to the aldehyde dehydrogenase family"/>
  </r>
  <r>
    <x v="0"/>
    <x v="1"/>
    <s v="Ofaveolata030409"/>
    <n v="-1.138709"/>
    <m/>
    <n v="-5.1602214999999996"/>
    <s v="Direct"/>
    <s v="sulfiredoxin activity"/>
  </r>
  <r>
    <x v="0"/>
    <x v="1"/>
    <s v="Ofaveolata030454"/>
    <n v="-4.2041443000000003"/>
    <m/>
    <n v="-3.6247764999999998"/>
    <s v="Direct"/>
    <s v="NA"/>
  </r>
  <r>
    <x v="0"/>
    <x v="1"/>
    <s v="Ofaveolata030516"/>
    <n v="-1.0196505"/>
    <m/>
    <n v="-1.0866610999999999"/>
    <s v="Direct"/>
    <s v="NA"/>
  </r>
  <r>
    <x v="0"/>
    <x v="1"/>
    <s v="Ofaveolata030623"/>
    <n v="-1.7991476"/>
    <m/>
    <n v="-2.2115504000000001"/>
    <s v="Direct"/>
    <s v="RNA splicing"/>
  </r>
  <r>
    <x v="0"/>
    <x v="1"/>
    <s v="Ofaveolata030847"/>
    <n v="-2.0788897"/>
    <m/>
    <n v="-2.4454842000000001"/>
    <s v="Direct"/>
    <s v="regulation of Cdc42 protein signal transduction"/>
  </r>
  <r>
    <x v="0"/>
    <x v="1"/>
    <s v="Ofaveolata030855"/>
    <n v="-1.1194097000000001"/>
    <m/>
    <n v="-2.8623474"/>
    <s v="Direct"/>
    <s v="Proprotein convertase subtilisin kexin type"/>
  </r>
  <r>
    <x v="0"/>
    <x v="1"/>
    <s v="Ofaveolata030884"/>
    <n v="-1.2688177"/>
    <m/>
    <n v="-1.3066248"/>
    <s v="Direct"/>
    <s v="Protein rolling stone-like"/>
  </r>
  <r>
    <x v="0"/>
    <x v="1"/>
    <s v="Ofaveolata031065"/>
    <n v="1.6551252599999999"/>
    <m/>
    <n v="1.0907027600000001"/>
    <s v="Direct"/>
    <s v="supervillin"/>
  </r>
  <r>
    <x v="0"/>
    <x v="1"/>
    <s v="Ofaveolata031084"/>
    <n v="2.1445750399999999"/>
    <m/>
    <n v="-2.6268767"/>
    <s v="Inverse"/>
    <s v="Carboxypeptidase"/>
  </r>
  <r>
    <x v="0"/>
    <x v="1"/>
    <s v="Ofaveolata031172"/>
    <n v="-4.6387466999999996"/>
    <m/>
    <n v="-3.2776320999999999"/>
    <s v="Direct"/>
    <s v="sequence-specific DNA binding"/>
  </r>
  <r>
    <x v="0"/>
    <x v="1"/>
    <s v="Ofaveolata031645"/>
    <n v="4.6387466899999996"/>
    <m/>
    <n v="-1.5161625000000001"/>
    <s v="Inverse"/>
    <s v="NA"/>
  </r>
  <r>
    <x v="0"/>
    <x v="1"/>
    <s v="Ofaveolata031675"/>
    <n v="1.1730168000000001"/>
    <m/>
    <n v="-4.3709689999999997"/>
    <s v="Inverse"/>
    <s v="NA"/>
  </r>
  <r>
    <x v="0"/>
    <x v="1"/>
    <s v="Ofaveolata031733"/>
    <n v="-1.0140826000000001"/>
    <m/>
    <n v="-2.9866101"/>
    <s v="Direct"/>
    <s v="NA"/>
  </r>
  <r>
    <x v="0"/>
    <x v="1"/>
    <s v="Ofaveolata031830"/>
    <n v="-4.6387466999999996"/>
    <m/>
    <n v="-1.3411261000000001"/>
    <s v="Direct"/>
    <s v="NA"/>
  </r>
  <r>
    <x v="0"/>
    <x v="1"/>
    <s v="Ofaveolata031858"/>
    <n v="-1.7182354"/>
    <m/>
    <n v="-3.9688034000000001"/>
    <s v="Direct"/>
    <s v="negative regulation of zinc ion transmembrane import"/>
  </r>
  <r>
    <x v="0"/>
    <x v="1"/>
    <s v="Ofaveolata031939"/>
    <n v="-1.4103763"/>
    <m/>
    <n v="-3.8899550000000001"/>
    <s v="Direct"/>
    <s v="carnitine O-palmitoyltransferase activity"/>
  </r>
  <r>
    <x v="0"/>
    <x v="1"/>
    <s v="Ofaveolata032009"/>
    <n v="2.1132705500000002"/>
    <m/>
    <n v="1.2053489399999999"/>
    <s v="Direct"/>
    <s v="NA"/>
  </r>
  <r>
    <x v="0"/>
    <x v="1"/>
    <s v="Ofaveolata032073"/>
    <n v="-4.6141025999999998"/>
    <m/>
    <n v="-4.3792328999999999"/>
    <s v="Direct"/>
    <s v="NA"/>
  </r>
  <r>
    <x v="0"/>
    <x v="1"/>
    <s v="Ofaveolata032312"/>
    <n v="1.23121992"/>
    <m/>
    <n v="-4.6065478000000004"/>
    <s v="Inverse"/>
    <s v="NA"/>
  </r>
  <r>
    <x v="0"/>
    <x v="1"/>
    <s v="Ofaveolata032446"/>
    <n v="-1.1967661999999999"/>
    <m/>
    <n v="-2.0478296"/>
    <s v="Direct"/>
    <s v="NA"/>
  </r>
  <r>
    <x v="0"/>
    <x v="1"/>
    <s v="Ofaveolata032785"/>
    <n v="-1.213171"/>
    <m/>
    <n v="-3.7109800000000002"/>
    <s v="Direct"/>
    <s v="Glutathione S-transferase mu"/>
  </r>
  <r>
    <x v="0"/>
    <x v="1"/>
    <s v="Ofaveolata032816"/>
    <n v="-1.2593761999999999"/>
    <m/>
    <n v="-3.8425375000000002"/>
    <s v="Direct"/>
    <s v="Required for protein import into peroxisomes"/>
  </r>
  <r>
    <x v="0"/>
    <x v="1"/>
    <s v="Ofaveolata032852"/>
    <n v="1.08521874"/>
    <m/>
    <n v="3.0696249899999999"/>
    <s v="Direct"/>
    <s v="NA"/>
  </r>
  <r>
    <x v="0"/>
    <x v="1"/>
    <s v="Ofaveolata032952"/>
    <n v="1.4510317699999999"/>
    <m/>
    <n v="-5.9332415999999997"/>
    <s v="Inverse"/>
    <s v="GPCR-Autoproteolysis INducing (GAIN) domain"/>
  </r>
  <r>
    <x v="0"/>
    <x v="1"/>
    <s v="Ofaveolata033040"/>
    <n v="-1.2288117999999999"/>
    <m/>
    <n v="1.9471500799999999"/>
    <s v="Inverse"/>
    <s v="basic region leucin zipper"/>
  </r>
  <r>
    <x v="0"/>
    <x v="1"/>
    <s v="Ofaveolata033143"/>
    <n v="-1.7966527999999999"/>
    <m/>
    <n v="-2.8156105"/>
    <s v="Direct"/>
    <s v="NA"/>
  </r>
  <r>
    <x v="0"/>
    <x v="1"/>
    <s v="Ofaveolata033195"/>
    <n v="-1.8277075"/>
    <m/>
    <n v="-9.1628358999999993"/>
    <s v="Direct"/>
    <s v="NA"/>
  </r>
  <r>
    <x v="0"/>
    <x v="1"/>
    <s v="Ofaveolata033527"/>
    <n v="-1.452493"/>
    <m/>
    <n v="-3.7978676999999998"/>
    <s v="Direct"/>
    <s v="Myosin, light"/>
  </r>
  <r>
    <x v="0"/>
    <x v="1"/>
    <s v="Ofaveolata033565"/>
    <n v="1.94707736"/>
    <m/>
    <n v="-1.2842884000000001"/>
    <s v="Inverse"/>
    <s v="NA"/>
  </r>
  <r>
    <x v="0"/>
    <x v="1"/>
    <s v="Ofaveolata033647"/>
    <n v="-2.9919961000000002"/>
    <m/>
    <n v="-4.2121724"/>
    <s v="Direct"/>
    <s v="NA"/>
  </r>
  <r>
    <x v="0"/>
    <x v="1"/>
    <s v="Ofaveolata033678"/>
    <n v="2.2204967199999999"/>
    <m/>
    <n v="-4.5633267000000002"/>
    <s v="Inverse"/>
    <s v="NA"/>
  </r>
  <r>
    <x v="0"/>
    <x v="1"/>
    <s v="Ofaveolata033690"/>
    <n v="3.9914660799999999"/>
    <m/>
    <n v="-1.7548592000000001"/>
    <s v="Inverse"/>
    <s v="NA"/>
  </r>
  <r>
    <x v="0"/>
    <x v="1"/>
    <s v="Ofaveolata033695"/>
    <n v="-1.5156670999999999"/>
    <m/>
    <n v="-3.8684794"/>
    <s v="Direct"/>
    <s v="NA"/>
  </r>
  <r>
    <x v="0"/>
    <x v="1"/>
    <s v="Ofaveolata033784"/>
    <n v="-1.213171"/>
    <m/>
    <n v="-1.3954588999999999"/>
    <s v="Direct"/>
    <s v="Solute carrier family 35, member G1"/>
  </r>
  <r>
    <x v="0"/>
    <x v="1"/>
    <s v="Ofaveolata033931"/>
    <n v="-1.0263563"/>
    <m/>
    <n v="-3.3430768999999998"/>
    <s v="Direct"/>
    <s v="NA"/>
  </r>
  <r>
    <x v="0"/>
    <x v="1"/>
    <s v="Ofaveolata034016"/>
    <n v="1.38227239"/>
    <m/>
    <n v="-1.5134947000000001"/>
    <s v="Inverse"/>
    <s v="NA"/>
  </r>
  <r>
    <x v="0"/>
    <x v="1"/>
    <s v="Ofaveolata034018"/>
    <n v="1.4130069000000001"/>
    <m/>
    <n v="-1.8523472999999999"/>
    <s v="Inverse"/>
    <s v="NA"/>
  </r>
  <r>
    <x v="0"/>
    <x v="1"/>
    <s v="Ofaveolata034020"/>
    <n v="1.68597606"/>
    <m/>
    <n v="-7.6024593999999999"/>
    <s v="Inverse"/>
    <s v="NA"/>
  </r>
  <r>
    <x v="0"/>
    <x v="1"/>
    <s v="Ofaveolata034052"/>
    <n v="-1.4950323999999999"/>
    <m/>
    <n v="-4.5481502999999996"/>
    <s v="Direct"/>
    <s v="myelination"/>
  </r>
  <r>
    <x v="0"/>
    <x v="1"/>
    <s v="Ofaveolata034304"/>
    <n v="-1.2495704000000001"/>
    <m/>
    <n v="-1.0290789"/>
    <s v="Direct"/>
    <s v="NA"/>
  </r>
  <r>
    <x v="0"/>
    <x v="1"/>
    <s v="Ofaveolata034323"/>
    <n v="-2.9874234999999998"/>
    <m/>
    <n v="-1.1892123999999999"/>
    <s v="Direct"/>
    <s v="NA"/>
  </r>
  <r>
    <x v="0"/>
    <x v="1"/>
    <s v="Ofaveolata034386"/>
    <n v="-1.7658815000000001"/>
    <m/>
    <n v="-4.5003406999999997"/>
    <s v="Direct"/>
    <s v="Component of the BLOC-1 complex, a complex that is required for normal biogenesis of lysosome-related organelles (LRO), such as platelet dense granules and melanosomes. In concert with the AP-3 complex, the BLOC-1 complex is required to target membrane pr"/>
  </r>
  <r>
    <x v="0"/>
    <x v="1"/>
    <s v="Ofaveolata034780"/>
    <n v="-1.8680543000000001"/>
    <m/>
    <n v="-4.4548053999999997"/>
    <s v="Direct"/>
    <s v="zinc finger CCCH-type containing"/>
  </r>
  <r>
    <x v="0"/>
    <x v="1"/>
    <s v="Ofaveolata034812"/>
    <n v="1.3649359299999999"/>
    <m/>
    <n v="-3.3255335000000001"/>
    <s v="Inverse"/>
    <s v="arachidonic acid secretion"/>
  </r>
  <r>
    <x v="0"/>
    <x v="1"/>
    <s v="Ofaveolata034866"/>
    <n v="1.1467285599999999"/>
    <m/>
    <n v="1.02898318"/>
    <s v="Direct"/>
    <s v="K02A2.6-like"/>
  </r>
  <r>
    <x v="0"/>
    <x v="1"/>
    <s v="Ofaveolata035042"/>
    <n v="1.1524041"/>
    <m/>
    <n v="-6.6839490000000001"/>
    <s v="Inverse"/>
    <s v="NA"/>
  </r>
  <r>
    <x v="0"/>
    <x v="1"/>
    <s v="Ofaveolata035096"/>
    <n v="-1.7199533"/>
    <m/>
    <n v="-1.0852833"/>
    <s v="Direct"/>
    <s v="nucleotide diphosphatase activity"/>
  </r>
  <r>
    <x v="0"/>
    <x v="1"/>
    <s v="Ofaveolata035121"/>
    <n v="-3.2466121000000001"/>
    <m/>
    <n v="-6.5020761"/>
    <s v="Direct"/>
    <s v="7 transmembrane receptor (rhodopsin family)"/>
  </r>
  <r>
    <x v="0"/>
    <x v="1"/>
    <s v="Ofaveolata035248"/>
    <n v="-1.2292065999999999"/>
    <m/>
    <n v="-1.5823273"/>
    <s v="Direct"/>
    <s v="semaphorin receptor binding"/>
  </r>
  <r>
    <x v="0"/>
    <x v="1"/>
    <s v="Ofaveolata035554"/>
    <n v="-3.7560595999999999"/>
    <m/>
    <n v="-1.2254118000000001"/>
    <s v="Direct"/>
    <s v="Kelch-like protein 17"/>
  </r>
  <r>
    <x v="0"/>
    <x v="1"/>
    <s v="Ofaveolata035634"/>
    <n v="-2.7187036"/>
    <m/>
    <n v="-2.7710477999999998"/>
    <s v="Direct"/>
    <s v="serine-type endopeptidase activity"/>
  </r>
  <r>
    <x v="0"/>
    <x v="1"/>
    <s v="Ofaveolata035638"/>
    <n v="-4.2129962000000001"/>
    <m/>
    <n v="-8.8337398"/>
    <s v="Direct"/>
    <s v="serine-type endopeptidase activity"/>
  </r>
  <r>
    <x v="0"/>
    <x v="1"/>
    <s v="Ofaveolata035717"/>
    <n v="2.5169011999999999"/>
    <m/>
    <n v="-2.7227877999999999"/>
    <s v="Inverse"/>
    <s v="NA"/>
  </r>
  <r>
    <x v="0"/>
    <x v="1"/>
    <s v="Ofaveolata035809"/>
    <n v="-1.2867135999999999"/>
    <m/>
    <n v="-1.992426"/>
    <s v="Direct"/>
    <s v="NA"/>
  </r>
  <r>
    <x v="0"/>
    <x v="1"/>
    <s v="Ofaveolata036178"/>
    <n v="5.06672163"/>
    <m/>
    <n v="1.0856573"/>
    <s v="Direct"/>
    <s v="NA"/>
  </r>
  <r>
    <x v="0"/>
    <x v="1"/>
    <s v="Ofaveolata036262"/>
    <n v="-1.9404219"/>
    <m/>
    <n v="-2.2425378"/>
    <s v="Direct"/>
    <s v="NA"/>
  </r>
  <r>
    <x v="0"/>
    <x v="1"/>
    <s v="Ofaveolata036344"/>
    <n v="1.27930732"/>
    <m/>
    <n v="-1.447146"/>
    <s v="Inverse"/>
    <s v="metalloendopeptidase activity"/>
  </r>
  <r>
    <x v="0"/>
    <x v="1"/>
    <s v="Ofaveolata036553"/>
    <n v="1.71823536"/>
    <m/>
    <n v="-3.7461161000000001"/>
    <s v="Inverse"/>
    <s v="NA"/>
  </r>
  <r>
    <x v="0"/>
    <x v="1"/>
    <s v="Ofaveolata036569"/>
    <n v="-3.12378"/>
    <m/>
    <n v="-5.8612412999999997"/>
    <s v="Direct"/>
    <s v="Belongs to the glycosyl hydrolase 18 family"/>
  </r>
  <r>
    <x v="0"/>
    <x v="2"/>
    <s v="Ofaveolata000010"/>
    <m/>
    <n v="14.1192514"/>
    <n v="9.8755729799999994"/>
    <s v="Direct"/>
    <s v="NA"/>
  </r>
  <r>
    <x v="0"/>
    <x v="2"/>
    <s v="Ofaveolata000012"/>
    <m/>
    <n v="1.6900838199999999"/>
    <n v="2.93847251"/>
    <s v="Direct"/>
    <s v="RNA polymerase II intronic transcription regulatory region sequence-specific DNA binding"/>
  </r>
  <r>
    <x v="0"/>
    <x v="2"/>
    <s v="Ofaveolata000015"/>
    <m/>
    <n v="2.5287182600000002"/>
    <n v="1.09576425"/>
    <s v="Direct"/>
    <s v="protein dimerization activity"/>
  </r>
  <r>
    <x v="0"/>
    <x v="2"/>
    <s v="Ofaveolata000047"/>
    <m/>
    <n v="-3.2240413999999999"/>
    <n v="-3.7242225000000002"/>
    <s v="Direct"/>
    <s v="Myosin, light chain 9b, regulatory"/>
  </r>
  <r>
    <x v="0"/>
    <x v="2"/>
    <s v="Ofaveolata000050"/>
    <m/>
    <n v="-2.2994609000000001"/>
    <n v="-3.4375480999999999"/>
    <s v="Direct"/>
    <s v="folate import across plasma membrane"/>
  </r>
  <r>
    <x v="0"/>
    <x v="2"/>
    <s v="Ofaveolata000053"/>
    <m/>
    <n v="-6.9265677999999999"/>
    <n v="-4.7599233999999999"/>
    <s v="Direct"/>
    <s v="protein-disulfide reductase (glutathione) activity"/>
  </r>
  <r>
    <x v="0"/>
    <x v="2"/>
    <s v="Ofaveolata000063"/>
    <m/>
    <n v="2.7022799399999999"/>
    <n v="3.4280961300000001"/>
    <s v="Direct"/>
    <s v="NA"/>
  </r>
  <r>
    <x v="0"/>
    <x v="2"/>
    <s v="Ofaveolata000091"/>
    <m/>
    <n v="1.5027483699999999"/>
    <n v="1.2276415700000001"/>
    <s v="Direct"/>
    <s v="NA"/>
  </r>
  <r>
    <x v="0"/>
    <x v="2"/>
    <s v="Ofaveolata000099"/>
    <m/>
    <n v="-2.5027686"/>
    <n v="-3.4555373999999999"/>
    <s v="Direct"/>
    <s v="Family with sequence similarity 154, member B"/>
  </r>
  <r>
    <x v="0"/>
    <x v="2"/>
    <s v="Ofaveolata000104"/>
    <m/>
    <n v="-3.3399323999999999"/>
    <n v="-2.5034470999999998"/>
    <s v="Direct"/>
    <s v="PX domain"/>
  </r>
  <r>
    <x v="0"/>
    <x v="2"/>
    <s v="Ofaveolata000107"/>
    <m/>
    <n v="1.05137484"/>
    <n v="1.67966152"/>
    <s v="Direct"/>
    <s v="RNA splicing"/>
  </r>
  <r>
    <x v="0"/>
    <x v="2"/>
    <s v="Ofaveolata000114"/>
    <m/>
    <n v="-2.2660661000000002"/>
    <n v="-2.6947130000000001"/>
    <s v="Direct"/>
    <s v="PX domain"/>
  </r>
  <r>
    <x v="0"/>
    <x v="2"/>
    <s v="Ofaveolata000125"/>
    <m/>
    <n v="-1.0728226999999999"/>
    <n v="-1.322222"/>
    <s v="Direct"/>
    <s v="GDP binding"/>
  </r>
  <r>
    <x v="0"/>
    <x v="2"/>
    <s v="Ofaveolata000128"/>
    <m/>
    <n v="-2.0311566000000001"/>
    <n v="-1.3996523999999999"/>
    <s v="Direct"/>
    <s v="iron import into the mitochondrion"/>
  </r>
  <r>
    <x v="0"/>
    <x v="2"/>
    <s v="Ofaveolata000139"/>
    <m/>
    <n v="-1.4614754999999999"/>
    <n v="-1.6734382999999999"/>
    <s v="Direct"/>
    <s v="NA"/>
  </r>
  <r>
    <x v="0"/>
    <x v="2"/>
    <s v="Ofaveolata000142"/>
    <m/>
    <n v="3.8357918799999999"/>
    <n v="2.4176849900000001"/>
    <s v="Direct"/>
    <s v="NA"/>
  </r>
  <r>
    <x v="0"/>
    <x v="2"/>
    <s v="Ofaveolata000164"/>
    <m/>
    <n v="1.65743738"/>
    <n v="1.49361334"/>
    <s v="Direct"/>
    <s v="NA"/>
  </r>
  <r>
    <x v="0"/>
    <x v="2"/>
    <s v="Ofaveolata000189"/>
    <m/>
    <n v="-4.0785543000000004"/>
    <n v="-2.9962914"/>
    <s v="Direct"/>
    <s v="Ectonucleoside triphosphate diphosphohydrolase"/>
  </r>
  <r>
    <x v="0"/>
    <x v="2"/>
    <s v="Ofaveolata000198"/>
    <m/>
    <n v="1.5247245300000001"/>
    <n v="1.29594828"/>
    <s v="Direct"/>
    <s v="dynein heavy chain binding"/>
  </r>
  <r>
    <x v="0"/>
    <x v="2"/>
    <s v="Ofaveolata000199"/>
    <m/>
    <n v="1.8434022000000001"/>
    <n v="1.53757422"/>
    <s v="Direct"/>
    <s v="NA"/>
  </r>
  <r>
    <x v="0"/>
    <x v="2"/>
    <s v="Ofaveolata000200"/>
    <m/>
    <n v="4.1701432299999999"/>
    <n v="1.19828259"/>
    <s v="Direct"/>
    <s v="NA"/>
  </r>
  <r>
    <x v="0"/>
    <x v="2"/>
    <s v="Ofaveolata000201"/>
    <m/>
    <n v="2.70038292"/>
    <n v="2.2736775900000001"/>
    <s v="Direct"/>
    <s v="NA"/>
  </r>
  <r>
    <x v="0"/>
    <x v="2"/>
    <s v="Ofaveolata000218"/>
    <m/>
    <n v="-2.1326597"/>
    <n v="-2.0720626000000002"/>
    <s v="Direct"/>
    <s v="RNA recognition motif. (a.k.a. RRM, RBD, or RNP domain)"/>
  </r>
  <r>
    <x v="0"/>
    <x v="2"/>
    <s v="Ofaveolata000223"/>
    <m/>
    <n v="2.3171987600000001"/>
    <n v="1.2717141599999999"/>
    <s v="Direct"/>
    <s v="NA"/>
  </r>
  <r>
    <x v="0"/>
    <x v="2"/>
    <s v="Ofaveolata000230"/>
    <m/>
    <n v="-2.6863291999999999"/>
    <n v="-4.5274555999999997"/>
    <s v="Direct"/>
    <s v="NA"/>
  </r>
  <r>
    <x v="0"/>
    <x v="2"/>
    <s v="Ofaveolata000233"/>
    <m/>
    <n v="-1.5717947000000001"/>
    <n v="-1.5674813000000001"/>
    <s v="Direct"/>
    <s v="NA"/>
  </r>
  <r>
    <x v="0"/>
    <x v="2"/>
    <s v="Ofaveolata000249"/>
    <m/>
    <n v="-2.1999255999999998"/>
    <n v="-1.666275"/>
    <s v="Direct"/>
    <s v="serine-type carboxypeptidase activity"/>
  </r>
  <r>
    <x v="0"/>
    <x v="2"/>
    <s v="Ofaveolata000302"/>
    <m/>
    <n v="-2.5442041"/>
    <n v="-1.3726700000000001"/>
    <s v="Direct"/>
    <s v="oxidoreductase activity"/>
  </r>
  <r>
    <x v="0"/>
    <x v="2"/>
    <s v="Ofaveolata000304"/>
    <m/>
    <n v="-1.8882692000000001"/>
    <n v="-4.8321873000000002"/>
    <s v="Direct"/>
    <s v="Phosphoethanolamine"/>
  </r>
  <r>
    <x v="0"/>
    <x v="2"/>
    <s v="Ofaveolata000340"/>
    <m/>
    <n v="-4.0745684000000004"/>
    <n v="-7.6263740000000002"/>
    <s v="Direct"/>
    <s v="UPF0704 protein C6orf165 homolog"/>
  </r>
  <r>
    <x v="0"/>
    <x v="2"/>
    <s v="Ofaveolata000347"/>
    <m/>
    <n v="-1.1094280999999999"/>
    <n v="-1.3263495000000001"/>
    <s v="Direct"/>
    <s v="regulation of translation involved in cellular response to UV"/>
  </r>
  <r>
    <x v="0"/>
    <x v="2"/>
    <s v="Ofaveolata000356"/>
    <m/>
    <n v="-2.2627174999999999"/>
    <n v="-1.3690844"/>
    <s v="Direct"/>
    <s v="NA"/>
  </r>
  <r>
    <x v="0"/>
    <x v="2"/>
    <s v="Ofaveolata000358"/>
    <m/>
    <n v="1.1206940700000001"/>
    <n v="1.1057233200000001"/>
    <s v="Direct"/>
    <s v="actin binding"/>
  </r>
  <r>
    <x v="0"/>
    <x v="2"/>
    <s v="Ofaveolata000368"/>
    <m/>
    <n v="-1.8348214"/>
    <n v="-1.3414974"/>
    <s v="Direct"/>
    <s v="NA"/>
  </r>
  <r>
    <x v="0"/>
    <x v="2"/>
    <s v="Ofaveolata000392"/>
    <m/>
    <n v="-5.3542680000000002"/>
    <n v="-1.1043232000000001"/>
    <s v="Direct"/>
    <s v="NK6 homeobox 1"/>
  </r>
  <r>
    <x v="0"/>
    <x v="2"/>
    <s v="Ofaveolata000407"/>
    <m/>
    <n v="1.0310285800000001"/>
    <n v="1.6478136400000001"/>
    <s v="Direct"/>
    <s v="NA"/>
  </r>
  <r>
    <x v="0"/>
    <x v="2"/>
    <s v="Ofaveolata000414"/>
    <m/>
    <n v="-2.8542277999999999"/>
    <n v="-1.052238"/>
    <s v="Direct"/>
    <s v="NA"/>
  </r>
  <r>
    <x v="0"/>
    <x v="2"/>
    <s v="Ofaveolata000415"/>
    <m/>
    <n v="5.6295348599999997"/>
    <n v="4.9531387999999996"/>
    <s v="Direct"/>
    <s v="Protein canopy homolog 4"/>
  </r>
  <r>
    <x v="0"/>
    <x v="2"/>
    <s v="Ofaveolata000439"/>
    <m/>
    <n v="-1.0658957"/>
    <n v="-1.0386245999999999"/>
    <s v="Direct"/>
    <s v="Catenin (Cadherin-associated protein), alpha"/>
  </r>
  <r>
    <x v="0"/>
    <x v="2"/>
    <s v="Ofaveolata000449"/>
    <m/>
    <n v="-14.616334"/>
    <n v="-8.6631537999999999"/>
    <s v="Direct"/>
    <s v="Lactose-binding lectin l-2-like"/>
  </r>
  <r>
    <x v="0"/>
    <x v="2"/>
    <s v="Ofaveolata000453"/>
    <m/>
    <n v="2.9108613399999999"/>
    <n v="2.1019597399999999"/>
    <s v="Direct"/>
    <s v="metalloaminopeptidase activity"/>
  </r>
  <r>
    <x v="0"/>
    <x v="2"/>
    <s v="Ofaveolata000475"/>
    <m/>
    <n v="-1.7658727999999999"/>
    <n v="-2.2935824999999999"/>
    <s v="Direct"/>
    <s v="Transmembrane channel-like"/>
  </r>
  <r>
    <x v="0"/>
    <x v="2"/>
    <s v="Ofaveolata000533"/>
    <m/>
    <n v="-2.10642"/>
    <n v="-1.5846027"/>
    <s v="Direct"/>
    <s v="NA"/>
  </r>
  <r>
    <x v="0"/>
    <x v="2"/>
    <s v="Ofaveolata000572"/>
    <m/>
    <n v="-4.2735700999999997"/>
    <n v="-3.1596090999999999"/>
    <s v="Direct"/>
    <s v="Cobalamin-independent synthase, Catalytic domain"/>
  </r>
  <r>
    <x v="0"/>
    <x v="2"/>
    <s v="Ofaveolata000578"/>
    <m/>
    <n v="-1.7852657999999999"/>
    <n v="-1.1347411999999999"/>
    <s v="Direct"/>
    <s v="MFS/sugar transport protein"/>
  </r>
  <r>
    <x v="0"/>
    <x v="2"/>
    <s v="Ofaveolata000604"/>
    <m/>
    <n v="2.4066046399999999"/>
    <n v="2.5925827799999999"/>
    <s v="Direct"/>
    <s v="Galactose oxidase, central domain"/>
  </r>
  <r>
    <x v="0"/>
    <x v="2"/>
    <s v="Ofaveolata000638"/>
    <m/>
    <n v="-1.1797797999999999"/>
    <n v="-1.3062514999999999"/>
    <s v="Direct"/>
    <s v="CUB and zona pellucida-like domain-containing protein"/>
  </r>
  <r>
    <x v="0"/>
    <x v="2"/>
    <s v="Ofaveolata000643"/>
    <m/>
    <n v="-1.8818741000000001"/>
    <n v="-1.0554344"/>
    <s v="Direct"/>
    <s v="NA"/>
  </r>
  <r>
    <x v="0"/>
    <x v="2"/>
    <s v="Ofaveolata000649"/>
    <m/>
    <n v="-2.2345210999999998"/>
    <n v="-1.8234892"/>
    <s v="Direct"/>
    <s v="NA"/>
  </r>
  <r>
    <x v="0"/>
    <x v="2"/>
    <s v="Ofaveolata000698"/>
    <m/>
    <n v="-1.7126157"/>
    <n v="-1.6239991"/>
    <s v="Direct"/>
    <s v="NA"/>
  </r>
  <r>
    <x v="0"/>
    <x v="2"/>
    <s v="Ofaveolata000708"/>
    <m/>
    <n v="2.9723884200000001"/>
    <n v="1.0588926700000001"/>
    <s v="Direct"/>
    <s v="Interferon induced with helicase C domain 1"/>
  </r>
  <r>
    <x v="0"/>
    <x v="2"/>
    <s v="Ofaveolata000742"/>
    <m/>
    <n v="-1.5378978999999999"/>
    <n v="-1.3866202999999999"/>
    <s v="Direct"/>
    <s v="peptidase inhibitor activity"/>
  </r>
  <r>
    <x v="0"/>
    <x v="2"/>
    <s v="Ofaveolata000765"/>
    <m/>
    <n v="-1.4187768000000001"/>
    <n v="-5.0301118000000002"/>
    <s v="Direct"/>
    <s v="6,7-dihydropteridine reductase activity"/>
  </r>
  <r>
    <x v="0"/>
    <x v="2"/>
    <s v="Ofaveolata000774"/>
    <m/>
    <n v="-2.6374094000000001"/>
    <n v="-3.3610758999999999"/>
    <s v="Direct"/>
    <s v="peptidyl-serine dephosphorylation"/>
  </r>
  <r>
    <x v="0"/>
    <x v="2"/>
    <s v="Ofaveolata000778"/>
    <m/>
    <n v="2.70038292"/>
    <n v="1.9423323800000001"/>
    <s v="Direct"/>
    <s v="IPT/TIG domain"/>
  </r>
  <r>
    <x v="0"/>
    <x v="2"/>
    <s v="Ofaveolata000797"/>
    <m/>
    <n v="-1.5697021"/>
    <n v="-1.5793957999999999"/>
    <s v="Direct"/>
    <s v="L-cysteine:2-oxoglutarate aminotransferase activity"/>
  </r>
  <r>
    <x v="0"/>
    <x v="2"/>
    <s v="Ofaveolata000815"/>
    <m/>
    <n v="1.10055645"/>
    <n v="2.3362372200000001"/>
    <s v="Direct"/>
    <s v="TELO2-interacting protein 1 homolog"/>
  </r>
  <r>
    <x v="0"/>
    <x v="2"/>
    <s v="Ofaveolata000876"/>
    <m/>
    <n v="3.4108587899999998"/>
    <n v="2.1634651800000002"/>
    <s v="Direct"/>
    <s v="NA"/>
  </r>
  <r>
    <x v="0"/>
    <x v="2"/>
    <s v="Ofaveolata000882"/>
    <m/>
    <n v="5.9881867099999999"/>
    <n v="2.4620991999999999"/>
    <s v="Direct"/>
    <s v="cortical actin cytoskeleton organization"/>
  </r>
  <r>
    <x v="0"/>
    <x v="2"/>
    <s v="Ofaveolata000919"/>
    <m/>
    <n v="-1.1822444000000001"/>
    <n v="-1.3876819"/>
    <s v="Direct"/>
    <s v="transmembrane protein 127"/>
  </r>
  <r>
    <x v="0"/>
    <x v="2"/>
    <s v="Ofaveolata000921"/>
    <m/>
    <n v="-2.2290597999999999"/>
    <n v="-2.0135564000000001"/>
    <s v="Direct"/>
    <s v="histone H4-K16 acetylation"/>
  </r>
  <r>
    <x v="0"/>
    <x v="2"/>
    <s v="Ofaveolata000928"/>
    <m/>
    <n v="-4.1575055000000001"/>
    <n v="-2.1584203"/>
    <s v="Direct"/>
    <s v="BTB POZ domain-containing protein"/>
  </r>
  <r>
    <x v="0"/>
    <x v="2"/>
    <s v="Ofaveolata000952"/>
    <m/>
    <n v="-1.4033551"/>
    <n v="-1.7362534999999999"/>
    <s v="Direct"/>
    <s v="NA"/>
  </r>
  <r>
    <x v="0"/>
    <x v="2"/>
    <s v="Ofaveolata000962"/>
    <m/>
    <n v="-7.8110396"/>
    <n v="-5.7932905999999997"/>
    <s v="Direct"/>
    <s v="NA"/>
  </r>
  <r>
    <x v="0"/>
    <x v="2"/>
    <s v="Ofaveolata000973"/>
    <m/>
    <n v="1.29238974"/>
    <n v="1.40610254"/>
    <s v="Direct"/>
    <s v="microtubule binding"/>
  </r>
  <r>
    <x v="0"/>
    <x v="2"/>
    <s v="Ofaveolata000986"/>
    <m/>
    <n v="3.18639904"/>
    <n v="3.8316533700000002"/>
    <s v="Direct"/>
    <s v="NA"/>
  </r>
  <r>
    <x v="0"/>
    <x v="2"/>
    <s v="Ofaveolata001010"/>
    <m/>
    <n v="1.7105668199999999"/>
    <n v="1.41040162"/>
    <s v="Direct"/>
    <s v="negative regulation of vascular smooth muscle contraction"/>
  </r>
  <r>
    <x v="0"/>
    <x v="2"/>
    <s v="Ofaveolata001011"/>
    <m/>
    <n v="-5.0434539000000003"/>
    <n v="-4.3447884999999999"/>
    <s v="Direct"/>
    <s v="G-protein coupled receptor activity"/>
  </r>
  <r>
    <x v="0"/>
    <x v="2"/>
    <s v="Ofaveolata001052"/>
    <m/>
    <n v="7.5072132500000004"/>
    <n v="4.8356880799999997"/>
    <s v="Direct"/>
    <s v="NA"/>
  </r>
  <r>
    <x v="0"/>
    <x v="2"/>
    <s v="Ofaveolata001090"/>
    <m/>
    <n v="4.72070466"/>
    <n v="1.8823118299999999"/>
    <s v="Direct"/>
    <s v="NA"/>
  </r>
  <r>
    <x v="0"/>
    <x v="2"/>
    <s v="Ofaveolata001091"/>
    <m/>
    <n v="2.0865963700000001"/>
    <n v="1.58542597"/>
    <s v="Direct"/>
    <s v="NA"/>
  </r>
  <r>
    <x v="0"/>
    <x v="2"/>
    <s v="Ofaveolata001100"/>
    <m/>
    <n v="-3.2791481999999998"/>
    <n v="-2.1642073000000002"/>
    <s v="Direct"/>
    <s v="TIA1 cytotoxic granule-associated RNA binding protein-like 1"/>
  </r>
  <r>
    <x v="0"/>
    <x v="2"/>
    <s v="Ofaveolata001103"/>
    <m/>
    <n v="-1.6679499"/>
    <n v="-2.3465715"/>
    <s v="Direct"/>
    <s v="NA"/>
  </r>
  <r>
    <x v="0"/>
    <x v="2"/>
    <s v="Ofaveolata001106"/>
    <m/>
    <n v="1.4284884600000001"/>
    <n v="1.4152854500000001"/>
    <s v="Direct"/>
    <s v="PWWP domain containing 2B"/>
  </r>
  <r>
    <x v="0"/>
    <x v="2"/>
    <s v="Ofaveolata001111"/>
    <m/>
    <n v="-2.7882532000000002"/>
    <n v="-1.7661349"/>
    <s v="Direct"/>
    <s v="retinol dehydrogenase activity"/>
  </r>
  <r>
    <x v="0"/>
    <x v="2"/>
    <s v="Ofaveolata001154"/>
    <m/>
    <n v="-1.8899238"/>
    <n v="-1.5602530999999999"/>
    <s v="Direct"/>
    <s v="Ubiquitin-like domain containing CTD phosphatase 1"/>
  </r>
  <r>
    <x v="0"/>
    <x v="2"/>
    <s v="Ofaveolata001171"/>
    <m/>
    <n v="1.9196573800000001"/>
    <n v="4.2073721099999997"/>
    <s v="Direct"/>
    <s v="plasma membrane repair"/>
  </r>
  <r>
    <x v="0"/>
    <x v="2"/>
    <s v="Ofaveolata001197"/>
    <m/>
    <n v="3.80379712"/>
    <n v="3.56090068"/>
    <s v="Direct"/>
    <s v="maturation of 5.8S rRNA from tricistronic rRNA transcript (SSU-rRNA, 5.8S rRNA, LSU-rRNA)"/>
  </r>
  <r>
    <x v="0"/>
    <x v="2"/>
    <s v="Ofaveolata001202"/>
    <m/>
    <n v="-10.598463000000001"/>
    <n v="-7.8708074000000003"/>
    <s v="Direct"/>
    <s v="NA"/>
  </r>
  <r>
    <x v="0"/>
    <x v="2"/>
    <s v="Ofaveolata001227"/>
    <m/>
    <n v="-1.5098426"/>
    <n v="-6.5150566999999997"/>
    <s v="Direct"/>
    <s v="positive regulation of glomerular metanephric mesangial cell proliferation"/>
  </r>
  <r>
    <x v="0"/>
    <x v="2"/>
    <s v="Ofaveolata001229"/>
    <m/>
    <n v="-3.8942369999999999"/>
    <n v="-2.7181746000000002"/>
    <s v="Direct"/>
    <s v="NA"/>
  </r>
  <r>
    <x v="0"/>
    <x v="2"/>
    <s v="Ofaveolata001230"/>
    <m/>
    <n v="1.6971596099999999"/>
    <n v="1.1385464199999999"/>
    <s v="Direct"/>
    <s v="fibroblast growth factor-activated receptor activity"/>
  </r>
  <r>
    <x v="0"/>
    <x v="2"/>
    <s v="Ofaveolata001235"/>
    <m/>
    <n v="-5.8995116999999997"/>
    <n v="-5.7731380000000003"/>
    <s v="Direct"/>
    <s v="NA"/>
  </r>
  <r>
    <x v="0"/>
    <x v="2"/>
    <s v="Ofaveolata001253"/>
    <m/>
    <n v="-3.5323981999999998"/>
    <n v="-3.9704457999999998"/>
    <s v="Direct"/>
    <s v="negative regulation of ERK1 and ERK2 cascade"/>
  </r>
  <r>
    <x v="0"/>
    <x v="2"/>
    <s v="Ofaveolata001258"/>
    <m/>
    <n v="-4.3141511000000001"/>
    <n v="-2.1134659"/>
    <s v="Direct"/>
    <s v="homophilic cell adhesion via plasma membrane adhesion molecules"/>
  </r>
  <r>
    <x v="0"/>
    <x v="2"/>
    <s v="Ofaveolata001260"/>
    <m/>
    <n v="-3.8629305999999999"/>
    <n v="-2.8951039000000001"/>
    <s v="Direct"/>
    <s v="NA"/>
  </r>
  <r>
    <x v="0"/>
    <x v="2"/>
    <s v="Ofaveolata001267"/>
    <m/>
    <n v="6.8226510200000003"/>
    <n v="5.7932906300000004"/>
    <s v="Direct"/>
    <s v="Phosphatidylethanolamine-binding protein"/>
  </r>
  <r>
    <x v="0"/>
    <x v="2"/>
    <s v="Ofaveolata001296"/>
    <m/>
    <n v="-1.5997128"/>
    <n v="-1.2740079"/>
    <s v="Direct"/>
    <s v="Rab GTPase binding"/>
  </r>
  <r>
    <x v="0"/>
    <x v="2"/>
    <s v="Ofaveolata001318"/>
    <m/>
    <n v="-7.4949032000000004"/>
    <n v="-6.7172589"/>
    <s v="Direct"/>
    <s v="NA"/>
  </r>
  <r>
    <x v="0"/>
    <x v="2"/>
    <s v="Ofaveolata001321"/>
    <m/>
    <n v="-1.8448049"/>
    <n v="-4.5044862999999999"/>
    <s v="Direct"/>
    <s v="serine-type aminopeptidase activity"/>
  </r>
  <r>
    <x v="0"/>
    <x v="2"/>
    <s v="Ofaveolata001337"/>
    <m/>
    <n v="-2.1768714"/>
    <n v="-2.9331977"/>
    <s v="Direct"/>
    <s v="spermatogenesis"/>
  </r>
  <r>
    <x v="0"/>
    <x v="2"/>
    <s v="Ofaveolata001345"/>
    <m/>
    <n v="-2.6497674"/>
    <n v="-2.2257017000000001"/>
    <s v="Direct"/>
    <s v="mannose-ethanolamine phosphotransferase activity"/>
  </r>
  <r>
    <x v="0"/>
    <x v="2"/>
    <s v="Ofaveolata001357"/>
    <m/>
    <n v="-2.5688618000000001"/>
    <n v="-1.6380209999999999"/>
    <s v="Direct"/>
    <s v="NA"/>
  </r>
  <r>
    <x v="0"/>
    <x v="2"/>
    <s v="Ofaveolata001358"/>
    <m/>
    <n v="-5.5489382000000003"/>
    <n v="-5.3254080000000004"/>
    <s v="Direct"/>
    <s v="NA"/>
  </r>
  <r>
    <x v="0"/>
    <x v="2"/>
    <s v="Ofaveolata001359"/>
    <m/>
    <n v="-1.8527075"/>
    <n v="-1.5589104"/>
    <s v="Direct"/>
    <s v="NA"/>
  </r>
  <r>
    <x v="0"/>
    <x v="2"/>
    <s v="Ofaveolata001364"/>
    <m/>
    <n v="-5.3745139000000002"/>
    <n v="-3.1562793"/>
    <s v="Direct"/>
    <s v="alpha-L-fucosidase activity"/>
  </r>
  <r>
    <x v="0"/>
    <x v="2"/>
    <s v="Ofaveolata001369"/>
    <m/>
    <n v="-6.2941798999999996"/>
    <n v="-5.6804043999999996"/>
    <s v="Direct"/>
    <s v="alpha-L-fucosidase activity"/>
  </r>
  <r>
    <x v="0"/>
    <x v="2"/>
    <s v="Ofaveolata001383"/>
    <m/>
    <n v="5.85963748"/>
    <n v="4.3648130900000002"/>
    <s v="Direct"/>
    <s v="Copper/zinc superoxide dismutase (SODC)"/>
  </r>
  <r>
    <x v="0"/>
    <x v="2"/>
    <s v="Ofaveolata001384"/>
    <m/>
    <n v="-8.6723499000000004"/>
    <n v="-3.4280045000000001"/>
    <s v="Direct"/>
    <s v="Copper/zinc superoxide dismutase (SODC)"/>
  </r>
  <r>
    <x v="0"/>
    <x v="2"/>
    <s v="Ofaveolata001399"/>
    <m/>
    <n v="1.1023631"/>
    <n v="3.2132180400000001"/>
    <s v="Direct"/>
    <s v="Uncharacterized coiled-coil protein (DUF2353)"/>
  </r>
  <r>
    <x v="0"/>
    <x v="2"/>
    <s v="Ofaveolata001400"/>
    <m/>
    <n v="-2.6553146000000001"/>
    <n v="-1.4907547999999999"/>
    <s v="Direct"/>
    <s v="V-type proton ATPase subunit B"/>
  </r>
  <r>
    <x v="0"/>
    <x v="2"/>
    <s v="Ofaveolata001402"/>
    <m/>
    <n v="-2.5323559000000002"/>
    <n v="-2.0029452999999999"/>
    <s v="Direct"/>
    <s v="Calcineurin-like phosphoesterase"/>
  </r>
  <r>
    <x v="0"/>
    <x v="2"/>
    <s v="Ofaveolata001406"/>
    <m/>
    <n v="4.5299390600000002"/>
    <n v="5.8901367999999996"/>
    <s v="Direct"/>
    <s v="NA"/>
  </r>
  <r>
    <x v="0"/>
    <x v="2"/>
    <s v="Ofaveolata001407"/>
    <m/>
    <n v="-2.2366364999999999"/>
    <n v="-1.3178993000000001"/>
    <s v="Direct"/>
    <s v="Arsenite methyltransferase"/>
  </r>
  <r>
    <x v="0"/>
    <x v="2"/>
    <s v="Ofaveolata001417"/>
    <m/>
    <n v="-15.839035000000001"/>
    <n v="-10.188757000000001"/>
    <s v="Direct"/>
    <s v="NA"/>
  </r>
  <r>
    <x v="0"/>
    <x v="2"/>
    <s v="Ofaveolata001421"/>
    <m/>
    <n v="1.4785510399999999"/>
    <n v="1.26381659"/>
    <s v="Direct"/>
    <s v="Retinoic acid induced 16-like protein"/>
  </r>
  <r>
    <x v="0"/>
    <x v="2"/>
    <s v="Ofaveolata001427"/>
    <m/>
    <n v="1.15760752"/>
    <n v="1.2828050499999999"/>
    <s v="Direct"/>
    <s v="leucine-rich repeat serine threonine-protein kinase"/>
  </r>
  <r>
    <x v="0"/>
    <x v="2"/>
    <s v="Ofaveolata001451"/>
    <m/>
    <n v="-6.1741644000000004"/>
    <n v="-3.5909415"/>
    <s v="Direct"/>
    <s v="NA"/>
  </r>
  <r>
    <x v="0"/>
    <x v="2"/>
    <s v="Ofaveolata001455"/>
    <m/>
    <n v="-1.4120899"/>
    <n v="-1.7529893999999999"/>
    <s v="Direct"/>
    <s v="transmembrane transport"/>
  </r>
  <r>
    <x v="0"/>
    <x v="2"/>
    <s v="Ofaveolata001468"/>
    <m/>
    <n v="1.0138514599999999"/>
    <n v="1.87072013"/>
    <s v="Direct"/>
    <s v="NA"/>
  </r>
  <r>
    <x v="0"/>
    <x v="2"/>
    <s v="Ofaveolata001473"/>
    <m/>
    <n v="-3.3059596"/>
    <n v="-1.7248884"/>
    <s v="Direct"/>
    <s v="acid phosphatase activity"/>
  </r>
  <r>
    <x v="0"/>
    <x v="2"/>
    <s v="Ofaveolata001477"/>
    <m/>
    <n v="-3.9608148000000001"/>
    <n v="-3.6793152"/>
    <s v="Direct"/>
    <s v="stress-activated protein kinase signaling cascade"/>
  </r>
  <r>
    <x v="0"/>
    <x v="2"/>
    <s v="Ofaveolata001490"/>
    <m/>
    <n v="-1.4432631"/>
    <n v="-2.1435973000000001"/>
    <s v="Direct"/>
    <s v="ATP binding"/>
  </r>
  <r>
    <x v="0"/>
    <x v="2"/>
    <s v="Ofaveolata001493"/>
    <m/>
    <n v="-2.2907815999999999"/>
    <n v="-1.5207439"/>
    <s v="Direct"/>
    <s v="recycling endosome to Golgi transport"/>
  </r>
  <r>
    <x v="0"/>
    <x v="2"/>
    <s v="Ofaveolata001509"/>
    <m/>
    <n v="-1.6622093"/>
    <n v="-1.1170751999999999"/>
    <s v="Direct"/>
    <s v="Potassium channel subfamily K member"/>
  </r>
  <r>
    <x v="0"/>
    <x v="2"/>
    <s v="Ofaveolata001524"/>
    <m/>
    <n v="-2.0865963999999999"/>
    <n v="-2.2229898000000001"/>
    <s v="Direct"/>
    <s v="Nipsnap homolog"/>
  </r>
  <r>
    <x v="0"/>
    <x v="2"/>
    <s v="Ofaveolata001530"/>
    <m/>
    <n v="-6.4229634999999998"/>
    <n v="-9.6228730000000002"/>
    <s v="Direct"/>
    <s v="mitochondrial electron transport, NADH to ubiquinone"/>
  </r>
  <r>
    <x v="0"/>
    <x v="2"/>
    <s v="Ofaveolata001543"/>
    <m/>
    <n v="4.0101033299999997"/>
    <n v="3.9847040499999999"/>
    <s v="Direct"/>
    <s v="tryptophan 5-monooxygenase activity"/>
  </r>
  <r>
    <x v="0"/>
    <x v="2"/>
    <s v="Ofaveolata001563"/>
    <m/>
    <n v="-6.2791819000000002"/>
    <n v="-6.9089273999999996"/>
    <s v="Direct"/>
    <s v="Belongs to the carnitine choline acetyltransferase family"/>
  </r>
  <r>
    <x v="0"/>
    <x v="2"/>
    <s v="Ofaveolata001584"/>
    <m/>
    <n v="4.0790108700000003"/>
    <n v="5.5087594400000004"/>
    <s v="Direct"/>
    <s v="NA"/>
  </r>
  <r>
    <x v="0"/>
    <x v="2"/>
    <s v="Ofaveolata001594"/>
    <m/>
    <n v="-10.101601"/>
    <n v="-7.5156109000000004"/>
    <s v="Direct"/>
    <s v="NA"/>
  </r>
  <r>
    <x v="0"/>
    <x v="2"/>
    <s v="Ofaveolata001597"/>
    <m/>
    <n v="-2.7422987000000001"/>
    <n v="-1.8236212000000001"/>
    <s v="Direct"/>
    <s v="NA"/>
  </r>
  <r>
    <x v="0"/>
    <x v="2"/>
    <s v="Ofaveolata001600"/>
    <m/>
    <n v="-9.2134088999999992"/>
    <n v="-10.116618000000001"/>
    <s v="Direct"/>
    <s v="BCCT, betaine/carnitine/choline family transporter"/>
  </r>
  <r>
    <x v="0"/>
    <x v="2"/>
    <s v="Ofaveolata001602"/>
    <m/>
    <n v="-23.503115999999999"/>
    <n v="-17.689978"/>
    <s v="Direct"/>
    <s v="NA"/>
  </r>
  <r>
    <x v="0"/>
    <x v="2"/>
    <s v="Ofaveolata001603"/>
    <m/>
    <n v="-1.7569944"/>
    <n v="-1.184601"/>
    <s v="Direct"/>
    <s v="NA"/>
  </r>
  <r>
    <x v="0"/>
    <x v="2"/>
    <s v="Ofaveolata001608"/>
    <m/>
    <n v="-4.4723018000000003"/>
    <n v="-3.0647764"/>
    <s v="Direct"/>
    <s v="NA"/>
  </r>
  <r>
    <x v="0"/>
    <x v="2"/>
    <s v="Ofaveolata001616"/>
    <m/>
    <n v="-6.8788004999999997"/>
    <n v="-3.5277816"/>
    <s v="Direct"/>
    <s v="DOMON domain-containing protein"/>
  </r>
  <r>
    <x v="0"/>
    <x v="2"/>
    <s v="Ofaveolata001621"/>
    <m/>
    <n v="-1.4922868"/>
    <n v="-1.4008727000000001"/>
    <s v="Direct"/>
    <s v="NA"/>
  </r>
  <r>
    <x v="0"/>
    <x v="2"/>
    <s v="Ofaveolata001626"/>
    <m/>
    <n v="1.3357890800000001"/>
    <n v="1.4862157"/>
    <s v="Direct"/>
    <s v="H4K20me3 modified histone binding"/>
  </r>
  <r>
    <x v="0"/>
    <x v="2"/>
    <s v="Ofaveolata001629"/>
    <m/>
    <n v="-1.2285164"/>
    <n v="-1.1218824999999999"/>
    <s v="Direct"/>
    <s v="type B pancreatic cell proliferation"/>
  </r>
  <r>
    <x v="0"/>
    <x v="2"/>
    <s v="Ofaveolata001666"/>
    <m/>
    <n v="-2.0910818"/>
    <n v="-5.7572292000000003"/>
    <s v="Direct"/>
    <s v="eukaryotic initiation factor 4E binding"/>
  </r>
  <r>
    <x v="0"/>
    <x v="2"/>
    <s v="Ofaveolata001712"/>
    <m/>
    <n v="-5.9058393000000002"/>
    <n v="-6.4098033000000001"/>
    <s v="Direct"/>
    <s v="NA"/>
  </r>
  <r>
    <x v="0"/>
    <x v="2"/>
    <s v="Ofaveolata001713"/>
    <m/>
    <n v="-12.863184"/>
    <n v="-8.3374106999999995"/>
    <s v="Direct"/>
    <s v="NA"/>
  </r>
  <r>
    <x v="0"/>
    <x v="2"/>
    <s v="Ofaveolata001714"/>
    <m/>
    <n v="-10.631677"/>
    <n v="-8.2252702000000006"/>
    <s v="Direct"/>
    <s v="NA"/>
  </r>
  <r>
    <x v="0"/>
    <x v="2"/>
    <s v="Ofaveolata001715"/>
    <m/>
    <n v="-10.084066999999999"/>
    <n v="-8.0054543000000002"/>
    <s v="Direct"/>
    <s v="NA"/>
  </r>
  <r>
    <x v="0"/>
    <x v="2"/>
    <s v="Ofaveolata001720"/>
    <m/>
    <n v="-5.0186381000000004"/>
    <n v="-3.5468107"/>
    <s v="Direct"/>
    <s v="NA"/>
  </r>
  <r>
    <x v="0"/>
    <x v="2"/>
    <s v="Ofaveolata001721"/>
    <m/>
    <n v="-7.2937557999999996"/>
    <n v="-5.3574219999999997"/>
    <s v="Direct"/>
    <s v="NA"/>
  </r>
  <r>
    <x v="0"/>
    <x v="2"/>
    <s v="Ofaveolata001724"/>
    <m/>
    <n v="-4.7203001999999996"/>
    <n v="-4.6303134000000004"/>
    <s v="Direct"/>
    <s v="NA"/>
  </r>
  <r>
    <x v="0"/>
    <x v="2"/>
    <s v="Ofaveolata001725"/>
    <m/>
    <n v="-2.9351489000000002"/>
    <n v="-4.9191928000000003"/>
    <s v="Direct"/>
    <s v="NA"/>
  </r>
  <r>
    <x v="0"/>
    <x v="2"/>
    <s v="Ofaveolata001729"/>
    <m/>
    <n v="-5.7508825000000003"/>
    <n v="-4.8857868"/>
    <s v="Direct"/>
    <s v="NA"/>
  </r>
  <r>
    <x v="0"/>
    <x v="2"/>
    <s v="Ofaveolata001730"/>
    <m/>
    <n v="-9.2066321999999996"/>
    <n v="-8.1607398999999994"/>
    <s v="Direct"/>
    <s v="NA"/>
  </r>
  <r>
    <x v="0"/>
    <x v="2"/>
    <s v="Ofaveolata001732"/>
    <m/>
    <n v="-7.6721434000000004"/>
    <n v="-7.4991197999999999"/>
    <s v="Direct"/>
    <s v="NA"/>
  </r>
  <r>
    <x v="0"/>
    <x v="2"/>
    <s v="Ofaveolata001733"/>
    <m/>
    <n v="-9.4338063999999999"/>
    <n v="-8.0329210999999994"/>
    <s v="Direct"/>
    <s v="NA"/>
  </r>
  <r>
    <x v="0"/>
    <x v="2"/>
    <s v="Ofaveolata001734"/>
    <m/>
    <n v="-13.512852000000001"/>
    <n v="-11.274386"/>
    <s v="Direct"/>
    <s v="NA"/>
  </r>
  <r>
    <x v="0"/>
    <x v="2"/>
    <s v="Ofaveolata001746"/>
    <m/>
    <n v="-2.6682532000000001"/>
    <n v="-3.7689031000000002"/>
    <s v="Direct"/>
    <s v="NA"/>
  </r>
  <r>
    <x v="0"/>
    <x v="2"/>
    <s v="Ofaveolata001752"/>
    <m/>
    <n v="-3.4608373000000001"/>
    <n v="-2.7852356"/>
    <s v="Direct"/>
    <s v="adenosine kinase activity"/>
  </r>
  <r>
    <x v="0"/>
    <x v="2"/>
    <s v="Ofaveolata001771"/>
    <m/>
    <n v="-3.1738438000000002"/>
    <n v="-3.6247764999999998"/>
    <s v="Direct"/>
    <s v="2 iron, 2 sulfur cluster binding"/>
  </r>
  <r>
    <x v="0"/>
    <x v="2"/>
    <s v="Ofaveolata001805"/>
    <m/>
    <n v="4.9691996300000003"/>
    <n v="4.3733429199999998"/>
    <s v="Direct"/>
    <s v="Ligand for members of the frizzled family of seven transmembrane receptors"/>
  </r>
  <r>
    <x v="0"/>
    <x v="2"/>
    <s v="Ofaveolata001809"/>
    <m/>
    <n v="-1.8486237000000001"/>
    <n v="-1.9277328"/>
    <s v="Direct"/>
    <s v="NA"/>
  </r>
  <r>
    <x v="0"/>
    <x v="2"/>
    <s v="Ofaveolata001813"/>
    <m/>
    <n v="1.8998455400000001"/>
    <n v="3.0038130299999999"/>
    <s v="Direct"/>
    <s v="poly(A)-specific ribonuclease activity"/>
  </r>
  <r>
    <x v="0"/>
    <x v="2"/>
    <s v="Ofaveolata001827"/>
    <m/>
    <n v="1.1066290000000001"/>
    <n v="1.9043055099999999"/>
    <s v="Direct"/>
    <s v="heme binding"/>
  </r>
  <r>
    <x v="0"/>
    <x v="2"/>
    <s v="Ofaveolata001837"/>
    <m/>
    <n v="-6.7867293000000002"/>
    <n v="-6.4031472999999997"/>
    <s v="Direct"/>
    <s v="NA"/>
  </r>
  <r>
    <x v="0"/>
    <x v="2"/>
    <s v="Ofaveolata001844"/>
    <m/>
    <n v="1.7087940500000001"/>
    <n v="1.0351141100000001"/>
    <s v="Direct"/>
    <s v="acetyl-CoA"/>
  </r>
  <r>
    <x v="0"/>
    <x v="2"/>
    <s v="Ofaveolata001849"/>
    <m/>
    <n v="-2.6069486999999998"/>
    <n v="-1.0008804"/>
    <s v="Direct"/>
    <s v="NA"/>
  </r>
  <r>
    <x v="0"/>
    <x v="2"/>
    <s v="Ofaveolata001856"/>
    <m/>
    <n v="-3.9628535"/>
    <n v="-4.6213217000000002"/>
    <s v="Direct"/>
    <s v="NA"/>
  </r>
  <r>
    <x v="0"/>
    <x v="2"/>
    <s v="Ofaveolata001861"/>
    <m/>
    <n v="5.8738959399999997"/>
    <n v="3.7720852800000002"/>
    <s v="Direct"/>
    <s v="PRELI domain-containing protein 2"/>
  </r>
  <r>
    <x v="0"/>
    <x v="2"/>
    <s v="Ofaveolata001887"/>
    <m/>
    <n v="-7.1828162000000004"/>
    <n v="-4.9790489000000004"/>
    <s v="Direct"/>
    <s v="negative regulation of canonical Wnt signaling pathway involved in cardiac muscle cell fate commitment"/>
  </r>
  <r>
    <x v="0"/>
    <x v="2"/>
    <s v="Ofaveolata001889"/>
    <m/>
    <n v="-6.9601207"/>
    <n v="-4.1831223"/>
    <s v="Direct"/>
    <s v="NA"/>
  </r>
  <r>
    <x v="0"/>
    <x v="2"/>
    <s v="Ofaveolata001919"/>
    <m/>
    <n v="-1.5213855000000001"/>
    <n v="-1.3298217000000001"/>
    <s v="Direct"/>
    <s v="Occurs in almost all aerobically respiring organisms and serves to protect cells from the toxic effects of hydrogen peroxide"/>
  </r>
  <r>
    <x v="0"/>
    <x v="2"/>
    <s v="Ofaveolata001923"/>
    <m/>
    <n v="1.3381636800000001"/>
    <n v="1.3659878700000001"/>
    <s v="Direct"/>
    <s v="heme binding"/>
  </r>
  <r>
    <x v="0"/>
    <x v="2"/>
    <s v="Ofaveolata001933"/>
    <m/>
    <n v="-3.0396773000000001"/>
    <n v="-1.6428210000000001"/>
    <s v="Direct"/>
    <s v="NA"/>
  </r>
  <r>
    <x v="0"/>
    <x v="2"/>
    <s v="Ofaveolata001934"/>
    <m/>
    <n v="-1.4023106000000001"/>
    <n v="-1.1759082000000001"/>
    <s v="Direct"/>
    <s v="carbohydrate binding"/>
  </r>
  <r>
    <x v="0"/>
    <x v="2"/>
    <s v="Ofaveolata001946"/>
    <m/>
    <n v="2.2819363899999998"/>
    <n v="2.1962062499999999"/>
    <s v="Direct"/>
    <s v="calcium ion homeostasis"/>
  </r>
  <r>
    <x v="0"/>
    <x v="2"/>
    <s v="Ofaveolata001955"/>
    <m/>
    <n v="-1.9304417"/>
    <n v="-2.3101467000000002"/>
    <s v="Direct"/>
    <s v="deoxyribose-phosphate aldolase activity"/>
  </r>
  <r>
    <x v="0"/>
    <x v="2"/>
    <s v="Ofaveolata001962"/>
    <m/>
    <n v="-2.2192788999999999"/>
    <n v="-2.1634652000000001"/>
    <s v="Direct"/>
    <s v="NA"/>
  </r>
  <r>
    <x v="0"/>
    <x v="2"/>
    <s v="Ofaveolata001979"/>
    <m/>
    <n v="5.94102058"/>
    <n v="2.9449754800000001"/>
    <s v="Direct"/>
    <s v="NA"/>
  </r>
  <r>
    <x v="0"/>
    <x v="2"/>
    <s v="Ofaveolata002017"/>
    <m/>
    <n v="-5.2843621000000001"/>
    <n v="-2.7916514000000001"/>
    <s v="Direct"/>
    <s v="phospholipase A2 activity (consuming 1,2-dipalmitoylphosphatidylcholine)"/>
  </r>
  <r>
    <x v="0"/>
    <x v="2"/>
    <s v="Ofaveolata002144"/>
    <m/>
    <n v="-2.1520746000000002"/>
    <n v="-3.1636586000000002"/>
    <s v="Direct"/>
    <s v="Transmembrane protein 258"/>
  </r>
  <r>
    <x v="0"/>
    <x v="2"/>
    <s v="Ofaveolata002148"/>
    <m/>
    <n v="-2.9718422000000002"/>
    <n v="-3.3825886000000001"/>
    <s v="Direct"/>
    <s v="phospholipase A2 activity (consuming 1,2-dipalmitoylphosphatidylcholine)"/>
  </r>
  <r>
    <x v="0"/>
    <x v="2"/>
    <s v="Ofaveolata002149"/>
    <m/>
    <n v="-4.3206781000000003"/>
    <n v="-1.6936343"/>
    <s v="Direct"/>
    <s v="phospholipase A2 activity (consuming 1,2-dipalmitoylphosphatidylcholine)"/>
  </r>
  <r>
    <x v="0"/>
    <x v="2"/>
    <s v="Ofaveolata002172"/>
    <m/>
    <n v="-4.6576240000000002"/>
    <n v="-4.5682492000000003"/>
    <s v="Direct"/>
    <s v="carboxypeptidase Q"/>
  </r>
  <r>
    <x v="0"/>
    <x v="2"/>
    <s v="Ofaveolata002180"/>
    <m/>
    <n v="-1.3203562"/>
    <n v="-1.1569522000000001"/>
    <s v="Direct"/>
    <s v="histone acetyltransferase activity"/>
  </r>
  <r>
    <x v="0"/>
    <x v="2"/>
    <s v="Ofaveolata002186"/>
    <m/>
    <n v="-8.7403738000000004"/>
    <n v="-6.9050650999999998"/>
    <s v="Direct"/>
    <s v="Belongs to the sodium neurotransmitter symporter (SNF) (TC 2.A.22) family"/>
  </r>
  <r>
    <x v="0"/>
    <x v="2"/>
    <s v="Ofaveolata002188"/>
    <m/>
    <n v="-2.4499692999999998"/>
    <n v="-2.1655283999999999"/>
    <s v="Direct"/>
    <s v="G-protein coupled receptor activity"/>
  </r>
  <r>
    <x v="0"/>
    <x v="2"/>
    <s v="Ofaveolata002203"/>
    <m/>
    <n v="-3.8175142000000002"/>
    <n v="-3.4064059000000002"/>
    <s v="Direct"/>
    <s v="spliceosomal snRNP assembly"/>
  </r>
  <r>
    <x v="0"/>
    <x v="2"/>
    <s v="Ofaveolata002236"/>
    <m/>
    <n v="-2.9951677999999999"/>
    <n v="-1.1259809999999999"/>
    <s v="Direct"/>
    <s v="26S proteasome non-ATPase regulatory subunit"/>
  </r>
  <r>
    <x v="0"/>
    <x v="2"/>
    <s v="Ofaveolata002238"/>
    <m/>
    <n v="-5.2975447999999998"/>
    <n v="-3.2668455000000001"/>
    <s v="Direct"/>
    <s v="NA"/>
  </r>
  <r>
    <x v="0"/>
    <x v="2"/>
    <s v="Ofaveolata002239"/>
    <m/>
    <n v="-5.4715277999999996"/>
    <n v="-1.9106091000000001"/>
    <s v="Direct"/>
    <s v="NA"/>
  </r>
  <r>
    <x v="0"/>
    <x v="2"/>
    <s v="Ofaveolata002241"/>
    <m/>
    <n v="-4.7203001999999996"/>
    <n v="-3.6455747000000001"/>
    <s v="Direct"/>
    <s v="NA"/>
  </r>
  <r>
    <x v="0"/>
    <x v="2"/>
    <s v="Ofaveolata002242"/>
    <m/>
    <n v="-2.4501466999999999"/>
    <n v="-2.1603036000000002"/>
    <s v="Direct"/>
    <s v="NA"/>
  </r>
  <r>
    <x v="0"/>
    <x v="2"/>
    <s v="Ofaveolata002269"/>
    <m/>
    <n v="1.2877214400000001"/>
    <n v="1.00869104"/>
    <s v="Direct"/>
    <s v="Putative zinc-finger domain"/>
  </r>
  <r>
    <x v="0"/>
    <x v="2"/>
    <s v="Ofaveolata002275"/>
    <m/>
    <n v="-3.3970425"/>
    <n v="-1.2959483000000001"/>
    <s v="Direct"/>
    <s v="NA"/>
  </r>
  <r>
    <x v="0"/>
    <x v="2"/>
    <s v="Ofaveolata002278"/>
    <m/>
    <n v="-3.6634416999999999"/>
    <n v="-1.1848474"/>
    <s v="Direct"/>
    <s v="NA"/>
  </r>
  <r>
    <x v="0"/>
    <x v="2"/>
    <s v="Ofaveolata002291"/>
    <m/>
    <n v="-1.6969584"/>
    <n v="-2.8998290999999998"/>
    <s v="Direct"/>
    <s v="oxidoreductase activity"/>
  </r>
  <r>
    <x v="0"/>
    <x v="2"/>
    <s v="Ofaveolata002293"/>
    <m/>
    <n v="-6.0293013999999996"/>
    <n v="-6.5391484999999996"/>
    <s v="Direct"/>
    <s v="positive regulation of Golgi to plasma membrane protein transport"/>
  </r>
  <r>
    <x v="0"/>
    <x v="2"/>
    <s v="Ofaveolata002294"/>
    <m/>
    <n v="-5.8860530999999998"/>
    <n v="-5.3543075"/>
    <s v="Direct"/>
    <s v="arginine transport"/>
  </r>
  <r>
    <x v="0"/>
    <x v="2"/>
    <s v="Ofaveolata002297"/>
    <m/>
    <n v="-1.3915496000000001"/>
    <n v="-1.5112277000000001"/>
    <s v="Direct"/>
    <s v="ATP synthesis coupled proton transport"/>
  </r>
  <r>
    <x v="0"/>
    <x v="2"/>
    <s v="Ofaveolata002314"/>
    <m/>
    <n v="-3.5156757999999999"/>
    <n v="-2.0995982"/>
    <s v="Direct"/>
    <s v="positive regulation of neural precursor cell proliferation"/>
  </r>
  <r>
    <x v="0"/>
    <x v="2"/>
    <s v="Ofaveolata002328"/>
    <m/>
    <n v="-5.1092858999999997"/>
    <n v="-1.4777247"/>
    <s v="Direct"/>
    <s v="NA"/>
  </r>
  <r>
    <x v="0"/>
    <x v="2"/>
    <s v="Ofaveolata002330"/>
    <m/>
    <n v="1.44611087"/>
    <n v="2.1126290700000001"/>
    <s v="Direct"/>
    <s v="NA"/>
  </r>
  <r>
    <x v="0"/>
    <x v="2"/>
    <s v="Ofaveolata002345"/>
    <m/>
    <n v="-12.931882"/>
    <n v="-9.9916944000000001"/>
    <s v="Direct"/>
    <s v="NA"/>
  </r>
  <r>
    <x v="0"/>
    <x v="2"/>
    <s v="Ofaveolata002351"/>
    <m/>
    <n v="-1.2353282000000001"/>
    <n v="-1.865191"/>
    <s v="Direct"/>
    <s v="NA"/>
  </r>
  <r>
    <x v="0"/>
    <x v="2"/>
    <s v="Ofaveolata002355"/>
    <m/>
    <n v="-2.4066046000000001"/>
    <n v="-1.4567208"/>
    <s v="Direct"/>
    <s v="Adp-ribosylation factor"/>
  </r>
  <r>
    <x v="0"/>
    <x v="2"/>
    <s v="Ofaveolata002357"/>
    <m/>
    <n v="-3.6252751999999999"/>
    <n v="-2.4244458999999998"/>
    <s v="Direct"/>
    <s v="acidic dipeptidase"/>
  </r>
  <r>
    <x v="0"/>
    <x v="2"/>
    <s v="Ofaveolata002359"/>
    <m/>
    <n v="-2.8696685"/>
    <n v="-3.6045136000000002"/>
    <s v="Direct"/>
    <s v="Family of unknown function (DUF572)"/>
  </r>
  <r>
    <x v="0"/>
    <x v="2"/>
    <s v="Ofaveolata002362"/>
    <m/>
    <n v="-5.9171784000000001"/>
    <n v="-4.0700136999999996"/>
    <s v="Direct"/>
    <s v="brassinosteroid metabolic process"/>
  </r>
  <r>
    <x v="0"/>
    <x v="2"/>
    <s v="Ofaveolata002363"/>
    <m/>
    <n v="-5.3102717999999998"/>
    <n v="-3.1514753999999998"/>
    <s v="Direct"/>
    <s v="Haloacid dehalogenase-like hydrolase"/>
  </r>
  <r>
    <x v="0"/>
    <x v="2"/>
    <s v="Ofaveolata002376"/>
    <m/>
    <n v="-5.5524820000000004"/>
    <n v="-3.3763665999999999"/>
    <s v="Direct"/>
    <s v="NA"/>
  </r>
  <r>
    <x v="0"/>
    <x v="2"/>
    <s v="Ofaveolata002385"/>
    <m/>
    <n v="3.16982724"/>
    <n v="4.6721565199999997"/>
    <s v="Direct"/>
    <s v="NA"/>
  </r>
  <r>
    <x v="0"/>
    <x v="2"/>
    <s v="Ofaveolata002391"/>
    <m/>
    <n v="-1.2232574000000001"/>
    <n v="-2.7148835"/>
    <s v="Direct"/>
    <s v="cyclin-dependent protein serine/threonine kinase inhibitor activity"/>
  </r>
  <r>
    <x v="0"/>
    <x v="2"/>
    <s v="Ofaveolata002402"/>
    <m/>
    <n v="-2.8769988"/>
    <n v="-2.2977405000000002"/>
    <s v="Direct"/>
    <s v="NA"/>
  </r>
  <r>
    <x v="0"/>
    <x v="2"/>
    <s v="Ofaveolata002433"/>
    <m/>
    <n v="2.1936496600000002"/>
    <n v="3.0779156400000001"/>
    <s v="Direct"/>
    <s v="Chondroitin sulfate synthase"/>
  </r>
  <r>
    <x v="0"/>
    <x v="2"/>
    <s v="Ofaveolata002442"/>
    <m/>
    <n v="-2.1963460000000001"/>
    <n v="-1.6798005"/>
    <s v="Direct"/>
    <s v="NA"/>
  </r>
  <r>
    <x v="0"/>
    <x v="2"/>
    <s v="Ofaveolata002455"/>
    <m/>
    <n v="3.3320459800000002"/>
    <n v="2.7685712499999999"/>
    <s v="Direct"/>
    <s v="cytoskeletal anchoring at plasma membrane"/>
  </r>
  <r>
    <x v="0"/>
    <x v="2"/>
    <s v="Ofaveolata002456"/>
    <m/>
    <n v="1.02806759"/>
    <n v="1.02950425"/>
    <s v="Direct"/>
    <s v="NA"/>
  </r>
  <r>
    <x v="0"/>
    <x v="2"/>
    <s v="Ofaveolata002461"/>
    <m/>
    <n v="-5.8157024000000002"/>
    <n v="-2.2229898000000001"/>
    <s v="Direct"/>
    <s v="ephrin receptor binding"/>
  </r>
  <r>
    <x v="0"/>
    <x v="2"/>
    <s v="Ofaveolata002477"/>
    <m/>
    <n v="-7.4202697999999998"/>
    <n v="-4.9131106000000004"/>
    <s v="Direct"/>
    <s v="Belongs to the peptidase S1 family"/>
  </r>
  <r>
    <x v="0"/>
    <x v="2"/>
    <s v="Ofaveolata002478"/>
    <m/>
    <n v="-1.5442800000000001"/>
    <n v="-1.8079599"/>
    <s v="Direct"/>
    <s v="NA"/>
  </r>
  <r>
    <x v="0"/>
    <x v="2"/>
    <s v="Ofaveolata002482"/>
    <m/>
    <n v="-1.2571024"/>
    <n v="-2.7359452000000002"/>
    <s v="Direct"/>
    <s v="NA"/>
  </r>
  <r>
    <x v="0"/>
    <x v="2"/>
    <s v="Ofaveolata002484"/>
    <m/>
    <n v="-1.2657421"/>
    <n v="-1.271323"/>
    <s v="Direct"/>
    <s v="Ribosomal protein L4"/>
  </r>
  <r>
    <x v="0"/>
    <x v="2"/>
    <s v="Ofaveolata002486"/>
    <m/>
    <n v="-3.5849918000000001"/>
    <n v="-5.2679521999999999"/>
    <s v="Direct"/>
    <s v="NA"/>
  </r>
  <r>
    <x v="0"/>
    <x v="2"/>
    <s v="Ofaveolata002487"/>
    <m/>
    <n v="-9.8201021999999991"/>
    <n v="-7.1991563000000003"/>
    <s v="Direct"/>
    <s v="NA"/>
  </r>
  <r>
    <x v="0"/>
    <x v="2"/>
    <s v="Ofaveolata002490"/>
    <m/>
    <n v="1.4266378799999999"/>
    <n v="2.9336601299999998"/>
    <s v="Direct"/>
    <s v="cell-substrate adherens junction assembly"/>
  </r>
  <r>
    <x v="0"/>
    <x v="2"/>
    <s v="Ofaveolata002503"/>
    <m/>
    <n v="-1.3435258000000001"/>
    <n v="-2.3982776000000001"/>
    <s v="Direct"/>
    <s v="chitin binding"/>
  </r>
  <r>
    <x v="0"/>
    <x v="2"/>
    <s v="Ofaveolata002519"/>
    <m/>
    <n v="-4.6608840000000002"/>
    <n v="-5.0668845999999998"/>
    <s v="Direct"/>
    <s v="mesenchymal-epithelial cell signaling involved in prostate gland development"/>
  </r>
  <r>
    <x v="0"/>
    <x v="2"/>
    <s v="Ofaveolata002528"/>
    <m/>
    <n v="-3.4231531999999998"/>
    <n v="-3.4433373999999999"/>
    <s v="Direct"/>
    <s v="Metalloendopeptidase activity. It is involved in the biological process described with proteolysis"/>
  </r>
  <r>
    <x v="0"/>
    <x v="2"/>
    <s v="Ofaveolata002535"/>
    <m/>
    <n v="-7.2874008000000003"/>
    <n v="-9.8743104000000006"/>
    <s v="Direct"/>
    <s v="BCCT, betaine/carnitine/choline family transporter"/>
  </r>
  <r>
    <x v="0"/>
    <x v="2"/>
    <s v="Ofaveolata002538"/>
    <m/>
    <n v="1.1872933999999999"/>
    <n v="1.9274850299999999"/>
    <s v="Direct"/>
    <s v="NA"/>
  </r>
  <r>
    <x v="0"/>
    <x v="2"/>
    <s v="Ofaveolata002545"/>
    <m/>
    <n v="-2.4983244"/>
    <n v="-1.235698"/>
    <s v="Direct"/>
    <s v="metalloaminopeptidase activity"/>
  </r>
  <r>
    <x v="0"/>
    <x v="2"/>
    <s v="Ofaveolata002551"/>
    <m/>
    <n v="-1.8447515000000001"/>
    <n v="-4.5003602000000003"/>
    <s v="Direct"/>
    <s v="NA"/>
  </r>
  <r>
    <x v="0"/>
    <x v="2"/>
    <s v="Ofaveolata002554"/>
    <m/>
    <n v="-5.3898292999999997"/>
    <n v="-3.0123947000000002"/>
    <s v="Direct"/>
    <s v="Guanidinoacetate N-methyltransferase"/>
  </r>
  <r>
    <x v="0"/>
    <x v="2"/>
    <s v="Ofaveolata002556"/>
    <m/>
    <n v="3.1737582"/>
    <n v="2.7685712499999999"/>
    <s v="Direct"/>
    <s v="dihydrofolate reductase activity"/>
  </r>
  <r>
    <x v="0"/>
    <x v="2"/>
    <s v="Ofaveolata002557"/>
    <m/>
    <n v="-3.1908310000000002"/>
    <n v="-3.0167082999999999"/>
    <s v="Direct"/>
    <s v="regulation of peroxisome size"/>
  </r>
  <r>
    <x v="0"/>
    <x v="2"/>
    <s v="Ofaveolata002559"/>
    <m/>
    <n v="1.2286256900000001"/>
    <n v="1.0546051299999999"/>
    <s v="Direct"/>
    <s v="Ankyrin repeat"/>
  </r>
  <r>
    <x v="0"/>
    <x v="2"/>
    <s v="Ofaveolata002574"/>
    <m/>
    <n v="-5.6181349999999997"/>
    <n v="-5.4063771999999997"/>
    <s v="Direct"/>
    <s v="NA"/>
  </r>
  <r>
    <x v="0"/>
    <x v="2"/>
    <s v="Ofaveolata002590"/>
    <m/>
    <n v="1.2328921500000001"/>
    <n v="2.3828851499999999"/>
    <s v="Direct"/>
    <s v="mannosyl-oligosaccharide 1,3-1,6-alpha-mannosidase activity"/>
  </r>
  <r>
    <x v="0"/>
    <x v="2"/>
    <s v="Ofaveolata002598"/>
    <m/>
    <n v="2.8542277999999999"/>
    <n v="3.1135162599999999"/>
    <s v="Direct"/>
    <s v="regulation of inclusion body assembly"/>
  </r>
  <r>
    <x v="0"/>
    <x v="2"/>
    <s v="Ofaveolata002604"/>
    <m/>
    <n v="-1.4680787"/>
    <n v="-2.4212315000000002"/>
    <s v="Direct"/>
    <s v="NA"/>
  </r>
  <r>
    <x v="0"/>
    <x v="2"/>
    <s v="Ofaveolata002609"/>
    <m/>
    <n v="2.3741726999999999"/>
    <n v="1.0651040700000001"/>
    <s v="Direct"/>
    <s v="NA"/>
  </r>
  <r>
    <x v="0"/>
    <x v="2"/>
    <s v="Ofaveolata002628"/>
    <m/>
    <n v="-5.8195160000000001"/>
    <n v="-4.2028673000000003"/>
    <s v="Direct"/>
    <s v="structural constituent of ribosome"/>
  </r>
  <r>
    <x v="0"/>
    <x v="2"/>
    <s v="Ofaveolata002636"/>
    <m/>
    <n v="-1.5365812000000001"/>
    <n v="-1.7734270999999999"/>
    <s v="Direct"/>
    <s v="O-phospho-L-serine:2-oxoglutarate aminotransferase activity"/>
  </r>
  <r>
    <x v="0"/>
    <x v="2"/>
    <s v="Ofaveolata002642"/>
    <m/>
    <n v="-1.3026685"/>
    <n v="-1.1981295999999999"/>
    <s v="Direct"/>
    <s v="Fes/CIP4 homology domain"/>
  </r>
  <r>
    <x v="0"/>
    <x v="2"/>
    <s v="Ofaveolata002643"/>
    <m/>
    <n v="1.9941911299999999"/>
    <n v="1.80267884"/>
    <s v="Direct"/>
    <s v="Ral GTPase binding"/>
  </r>
  <r>
    <x v="0"/>
    <x v="2"/>
    <s v="Ofaveolata002648"/>
    <m/>
    <n v="-2.3260203000000002"/>
    <n v="-1.9051799"/>
    <s v="Direct"/>
    <s v="Prostaglandin G H synthase"/>
  </r>
  <r>
    <x v="0"/>
    <x v="2"/>
    <s v="Ofaveolata002651"/>
    <m/>
    <n v="1.6004840899999999"/>
    <n v="1.16518415"/>
    <s v="Direct"/>
    <s v="7 transmembrane receptor (rhodopsin family)"/>
  </r>
  <r>
    <x v="0"/>
    <x v="2"/>
    <s v="Ofaveolata002657"/>
    <m/>
    <n v="2.3221620199999999"/>
    <n v="1.4527721099999999"/>
    <s v="Direct"/>
    <s v="NA"/>
  </r>
  <r>
    <x v="0"/>
    <x v="2"/>
    <s v="Ofaveolata002676"/>
    <m/>
    <n v="-1.9191324999999999"/>
    <n v="-2.3215344999999998"/>
    <s v="Direct"/>
    <s v="NA"/>
  </r>
  <r>
    <x v="0"/>
    <x v="2"/>
    <s v="Ofaveolata002691"/>
    <m/>
    <n v="-1.9556385999999999"/>
    <n v="-1.6582262000000001"/>
    <s v="Direct"/>
    <s v="threonine-type endopeptidase activity"/>
  </r>
  <r>
    <x v="0"/>
    <x v="2"/>
    <s v="Ofaveolata002736"/>
    <m/>
    <n v="-1.3702616000000001"/>
    <n v="-1.5730624"/>
    <s v="Direct"/>
    <s v="NA"/>
  </r>
  <r>
    <x v="0"/>
    <x v="2"/>
    <s v="Ofaveolata002767"/>
    <m/>
    <n v="-1.4025905000000001"/>
    <n v="-1.2970727"/>
    <s v="Direct"/>
    <s v="NA"/>
  </r>
  <r>
    <x v="0"/>
    <x v="2"/>
    <s v="Ofaveolata002768"/>
    <m/>
    <n v="-1.6649821"/>
    <n v="-3.0601118"/>
    <s v="Direct"/>
    <s v="NA"/>
  </r>
  <r>
    <x v="0"/>
    <x v="2"/>
    <s v="Ofaveolata002772"/>
    <m/>
    <n v="-3.4108588000000002"/>
    <n v="-2.4525117999999999"/>
    <s v="Direct"/>
    <s v="Nidogen-like"/>
  </r>
  <r>
    <x v="0"/>
    <x v="2"/>
    <s v="Ofaveolata002778"/>
    <m/>
    <n v="5.2304700999999998"/>
    <n v="4.95482567"/>
    <s v="Direct"/>
    <s v="positive regulation of skeletal muscle acetylcholine-gated channel clustering"/>
  </r>
  <r>
    <x v="0"/>
    <x v="2"/>
    <s v="Ofaveolata002790"/>
    <m/>
    <n v="-6.9514344000000001"/>
    <n v="-9.7423488000000003"/>
    <s v="Direct"/>
    <s v="NA"/>
  </r>
  <r>
    <x v="0"/>
    <x v="2"/>
    <s v="Ofaveolata002793"/>
    <m/>
    <n v="-3.4585818000000002"/>
    <n v="-2.5143300000000002"/>
    <s v="Direct"/>
    <s v="NA"/>
  </r>
  <r>
    <x v="0"/>
    <x v="2"/>
    <s v="Ofaveolata002794"/>
    <m/>
    <n v="-7.0796315999999999"/>
    <n v="-6.2430747000000002"/>
    <s v="Direct"/>
    <s v="NA"/>
  </r>
  <r>
    <x v="0"/>
    <x v="2"/>
    <s v="Ofaveolata002801"/>
    <m/>
    <n v="-2.5106891999999998"/>
    <n v="-1.1900226"/>
    <s v="Direct"/>
    <s v="regulation of alternative mRNA splicing, via spliceosome"/>
  </r>
  <r>
    <x v="0"/>
    <x v="2"/>
    <s v="Ofaveolata002804"/>
    <m/>
    <n v="-2.8579876"/>
    <n v="-3.4815192000000001"/>
    <s v="Direct"/>
    <s v="NA"/>
  </r>
  <r>
    <x v="0"/>
    <x v="2"/>
    <s v="Ofaveolata002806"/>
    <m/>
    <n v="1.0416965199999999"/>
    <n v="1.1165848899999999"/>
    <s v="Direct"/>
    <s v="NA"/>
  </r>
  <r>
    <x v="0"/>
    <x v="2"/>
    <s v="Ofaveolata002807"/>
    <m/>
    <n v="-4.2814835000000002"/>
    <n v="-2.8574196000000001"/>
    <s v="Direct"/>
    <s v="Interferon-induced transmembrane protein"/>
  </r>
  <r>
    <x v="0"/>
    <x v="2"/>
    <s v="Ofaveolata002818"/>
    <m/>
    <n v="-1.2602698000000001"/>
    <n v="-3.0261659000000001"/>
    <s v="Direct"/>
    <s v="NA"/>
  </r>
  <r>
    <x v="0"/>
    <x v="2"/>
    <s v="Ofaveolata002823"/>
    <m/>
    <n v="-2.3882449000000001"/>
    <n v="-1.8986305999999999"/>
    <s v="Direct"/>
    <s v="NA"/>
  </r>
  <r>
    <x v="0"/>
    <x v="2"/>
    <s v="Ofaveolata002832"/>
    <m/>
    <n v="2.9062430799999999"/>
    <n v="3.9884796499999999"/>
    <s v="Direct"/>
    <s v="sphingosine N-acyltransferase activity"/>
  </r>
  <r>
    <x v="0"/>
    <x v="2"/>
    <s v="Ofaveolata002833"/>
    <m/>
    <n v="5.4654556300000001"/>
    <n v="2.8623474400000002"/>
    <s v="Direct"/>
    <s v="Sulfide quinone"/>
  </r>
  <r>
    <x v="0"/>
    <x v="2"/>
    <s v="Ofaveolata002839"/>
    <m/>
    <n v="-1.4924378"/>
    <n v="-1.1478135"/>
    <s v="Direct"/>
    <s v="SCP / Tpx-1 / Ag5 / PR-1 / Sc7 family of extracellular domains."/>
  </r>
  <r>
    <x v="0"/>
    <x v="2"/>
    <s v="Ofaveolata002854"/>
    <m/>
    <n v="-5.3837660999999999"/>
    <n v="-5.3159489000000004"/>
    <s v="Direct"/>
    <s v="glutathione hydrolase activity"/>
  </r>
  <r>
    <x v="0"/>
    <x v="2"/>
    <s v="Ofaveolata002890"/>
    <m/>
    <n v="1.09297792"/>
    <n v="1.0386246100000001"/>
    <s v="Direct"/>
    <s v="protein-glutamine gamma-glutamyltransferase activity"/>
  </r>
  <r>
    <x v="0"/>
    <x v="2"/>
    <s v="Ofaveolata002891"/>
    <m/>
    <n v="1.2546046099999999"/>
    <n v="1.8391894"/>
    <s v="Direct"/>
    <s v="phytanoyl-CoA dioxygenase activity"/>
  </r>
  <r>
    <x v="0"/>
    <x v="2"/>
    <s v="Ofaveolata002898"/>
    <m/>
    <n v="-9.8974259"/>
    <n v="-4.8299216999999999"/>
    <s v="Direct"/>
    <s v="NA"/>
  </r>
  <r>
    <x v="0"/>
    <x v="2"/>
    <s v="Ofaveolata002916"/>
    <m/>
    <n v="-14.623307"/>
    <n v="-11.10711"/>
    <s v="Direct"/>
    <s v="NA"/>
  </r>
  <r>
    <x v="0"/>
    <x v="2"/>
    <s v="Ofaveolata002917"/>
    <m/>
    <n v="-1.4784373"/>
    <n v="-1.636147"/>
    <s v="Direct"/>
    <s v="NA"/>
  </r>
  <r>
    <x v="0"/>
    <x v="2"/>
    <s v="Ofaveolata002934"/>
    <m/>
    <n v="1.92148122"/>
    <n v="1.2798075900000001"/>
    <s v="Direct"/>
    <s v="NA"/>
  </r>
  <r>
    <x v="0"/>
    <x v="2"/>
    <s v="Ofaveolata002950"/>
    <m/>
    <n v="2.9951677800000001"/>
    <n v="3.86083211"/>
    <s v="Direct"/>
    <s v="Enoyl-(Acyl carrier protein) reductase"/>
  </r>
  <r>
    <x v="0"/>
    <x v="2"/>
    <s v="Ofaveolata002958"/>
    <m/>
    <n v="-2.6942962000000001"/>
    <n v="-1.8501128"/>
    <s v="Direct"/>
    <s v="NA"/>
  </r>
  <r>
    <x v="0"/>
    <x v="2"/>
    <s v="Ofaveolata002967"/>
    <m/>
    <n v="-2.3919776000000001"/>
    <n v="-1.1356862000000001"/>
    <s v="Direct"/>
    <s v="Heat shock 70 kDa protein 14"/>
  </r>
  <r>
    <x v="0"/>
    <x v="2"/>
    <s v="Ofaveolata002971"/>
    <m/>
    <n v="-2.8809146000000001"/>
    <n v="-2.1349743000000001"/>
    <s v="Direct"/>
    <s v="phosphatase 6 catalytic subunit"/>
  </r>
  <r>
    <x v="0"/>
    <x v="2"/>
    <s v="Ofaveolata002981"/>
    <m/>
    <n v="-3.4216853999999999"/>
    <n v="-4.4091345000000004"/>
    <s v="Direct"/>
    <s v="NA"/>
  </r>
  <r>
    <x v="0"/>
    <x v="2"/>
    <s v="Ofaveolata002990"/>
    <m/>
    <n v="-2.0083489000000001"/>
    <n v="-2.7375657000000002"/>
    <s v="Direct"/>
    <s v="positive regulation of microtubule binding"/>
  </r>
  <r>
    <x v="0"/>
    <x v="2"/>
    <s v="Ofaveolata003011"/>
    <m/>
    <n v="-1.989554"/>
    <n v="-2.4821635"/>
    <s v="Direct"/>
    <s v="NA"/>
  </r>
  <r>
    <x v="0"/>
    <x v="2"/>
    <s v="Ofaveolata003030"/>
    <m/>
    <n v="-2.1957575"/>
    <n v="-1.0458619"/>
    <s v="Direct"/>
    <s v="mothers against decapentaplegic homolog"/>
  </r>
  <r>
    <x v="0"/>
    <x v="2"/>
    <s v="Ofaveolata003053"/>
    <m/>
    <n v="-6.3484226000000001"/>
    <n v="-2.8601348999999998"/>
    <s v="Direct"/>
    <s v="NA"/>
  </r>
  <r>
    <x v="0"/>
    <x v="2"/>
    <s v="Ofaveolata003056"/>
    <m/>
    <n v="-1.2896239"/>
    <n v="-1.4079413999999999"/>
    <s v="Direct"/>
    <s v="RNA polymerase II proximal promoter sequence-specific DNA binding"/>
  </r>
  <r>
    <x v="0"/>
    <x v="2"/>
    <s v="Ofaveolata003061"/>
    <m/>
    <n v="1.4093196699999999"/>
    <n v="1.8822901700000001"/>
    <s v="Direct"/>
    <s v="guanine deaminase activity"/>
  </r>
  <r>
    <x v="0"/>
    <x v="2"/>
    <s v="Ofaveolata003063"/>
    <m/>
    <n v="-3.5943862000000002"/>
    <n v="-3.1013177000000001"/>
    <s v="Direct"/>
    <s v="pyruvate kinase activity"/>
  </r>
  <r>
    <x v="0"/>
    <x v="2"/>
    <s v="Ofaveolata003085"/>
    <m/>
    <n v="-9.4338063999999999"/>
    <n v="-9.1710580999999998"/>
    <s v="Direct"/>
    <s v="NA"/>
  </r>
  <r>
    <x v="0"/>
    <x v="2"/>
    <s v="Ofaveolata003086"/>
    <m/>
    <n v="-10.511108999999999"/>
    <n v="-5.6978428000000001"/>
    <s v="Direct"/>
    <s v="NA"/>
  </r>
  <r>
    <x v="0"/>
    <x v="2"/>
    <s v="Ofaveolata003113"/>
    <m/>
    <n v="-3.2297470000000001"/>
    <n v="-3.6566475999999999"/>
    <s v="Direct"/>
    <s v="aspartic endopeptidase activity, intramembrane cleaving"/>
  </r>
  <r>
    <x v="0"/>
    <x v="2"/>
    <s v="Ofaveolata003114"/>
    <m/>
    <n v="-1.1904551999999999"/>
    <n v="-1.2435436"/>
    <s v="Direct"/>
    <s v="nuclear-transcribed mRNA catabolic process"/>
  </r>
  <r>
    <x v="0"/>
    <x v="2"/>
    <s v="Ofaveolata003116"/>
    <m/>
    <n v="3.8175141899999998"/>
    <n v="3.3735968999999999"/>
    <s v="Direct"/>
    <s v="1-phosphatidylinositol-4-phosphate 5-kinase activity"/>
  </r>
  <r>
    <x v="0"/>
    <x v="2"/>
    <s v="Ofaveolata003120"/>
    <m/>
    <n v="-1.3831285"/>
    <n v="-1.1647589"/>
    <s v="Direct"/>
    <s v="NA"/>
  </r>
  <r>
    <x v="0"/>
    <x v="2"/>
    <s v="Ofaveolata003122"/>
    <m/>
    <n v="-6.1981469000000002"/>
    <n v="-5.0527438"/>
    <s v="Direct"/>
    <s v="peptide-methionine (S)-S-oxide reductase activity"/>
  </r>
  <r>
    <x v="0"/>
    <x v="2"/>
    <s v="Ofaveolata003136"/>
    <m/>
    <n v="-1.6106906000000001"/>
    <n v="-1.1989981999999999"/>
    <s v="Direct"/>
    <s v="NA"/>
  </r>
  <r>
    <x v="0"/>
    <x v="2"/>
    <s v="Ofaveolata003157"/>
    <m/>
    <n v="-1.6981723"/>
    <n v="-1.2008394"/>
    <s v="Direct"/>
    <s v="ciliary basal body organization"/>
  </r>
  <r>
    <x v="0"/>
    <x v="2"/>
    <s v="Ofaveolata003159"/>
    <m/>
    <n v="-6.6428712000000001"/>
    <n v="-5.0571636"/>
    <s v="Direct"/>
    <s v="zinc ion binding"/>
  </r>
  <r>
    <x v="0"/>
    <x v="2"/>
    <s v="Ofaveolata003161"/>
    <m/>
    <n v="-1.2523498"/>
    <n v="-1.2845614999999999"/>
    <s v="Direct"/>
    <s v="NA"/>
  </r>
  <r>
    <x v="0"/>
    <x v="2"/>
    <s v="Ofaveolata003174"/>
    <m/>
    <n v="-2.2198443999999999"/>
    <n v="-1.8736975"/>
    <s v="Direct"/>
    <s v="NA"/>
  </r>
  <r>
    <x v="0"/>
    <x v="2"/>
    <s v="Ofaveolata003181"/>
    <m/>
    <n v="-2.4473406"/>
    <n v="-2.3481583000000001"/>
    <s v="Direct"/>
    <s v="neurexin family protein binding"/>
  </r>
  <r>
    <x v="0"/>
    <x v="2"/>
    <s v="Ofaveolata003188"/>
    <m/>
    <n v="-2.0042509000000002"/>
    <n v="-1.7408878000000001"/>
    <s v="Direct"/>
    <s v="RNA binding"/>
  </r>
  <r>
    <x v="0"/>
    <x v="2"/>
    <s v="Ofaveolata003190"/>
    <m/>
    <n v="1.4879289899999999"/>
    <n v="1.4862941199999999"/>
    <s v="Direct"/>
    <s v="NA"/>
  </r>
  <r>
    <x v="0"/>
    <x v="2"/>
    <s v="Ofaveolata003191"/>
    <m/>
    <n v="-3.7391353999999999"/>
    <n v="-2.0163036000000001"/>
    <s v="Direct"/>
    <s v="proteasome-activating ATPase activity"/>
  </r>
  <r>
    <x v="0"/>
    <x v="2"/>
    <s v="Ofaveolata003193"/>
    <m/>
    <n v="3.17668689"/>
    <n v="2.0647513700000002"/>
    <s v="Direct"/>
    <s v="imaginal disc-derived wing hair outgrowth"/>
  </r>
  <r>
    <x v="0"/>
    <x v="2"/>
    <s v="Ofaveolata003229"/>
    <m/>
    <n v="-3.3597033999999999"/>
    <n v="-3.1783622999999999"/>
    <s v="Direct"/>
    <s v="coreceptor activity involved in Wnt signaling pathway, planar cell polarity pathway"/>
  </r>
  <r>
    <x v="0"/>
    <x v="2"/>
    <s v="Ofaveolata003231"/>
    <m/>
    <n v="-2.3971117999999998"/>
    <n v="-1.3953574"/>
    <s v="Direct"/>
    <s v="NA"/>
  </r>
  <r>
    <x v="0"/>
    <x v="2"/>
    <s v="Ofaveolata003232"/>
    <m/>
    <n v="-8.5597542000000004"/>
    <n v="-5.3543075"/>
    <s v="Direct"/>
    <s v="NA"/>
  </r>
  <r>
    <x v="0"/>
    <x v="2"/>
    <s v="Ofaveolata003233"/>
    <m/>
    <n v="-8.1750463"/>
    <n v="-5.9442370999999996"/>
    <s v="Direct"/>
    <s v="NA"/>
  </r>
  <r>
    <x v="0"/>
    <x v="2"/>
    <s v="Ofaveolata003267"/>
    <m/>
    <n v="-2.4736392"/>
    <n v="-1.8768746999999999"/>
    <s v="Direct"/>
    <s v="threonine-type endopeptidase activity"/>
  </r>
  <r>
    <x v="0"/>
    <x v="2"/>
    <s v="Ofaveolata003285"/>
    <m/>
    <n v="1.12248696"/>
    <n v="1.1126206999999999"/>
    <s v="Direct"/>
    <s v="response to cobalt ion"/>
  </r>
  <r>
    <x v="0"/>
    <x v="2"/>
    <s v="Ofaveolata003288"/>
    <m/>
    <n v="-2.6979205999999998"/>
    <n v="-1.8247438"/>
    <s v="Direct"/>
    <s v="NA"/>
  </r>
  <r>
    <x v="0"/>
    <x v="2"/>
    <s v="Ofaveolata003293"/>
    <m/>
    <n v="1.6503537699999999"/>
    <n v="1.5541844300000001"/>
    <s v="Direct"/>
    <s v="Myeloid leukemia factor 1"/>
  </r>
  <r>
    <x v="0"/>
    <x v="2"/>
    <s v="Ofaveolata003294"/>
    <m/>
    <n v="-3.2214754000000001"/>
    <n v="-1.9357537"/>
    <s v="Direct"/>
    <s v="NA"/>
  </r>
  <r>
    <x v="0"/>
    <x v="2"/>
    <s v="Ofaveolata003302"/>
    <m/>
    <n v="-1.9396652999999999"/>
    <n v="-1.3819429000000001"/>
    <s v="Direct"/>
    <s v="Metalloendopeptidase activity. It is involved in the biological process described with proteolysis"/>
  </r>
  <r>
    <x v="0"/>
    <x v="2"/>
    <s v="Ofaveolata003303"/>
    <m/>
    <n v="-2.3463907000000002"/>
    <n v="-3.2132179999999999"/>
    <s v="Direct"/>
    <s v="prostaglandin-F synthase activity"/>
  </r>
  <r>
    <x v="0"/>
    <x v="2"/>
    <s v="Ofaveolata003304"/>
    <m/>
    <n v="2.3120412099999998"/>
    <n v="2.2766642300000002"/>
    <s v="Direct"/>
    <s v="EF-hand domain family, member"/>
  </r>
  <r>
    <x v="0"/>
    <x v="2"/>
    <s v="Ofaveolata003306"/>
    <m/>
    <n v="-7.0953282"/>
    <n v="-4.0313346000000001"/>
    <s v="Direct"/>
    <s v="NA"/>
  </r>
  <r>
    <x v="0"/>
    <x v="2"/>
    <s v="Ofaveolata003309"/>
    <m/>
    <n v="-6.1442953999999999"/>
    <n v="-11.137223000000001"/>
    <s v="Direct"/>
    <s v="eukaryotic translation initiation factor"/>
  </r>
  <r>
    <x v="0"/>
    <x v="2"/>
    <s v="Ofaveolata003354"/>
    <m/>
    <n v="-4.1609036000000001"/>
    <n v="-3.3904242"/>
    <s v="Direct"/>
    <s v="Adds the first Dol-P-Man derived mannose in an alpha-1,3 linkage to Man(5)GlcNAc(2)-PP-Dol"/>
  </r>
  <r>
    <x v="0"/>
    <x v="2"/>
    <s v="Ofaveolata003357"/>
    <m/>
    <n v="-3.0193332000000002"/>
    <n v="-2.4636181000000001"/>
    <s v="Direct"/>
    <s v="macromolecule localization"/>
  </r>
  <r>
    <x v="0"/>
    <x v="2"/>
    <s v="Ofaveolata003365"/>
    <m/>
    <n v="2.1878683200000002"/>
    <n v="1.94516668"/>
    <s v="Direct"/>
    <s v="cytochrome P450"/>
  </r>
  <r>
    <x v="0"/>
    <x v="2"/>
    <s v="Ofaveolata003373"/>
    <m/>
    <n v="-3.1309509000000002"/>
    <n v="-1.9628243000000001"/>
    <s v="Direct"/>
    <s v="Ankyrin repeat"/>
  </r>
  <r>
    <x v="0"/>
    <x v="2"/>
    <s v="Ofaveolata003375"/>
    <m/>
    <n v="-2.1433797999999999"/>
    <n v="-2.2136455000000002"/>
    <s v="Direct"/>
    <s v="NA"/>
  </r>
  <r>
    <x v="0"/>
    <x v="2"/>
    <s v="Ofaveolata003377"/>
    <m/>
    <n v="-1.1804412"/>
    <n v="-1.0443454000000001"/>
    <s v="Direct"/>
    <s v="NA"/>
  </r>
  <r>
    <x v="0"/>
    <x v="2"/>
    <s v="Ofaveolata003392"/>
    <m/>
    <n v="-1.6403463"/>
    <n v="-1.5220429"/>
    <s v="Direct"/>
    <s v="UDP-glucose 6-dehydrogenase activity"/>
  </r>
  <r>
    <x v="0"/>
    <x v="2"/>
    <s v="Ofaveolata003411"/>
    <m/>
    <n v="1.77280679"/>
    <n v="2.08628467"/>
    <s v="Direct"/>
    <s v="NA"/>
  </r>
  <r>
    <x v="0"/>
    <x v="2"/>
    <s v="Ofaveolata003418"/>
    <m/>
    <n v="-6.7837510999999999"/>
    <n v="-3.9679332999999999"/>
    <s v="Direct"/>
    <s v="NA"/>
  </r>
  <r>
    <x v="0"/>
    <x v="2"/>
    <s v="Ofaveolata003439"/>
    <m/>
    <n v="-2.0346188000000001"/>
    <n v="-2.0284865000000001"/>
    <s v="Direct"/>
    <s v="NA"/>
  </r>
  <r>
    <x v="0"/>
    <x v="2"/>
    <s v="Ofaveolata003478"/>
    <m/>
    <n v="-5.7316642"/>
    <n v="-4.7512853000000002"/>
    <s v="Direct"/>
    <s v="MMPL family"/>
  </r>
  <r>
    <x v="0"/>
    <x v="2"/>
    <s v="Ofaveolata003504"/>
    <m/>
    <n v="-3.9139034000000001"/>
    <n v="-3.7391082999999998"/>
    <s v="Direct"/>
    <s v="NA"/>
  </r>
  <r>
    <x v="0"/>
    <x v="2"/>
    <s v="Ofaveolata003517"/>
    <m/>
    <n v="3.447187"/>
    <n v="6.85545838"/>
    <s v="Direct"/>
    <s v="NA"/>
  </r>
  <r>
    <x v="0"/>
    <x v="2"/>
    <s v="Ofaveolata003523"/>
    <m/>
    <n v="-3.0199302000000001"/>
    <n v="-1.0310709"/>
    <s v="Direct"/>
    <s v="NA"/>
  </r>
  <r>
    <x v="0"/>
    <x v="2"/>
    <s v="Ofaveolata003527"/>
    <m/>
    <n v="-1.0130026999999999"/>
    <n v="-2.0607669"/>
    <s v="Direct"/>
    <s v="UDP-GlcNAc betaGal beta-1,3-N-acetylglucosaminyltransferase 5"/>
  </r>
  <r>
    <x v="0"/>
    <x v="2"/>
    <s v="Ofaveolata003547"/>
    <m/>
    <n v="-1.6955941000000001"/>
    <n v="-1.8739482000000001"/>
    <s v="Direct"/>
    <s v="ATP10 protein"/>
  </r>
  <r>
    <x v="0"/>
    <x v="2"/>
    <s v="Ofaveolata003567"/>
    <m/>
    <n v="-5.0168784000000004"/>
    <n v="-3.4477077"/>
    <s v="Direct"/>
    <s v="NA"/>
  </r>
  <r>
    <x v="0"/>
    <x v="2"/>
    <s v="Ofaveolata003589"/>
    <m/>
    <n v="-4.9969133000000001"/>
    <n v="-2.990529"/>
    <s v="Direct"/>
    <s v="NA"/>
  </r>
  <r>
    <x v="0"/>
    <x v="2"/>
    <s v="Ofaveolata003593"/>
    <m/>
    <n v="5.7644981299999998"/>
    <n v="5.9332415899999997"/>
    <s v="Direct"/>
    <s v="procollagen-lysine 5-dioxygenase activity"/>
  </r>
  <r>
    <x v="0"/>
    <x v="2"/>
    <s v="Ofaveolata003599"/>
    <m/>
    <n v="1.47924915"/>
    <n v="1.31744028"/>
    <s v="Direct"/>
    <s v="NA"/>
  </r>
  <r>
    <x v="0"/>
    <x v="2"/>
    <s v="Ofaveolata003606"/>
    <m/>
    <n v="-4.0663131000000003"/>
    <n v="-4.2998981000000001"/>
    <s v="Direct"/>
    <s v="cellular copper ion homeostasis"/>
  </r>
  <r>
    <x v="0"/>
    <x v="2"/>
    <s v="Ofaveolata003609"/>
    <m/>
    <n v="-1.1752885"/>
    <n v="-1.1298743"/>
    <s v="Direct"/>
    <s v="IMP dehydrogenase activity"/>
  </r>
  <r>
    <x v="0"/>
    <x v="2"/>
    <s v="Ofaveolata003611"/>
    <m/>
    <n v="-2.2072473000000001"/>
    <n v="-3.5585254000000002"/>
    <s v="Direct"/>
    <s v="Signal recognition particle receptor"/>
  </r>
  <r>
    <x v="0"/>
    <x v="2"/>
    <s v="Ofaveolata003639"/>
    <m/>
    <n v="-1.7702792000000001"/>
    <n v="-6.2272334999999996"/>
    <s v="Direct"/>
    <s v="ephrin receptor activity"/>
  </r>
  <r>
    <x v="0"/>
    <x v="2"/>
    <s v="Ofaveolata003645"/>
    <m/>
    <n v="-2.0093426999999999"/>
    <n v="-1.8213790999999999"/>
    <s v="Direct"/>
    <s v="serine-type endopeptidase activity"/>
  </r>
  <r>
    <x v="0"/>
    <x v="2"/>
    <s v="Ofaveolata003648"/>
    <m/>
    <n v="-8.2676832000000005"/>
    <n v="-6.9494702999999998"/>
    <s v="Direct"/>
    <s v="serine-type endopeptidase activity"/>
  </r>
  <r>
    <x v="0"/>
    <x v="2"/>
    <s v="Ofaveolata003649"/>
    <m/>
    <n v="-1.7703597"/>
    <n v="-1.6156337999999999"/>
    <s v="Direct"/>
    <s v="Belongs to the peptidase M10A family"/>
  </r>
  <r>
    <x v="0"/>
    <x v="2"/>
    <s v="Ofaveolata003661"/>
    <m/>
    <n v="-1.0221648000000001"/>
    <n v="-2.3130614"/>
    <s v="Direct"/>
    <s v="Belongs to the peptidase M10A family"/>
  </r>
  <r>
    <x v="0"/>
    <x v="2"/>
    <s v="Ofaveolata003685"/>
    <m/>
    <n v="-2.5108955000000002"/>
    <n v="-1.7389572"/>
    <s v="Direct"/>
    <s v="NA"/>
  </r>
  <r>
    <x v="0"/>
    <x v="2"/>
    <s v="Ofaveolata003688"/>
    <m/>
    <n v="-1.7937209999999999"/>
    <n v="-2.9352471000000002"/>
    <s v="Direct"/>
    <s v="OTU domain-containing protein 3"/>
  </r>
  <r>
    <x v="0"/>
    <x v="2"/>
    <s v="Ofaveolata003705"/>
    <m/>
    <n v="-3.9913786"/>
    <n v="-3.9306559000000001"/>
    <s v="Direct"/>
    <s v="Concanavalin A-like lectin/glucanases superfamily"/>
  </r>
  <r>
    <x v="0"/>
    <x v="2"/>
    <s v="Ofaveolata003719"/>
    <m/>
    <n v="1.5378635300000001"/>
    <n v="1.7033102099999999"/>
    <s v="Direct"/>
    <s v="regulation of mitotic cell cycle"/>
  </r>
  <r>
    <x v="0"/>
    <x v="2"/>
    <s v="Ofaveolata003729"/>
    <m/>
    <n v="-1.0100321000000001"/>
    <n v="-1.2387870000000001"/>
    <s v="Direct"/>
    <s v="NA"/>
  </r>
  <r>
    <x v="0"/>
    <x v="2"/>
    <s v="Ofaveolata003747"/>
    <m/>
    <n v="1.4389479199999999"/>
    <n v="1.7389572200000001"/>
    <s v="Direct"/>
    <s v="Cytochrome P450, family 46, subfamily A, polypeptide"/>
  </r>
  <r>
    <x v="0"/>
    <x v="2"/>
    <s v="Ofaveolata003751"/>
    <m/>
    <n v="5.1796364400000003"/>
    <n v="3.8233547400000001"/>
    <s v="Direct"/>
    <s v="Tachylectin"/>
  </r>
  <r>
    <x v="0"/>
    <x v="2"/>
    <s v="Ofaveolata003756"/>
    <m/>
    <n v="-1.3166509"/>
    <n v="-1.0858728"/>
    <s v="Direct"/>
    <s v="NA"/>
  </r>
  <r>
    <x v="0"/>
    <x v="2"/>
    <s v="Ofaveolata003761"/>
    <m/>
    <n v="-2.9619143999999999"/>
    <n v="-4.5829693999999996"/>
    <s v="Direct"/>
    <s v="methylenetetrahydrofolate reductase (NAD(P)H) activity"/>
  </r>
  <r>
    <x v="0"/>
    <x v="2"/>
    <s v="Ofaveolata003777"/>
    <m/>
    <n v="-3.5008645"/>
    <n v="-3.1480144999999999"/>
    <s v="Direct"/>
    <s v="Cytosolic acyl coenzyme A thioester"/>
  </r>
  <r>
    <x v="0"/>
    <x v="2"/>
    <s v="Ofaveolata003857"/>
    <m/>
    <n v="-1.1428632999999999"/>
    <n v="-1.0145465"/>
    <s v="Direct"/>
    <s v="NA"/>
  </r>
  <r>
    <x v="0"/>
    <x v="2"/>
    <s v="Ofaveolata003863"/>
    <m/>
    <n v="1.09433391"/>
    <n v="1.3807971400000001"/>
    <s v="Direct"/>
    <s v="protein polyubiquitination"/>
  </r>
  <r>
    <x v="0"/>
    <x v="2"/>
    <s v="Ofaveolata003903"/>
    <m/>
    <n v="-1.8635356999999999"/>
    <n v="-1.9405531"/>
    <s v="Direct"/>
    <s v="Calcium-binding protein"/>
  </r>
  <r>
    <x v="0"/>
    <x v="2"/>
    <s v="Ofaveolata003906"/>
    <m/>
    <n v="-1.3747388"/>
    <n v="-3.7818029000000002"/>
    <s v="Direct"/>
    <s v="calcium ion binding"/>
  </r>
  <r>
    <x v="0"/>
    <x v="2"/>
    <s v="Ofaveolata003907"/>
    <m/>
    <n v="-1.6268487"/>
    <n v="-1.6162972"/>
    <s v="Direct"/>
    <s v="calcium ion binding"/>
  </r>
  <r>
    <x v="0"/>
    <x v="2"/>
    <s v="Ofaveolata003932"/>
    <m/>
    <n v="-2.1717857"/>
    <n v="-1.2246884"/>
    <s v="Direct"/>
    <s v="Tissue factor pathway inhibitor"/>
  </r>
  <r>
    <x v="0"/>
    <x v="2"/>
    <s v="Ofaveolata003933"/>
    <m/>
    <n v="-4.0335339000000001"/>
    <n v="-1.4354594000000001"/>
    <s v="Direct"/>
    <s v="galactosylceramide sulfotransferase activity"/>
  </r>
  <r>
    <x v="0"/>
    <x v="2"/>
    <s v="Ofaveolata003972"/>
    <m/>
    <n v="-1.2630813999999999"/>
    <n v="-1.0982787000000001"/>
    <s v="Direct"/>
    <s v="NA"/>
  </r>
  <r>
    <x v="0"/>
    <x v="2"/>
    <s v="Ofaveolata003976"/>
    <m/>
    <n v="-1.2283656000000001"/>
    <n v="-1.7615905999999999"/>
    <s v="Direct"/>
    <s v="NA"/>
  </r>
  <r>
    <x v="0"/>
    <x v="2"/>
    <s v="Ofaveolata003977"/>
    <m/>
    <n v="2.9027899100000001"/>
    <n v="1.4768663900000001"/>
    <s v="Direct"/>
    <s v="NA"/>
  </r>
  <r>
    <x v="0"/>
    <x v="2"/>
    <s v="Ofaveolata004008"/>
    <m/>
    <n v="-6.2040150000000001"/>
    <n v="-4.1896142000000003"/>
    <s v="Direct"/>
    <s v="NA"/>
  </r>
  <r>
    <x v="0"/>
    <x v="2"/>
    <s v="Ofaveolata004095"/>
    <m/>
    <n v="1.1514300900000001"/>
    <n v="1.0123337699999999"/>
    <s v="Direct"/>
    <s v="NA"/>
  </r>
  <r>
    <x v="0"/>
    <x v="2"/>
    <s v="Ofaveolata004097"/>
    <m/>
    <n v="-3.2578128999999998"/>
    <n v="-1.9547025"/>
    <s v="Direct"/>
    <s v="ceramide 1-phosphate binding"/>
  </r>
  <r>
    <x v="0"/>
    <x v="2"/>
    <s v="Ofaveolata004098"/>
    <m/>
    <n v="-1.4608017"/>
    <n v="-1.5629497999999999"/>
    <s v="Direct"/>
    <s v="erythroblast transformation specific domain"/>
  </r>
  <r>
    <x v="0"/>
    <x v="2"/>
    <s v="Ofaveolata004101"/>
    <m/>
    <n v="-3.9698500000000001"/>
    <n v="-7.7500979000000001"/>
    <s v="Direct"/>
    <s v="oxoglutarate:malate antiporter activity"/>
  </r>
  <r>
    <x v="0"/>
    <x v="2"/>
    <s v="Ofaveolata004104"/>
    <m/>
    <n v="-3.0131098000000001"/>
    <n v="-2.1396568"/>
    <s v="Direct"/>
    <s v="NA"/>
  </r>
  <r>
    <x v="0"/>
    <x v="2"/>
    <s v="Ofaveolata004196"/>
    <m/>
    <n v="-3.5799034999999999"/>
    <n v="-3.3864689000000001"/>
    <s v="Direct"/>
    <s v="NA"/>
  </r>
  <r>
    <x v="0"/>
    <x v="2"/>
    <s v="Ofaveolata004231"/>
    <m/>
    <n v="-5.9039951000000004"/>
    <n v="-5.9316244999999999"/>
    <s v="Direct"/>
    <s v="NA"/>
  </r>
  <r>
    <x v="0"/>
    <x v="2"/>
    <s v="Ofaveolata004233"/>
    <m/>
    <n v="-5.2504967000000002"/>
    <n v="-2.3983661000000001"/>
    <s v="Direct"/>
    <s v="NA"/>
  </r>
  <r>
    <x v="0"/>
    <x v="2"/>
    <s v="Ofaveolata004235"/>
    <m/>
    <n v="1.51372171"/>
    <n v="1.73701679"/>
    <s v="Direct"/>
    <s v="Ribosomal protein L20"/>
  </r>
  <r>
    <x v="0"/>
    <x v="2"/>
    <s v="Ofaveolata004236"/>
    <m/>
    <n v="-1.3630002999999999"/>
    <n v="-1.6164523"/>
    <s v="Direct"/>
    <s v="RNA recognition motif"/>
  </r>
  <r>
    <x v="0"/>
    <x v="2"/>
    <s v="Ofaveolata004240"/>
    <m/>
    <n v="2.52446299"/>
    <n v="3.3014205099999998"/>
    <s v="Direct"/>
    <s v="NA"/>
  </r>
  <r>
    <x v="0"/>
    <x v="2"/>
    <s v="Ofaveolata004244"/>
    <m/>
    <n v="1.14759531"/>
    <n v="1.2992908000000001"/>
    <s v="Direct"/>
    <s v="NA"/>
  </r>
  <r>
    <x v="0"/>
    <x v="2"/>
    <s v="Ofaveolata004257"/>
    <m/>
    <n v="-2.3122736000000002"/>
    <n v="-2.4006302000000002"/>
    <s v="Direct"/>
    <s v="NA"/>
  </r>
  <r>
    <x v="0"/>
    <x v="2"/>
    <s v="Ofaveolata004273"/>
    <m/>
    <n v="-1.5787053"/>
    <n v="-1.0946214000000001"/>
    <s v="Direct"/>
    <s v="ATPase activity"/>
  </r>
  <r>
    <x v="0"/>
    <x v="2"/>
    <s v="Ofaveolata004280"/>
    <m/>
    <n v="-1.9104555000000001"/>
    <n v="-1.2798700000000001"/>
    <s v="Direct"/>
    <s v="NA"/>
  </r>
  <r>
    <x v="0"/>
    <x v="2"/>
    <s v="Ofaveolata004348"/>
    <m/>
    <n v="3.27914824"/>
    <n v="1.40087271"/>
    <s v="Direct"/>
    <s v="NA"/>
  </r>
  <r>
    <x v="0"/>
    <x v="2"/>
    <s v="Ofaveolata004375"/>
    <m/>
    <n v="-1.0831917"/>
    <n v="-2.3352479000000002"/>
    <s v="Direct"/>
    <s v="Olfactomedin-like"/>
  </r>
  <r>
    <x v="0"/>
    <x v="2"/>
    <s v="Ofaveolata004384"/>
    <m/>
    <n v="-3.7521952999999999"/>
    <n v="-3.8899550000000001"/>
    <s v="Direct"/>
    <s v="spermine synthase"/>
  </r>
  <r>
    <x v="0"/>
    <x v="2"/>
    <s v="Ofaveolata004414"/>
    <m/>
    <n v="2.2511085199999998"/>
    <n v="2.74803738"/>
    <s v="Direct"/>
    <s v="5'-deoxyribose-5-phosphate lyase activity"/>
  </r>
  <r>
    <x v="0"/>
    <x v="2"/>
    <s v="Ofaveolata004435"/>
    <m/>
    <n v="1.4785510399999999"/>
    <n v="1.2272971800000001"/>
    <s v="Direct"/>
    <s v="acetyl-CoA C-acetyltransferase activity"/>
  </r>
  <r>
    <x v="0"/>
    <x v="2"/>
    <s v="Ofaveolata004449"/>
    <m/>
    <n v="-1.2520986999999999"/>
    <n v="-1.1662952"/>
    <s v="Direct"/>
    <s v="ubiquitin-like protein-specific protease activity"/>
  </r>
  <r>
    <x v="0"/>
    <x v="2"/>
    <s v="Ofaveolata004450"/>
    <m/>
    <n v="-2.0248203999999999"/>
    <n v="-1.6798005"/>
    <s v="Direct"/>
    <s v="RNA splicing"/>
  </r>
  <r>
    <x v="0"/>
    <x v="2"/>
    <s v="Ofaveolata004457"/>
    <m/>
    <n v="-1.5584271999999999"/>
    <n v="-1.3062514999999999"/>
    <s v="Direct"/>
    <s v="platelet-activating factor acetyltransferase activity"/>
  </r>
  <r>
    <x v="0"/>
    <x v="2"/>
    <s v="Ofaveolata004462"/>
    <m/>
    <n v="-2.3766479"/>
    <n v="-2.5162602000000001"/>
    <s v="Direct"/>
    <s v="ammonium transmembrane transporter activity"/>
  </r>
  <r>
    <x v="0"/>
    <x v="2"/>
    <s v="Ofaveolata004466"/>
    <m/>
    <n v="-9.7235800999999995"/>
    <n v="-5.9963252999999996"/>
    <s v="Direct"/>
    <s v="Leukocyte cysteine proteinase inhibitor 1-like"/>
  </r>
  <r>
    <x v="0"/>
    <x v="2"/>
    <s v="Ofaveolata004468"/>
    <m/>
    <n v="-1.5027484"/>
    <n v="-1.1877911999999999"/>
    <s v="Direct"/>
    <s v="ligase activity"/>
  </r>
  <r>
    <x v="0"/>
    <x v="2"/>
    <s v="Ofaveolata004470"/>
    <m/>
    <n v="-25.408259999999999"/>
    <n v="-21.638473000000001"/>
    <s v="Direct"/>
    <s v="GXGXG motif"/>
  </r>
  <r>
    <x v="0"/>
    <x v="2"/>
    <s v="Ofaveolata004474"/>
    <m/>
    <n v="-2.2814610000000002"/>
    <n v="-1.4044270000000001"/>
    <s v="Direct"/>
    <s v="ubiquitin-like protein ligase activity"/>
  </r>
  <r>
    <x v="0"/>
    <x v="2"/>
    <s v="Ofaveolata004479"/>
    <m/>
    <n v="-1.3073112"/>
    <n v="-1.9726809999999999"/>
    <s v="Direct"/>
    <s v="mycophenolic acid acyl-glucuronide esterase activity"/>
  </r>
  <r>
    <x v="0"/>
    <x v="2"/>
    <s v="Ofaveolata004483"/>
    <m/>
    <n v="-2.6121259999999999"/>
    <n v="-3.7123751999999999"/>
    <s v="Direct"/>
    <s v="RNA splicing"/>
  </r>
  <r>
    <x v="0"/>
    <x v="2"/>
    <s v="Ofaveolata004499"/>
    <m/>
    <n v="-1.5824541000000001"/>
    <n v="-2.2037949999999999"/>
    <s v="Direct"/>
    <s v="NA"/>
  </r>
  <r>
    <x v="0"/>
    <x v="2"/>
    <s v="Ofaveolata004503"/>
    <m/>
    <n v="-2.1578639000000002"/>
    <n v="-2.0908834000000001"/>
    <s v="Direct"/>
    <s v="Methyltransferase domain"/>
  </r>
  <r>
    <x v="0"/>
    <x v="2"/>
    <s v="Ofaveolata004508"/>
    <m/>
    <n v="-1.1746506000000001"/>
    <n v="-1.0592686"/>
    <s v="Direct"/>
    <s v="Thrombospondin type 1 repeats"/>
  </r>
  <r>
    <x v="0"/>
    <x v="2"/>
    <s v="Ofaveolata004510"/>
    <m/>
    <n v="1.3414585800000001"/>
    <n v="1.1425035800000001"/>
    <s v="Direct"/>
    <s v="NA"/>
  </r>
  <r>
    <x v="0"/>
    <x v="2"/>
    <s v="Ofaveolata004526"/>
    <m/>
    <n v="2.4753671800000001"/>
    <n v="2.9705713"/>
    <s v="Direct"/>
    <s v="Vault protein inter-alpha-trypsin domain"/>
  </r>
  <r>
    <x v="0"/>
    <x v="2"/>
    <s v="Ofaveolata004536"/>
    <m/>
    <n v="-2.5277364000000002"/>
    <n v="-2.0839428"/>
    <s v="Direct"/>
    <s v="BAG family molecular chaperone regulator 3"/>
  </r>
  <r>
    <x v="0"/>
    <x v="2"/>
    <s v="Ofaveolata004537"/>
    <m/>
    <n v="-2.9910899"/>
    <n v="-3.3749215000000001"/>
    <s v="Direct"/>
    <s v="NA"/>
  </r>
  <r>
    <x v="0"/>
    <x v="2"/>
    <s v="Ofaveolata004538"/>
    <m/>
    <n v="-2.150131"/>
    <n v="-1.7736155"/>
    <s v="Direct"/>
    <s v="Transmembrane protein 181"/>
  </r>
  <r>
    <x v="0"/>
    <x v="2"/>
    <s v="Ofaveolata004552"/>
    <m/>
    <n v="1.2144253599999999"/>
    <n v="1.9826328099999999"/>
    <s v="Direct"/>
    <s v="NA"/>
  </r>
  <r>
    <x v="0"/>
    <x v="2"/>
    <s v="Ofaveolata004557"/>
    <m/>
    <n v="2.5129334800000001"/>
    <n v="2.3827589900000001"/>
    <s v="Direct"/>
    <s v="NA"/>
  </r>
  <r>
    <x v="0"/>
    <x v="2"/>
    <s v="Ofaveolata004606"/>
    <m/>
    <n v="1.3008507"/>
    <n v="1.48663897"/>
    <s v="Direct"/>
    <s v="positive regulation of CD8-positive, alpha-beta T cell differentiation"/>
  </r>
  <r>
    <x v="0"/>
    <x v="2"/>
    <s v="Ofaveolata004610"/>
    <m/>
    <n v="2.5784941300000002"/>
    <n v="4.3868294199999998"/>
    <s v="Direct"/>
    <s v="ribosomal large subunit assembly"/>
  </r>
  <r>
    <x v="0"/>
    <x v="2"/>
    <s v="Ofaveolata004629"/>
    <m/>
    <n v="-1.5511984999999999"/>
    <n v="-1.8186937000000001"/>
    <s v="Direct"/>
    <s v="CAAX-box protein maturation"/>
  </r>
  <r>
    <x v="0"/>
    <x v="2"/>
    <s v="Ofaveolata004630"/>
    <m/>
    <n v="1.2921486600000001"/>
    <n v="1.08653826"/>
    <s v="Direct"/>
    <s v="microtubule motor activity"/>
  </r>
  <r>
    <x v="0"/>
    <x v="2"/>
    <s v="Ofaveolata004639"/>
    <m/>
    <n v="-3.6749081000000001"/>
    <n v="-1.5568234000000001"/>
    <s v="Direct"/>
    <s v="Brefeldin A-inhibited guanine nucleotide-exchange protein"/>
  </r>
  <r>
    <x v="0"/>
    <x v="2"/>
    <s v="Ofaveolata004714"/>
    <m/>
    <n v="-1.0559886000000001"/>
    <n v="-1.5654151000000001"/>
    <s v="Direct"/>
    <s v="Disintegrin and metalloproteinase domain-containing protein"/>
  </r>
  <r>
    <x v="0"/>
    <x v="2"/>
    <s v="Ofaveolata004759"/>
    <m/>
    <n v="1.47837288"/>
    <n v="1.75289147"/>
    <s v="Direct"/>
    <s v="NA"/>
  </r>
  <r>
    <x v="0"/>
    <x v="2"/>
    <s v="Ofaveolata004770"/>
    <m/>
    <n v="-1.2989375999999999"/>
    <n v="-1.0702691"/>
    <s v="Direct"/>
    <s v="ribosomal protein"/>
  </r>
  <r>
    <x v="0"/>
    <x v="2"/>
    <s v="Ofaveolata004795"/>
    <m/>
    <n v="-2.9279706000000001"/>
    <n v="-1.8523472999999999"/>
    <s v="Direct"/>
    <s v="Cyclin-dependent kinase 8 isoform X1"/>
  </r>
  <r>
    <x v="0"/>
    <x v="2"/>
    <s v="Ofaveolata004811"/>
    <m/>
    <n v="3.5476460400000001"/>
    <n v="2.6109064399999999"/>
    <s v="Direct"/>
    <s v="NA"/>
  </r>
  <r>
    <x v="0"/>
    <x v="2"/>
    <s v="Ofaveolata004812"/>
    <m/>
    <n v="5.6181349799999998"/>
    <n v="4.6394772700000004"/>
    <s v="Direct"/>
    <s v="NA"/>
  </r>
  <r>
    <x v="0"/>
    <x v="2"/>
    <s v="Ofaveolata004828"/>
    <m/>
    <n v="-2.5206974"/>
    <n v="-2.1651099"/>
    <s v="Direct"/>
    <s v="NA"/>
  </r>
  <r>
    <x v="0"/>
    <x v="2"/>
    <s v="Ofaveolata004830"/>
    <m/>
    <n v="-2.9880575"/>
    <n v="-1.3903958000000001"/>
    <s v="Direct"/>
    <s v="NA"/>
  </r>
  <r>
    <x v="0"/>
    <x v="2"/>
    <s v="Ofaveolata004849"/>
    <m/>
    <n v="-1.993771"/>
    <n v="-2.1296662999999998"/>
    <s v="Direct"/>
    <s v="1-acylglycerophosphocholine O-acyltransferase activity"/>
  </r>
  <r>
    <x v="0"/>
    <x v="2"/>
    <s v="Ofaveolata004855"/>
    <m/>
    <n v="-1.1965805"/>
    <n v="-2.0218956000000001"/>
    <s v="Direct"/>
    <s v="NA"/>
  </r>
  <r>
    <x v="0"/>
    <x v="2"/>
    <s v="Ofaveolata004858"/>
    <m/>
    <n v="1.01207402"/>
    <n v="1.1545008699999999"/>
    <s v="Direct"/>
    <s v="NA"/>
  </r>
  <r>
    <x v="0"/>
    <x v="2"/>
    <s v="Ofaveolata004859"/>
    <m/>
    <n v="-2.6374094000000001"/>
    <n v="-2.1348970999999999"/>
    <s v="Direct"/>
    <s v="NA"/>
  </r>
  <r>
    <x v="0"/>
    <x v="2"/>
    <s v="Ofaveolata004868"/>
    <m/>
    <n v="-1.3046145"/>
    <n v="-1.0419448"/>
    <s v="Direct"/>
    <s v="positive regulation of phosphorylation of RNA polymerase II C-terminal domain"/>
  </r>
  <r>
    <x v="0"/>
    <x v="2"/>
    <s v="Ofaveolata004872"/>
    <m/>
    <n v="1.5247225600000001"/>
    <n v="1.07026906"/>
    <s v="Direct"/>
    <s v="NA"/>
  </r>
  <r>
    <x v="0"/>
    <x v="2"/>
    <s v="Ofaveolata004880"/>
    <m/>
    <n v="1.0303295299999999"/>
    <n v="1.8790826300000001"/>
    <s v="Direct"/>
    <s v="NA"/>
  </r>
  <r>
    <x v="0"/>
    <x v="2"/>
    <s v="Ofaveolata004894"/>
    <m/>
    <n v="-1.3070332"/>
    <n v="-2.3466675000000001"/>
    <s v="Direct"/>
    <s v="NA"/>
  </r>
  <r>
    <x v="0"/>
    <x v="2"/>
    <s v="Ofaveolata004899"/>
    <m/>
    <n v="-4.0150994999999998"/>
    <n v="-3.9847041000000001"/>
    <s v="Direct"/>
    <s v="translocon-associated protein"/>
  </r>
  <r>
    <x v="0"/>
    <x v="2"/>
    <s v="Ofaveolata004900"/>
    <m/>
    <n v="-1.838303"/>
    <n v="-1.0386245999999999"/>
    <s v="Direct"/>
    <s v="H3K27me3 modified histone binding"/>
  </r>
  <r>
    <x v="0"/>
    <x v="2"/>
    <s v="Ofaveolata004908"/>
    <m/>
    <n v="-2.8778557999999999"/>
    <n v="-3.0171576999999998"/>
    <s v="Direct"/>
    <s v="aldonic acid metabolic process"/>
  </r>
  <r>
    <x v="0"/>
    <x v="2"/>
    <s v="Ofaveolata004924"/>
    <m/>
    <n v="-1.1893397000000001"/>
    <n v="-1.3110972000000001"/>
    <s v="Direct"/>
    <s v="posttranslational protein targeting to endoplasmic reticulum membrane"/>
  </r>
  <r>
    <x v="0"/>
    <x v="2"/>
    <s v="Ofaveolata004948"/>
    <m/>
    <n v="-2.1680456000000001"/>
    <n v="-1.6755717000000001"/>
    <s v="Direct"/>
    <s v="Belongs to the TPP enzyme family"/>
  </r>
  <r>
    <x v="0"/>
    <x v="2"/>
    <s v="Ofaveolata004949"/>
    <m/>
    <n v="-10.202484999999999"/>
    <n v="-8.0849633000000001"/>
    <s v="Direct"/>
    <s v="NA"/>
  </r>
  <r>
    <x v="0"/>
    <x v="2"/>
    <s v="Ofaveolata004950"/>
    <m/>
    <n v="-4.5279505999999996"/>
    <n v="-5.7667088"/>
    <s v="Direct"/>
    <s v="NA"/>
  </r>
  <r>
    <x v="0"/>
    <x v="2"/>
    <s v="Ofaveolata004976"/>
    <m/>
    <n v="-3.9344635999999999"/>
    <n v="-4.2454754000000001"/>
    <s v="Direct"/>
    <s v="Peroxisomal biogenesis factor 14"/>
  </r>
  <r>
    <x v="0"/>
    <x v="2"/>
    <s v="Ofaveolata004998"/>
    <m/>
    <n v="-1.1752885"/>
    <n v="-2.8617349999999999"/>
    <s v="Direct"/>
    <s v="Domain of unknown function (DUF4572)"/>
  </r>
  <r>
    <x v="0"/>
    <x v="2"/>
    <s v="Ofaveolata005006"/>
    <m/>
    <n v="1.1073693200000001"/>
    <n v="1.5753047099999999"/>
    <s v="Direct"/>
    <s v="fibroblast growth factor binding"/>
  </r>
  <r>
    <x v="0"/>
    <x v="2"/>
    <s v="Ofaveolata005008"/>
    <m/>
    <n v="4.5772127300000003"/>
    <n v="1.84869679"/>
    <s v="Direct"/>
    <s v="NA"/>
  </r>
  <r>
    <x v="0"/>
    <x v="2"/>
    <s v="Ofaveolata005025"/>
    <m/>
    <n v="-1.7109084000000001"/>
    <n v="-2.6959466999999999"/>
    <s v="Direct"/>
    <s v="NA"/>
  </r>
  <r>
    <x v="0"/>
    <x v="2"/>
    <s v="Ofaveolata005037"/>
    <m/>
    <n v="-7.6821298000000002"/>
    <n v="-4.5697907000000004"/>
    <s v="Direct"/>
    <s v="NA"/>
  </r>
  <r>
    <x v="0"/>
    <x v="2"/>
    <s v="Ofaveolata005040"/>
    <m/>
    <n v="1.2754581599999999"/>
    <n v="1.29655601"/>
    <s v="Direct"/>
    <s v="NA"/>
  </r>
  <r>
    <x v="0"/>
    <x v="2"/>
    <s v="Ofaveolata005041"/>
    <m/>
    <n v="-3.6017193999999999"/>
    <n v="-3.7676745999999999"/>
    <s v="Direct"/>
    <s v="cell surface receptor signaling pathway"/>
  </r>
  <r>
    <x v="0"/>
    <x v="2"/>
    <s v="Ofaveolata005074"/>
    <m/>
    <n v="2.0328490499999998"/>
    <n v="2.1851371400000001"/>
    <s v="Direct"/>
    <s v="EF-hand domain pair"/>
  </r>
  <r>
    <x v="0"/>
    <x v="2"/>
    <s v="Ofaveolata005136"/>
    <m/>
    <n v="-2.3066734000000002"/>
    <n v="-1.7345892000000001"/>
    <s v="Direct"/>
    <s v="NA"/>
  </r>
  <r>
    <x v="0"/>
    <x v="2"/>
    <s v="Ofaveolata005158"/>
    <m/>
    <n v="-8.2597427999999997"/>
    <n v="-5.7540063999999997"/>
    <s v="Direct"/>
    <s v="NA"/>
  </r>
  <r>
    <x v="0"/>
    <x v="2"/>
    <s v="Ofaveolata005171"/>
    <m/>
    <n v="5.0168784400000002"/>
    <n v="3.06053716"/>
    <s v="Direct"/>
    <s v="homophilic cell adhesion via plasma membrane adhesion molecules"/>
  </r>
  <r>
    <x v="0"/>
    <x v="2"/>
    <s v="Ofaveolata005172"/>
    <m/>
    <n v="4.14519634"/>
    <n v="3.4369439499999999"/>
    <s v="Direct"/>
    <s v="iodide peroxidase activity"/>
  </r>
  <r>
    <x v="0"/>
    <x v="2"/>
    <s v="Ofaveolata005175"/>
    <m/>
    <n v="1.2443656700000001"/>
    <n v="1.8987651800000001"/>
    <s v="Direct"/>
    <s v="May play a role in anchoring the cytoskeleton to the plasma membrane"/>
  </r>
  <r>
    <x v="0"/>
    <x v="2"/>
    <s v="Ofaveolata005176"/>
    <m/>
    <n v="1.4108104400000001"/>
    <n v="1.3259813499999999"/>
    <s v="Direct"/>
    <s v="May play a role in anchoring the cytoskeleton to the plasma membrane"/>
  </r>
  <r>
    <x v="0"/>
    <x v="2"/>
    <s v="Ofaveolata005198"/>
    <m/>
    <n v="-1.9057978"/>
    <n v="-2.1960316999999998"/>
    <s v="Direct"/>
    <s v="calcium ion binding"/>
  </r>
  <r>
    <x v="0"/>
    <x v="2"/>
    <s v="Ofaveolata005242"/>
    <m/>
    <n v="-1.9039516999999999"/>
    <n v="-2.0048341999999999"/>
    <s v="Direct"/>
    <s v="posttranslational protein targeting to membrane, translocation"/>
  </r>
  <r>
    <x v="0"/>
    <x v="2"/>
    <s v="Ofaveolata005245"/>
    <m/>
    <n v="-1.7464472"/>
    <n v="-1.3256929"/>
    <s v="Direct"/>
    <s v="pyrroline-5-carboxylate reductase activity"/>
  </r>
  <r>
    <x v="0"/>
    <x v="2"/>
    <s v="Ofaveolata005246"/>
    <m/>
    <n v="1.66220415"/>
    <n v="3.5468106800000001"/>
    <s v="Direct"/>
    <s v="PEST proteolytic signal containing nuclear protein"/>
  </r>
  <r>
    <x v="0"/>
    <x v="2"/>
    <s v="Ofaveolata005249"/>
    <m/>
    <n v="2.2447086299999999"/>
    <n v="3.4710764300000001"/>
    <s v="Direct"/>
    <s v="cilium assembly"/>
  </r>
  <r>
    <x v="0"/>
    <x v="2"/>
    <s v="Ofaveolata005254"/>
    <m/>
    <n v="1.74407289"/>
    <n v="1.74110751"/>
    <s v="Direct"/>
    <s v="ornithine carbamoyltransferase activity"/>
  </r>
  <r>
    <x v="0"/>
    <x v="2"/>
    <s v="Ofaveolata005257"/>
    <m/>
    <n v="-1.3468541999999999"/>
    <n v="-1.5187455999999999"/>
    <s v="Direct"/>
    <s v="mitochondrial pyruvate transmembrane transport"/>
  </r>
  <r>
    <x v="0"/>
    <x v="2"/>
    <s v="Ofaveolata005263"/>
    <m/>
    <n v="-6.7266336999999998"/>
    <n v="-4.4670538999999998"/>
    <s v="Direct"/>
    <s v="negative chemotaxis"/>
  </r>
  <r>
    <x v="0"/>
    <x v="2"/>
    <s v="Ofaveolata005270"/>
    <m/>
    <n v="-5.0845688000000004"/>
    <n v="-2.2580512000000001"/>
    <s v="Direct"/>
    <s v="transporter activity"/>
  </r>
  <r>
    <x v="0"/>
    <x v="2"/>
    <s v="Ofaveolata005284"/>
    <m/>
    <n v="-2.7211997999999999"/>
    <n v="-1.4354594000000001"/>
    <s v="Direct"/>
    <s v="NA"/>
  </r>
  <r>
    <x v="0"/>
    <x v="2"/>
    <s v="Ofaveolata005285"/>
    <m/>
    <n v="-1.7305969000000001"/>
    <n v="-1.3173007000000001"/>
    <s v="Direct"/>
    <s v="Lysine-specific metallo-endopeptidase"/>
  </r>
  <r>
    <x v="0"/>
    <x v="2"/>
    <s v="Ofaveolata005300"/>
    <m/>
    <n v="-4.5580657000000002"/>
    <n v="-4.0303547000000002"/>
    <s v="Direct"/>
    <s v="Belongs to the universal ribosomal protein uL13 family"/>
  </r>
  <r>
    <x v="0"/>
    <x v="2"/>
    <s v="Ofaveolata005301"/>
    <m/>
    <n v="-3.0610819"/>
    <n v="-3.3103343999999999"/>
    <s v="Direct"/>
    <s v="iron-sulfur transferase activity"/>
  </r>
  <r>
    <x v="0"/>
    <x v="2"/>
    <s v="Ofaveolata005305"/>
    <m/>
    <n v="-7.5633414999999999"/>
    <n v="-5.7048078000000002"/>
    <s v="Direct"/>
    <s v="zinc ion binding"/>
  </r>
  <r>
    <x v="0"/>
    <x v="2"/>
    <s v="Ofaveolata005306"/>
    <m/>
    <n v="-3.8295110000000001"/>
    <n v="-3.4064059000000002"/>
    <s v="Direct"/>
    <s v="translation initiation factor activity"/>
  </r>
  <r>
    <x v="0"/>
    <x v="2"/>
    <s v="Ofaveolata005316"/>
    <m/>
    <n v="-1.5601474"/>
    <n v="-3.2533718999999999"/>
    <s v="Direct"/>
    <s v="NA"/>
  </r>
  <r>
    <x v="0"/>
    <x v="2"/>
    <s v="Ofaveolata005342"/>
    <m/>
    <n v="1.8326999399999999"/>
    <n v="1.50115497"/>
    <s v="Direct"/>
    <s v="poly(A) RNA polymerase"/>
  </r>
  <r>
    <x v="0"/>
    <x v="2"/>
    <s v="Ofaveolata005359"/>
    <m/>
    <n v="-2.5831037999999999"/>
    <n v="-2.2474614000000002"/>
    <s v="Direct"/>
    <s v="motor activity"/>
  </r>
  <r>
    <x v="0"/>
    <x v="2"/>
    <s v="Ofaveolata005368"/>
    <m/>
    <n v="-1.6314654"/>
    <n v="-2.8760463999999999"/>
    <s v="Direct"/>
    <s v="coagulation factor V"/>
  </r>
  <r>
    <x v="0"/>
    <x v="2"/>
    <s v="Ofaveolata005370"/>
    <m/>
    <n v="-8.1125793999999996"/>
    <n v="-4.7158123999999999"/>
    <s v="Direct"/>
    <s v="cellular iron ion homeostasis"/>
  </r>
  <r>
    <x v="0"/>
    <x v="2"/>
    <s v="Ofaveolata005393"/>
    <m/>
    <n v="-2.8498659000000002"/>
    <n v="-2.1349743000000001"/>
    <s v="Direct"/>
    <s v="NA"/>
  </r>
  <r>
    <x v="0"/>
    <x v="2"/>
    <s v="Ofaveolata005418"/>
    <m/>
    <n v="-3.1252213000000002"/>
    <n v="-4.5880786999999996"/>
    <s v="Direct"/>
    <s v="molting cycle, collagen and cuticulin-based cuticle"/>
  </r>
  <r>
    <x v="0"/>
    <x v="2"/>
    <s v="Ofaveolata005419"/>
    <m/>
    <n v="-2.8826820999999998"/>
    <n v="-4.5094564999999998"/>
    <s v="Direct"/>
    <s v="molting cycle, collagen and cuticulin-based cuticle"/>
  </r>
  <r>
    <x v="0"/>
    <x v="2"/>
    <s v="Ofaveolata005430"/>
    <m/>
    <n v="-1.2797622"/>
    <n v="-1.0155394"/>
    <s v="Direct"/>
    <s v="neuronal signal transduction"/>
  </r>
  <r>
    <x v="0"/>
    <x v="2"/>
    <s v="Ofaveolata005433"/>
    <m/>
    <n v="2.9166690100000001"/>
    <n v="3.9207926500000001"/>
    <s v="Direct"/>
    <s v="Chromosome 5 open reading frame 63"/>
  </r>
  <r>
    <x v="0"/>
    <x v="2"/>
    <s v="Ofaveolata005450"/>
    <m/>
    <n v="-2.4251189000000002"/>
    <n v="-2.699408"/>
    <s v="Direct"/>
    <s v="coagulation factor V"/>
  </r>
  <r>
    <x v="0"/>
    <x v="2"/>
    <s v="Ofaveolata005466"/>
    <m/>
    <n v="-1.5142869000000001"/>
    <n v="-1.5276957"/>
    <s v="Direct"/>
    <s v="NA"/>
  </r>
  <r>
    <x v="0"/>
    <x v="2"/>
    <s v="Ofaveolata005474"/>
    <m/>
    <n v="2.71191446"/>
    <n v="2.29098655"/>
    <s v="Direct"/>
    <s v="NA"/>
  </r>
  <r>
    <x v="0"/>
    <x v="2"/>
    <s v="Ofaveolata005476"/>
    <m/>
    <n v="-1.6597919999999999"/>
    <n v="-1.3659146"/>
    <s v="Direct"/>
    <s v="actin binding"/>
  </r>
  <r>
    <x v="0"/>
    <x v="2"/>
    <s v="Ofaveolata005486"/>
    <m/>
    <n v="-3.3983694999999998"/>
    <n v="-5.3052636"/>
    <s v="Direct"/>
    <s v="L-iditol 2-dehydrogenase activity"/>
  </r>
  <r>
    <x v="0"/>
    <x v="2"/>
    <s v="Ofaveolata005492"/>
    <m/>
    <n v="-2.8661468999999999"/>
    <n v="-5.0100951"/>
    <s v="Direct"/>
    <s v="negative regulation of meiotic chromosome separation"/>
  </r>
  <r>
    <x v="0"/>
    <x v="2"/>
    <s v="Ofaveolata005495"/>
    <m/>
    <n v="-2.0886556999999999"/>
    <n v="-2.9633991000000002"/>
    <s v="Direct"/>
    <s v="NA"/>
  </r>
  <r>
    <x v="0"/>
    <x v="2"/>
    <s v="Ofaveolata005504"/>
    <m/>
    <n v="1.6907876900000001"/>
    <n v="1.1892381299999999"/>
    <s v="Direct"/>
    <s v="DNA polymerase zeta catalytic subunit"/>
  </r>
  <r>
    <x v="0"/>
    <x v="2"/>
    <s v="Ofaveolata005513"/>
    <m/>
    <n v="-1.4136807"/>
    <n v="-1.0366668000000001"/>
    <s v="Direct"/>
    <s v="Hemimethylated DNA-binding protein YccV like"/>
  </r>
  <r>
    <x v="0"/>
    <x v="2"/>
    <s v="Ofaveolata005521"/>
    <m/>
    <n v="1.5883636999999999"/>
    <n v="1.65088623"/>
    <s v="Direct"/>
    <s v="NA"/>
  </r>
  <r>
    <x v="0"/>
    <x v="2"/>
    <s v="Ofaveolata005525"/>
    <m/>
    <n v="-1.589251"/>
    <n v="-1.8068683000000001"/>
    <s v="Direct"/>
    <s v="NA"/>
  </r>
  <r>
    <x v="0"/>
    <x v="2"/>
    <s v="Ofaveolata005554"/>
    <m/>
    <n v="-1.035539"/>
    <n v="-2.7710477999999998"/>
    <s v="Direct"/>
    <s v="NA"/>
  </r>
  <r>
    <x v="0"/>
    <x v="2"/>
    <s v="Ofaveolata005583"/>
    <m/>
    <n v="3.5504895900000002"/>
    <n v="1.4104051799999999"/>
    <s v="Direct"/>
    <s v="NA"/>
  </r>
  <r>
    <x v="0"/>
    <x v="2"/>
    <s v="Ofaveolata005586"/>
    <m/>
    <n v="-2.4852552000000001"/>
    <n v="-2.4384527"/>
    <s v="Direct"/>
    <s v="Belongs to the eukaryotic ribosomal protein eS4 family"/>
  </r>
  <r>
    <x v="0"/>
    <x v="2"/>
    <s v="Ofaveolata005592"/>
    <m/>
    <n v="2.3457051199999999"/>
    <n v="2.8591411199999999"/>
    <s v="Direct"/>
    <s v="mitochondrial respiratory chain complex I assembly"/>
  </r>
  <r>
    <x v="0"/>
    <x v="2"/>
    <s v="Ofaveolata005618"/>
    <m/>
    <n v="-1.8351548"/>
    <n v="-1.0762031999999999"/>
    <s v="Direct"/>
    <s v="Golgi to endosome transport"/>
  </r>
  <r>
    <x v="0"/>
    <x v="2"/>
    <s v="Ofaveolata005635"/>
    <m/>
    <n v="1.7312240400000001"/>
    <n v="1.4384162599999999"/>
    <s v="Direct"/>
    <s v="ENTH domain"/>
  </r>
  <r>
    <x v="0"/>
    <x v="2"/>
    <s v="Ofaveolata005640"/>
    <m/>
    <n v="-1.5432205000000001"/>
    <n v="-1.3705232000000001"/>
    <s v="Direct"/>
    <s v="NA"/>
  </r>
  <r>
    <x v="0"/>
    <x v="2"/>
    <s v="Ofaveolata005644"/>
    <m/>
    <n v="3.9920762600000002"/>
    <n v="5.6284804299999998"/>
    <s v="Direct"/>
    <s v="NA"/>
  </r>
  <r>
    <x v="0"/>
    <x v="2"/>
    <s v="Ofaveolata005653"/>
    <m/>
    <n v="-4.3342542000000002"/>
    <n v="-2.8959397"/>
    <s v="Direct"/>
    <s v="nucleoside:sodium symporter activity"/>
  </r>
  <r>
    <x v="0"/>
    <x v="2"/>
    <s v="Ofaveolata005659"/>
    <m/>
    <n v="-3.4410810000000001"/>
    <n v="-1.2050913999999999"/>
    <s v="Direct"/>
    <s v="glutathione S-transferase"/>
  </r>
  <r>
    <x v="0"/>
    <x v="2"/>
    <s v="Ofaveolata005678"/>
    <m/>
    <n v="-3.1376178000000001"/>
    <n v="-1.6855708"/>
    <s v="Direct"/>
    <s v="DnaJ (Hsp40) homolog, subfamily C, member 8"/>
  </r>
  <r>
    <x v="0"/>
    <x v="2"/>
    <s v="Ofaveolata005679"/>
    <m/>
    <n v="2.9382684600000002"/>
    <n v="2.1327193699999998"/>
    <s v="Direct"/>
    <s v="RNA binding"/>
  </r>
  <r>
    <x v="0"/>
    <x v="2"/>
    <s v="Ofaveolata005692"/>
    <m/>
    <n v="1.6533750700000001"/>
    <n v="1.9666331800000001"/>
    <s v="Direct"/>
    <s v="establishment of Sertoli cell barrier"/>
  </r>
  <r>
    <x v="0"/>
    <x v="2"/>
    <s v="Ofaveolata005699"/>
    <m/>
    <n v="1.21081408"/>
    <n v="2.1171918500000002"/>
    <s v="Direct"/>
    <s v="ion channel binding"/>
  </r>
  <r>
    <x v="0"/>
    <x v="2"/>
    <s v="Ofaveolata005715"/>
    <m/>
    <n v="-3.7215023"/>
    <n v="-2.1099154000000002"/>
    <s v="Direct"/>
    <s v="protein kinase activity"/>
  </r>
  <r>
    <x v="0"/>
    <x v="2"/>
    <s v="Ofaveolata005719"/>
    <m/>
    <n v="1.93465726"/>
    <n v="1.94735725"/>
    <s v="Direct"/>
    <s v="NA"/>
  </r>
  <r>
    <x v="0"/>
    <x v="2"/>
    <s v="Ofaveolata005725"/>
    <m/>
    <n v="-2.2660661000000002"/>
    <n v="-3.7818029000000002"/>
    <s v="Direct"/>
    <s v="RNA splicing"/>
  </r>
  <r>
    <x v="0"/>
    <x v="2"/>
    <s v="Ofaveolata005736"/>
    <m/>
    <n v="-2.6791520000000002"/>
    <n v="-1.4890428"/>
    <s v="Direct"/>
    <s v="Kinesin motor, catalytic domain. ATPase."/>
  </r>
  <r>
    <x v="0"/>
    <x v="2"/>
    <s v="Ofaveolata005792"/>
    <m/>
    <n v="-3.0080635999999998"/>
    <n v="-3.9843818"/>
    <s v="Direct"/>
    <s v="UTP:glucose-1-phosphate uridylyltransferase activity"/>
  </r>
  <r>
    <x v="0"/>
    <x v="2"/>
    <s v="Ofaveolata005802"/>
    <m/>
    <n v="-4.0761082000000002"/>
    <n v="-3.5736726999999999"/>
    <s v="Direct"/>
    <s v="N-glycan processing to lysosome"/>
  </r>
  <r>
    <x v="0"/>
    <x v="2"/>
    <s v="Ofaveolata005803"/>
    <m/>
    <n v="-2.1436633"/>
    <n v="-2.1721336999999998"/>
    <s v="Direct"/>
    <s v="ERAD pathway"/>
  </r>
  <r>
    <x v="0"/>
    <x v="2"/>
    <s v="Ofaveolata005806"/>
    <m/>
    <n v="3.3903875800000001"/>
    <n v="1.8987651800000001"/>
    <s v="Direct"/>
    <s v="serine-pyruvate transaminase activity"/>
  </r>
  <r>
    <x v="0"/>
    <x v="2"/>
    <s v="Ofaveolata005875"/>
    <m/>
    <n v="-4.7779064"/>
    <n v="-10.737738999999999"/>
    <s v="Direct"/>
    <s v="sphingolipid delta-4 desaturase activity"/>
  </r>
  <r>
    <x v="0"/>
    <x v="2"/>
    <s v="Ofaveolata005887"/>
    <m/>
    <n v="-6.6230773999999997"/>
    <n v="-7.2786657999999997"/>
    <s v="Direct"/>
    <s v="Dienelactone hydrolase family"/>
  </r>
  <r>
    <x v="0"/>
    <x v="2"/>
    <s v="Ofaveolata005894"/>
    <m/>
    <n v="1.8738624399999999"/>
    <n v="1.1592162399999999"/>
    <s v="Direct"/>
    <s v="NA"/>
  </r>
  <r>
    <x v="0"/>
    <x v="2"/>
    <s v="Ofaveolata005903"/>
    <m/>
    <n v="-4.7341600000000001"/>
    <n v="-3.3291417999999999"/>
    <s v="Direct"/>
    <s v="found in Wnt-1"/>
  </r>
  <r>
    <x v="0"/>
    <x v="2"/>
    <s v="Ofaveolata005906"/>
    <m/>
    <n v="-1.1240836000000001"/>
    <n v="-1.8002762999999999"/>
    <s v="Direct"/>
    <s v="calcium ion binding"/>
  </r>
  <r>
    <x v="0"/>
    <x v="2"/>
    <s v="Ofaveolata005909"/>
    <m/>
    <n v="-1.3336760999999999"/>
    <n v="-1.0748717000000001"/>
    <s v="Direct"/>
    <s v="folate import across plasma membrane"/>
  </r>
  <r>
    <x v="0"/>
    <x v="2"/>
    <s v="Ofaveolata005912"/>
    <m/>
    <n v="6.2973846900000003"/>
    <n v="4.2065845499999996"/>
    <s v="Direct"/>
    <s v="negative regulation of inclusion body assembly"/>
  </r>
  <r>
    <x v="0"/>
    <x v="2"/>
    <s v="Ofaveolata005935"/>
    <m/>
    <n v="-3.6739025999999999"/>
    <n v="-4.9511038000000003"/>
    <s v="Direct"/>
    <s v="NA"/>
  </r>
  <r>
    <x v="0"/>
    <x v="2"/>
    <s v="Ofaveolata005937"/>
    <m/>
    <n v="1.0762348900000001"/>
    <n v="1.4816596399999999"/>
    <s v="Direct"/>
    <s v="NA"/>
  </r>
  <r>
    <x v="0"/>
    <x v="2"/>
    <s v="Ofaveolata005951"/>
    <m/>
    <n v="-1.2631653"/>
    <n v="-1.1025167"/>
    <s v="Direct"/>
    <s v="NA"/>
  </r>
  <r>
    <x v="0"/>
    <x v="2"/>
    <s v="Ofaveolata005953"/>
    <m/>
    <n v="-1.352676"/>
    <n v="-2.1260222"/>
    <s v="Direct"/>
    <s v="1, mitochondrial"/>
  </r>
  <r>
    <x v="0"/>
    <x v="2"/>
    <s v="Ofaveolata005955"/>
    <m/>
    <n v="-2.7345996000000001"/>
    <n v="-2.0432020999999998"/>
    <s v="Direct"/>
    <s v="endosomal transport"/>
  </r>
  <r>
    <x v="0"/>
    <x v="2"/>
    <s v="Ofaveolata005956"/>
    <m/>
    <n v="-1.6595061"/>
    <n v="-1.1125571999999999"/>
    <s v="Direct"/>
    <s v="skeletal muscle fiber development"/>
  </r>
  <r>
    <x v="0"/>
    <x v="2"/>
    <s v="Ofaveolata005963"/>
    <m/>
    <n v="1.14446366"/>
    <n v="1.82776665"/>
    <s v="Direct"/>
    <s v="Zinc-dependent metalloprotease"/>
  </r>
  <r>
    <x v="0"/>
    <x v="2"/>
    <s v="Ofaveolata005964"/>
    <m/>
    <n v="1.3369834199999999"/>
    <n v="1.2629336600000001"/>
    <s v="Direct"/>
    <s v="Belongs to the peptidase M10A family"/>
  </r>
  <r>
    <x v="0"/>
    <x v="2"/>
    <s v="Ofaveolata005986"/>
    <m/>
    <n v="-2.6562636999999998"/>
    <n v="-2.6377790000000001"/>
    <s v="Direct"/>
    <s v="4-alpha-hydroxytetrahydrobiopterin dehydratase activity"/>
  </r>
  <r>
    <x v="0"/>
    <x v="2"/>
    <s v="Ofaveolata005998"/>
    <m/>
    <n v="1.9575851799999999"/>
    <n v="1.9401130200000001"/>
    <s v="Direct"/>
    <s v="CAAX-box protein maturation"/>
  </r>
  <r>
    <x v="0"/>
    <x v="2"/>
    <s v="Ofaveolata006009"/>
    <m/>
    <n v="2.3770897999999998"/>
    <n v="1.59325103"/>
    <s v="Direct"/>
    <s v="regulation of mitotic cell cycle"/>
  </r>
  <r>
    <x v="0"/>
    <x v="2"/>
    <s v="Ofaveolata006015"/>
    <m/>
    <n v="1.0975644899999999"/>
    <n v="1.4635449199999999"/>
    <s v="Direct"/>
    <s v="NA"/>
  </r>
  <r>
    <x v="0"/>
    <x v="2"/>
    <s v="Ofaveolata006054"/>
    <m/>
    <n v="-3.3971884999999999"/>
    <n v="-2.7962695000000002"/>
    <s v="Direct"/>
    <s v="Belongs to the Ca(2 ) cation antiporter (CaCA) (TC 2.A.19) family"/>
  </r>
  <r>
    <x v="0"/>
    <x v="2"/>
    <s v="Ofaveolata006098"/>
    <m/>
    <n v="1.4339197100000001"/>
    <n v="1.3812105800000001"/>
    <s v="Direct"/>
    <s v="cell division"/>
  </r>
  <r>
    <x v="0"/>
    <x v="2"/>
    <s v="Ofaveolata006107"/>
    <m/>
    <n v="-1.4149843"/>
    <n v="-3.9635571999999999"/>
    <s v="Direct"/>
    <s v="bisphosphoglycerate 3-phosphatase activity"/>
  </r>
  <r>
    <x v="0"/>
    <x v="2"/>
    <s v="Ofaveolata006116"/>
    <m/>
    <n v="-1.8028682"/>
    <n v="-1.0843666999999999"/>
    <s v="Direct"/>
    <s v="NA"/>
  </r>
  <r>
    <x v="0"/>
    <x v="2"/>
    <s v="Ofaveolata006128"/>
    <m/>
    <n v="4.4843304499999999"/>
    <n v="5.4021792099999999"/>
    <s v="Direct"/>
    <s v="ARF-like small GTPases; ARF, ADP-ribosylation factor"/>
  </r>
  <r>
    <x v="0"/>
    <x v="2"/>
    <s v="Ofaveolata006152"/>
    <m/>
    <n v="-1.7810009"/>
    <n v="-2.2253329000000002"/>
    <s v="Direct"/>
    <s v="glycogen phosphorylase activity"/>
  </r>
  <r>
    <x v="0"/>
    <x v="2"/>
    <s v="Ofaveolata006157"/>
    <m/>
    <n v="1.4128935300000001"/>
    <n v="2.0647513700000002"/>
    <s v="Direct"/>
    <s v="NA"/>
  </r>
  <r>
    <x v="0"/>
    <x v="2"/>
    <s v="Ofaveolata006196"/>
    <m/>
    <n v="-1.2492764999999999"/>
    <n v="-1.2632019000000001"/>
    <s v="Direct"/>
    <s v="Ribosomal protein L30p/L7e"/>
  </r>
  <r>
    <x v="0"/>
    <x v="2"/>
    <s v="Ofaveolata006198"/>
    <m/>
    <n v="-1.0971276999999999"/>
    <n v="-2.7064200999999999"/>
    <s v="Direct"/>
    <s v="NA"/>
  </r>
  <r>
    <x v="0"/>
    <x v="2"/>
    <s v="Ofaveolata006205"/>
    <m/>
    <n v="-3.4420228000000002"/>
    <n v="-1.6188167"/>
    <s v="Direct"/>
    <s v="zinc ion transport"/>
  </r>
  <r>
    <x v="0"/>
    <x v="2"/>
    <s v="Ofaveolata006213"/>
    <m/>
    <n v="-2.8207954000000002"/>
    <n v="-1.6030667999999999"/>
    <s v="Direct"/>
    <s v="CRT-like, chloroquine-resistance transporter-like"/>
  </r>
  <r>
    <x v="0"/>
    <x v="2"/>
    <s v="Ofaveolata006215"/>
    <m/>
    <n v="-1.6543595"/>
    <n v="-2.7965271"/>
    <s v="Direct"/>
    <s v="NA"/>
  </r>
  <r>
    <x v="0"/>
    <x v="2"/>
    <s v="Ofaveolata006216"/>
    <m/>
    <n v="-4.0428512000000003"/>
    <n v="-2.6392414"/>
    <s v="Direct"/>
    <s v="NA"/>
  </r>
  <r>
    <x v="0"/>
    <x v="2"/>
    <s v="Ofaveolata006235"/>
    <m/>
    <n v="-4.0335339000000001"/>
    <n v="-5.3121115000000003"/>
    <s v="Direct"/>
    <s v="NA"/>
  </r>
  <r>
    <x v="0"/>
    <x v="2"/>
    <s v="Ofaveolata006246"/>
    <m/>
    <n v="-1.939289"/>
    <n v="-2.0647514"/>
    <s v="Direct"/>
    <s v="ATPase activity, coupled to transmembrane movement of substances"/>
  </r>
  <r>
    <x v="0"/>
    <x v="2"/>
    <s v="Ofaveolata006248"/>
    <m/>
    <n v="5.4122463700000001"/>
    <n v="3.4249050799999998"/>
    <s v="Direct"/>
    <s v="NA"/>
  </r>
  <r>
    <x v="0"/>
    <x v="2"/>
    <s v="Ofaveolata006251"/>
    <m/>
    <n v="-1.4922933"/>
    <n v="-1.5180111999999999"/>
    <s v="Direct"/>
    <s v="G-protein coupled receptor signaling pathway"/>
  </r>
  <r>
    <x v="0"/>
    <x v="2"/>
    <s v="Ofaveolata006253"/>
    <m/>
    <n v="-6.4734021000000004"/>
    <n v="-5.5217682999999997"/>
    <s v="Direct"/>
    <s v="NA"/>
  </r>
  <r>
    <x v="0"/>
    <x v="2"/>
    <s v="Ofaveolata006266"/>
    <m/>
    <n v="2.2727125400000001"/>
    <n v="3.2929693699999998"/>
    <s v="Direct"/>
    <s v="ATPase activator activity"/>
  </r>
  <r>
    <x v="0"/>
    <x v="2"/>
    <s v="Ofaveolata006283"/>
    <m/>
    <n v="-1.814662"/>
    <n v="-1.2283656999999999"/>
    <s v="Direct"/>
    <s v="NA"/>
  </r>
  <r>
    <x v="0"/>
    <x v="2"/>
    <s v="Ofaveolata006291"/>
    <m/>
    <n v="-1.4961228"/>
    <n v="-1.3696778999999999"/>
    <s v="Direct"/>
    <s v="Belongs to the syntaxin family"/>
  </r>
  <r>
    <x v="0"/>
    <x v="2"/>
    <s v="Ofaveolata006294"/>
    <m/>
    <n v="2.4125611600000001"/>
    <n v="2.02918237"/>
    <s v="Direct"/>
    <s v="cell-matrix adhesion"/>
  </r>
  <r>
    <x v="0"/>
    <x v="2"/>
    <s v="Ofaveolata006299"/>
    <m/>
    <n v="-1.1277898"/>
    <n v="-2.1770922000000001"/>
    <s v="Direct"/>
    <s v="NA"/>
  </r>
  <r>
    <x v="0"/>
    <x v="2"/>
    <s v="Ofaveolata006300"/>
    <m/>
    <n v="-1.448707"/>
    <n v="-1.4092657"/>
    <s v="Direct"/>
    <s v="NA"/>
  </r>
  <r>
    <x v="0"/>
    <x v="2"/>
    <s v="Ofaveolata006321"/>
    <m/>
    <n v="1.3793191300000001"/>
    <n v="1.52241867"/>
    <s v="Direct"/>
    <s v="NA"/>
  </r>
  <r>
    <x v="0"/>
    <x v="2"/>
    <s v="Ofaveolata006325"/>
    <m/>
    <n v="-10.060563999999999"/>
    <n v="-7.1696667999999999"/>
    <s v="Direct"/>
    <s v="maltose alpha-glucosidase activity"/>
  </r>
  <r>
    <x v="0"/>
    <x v="2"/>
    <s v="Ofaveolata006360"/>
    <m/>
    <n v="-1.9191324999999999"/>
    <n v="-1.7335046000000001"/>
    <s v="Direct"/>
    <s v="translation elongation factor activity"/>
  </r>
  <r>
    <x v="0"/>
    <x v="2"/>
    <s v="Ofaveolata006361"/>
    <m/>
    <n v="-1.2631691"/>
    <n v="-2.3249434"/>
    <s v="Direct"/>
    <s v="tRNA (guanine) methyltransferase activity"/>
  </r>
  <r>
    <x v="0"/>
    <x v="2"/>
    <s v="Ofaveolata006370"/>
    <m/>
    <n v="-24.308772000000001"/>
    <n v="-18.000022999999999"/>
    <s v="Direct"/>
    <s v="NA"/>
  </r>
  <r>
    <x v="0"/>
    <x v="2"/>
    <s v="Ofaveolata006373"/>
    <m/>
    <n v="1.2731072999999999"/>
    <n v="1.59114143"/>
    <s v="Direct"/>
    <s v="NA"/>
  </r>
  <r>
    <x v="0"/>
    <x v="2"/>
    <s v="Ofaveolata006376"/>
    <m/>
    <n v="-4.1913777000000003"/>
    <n v="-2.3010587"/>
    <s v="Direct"/>
    <s v="NA"/>
  </r>
  <r>
    <x v="0"/>
    <x v="2"/>
    <s v="Ofaveolata006427"/>
    <m/>
    <n v="-3.9137637000000001"/>
    <n v="-2.730931"/>
    <s v="Direct"/>
    <s v="NA"/>
  </r>
  <r>
    <x v="0"/>
    <x v="2"/>
    <s v="Ofaveolata006433"/>
    <m/>
    <n v="3.0659373400000001"/>
    <n v="2.6462789299999998"/>
    <s v="Direct"/>
    <s v="NA"/>
  </r>
  <r>
    <x v="0"/>
    <x v="2"/>
    <s v="Ofaveolata006443"/>
    <m/>
    <n v="-1.8648393999999999"/>
    <n v="-1.4068578"/>
    <s v="Direct"/>
    <s v="NA"/>
  </r>
  <r>
    <x v="0"/>
    <x v="2"/>
    <s v="Ofaveolata006451"/>
    <m/>
    <n v="1.12139447"/>
    <n v="1.6672977899999999"/>
    <s v="Direct"/>
    <s v="leucine rich repeat containing 6"/>
  </r>
  <r>
    <x v="0"/>
    <x v="2"/>
    <s v="Ofaveolata006460"/>
    <m/>
    <n v="1.605013"/>
    <n v="1.11255718"/>
    <s v="Direct"/>
    <s v="NA"/>
  </r>
  <r>
    <x v="0"/>
    <x v="2"/>
    <s v="Ofaveolata006465"/>
    <m/>
    <n v="-1.5839848999999999"/>
    <n v="-1.6696518"/>
    <s v="Direct"/>
    <s v="acyl carnitine transmembrane transport"/>
  </r>
  <r>
    <x v="0"/>
    <x v="2"/>
    <s v="Ofaveolata006471"/>
    <m/>
    <n v="1.93228117"/>
    <n v="1.0607764399999999"/>
    <s v="Direct"/>
    <s v="calcium-independent protein kinase C activity"/>
  </r>
  <r>
    <x v="0"/>
    <x v="2"/>
    <s v="Ofaveolata006473"/>
    <m/>
    <n v="-4.5328926000000003"/>
    <n v="-4.7530767000000003"/>
    <s v="Direct"/>
    <s v="spliceosomal snRNP assembly"/>
  </r>
  <r>
    <x v="0"/>
    <x v="2"/>
    <s v="Ofaveolata006506"/>
    <m/>
    <n v="2.2332836999999999"/>
    <n v="1.76207026"/>
    <s v="Direct"/>
    <s v="NA"/>
  </r>
  <r>
    <x v="0"/>
    <x v="2"/>
    <s v="Ofaveolata006518"/>
    <m/>
    <n v="-3.5490487000000002"/>
    <n v="-3.7720853000000001"/>
    <s v="Direct"/>
    <s v="Belongs to the eukaryotic ribosomal protein eS30 family"/>
  </r>
  <r>
    <x v="0"/>
    <x v="2"/>
    <s v="Ofaveolata006525"/>
    <m/>
    <n v="-3.3597785"/>
    <n v="-2.0840926"/>
    <s v="Direct"/>
    <s v="acid phosphatase activity"/>
  </r>
  <r>
    <x v="0"/>
    <x v="2"/>
    <s v="Ofaveolata006526"/>
    <m/>
    <n v="-1.7825088"/>
    <n v="-1.0957642999999999"/>
    <s v="Direct"/>
    <s v="cleavage involved in rRNA processing"/>
  </r>
  <r>
    <x v="0"/>
    <x v="2"/>
    <s v="Ofaveolata006539"/>
    <m/>
    <n v="3.8278919"/>
    <n v="3.0273173999999998"/>
    <s v="Direct"/>
    <s v="calcium-dependent cysteine-type endopeptidase activity"/>
  </r>
  <r>
    <x v="0"/>
    <x v="2"/>
    <s v="Ofaveolata006540"/>
    <m/>
    <n v="-2.2016865999999999"/>
    <n v="-2.2603339999999998"/>
    <s v="Direct"/>
    <s v="RNA splicing, via transesterification reactions with bulged adenosine as nucleophile"/>
  </r>
  <r>
    <x v="0"/>
    <x v="2"/>
    <s v="Ofaveolata006564"/>
    <m/>
    <n v="-1.2033634"/>
    <n v="-2.3330777999999999"/>
    <s v="Direct"/>
    <s v="G-protein coupled receptor activity"/>
  </r>
  <r>
    <x v="0"/>
    <x v="2"/>
    <s v="Ofaveolata006566"/>
    <m/>
    <n v="-1.8144252000000001"/>
    <n v="-5.0524354999999996"/>
    <s v="Direct"/>
    <s v="barrier to autointegration factor 1"/>
  </r>
  <r>
    <x v="0"/>
    <x v="2"/>
    <s v="Ofaveolata006576"/>
    <m/>
    <n v="-8.6966529000000001"/>
    <n v="-4.805294"/>
    <s v="Direct"/>
    <s v="response to corticosterone"/>
  </r>
  <r>
    <x v="0"/>
    <x v="2"/>
    <s v="Ofaveolata006607"/>
    <m/>
    <n v="-43.719456999999998"/>
    <n v="-39.369808999999997"/>
    <s v="Direct"/>
    <s v="Acid trehalase-like"/>
  </r>
  <r>
    <x v="0"/>
    <x v="2"/>
    <s v="Ofaveolata006678"/>
    <m/>
    <n v="1.3935271899999999"/>
    <n v="1.29183622"/>
    <s v="Direct"/>
    <s v="Ankyrin repeat and SOCS"/>
  </r>
  <r>
    <x v="0"/>
    <x v="2"/>
    <s v="Ofaveolata006691"/>
    <m/>
    <n v="-2.4303267000000002"/>
    <n v="-1.8079599"/>
    <s v="Direct"/>
    <s v="rRNA (uridine-2'-O-)-methyltransferase activity"/>
  </r>
  <r>
    <x v="0"/>
    <x v="2"/>
    <s v="Ofaveolata006693"/>
    <m/>
    <n v="-3.3581793000000002"/>
    <n v="-3.7249555999999999"/>
    <s v="Direct"/>
    <s v="ubiquitin"/>
  </r>
  <r>
    <x v="0"/>
    <x v="2"/>
    <s v="Ofaveolata006694"/>
    <m/>
    <n v="-1.5824590999999999"/>
    <n v="-3.2079338000000002"/>
    <s v="Direct"/>
    <s v="actin binding"/>
  </r>
  <r>
    <x v="0"/>
    <x v="2"/>
    <s v="Ofaveolata006741"/>
    <m/>
    <n v="-1.1666449999999999"/>
    <n v="-1.6409815000000001"/>
    <s v="Direct"/>
    <s v="NA"/>
  </r>
  <r>
    <x v="0"/>
    <x v="2"/>
    <s v="Ofaveolata006745"/>
    <m/>
    <n v="-1.9542018000000001"/>
    <n v="-1.6679908999999999"/>
    <s v="Direct"/>
    <s v="NA"/>
  </r>
  <r>
    <x v="0"/>
    <x v="2"/>
    <s v="Ofaveolata006807"/>
    <m/>
    <n v="1.06726342"/>
    <n v="1.1093362499999999"/>
    <s v="Direct"/>
    <s v="NA"/>
  </r>
  <r>
    <x v="0"/>
    <x v="2"/>
    <s v="Ofaveolata006828"/>
    <m/>
    <n v="-1.1793951"/>
    <n v="-1.2602541"/>
    <s v="Direct"/>
    <s v="NA"/>
  </r>
  <r>
    <x v="0"/>
    <x v="2"/>
    <s v="Ofaveolata006897"/>
    <m/>
    <n v="-1.3350090999999999"/>
    <n v="-1.9667110000000001"/>
    <s v="Direct"/>
    <s v="NA"/>
  </r>
  <r>
    <x v="0"/>
    <x v="2"/>
    <s v="Ofaveolata006910"/>
    <m/>
    <n v="-13.336264"/>
    <n v="-13.537568"/>
    <s v="Direct"/>
    <s v="NA"/>
  </r>
  <r>
    <x v="0"/>
    <x v="2"/>
    <s v="Ofaveolata006978"/>
    <m/>
    <n v="6.7071046499999998"/>
    <n v="5.5157655400000003"/>
    <s v="Direct"/>
    <s v="NA"/>
  </r>
  <r>
    <x v="0"/>
    <x v="2"/>
    <s v="Ofaveolata006980"/>
    <m/>
    <n v="-2.2467538"/>
    <n v="-1.9723889999999999"/>
    <s v="Direct"/>
    <s v="It is involved in the biological process described with protein catabolic process"/>
  </r>
  <r>
    <x v="0"/>
    <x v="2"/>
    <s v="Ofaveolata007023"/>
    <m/>
    <n v="-5.1880343"/>
    <n v="-3.1976738999999998"/>
    <s v="Direct"/>
    <s v="acid phosphatase activity"/>
  </r>
  <r>
    <x v="0"/>
    <x v="2"/>
    <s v="Ofaveolata007024"/>
    <m/>
    <n v="-1.4636191000000001"/>
    <n v="-3.4011171"/>
    <s v="Direct"/>
    <s v="acid phosphatase activity"/>
  </r>
  <r>
    <x v="0"/>
    <x v="2"/>
    <s v="Ofaveolata007026"/>
    <m/>
    <n v="-2.6497674"/>
    <n v="-4.4367001000000004"/>
    <s v="Direct"/>
    <s v="acid phosphatase activity"/>
  </r>
  <r>
    <x v="0"/>
    <x v="2"/>
    <s v="Ofaveolata007062"/>
    <m/>
    <n v="-1.0658957"/>
    <n v="-1.0058069000000001"/>
    <s v="Direct"/>
    <s v="Pentafunctional AROM polypeptide-like"/>
  </r>
  <r>
    <x v="0"/>
    <x v="2"/>
    <s v="Ofaveolata007066"/>
    <m/>
    <n v="1.7007342599999999"/>
    <n v="3.15131513"/>
    <s v="Direct"/>
    <s v="E3 ubiquitin-protein ligase RNF216"/>
  </r>
  <r>
    <x v="0"/>
    <x v="2"/>
    <s v="Ofaveolata007094"/>
    <m/>
    <n v="-3.4682824000000001"/>
    <n v="-2.2956658999999999"/>
    <s v="Direct"/>
    <s v="regulation of mitotic cell cycle"/>
  </r>
  <r>
    <x v="0"/>
    <x v="2"/>
    <s v="Ofaveolata007104"/>
    <m/>
    <n v="-2.2291856000000001"/>
    <n v="-3.7445648"/>
    <s v="Direct"/>
    <s v="dynactin binding"/>
  </r>
  <r>
    <x v="0"/>
    <x v="2"/>
    <s v="Ofaveolata007107"/>
    <m/>
    <n v="-1.0344316"/>
    <n v="-1.3360692000000001"/>
    <s v="Direct"/>
    <s v="GTP binding"/>
  </r>
  <r>
    <x v="0"/>
    <x v="2"/>
    <s v="Ofaveolata007138"/>
    <m/>
    <n v="-1.5690211999999999"/>
    <n v="-1.7248357999999999"/>
    <s v="Direct"/>
    <s v="mRNA 5'-splice site recognition"/>
  </r>
  <r>
    <x v="0"/>
    <x v="2"/>
    <s v="Ofaveolata007166"/>
    <m/>
    <n v="2.7458296799999999"/>
    <n v="2.8598778999999999"/>
    <s v="Direct"/>
    <s v="Adhesion-associated domain present in MUC4 and other proteins"/>
  </r>
  <r>
    <x v="0"/>
    <x v="2"/>
    <s v="Ofaveolata007200"/>
    <m/>
    <n v="-1.6617082000000001"/>
    <n v="-2.8279782"/>
    <s v="Direct"/>
    <s v="Papain family cysteine protease"/>
  </r>
  <r>
    <x v="0"/>
    <x v="2"/>
    <s v="Ofaveolata007210"/>
    <m/>
    <n v="-3.5321543000000002"/>
    <n v="-5.0880841999999999"/>
    <s v="Direct"/>
    <s v="Putative zinc finger in N-recognin (UBR box)"/>
  </r>
  <r>
    <x v="0"/>
    <x v="2"/>
    <s v="Ofaveolata007221"/>
    <m/>
    <n v="-2.0784810999999999"/>
    <n v="-2.0693508"/>
    <s v="Direct"/>
    <s v="NA"/>
  </r>
  <r>
    <x v="0"/>
    <x v="2"/>
    <s v="Ofaveolata007232"/>
    <m/>
    <n v="-1.5027484"/>
    <n v="-2.0625144999999998"/>
    <s v="Direct"/>
    <s v="DR1-associated protein 1 (negative cofactor 2 alpha)"/>
  </r>
  <r>
    <x v="0"/>
    <x v="2"/>
    <s v="Ofaveolata007240"/>
    <m/>
    <n v="2.36239658"/>
    <n v="1.9465352199999999"/>
    <s v="Direct"/>
    <s v="NA"/>
  </r>
  <r>
    <x v="0"/>
    <x v="2"/>
    <s v="Ofaveolata007273"/>
    <m/>
    <n v="-1.8611613"/>
    <n v="-2.5570791000000002"/>
    <s v="Direct"/>
    <s v="NA"/>
  </r>
  <r>
    <x v="0"/>
    <x v="2"/>
    <s v="Ofaveolata007289"/>
    <m/>
    <n v="-1.1763162"/>
    <n v="-1.4123272"/>
    <s v="Direct"/>
    <s v="NA"/>
  </r>
  <r>
    <x v="0"/>
    <x v="2"/>
    <s v="Ofaveolata007299"/>
    <m/>
    <n v="-1.3617710000000001"/>
    <n v="-2.1744002"/>
    <s v="Direct"/>
    <s v="NA"/>
  </r>
  <r>
    <x v="0"/>
    <x v="2"/>
    <s v="Ofaveolata007303"/>
    <m/>
    <n v="-1.5565659999999999"/>
    <n v="-1.782079"/>
    <s v="Direct"/>
    <s v="Bifunctional enzyme that catalyzes the enolization of 2,3-diketo-5-methylthiopentyl-1-phosphate (DK-MTP-1-P) into the intermediate 2-hydroxy-3-keto-5-methylthiopentenyl-1-phosphate (HK-MTPenyl-1-P), which is then dephosphorylated to form the acireductone "/>
  </r>
  <r>
    <x v="0"/>
    <x v="2"/>
    <s v="Ofaveolata007348"/>
    <m/>
    <n v="1.3530833499999999"/>
    <n v="1.5999363"/>
    <s v="Direct"/>
    <s v="NA"/>
  </r>
  <r>
    <x v="0"/>
    <x v="2"/>
    <s v="Ofaveolata007382"/>
    <m/>
    <n v="3.0605920200000001"/>
    <n v="2.33367272"/>
    <s v="Direct"/>
    <s v="NA"/>
  </r>
  <r>
    <x v="0"/>
    <x v="2"/>
    <s v="Ofaveolata007418"/>
    <m/>
    <n v="-1.8025948000000001"/>
    <n v="-3.2206394999999999"/>
    <s v="Direct"/>
    <s v="translation"/>
  </r>
  <r>
    <x v="0"/>
    <x v="2"/>
    <s v="Ofaveolata007437"/>
    <m/>
    <n v="15.966555700000001"/>
    <n v="13.5590796"/>
    <s v="Direct"/>
    <s v="acetyl-CoA metabolic process"/>
  </r>
  <r>
    <x v="0"/>
    <x v="2"/>
    <s v="Ofaveolata007439"/>
    <m/>
    <n v="2.2214629299999999"/>
    <n v="3.3995915600000002"/>
    <s v="Direct"/>
    <s v="Domain Homologous to E6-AP Carboxyl Terminus with"/>
  </r>
  <r>
    <x v="0"/>
    <x v="2"/>
    <s v="Ofaveolata007460"/>
    <m/>
    <n v="-1.3415815"/>
    <n v="-1.594708"/>
    <s v="Direct"/>
    <s v="NA"/>
  </r>
  <r>
    <x v="0"/>
    <x v="2"/>
    <s v="Ofaveolata007462"/>
    <m/>
    <n v="1.6628804500000001"/>
    <n v="3.0653718200000002"/>
    <s v="Direct"/>
    <s v="NA"/>
  </r>
  <r>
    <x v="0"/>
    <x v="2"/>
    <s v="Ofaveolata007463"/>
    <m/>
    <n v="-1.7530815"/>
    <n v="-1.1806235"/>
    <s v="Direct"/>
    <s v="NA"/>
  </r>
  <r>
    <x v="0"/>
    <x v="2"/>
    <s v="Ofaveolata007471"/>
    <m/>
    <n v="3.5462875899999999"/>
    <n v="2.4155219899999998"/>
    <s v="Direct"/>
    <s v="structural constituent of eye lens"/>
  </r>
  <r>
    <x v="0"/>
    <x v="2"/>
    <s v="Ofaveolata007484"/>
    <m/>
    <n v="2.2738345199999999"/>
    <n v="2.1201713"/>
    <s v="Direct"/>
    <s v="intracellular chloride channel activity"/>
  </r>
  <r>
    <x v="0"/>
    <x v="2"/>
    <s v="Ofaveolata007485"/>
    <m/>
    <n v="-1.3252636"/>
    <n v="-1.0942483000000001"/>
    <s v="Direct"/>
    <s v="steroid hormone receptor activity"/>
  </r>
  <r>
    <x v="0"/>
    <x v="2"/>
    <s v="Ofaveolata007491"/>
    <m/>
    <n v="4.0751868699999996"/>
    <n v="4.3257192099999999"/>
    <s v="Direct"/>
    <s v="hydrolase activity, acting on ester bonds"/>
  </r>
  <r>
    <x v="0"/>
    <x v="2"/>
    <s v="Ofaveolata007495"/>
    <m/>
    <n v="10.1016011"/>
    <n v="8.4705137300000004"/>
    <s v="Direct"/>
    <s v="Belongs to the small heat shock protein (HSP20) family"/>
  </r>
  <r>
    <x v="0"/>
    <x v="2"/>
    <s v="Ofaveolata007501"/>
    <m/>
    <n v="-2.0871453999999998"/>
    <n v="-1.6442577"/>
    <s v="Direct"/>
    <s v="calmodulin-dependent protein kinase activity"/>
  </r>
  <r>
    <x v="0"/>
    <x v="2"/>
    <s v="Ofaveolata007532"/>
    <m/>
    <n v="-4.3985630999999996"/>
    <n v="-3.9564981000000001"/>
    <s v="Direct"/>
    <s v="Belongs to the peptidase M10A family"/>
  </r>
  <r>
    <x v="0"/>
    <x v="2"/>
    <s v="Ofaveolata007542"/>
    <m/>
    <n v="-7.2937557999999996"/>
    <n v="-7.120177"/>
    <s v="Direct"/>
    <s v="Belongs to the peptidase M10A family"/>
  </r>
  <r>
    <x v="0"/>
    <x v="2"/>
    <s v="Ofaveolata007545"/>
    <m/>
    <n v="1.84475148"/>
    <n v="1.9465352199999999"/>
    <s v="Direct"/>
    <s v="tyrosinase"/>
  </r>
  <r>
    <x v="0"/>
    <x v="2"/>
    <s v="Ofaveolata007592"/>
    <m/>
    <n v="-3.6749081000000001"/>
    <n v="-2.9541648999999999"/>
    <s v="Direct"/>
    <s v="Thiolase, C-terminal domain"/>
  </r>
  <r>
    <x v="0"/>
    <x v="2"/>
    <s v="Ofaveolata007615"/>
    <m/>
    <n v="-1.7861967999999999"/>
    <n v="-2.1273521999999998"/>
    <s v="Direct"/>
    <s v="NA"/>
  </r>
  <r>
    <x v="0"/>
    <x v="2"/>
    <s v="Ofaveolata007621"/>
    <m/>
    <n v="-1.0460961"/>
    <n v="-1.0718658000000001"/>
    <s v="Direct"/>
    <s v="mesenchymal-epithelial cell signaling involved in prostate gland development"/>
  </r>
  <r>
    <x v="0"/>
    <x v="2"/>
    <s v="Ofaveolata007679"/>
    <m/>
    <n v="-4.3196168999999998"/>
    <n v="-3.5452305000000002"/>
    <s v="Direct"/>
    <s v="mRNA CDS binding"/>
  </r>
  <r>
    <x v="0"/>
    <x v="2"/>
    <s v="Ofaveolata007725"/>
    <m/>
    <n v="8.4111269199999992"/>
    <n v="8.7532170300000001"/>
    <s v="Direct"/>
    <s v="polycystic kidney disease protein 1-like"/>
  </r>
  <r>
    <x v="0"/>
    <x v="2"/>
    <s v="Ofaveolata007753"/>
    <m/>
    <n v="-2.8697157999999998"/>
    <n v="-3.8233546999999999"/>
    <s v="Direct"/>
    <s v="Spondin 2b, extracellular matrix protein"/>
  </r>
  <r>
    <x v="0"/>
    <x v="2"/>
    <s v="Ofaveolata007756"/>
    <m/>
    <n v="-1.3299922"/>
    <n v="-2.4836554999999998"/>
    <s v="Direct"/>
    <s v="intracellular cholesterol transport"/>
  </r>
  <r>
    <x v="0"/>
    <x v="2"/>
    <s v="Ofaveolata007767"/>
    <m/>
    <n v="1.3620446399999999"/>
    <n v="1.6337493599999999"/>
    <s v="Direct"/>
    <s v="unfolded protein binding"/>
  </r>
  <r>
    <x v="0"/>
    <x v="2"/>
    <s v="Ofaveolata007769"/>
    <m/>
    <n v="1.42446384"/>
    <n v="1.60896218"/>
    <s v="Direct"/>
    <s v="protein ADP-ribosylase activity"/>
  </r>
  <r>
    <x v="0"/>
    <x v="2"/>
    <s v="Ofaveolata007773"/>
    <m/>
    <n v="-4.0316163999999999"/>
    <n v="-3.2132179999999999"/>
    <s v="Direct"/>
    <s v="NA"/>
  </r>
  <r>
    <x v="0"/>
    <x v="2"/>
    <s v="Ofaveolata007785"/>
    <m/>
    <n v="-1.7938210999999999"/>
    <n v="-2.1537503999999998"/>
    <s v="Direct"/>
    <s v="acyl-CoA oxidase activity"/>
  </r>
  <r>
    <x v="0"/>
    <x v="2"/>
    <s v="Ofaveolata007786"/>
    <m/>
    <n v="-4.5255872000000004"/>
    <n v="-3.7445648"/>
    <s v="Direct"/>
    <s v="acyl-CoA oxidase activity"/>
  </r>
  <r>
    <x v="0"/>
    <x v="2"/>
    <s v="Ofaveolata007829"/>
    <m/>
    <n v="-1.3979553"/>
    <n v="-1.5695467000000001"/>
    <s v="Direct"/>
    <s v="NA"/>
  </r>
  <r>
    <x v="0"/>
    <x v="2"/>
    <s v="Ofaveolata007841"/>
    <m/>
    <n v="-1.0993333999999999"/>
    <n v="-1.1082789"/>
    <s v="Direct"/>
    <s v="proteasome assembly"/>
  </r>
  <r>
    <x v="0"/>
    <x v="2"/>
    <s v="Ofaveolata007848"/>
    <m/>
    <n v="2.2118431799999998"/>
    <n v="3.03095011"/>
    <s v="Direct"/>
    <s v="stress-induced-phosphoprotein 1"/>
  </r>
  <r>
    <x v="0"/>
    <x v="2"/>
    <s v="Ofaveolata007849"/>
    <m/>
    <n v="-1.6450616"/>
    <n v="-1.3430244"/>
    <s v="Direct"/>
    <s v="positive regulation of epithelial to mesenchymal transition"/>
  </r>
  <r>
    <x v="0"/>
    <x v="2"/>
    <s v="Ofaveolata007865"/>
    <m/>
    <n v="-1.4778732999999999"/>
    <n v="-1.0077459"/>
    <s v="Direct"/>
    <s v="NA"/>
  </r>
  <r>
    <x v="0"/>
    <x v="2"/>
    <s v="Ofaveolata007873"/>
    <m/>
    <n v="-4.6745261999999999"/>
    <n v="-1.7620703"/>
    <s v="Direct"/>
    <s v="NA"/>
  </r>
  <r>
    <x v="0"/>
    <x v="2"/>
    <s v="Ofaveolata007890"/>
    <m/>
    <n v="-1.5839848999999999"/>
    <n v="-1.8674394999999999"/>
    <s v="Direct"/>
    <s v="NA"/>
  </r>
  <r>
    <x v="0"/>
    <x v="2"/>
    <s v="Ofaveolata007895"/>
    <m/>
    <n v="1.60662536"/>
    <n v="1.1422459199999999"/>
    <s v="Direct"/>
    <s v="NA"/>
  </r>
  <r>
    <x v="0"/>
    <x v="2"/>
    <s v="Ofaveolata007905"/>
    <m/>
    <n v="1.3113728"/>
    <n v="1.5058158500000001"/>
    <s v="Direct"/>
    <s v="arginase activity"/>
  </r>
  <r>
    <x v="0"/>
    <x v="2"/>
    <s v="Ofaveolata007927"/>
    <m/>
    <n v="-3.5753881999999999"/>
    <n v="-2.990529"/>
    <s v="Direct"/>
    <s v="asparaginase activity"/>
  </r>
  <r>
    <x v="0"/>
    <x v="2"/>
    <s v="Ofaveolata007939"/>
    <m/>
    <n v="1.1906976600000001"/>
    <n v="1.3328892400000001"/>
    <s v="Direct"/>
    <s v="serine C-palmitoyltransferase activity"/>
  </r>
  <r>
    <x v="0"/>
    <x v="2"/>
    <s v="Ofaveolata007940"/>
    <m/>
    <n v="-2.7527248000000002"/>
    <n v="-1.6037656"/>
    <s v="Direct"/>
    <s v="Globin"/>
  </r>
  <r>
    <x v="0"/>
    <x v="2"/>
    <s v="Ofaveolata007941"/>
    <m/>
    <n v="-2.3570940999999999"/>
    <n v="-1.8242491999999999"/>
    <s v="Direct"/>
    <s v="NA"/>
  </r>
  <r>
    <x v="0"/>
    <x v="2"/>
    <s v="Ofaveolata007952"/>
    <m/>
    <n v="-1.8648393999999999"/>
    <n v="-1.2837067"/>
    <s v="Direct"/>
    <s v="Cell growth regulator with RING finger domain"/>
  </r>
  <r>
    <x v="0"/>
    <x v="2"/>
    <s v="Ofaveolata007956"/>
    <m/>
    <n v="-2.7984740000000001"/>
    <n v="-1.8517576"/>
    <s v="Direct"/>
    <s v="E3 ubiquitin-protein ligase synoviolin"/>
  </r>
  <r>
    <x v="0"/>
    <x v="2"/>
    <s v="Ofaveolata007957"/>
    <m/>
    <n v="-3.6759431"/>
    <n v="-1.5224187"/>
    <s v="Direct"/>
    <s v="serum response element binding"/>
  </r>
  <r>
    <x v="0"/>
    <x v="2"/>
    <s v="Ofaveolata007989"/>
    <m/>
    <n v="-3.4410810000000001"/>
    <n v="-3.9434942999999998"/>
    <s v="Direct"/>
    <s v="subunit of the gamma-secretase complex, an endoprotease complex that catalyzes the intramembrane cleavage of integral membrane proteins such as Notch receptors"/>
  </r>
  <r>
    <x v="0"/>
    <x v="2"/>
    <s v="Ofaveolata008015"/>
    <m/>
    <n v="-4.3961722999999999"/>
    <n v="-3.8229120000000001"/>
    <s v="Direct"/>
    <s v="regulation of T cell differentiation in thymus"/>
  </r>
  <r>
    <x v="0"/>
    <x v="2"/>
    <s v="Ofaveolata008026"/>
    <m/>
    <n v="3.6179826199999998"/>
    <n v="3.0684533900000002"/>
    <s v="Direct"/>
    <s v="inhibitory protein 1"/>
  </r>
  <r>
    <x v="0"/>
    <x v="2"/>
    <s v="Ofaveolata008031"/>
    <m/>
    <n v="-2.5206974"/>
    <n v="-2.4989994000000002"/>
    <s v="Direct"/>
    <s v="ribonuclease T2 activity"/>
  </r>
  <r>
    <x v="0"/>
    <x v="2"/>
    <s v="Ofaveolata008045"/>
    <m/>
    <n v="2.69429623"/>
    <n v="1.6875408700000001"/>
    <s v="Direct"/>
    <s v="NA"/>
  </r>
  <r>
    <x v="0"/>
    <x v="2"/>
    <s v="Ofaveolata008051"/>
    <m/>
    <n v="2.5221043600000002"/>
    <n v="3.9752328299999999"/>
    <s v="Direct"/>
    <s v="TAF6-like RNA polymerase II, p300 CBP-associated"/>
  </r>
  <r>
    <x v="0"/>
    <x v="2"/>
    <s v="Ofaveolata008052"/>
    <m/>
    <n v="4.4668769399999997"/>
    <n v="2.6753609699999998"/>
    <s v="Direct"/>
    <s v="pyruvate carboxylase activity"/>
  </r>
  <r>
    <x v="0"/>
    <x v="2"/>
    <s v="Ofaveolata008088"/>
    <m/>
    <n v="-1.7079755999999999"/>
    <n v="-1.6696518"/>
    <s v="Direct"/>
    <s v="methylated histone binding"/>
  </r>
  <r>
    <x v="0"/>
    <x v="2"/>
    <s v="Ofaveolata008090"/>
    <m/>
    <n v="-1.0289741999999999"/>
    <n v="-1.7143113999999999"/>
    <s v="Direct"/>
    <s v="NA"/>
  </r>
  <r>
    <x v="0"/>
    <x v="2"/>
    <s v="Ofaveolata008101"/>
    <m/>
    <n v="-3.6739025999999999"/>
    <n v="-4.0575580999999996"/>
    <s v="Direct"/>
    <s v="threonine-type endopeptidase activity"/>
  </r>
  <r>
    <x v="0"/>
    <x v="2"/>
    <s v="Ofaveolata008102"/>
    <m/>
    <n v="-7.0301597999999998"/>
    <n v="-10.076893999999999"/>
    <s v="Direct"/>
    <s v="NA"/>
  </r>
  <r>
    <x v="0"/>
    <x v="2"/>
    <s v="Ofaveolata008115"/>
    <m/>
    <n v="-4.4065833999999997"/>
    <n v="-4.0042317000000001"/>
    <s v="Direct"/>
    <s v="prolyl-tRNA synthetase associated domain-containing protein"/>
  </r>
  <r>
    <x v="0"/>
    <x v="2"/>
    <s v="Ofaveolata008116"/>
    <m/>
    <n v="-5.1827011000000001"/>
    <n v="-2.6946150000000002"/>
    <s v="Direct"/>
    <s v="Initiation factor"/>
  </r>
  <r>
    <x v="0"/>
    <x v="2"/>
    <s v="Ofaveolata008149"/>
    <m/>
    <n v="-3.6708118999999999"/>
    <n v="-5.6995142000000003"/>
    <s v="Direct"/>
    <s v="NA"/>
  </r>
  <r>
    <x v="0"/>
    <x v="2"/>
    <s v="Ofaveolata008179"/>
    <m/>
    <n v="2.7154288700000002"/>
    <n v="2.1634651800000002"/>
    <s v="Direct"/>
    <s v="NA"/>
  </r>
  <r>
    <x v="0"/>
    <x v="2"/>
    <s v="Ofaveolata008204"/>
    <m/>
    <n v="5.9763494000000001"/>
    <n v="3.86083211"/>
    <s v="Direct"/>
    <s v="acireductone dioxygenase [iron(II)-requiring] activity"/>
  </r>
  <r>
    <x v="0"/>
    <x v="2"/>
    <s v="Ofaveolata008207"/>
    <m/>
    <n v="-5.8582299000000004"/>
    <n v="-5.9332415999999997"/>
    <s v="Direct"/>
    <s v="FMN binding"/>
  </r>
  <r>
    <x v="0"/>
    <x v="2"/>
    <s v="Ofaveolata008234"/>
    <m/>
    <n v="-1.9285051"/>
    <n v="-1.0546051000000001"/>
    <s v="Direct"/>
    <s v="Ras-related GTP-binding protein"/>
  </r>
  <r>
    <x v="0"/>
    <x v="2"/>
    <s v="Ofaveolata008257"/>
    <m/>
    <n v="-6.5050938"/>
    <n v="-4.8122166999999996"/>
    <s v="Direct"/>
    <s v="NA"/>
  </r>
  <r>
    <x v="0"/>
    <x v="2"/>
    <s v="Ofaveolata008266"/>
    <m/>
    <n v="-2.7222618999999999"/>
    <n v="-1.4862157"/>
    <s v="Direct"/>
    <s v="NA"/>
  </r>
  <r>
    <x v="0"/>
    <x v="2"/>
    <s v="Ofaveolata008267"/>
    <m/>
    <n v="-4.1739416"/>
    <n v="-1.9324325"/>
    <s v="Direct"/>
    <s v="peroxidase activity"/>
  </r>
  <r>
    <x v="0"/>
    <x v="2"/>
    <s v="Ofaveolata008270"/>
    <m/>
    <n v="-1.9934269"/>
    <n v="-1.3872310999999999"/>
    <s v="Direct"/>
    <s v="peroxidase activity"/>
  </r>
  <r>
    <x v="0"/>
    <x v="2"/>
    <s v="Ofaveolata008331"/>
    <m/>
    <n v="1.9941911299999999"/>
    <n v="1.6059918799999999"/>
    <s v="Direct"/>
    <s v="Structural maintenance of chromosomes flexible hinge"/>
  </r>
  <r>
    <x v="0"/>
    <x v="2"/>
    <s v="Ofaveolata008332"/>
    <m/>
    <n v="1.3129996399999999"/>
    <n v="1.56012784"/>
    <s v="Direct"/>
    <s v="NA"/>
  </r>
  <r>
    <x v="0"/>
    <x v="2"/>
    <s v="Ofaveolata008341"/>
    <m/>
    <n v="-4.6892272999999998"/>
    <n v="-4.2775762999999998"/>
    <s v="Direct"/>
    <s v="Belongs to the universal ribosomal protein uL5 family"/>
  </r>
  <r>
    <x v="0"/>
    <x v="2"/>
    <s v="Ofaveolata008349"/>
    <m/>
    <n v="-3.1863990000000002"/>
    <n v="-1.3661818999999999"/>
    <s v="Direct"/>
    <s v="ubiquitin-protein transferase activity"/>
  </r>
  <r>
    <x v="0"/>
    <x v="2"/>
    <s v="Ofaveolata008350"/>
    <m/>
    <n v="9.7993055600000005"/>
    <n v="7.7739355999999997"/>
    <s v="Direct"/>
    <s v="Dual specificity protein kinase"/>
  </r>
  <r>
    <x v="0"/>
    <x v="2"/>
    <s v="Ofaveolata008351"/>
    <m/>
    <n v="1.1318987599999999"/>
    <n v="1.01378517"/>
    <s v="Direct"/>
    <s v="39S ribosomal protein L53/MRP-L53"/>
  </r>
  <r>
    <x v="0"/>
    <x v="2"/>
    <s v="Ofaveolata008370"/>
    <m/>
    <n v="-2.8763497999999998"/>
    <n v="-2.1090189000000001"/>
    <s v="Direct"/>
    <s v="NA"/>
  </r>
  <r>
    <x v="0"/>
    <x v="2"/>
    <s v="Ofaveolata008394"/>
    <m/>
    <n v="-23.779128"/>
    <n v="-18.395230000000002"/>
    <s v="Direct"/>
    <s v="peptidyl-prolyl cis-trans isomerase activity"/>
  </r>
  <r>
    <x v="0"/>
    <x v="2"/>
    <s v="Ofaveolata008416"/>
    <m/>
    <n v="2.6907055"/>
    <n v="3.6687599799999999"/>
    <s v="Direct"/>
    <s v="Enoyl-CoA hydratase/isomerase"/>
  </r>
  <r>
    <x v="0"/>
    <x v="2"/>
    <s v="Ofaveolata008417"/>
    <m/>
    <n v="1.15477009"/>
    <n v="1.03505764"/>
    <s v="Direct"/>
    <s v="occurring C-terminal to leucine-rich repeats"/>
  </r>
  <r>
    <x v="0"/>
    <x v="2"/>
    <s v="Ofaveolata008431"/>
    <m/>
    <n v="-1.2641017999999999"/>
    <n v="-1.5441254"/>
    <s v="Direct"/>
    <s v="transcription by RNA polymerase I"/>
  </r>
  <r>
    <x v="0"/>
    <x v="2"/>
    <s v="Ofaveolata008437"/>
    <m/>
    <n v="-6.6273445999999998"/>
    <n v="-4.3806871999999997"/>
    <s v="Direct"/>
    <s v="symporter activity"/>
  </r>
  <r>
    <x v="0"/>
    <x v="2"/>
    <s v="Ofaveolata008459"/>
    <m/>
    <n v="1.38573379"/>
    <n v="1.59200293"/>
    <s v="Direct"/>
    <s v="NA"/>
  </r>
  <r>
    <x v="0"/>
    <x v="2"/>
    <s v="Ofaveolata008471"/>
    <m/>
    <n v="2.70349073"/>
    <n v="1.82461396"/>
    <s v="Direct"/>
    <s v="Poly (ADP-ribose) polymerase"/>
  </r>
  <r>
    <x v="0"/>
    <x v="2"/>
    <s v="Ofaveolata008482"/>
    <m/>
    <n v="-1.224766"/>
    <n v="-3.7968267"/>
    <s v="Direct"/>
    <s v="positive regulation of interleukin-13 biosynthetic process"/>
  </r>
  <r>
    <x v="0"/>
    <x v="2"/>
    <s v="Ofaveolata008486"/>
    <m/>
    <n v="1.8571035600000001"/>
    <n v="1.8549899000000001"/>
    <s v="Direct"/>
    <s v="retrograde transport, endosome to plasma membrane"/>
  </r>
  <r>
    <x v="0"/>
    <x v="2"/>
    <s v="Ofaveolata008487"/>
    <m/>
    <n v="-1.7081753"/>
    <n v="-1.3127709000000001"/>
    <s v="Direct"/>
    <s v="NA"/>
  </r>
  <r>
    <x v="0"/>
    <x v="2"/>
    <s v="Ofaveolata008509"/>
    <m/>
    <n v="-7.5047553999999996"/>
    <n v="-5.1278819000000002"/>
    <s v="Direct"/>
    <s v="elongation of very long chain fatty acids protein"/>
  </r>
  <r>
    <x v="0"/>
    <x v="2"/>
    <s v="Ofaveolata008513"/>
    <m/>
    <n v="1.3305730200000001"/>
    <n v="2.0889318499999998"/>
    <s v="Direct"/>
    <s v="translocation of peptides or proteins into host cell cytoplasm"/>
  </r>
  <r>
    <x v="0"/>
    <x v="2"/>
    <s v="Ofaveolata008535"/>
    <m/>
    <n v="-2.5756937"/>
    <n v="-1.3266332000000001"/>
    <s v="Direct"/>
    <s v="NA"/>
  </r>
  <r>
    <x v="0"/>
    <x v="2"/>
    <s v="Ofaveolata008769"/>
    <m/>
    <n v="-2.8690804000000001"/>
    <n v="-2.1721336999999998"/>
    <s v="Direct"/>
    <s v="NA"/>
  </r>
  <r>
    <x v="0"/>
    <x v="2"/>
    <s v="Ofaveolata008780"/>
    <m/>
    <n v="-1.6147655000000001"/>
    <n v="-1.6074162000000001"/>
    <s v="Direct"/>
    <s v="translation elongation factor activity"/>
  </r>
  <r>
    <x v="0"/>
    <x v="2"/>
    <s v="Ofaveolata008781"/>
    <m/>
    <n v="1.8341219499999999"/>
    <n v="2.0280868000000001"/>
    <s v="Direct"/>
    <s v="AP-5 complex subunit sigma-1"/>
  </r>
  <r>
    <x v="0"/>
    <x v="2"/>
    <s v="Ofaveolata008792"/>
    <m/>
    <n v="2.1716455799999999"/>
    <n v="1.9465352199999999"/>
    <s v="Direct"/>
    <s v="NA"/>
  </r>
  <r>
    <x v="0"/>
    <x v="2"/>
    <s v="Ofaveolata008802"/>
    <m/>
    <n v="3.9270122700000001"/>
    <n v="4.8122166699999998"/>
    <s v="Direct"/>
    <s v="inorganic diphosphatase activity"/>
  </r>
  <r>
    <x v="0"/>
    <x v="2"/>
    <s v="Ofaveolata008828"/>
    <m/>
    <n v="-2.1542620000000001"/>
    <n v="-2.2209528999999999"/>
    <s v="Direct"/>
    <s v="structural constituent of ribosome"/>
  </r>
  <r>
    <x v="0"/>
    <x v="2"/>
    <s v="Ofaveolata008961"/>
    <m/>
    <n v="2.4856397499999998"/>
    <n v="2.3789088899999999"/>
    <s v="Direct"/>
    <s v="NA"/>
  </r>
  <r>
    <x v="0"/>
    <x v="2"/>
    <s v="Ofaveolata008980"/>
    <m/>
    <n v="5.0426985599999998"/>
    <n v="4.1797386899999998"/>
    <s v="Direct"/>
    <s v="positive regulation of interleukin-13 biosynthetic process"/>
  </r>
  <r>
    <x v="0"/>
    <x v="2"/>
    <s v="Ofaveolata008993"/>
    <m/>
    <n v="1.4717894"/>
    <n v="1.1549912"/>
    <s v="Direct"/>
    <s v="endoribonuclease activity"/>
  </r>
  <r>
    <x v="0"/>
    <x v="2"/>
    <s v="Ofaveolata009007"/>
    <m/>
    <n v="1.4326802199999999"/>
    <n v="1.64982377"/>
    <s v="Direct"/>
    <s v="smooth muscle cell chemotaxis"/>
  </r>
  <r>
    <x v="0"/>
    <x v="2"/>
    <s v="Ofaveolata009012"/>
    <m/>
    <n v="1.1716579300000001"/>
    <n v="1.3958370200000001"/>
    <s v="Direct"/>
    <s v="NA"/>
  </r>
  <r>
    <x v="0"/>
    <x v="2"/>
    <s v="Ofaveolata009031"/>
    <m/>
    <n v="4.3750886500000004"/>
    <n v="4.0059216500000003"/>
    <s v="Direct"/>
    <s v="endoplasmic reticulum-plasma membrane tethering"/>
  </r>
  <r>
    <x v="0"/>
    <x v="2"/>
    <s v="Ofaveolata009037"/>
    <m/>
    <n v="-2.3667357"/>
    <n v="-1.7345892000000001"/>
    <s v="Direct"/>
    <s v="Pleckstrin homology domain."/>
  </r>
  <r>
    <x v="0"/>
    <x v="2"/>
    <s v="Ofaveolata009043"/>
    <m/>
    <n v="-4.5119194"/>
    <n v="-2.7710477999999998"/>
    <s v="Direct"/>
    <s v="NA"/>
  </r>
  <r>
    <x v="0"/>
    <x v="2"/>
    <s v="Ofaveolata009049"/>
    <m/>
    <n v="-2.4463737000000001"/>
    <n v="-1.6798005"/>
    <s v="Direct"/>
    <s v="NA"/>
  </r>
  <r>
    <x v="0"/>
    <x v="2"/>
    <s v="Ofaveolata009082"/>
    <m/>
    <n v="-3.8175142000000002"/>
    <n v="-1.7663278"/>
    <s v="Direct"/>
    <s v="acetylcholine-gated cation-selective channel activity"/>
  </r>
  <r>
    <x v="0"/>
    <x v="2"/>
    <s v="Ofaveolata009112"/>
    <m/>
    <n v="-2.2727124999999999"/>
    <n v="-1.7525725000000001"/>
    <s v="Direct"/>
    <s v="protein tyrosine/serine/threonine phosphatase activity"/>
  </r>
  <r>
    <x v="0"/>
    <x v="2"/>
    <s v="Ofaveolata009166"/>
    <m/>
    <n v="1.54010453"/>
    <n v="2.1034209599999998"/>
    <s v="Direct"/>
    <s v="NA"/>
  </r>
  <r>
    <x v="0"/>
    <x v="2"/>
    <s v="Ofaveolata009174"/>
    <m/>
    <n v="2.4907797700000001"/>
    <n v="3.2565142599999999"/>
    <s v="Direct"/>
    <s v="NA"/>
  </r>
  <r>
    <x v="0"/>
    <x v="2"/>
    <s v="Ofaveolata009212"/>
    <m/>
    <n v="-1.0383366000000001"/>
    <n v="-1.4920679999999999"/>
    <s v="Direct"/>
    <s v="NA"/>
  </r>
  <r>
    <x v="0"/>
    <x v="2"/>
    <s v="Ofaveolata009234"/>
    <m/>
    <n v="-2.1953369"/>
    <n v="-3.5176460000000001"/>
    <s v="Direct"/>
    <s v="Wnt-activated receptor activity"/>
  </r>
  <r>
    <x v="0"/>
    <x v="2"/>
    <s v="Ofaveolata009240"/>
    <m/>
    <n v="-1.3316204"/>
    <n v="-2.3460011999999999"/>
    <s v="Direct"/>
    <s v="NA"/>
  </r>
  <r>
    <x v="0"/>
    <x v="2"/>
    <s v="Ofaveolata009242"/>
    <m/>
    <n v="-2.2983041000000002"/>
    <n v="-2.9008657000000002"/>
    <s v="Direct"/>
    <s v="mismatch repair"/>
  </r>
  <r>
    <x v="0"/>
    <x v="2"/>
    <s v="Ofaveolata009254"/>
    <m/>
    <n v="-1.3122558"/>
    <n v="-1.0493389"/>
    <s v="Direct"/>
    <s v="Mindbomb E3 ubiquitin protein ligase 2"/>
  </r>
  <r>
    <x v="0"/>
    <x v="2"/>
    <s v="Ofaveolata009257"/>
    <m/>
    <n v="-1.5207245"/>
    <n v="-1.0488978"/>
    <s v="Direct"/>
    <s v="Belongs to the glycosyltransferase 43 family"/>
  </r>
  <r>
    <x v="0"/>
    <x v="2"/>
    <s v="Ofaveolata009302"/>
    <m/>
    <n v="-9.5294445999999997"/>
    <n v="-5.9181343999999996"/>
    <s v="Direct"/>
    <s v="neurogenic locus notch homolog protein"/>
  </r>
  <r>
    <x v="0"/>
    <x v="2"/>
    <s v="Ofaveolata009309"/>
    <m/>
    <n v="-4.3886702"/>
    <n v="-3.7291169000000002"/>
    <s v="Direct"/>
    <s v="NA"/>
  </r>
  <r>
    <x v="0"/>
    <x v="2"/>
    <s v="Ofaveolata009324"/>
    <m/>
    <n v="-2.1860892000000001"/>
    <n v="-1.7125538"/>
    <s v="Direct"/>
    <s v="ribosome biogenesis"/>
  </r>
  <r>
    <x v="0"/>
    <x v="2"/>
    <s v="Ofaveolata009338"/>
    <m/>
    <n v="-2.9109821"/>
    <n v="-3.8425375000000002"/>
    <s v="Direct"/>
    <s v="NA"/>
  </r>
  <r>
    <x v="0"/>
    <x v="2"/>
    <s v="Ofaveolata009351"/>
    <m/>
    <n v="2.9640236099999999"/>
    <n v="1.82362026"/>
    <s v="Direct"/>
    <s v="NA"/>
  </r>
  <r>
    <x v="0"/>
    <x v="2"/>
    <s v="Ofaveolata009358"/>
    <m/>
    <n v="-1.4982829"/>
    <n v="-1.4425022000000001"/>
    <s v="Direct"/>
    <s v="Inositol polyphosphate multikinase"/>
  </r>
  <r>
    <x v="0"/>
    <x v="2"/>
    <s v="Ofaveolata009363"/>
    <m/>
    <n v="2.5994073800000002"/>
    <n v="2.71348141"/>
    <s v="Direct"/>
    <s v="NA"/>
  </r>
  <r>
    <x v="0"/>
    <x v="2"/>
    <s v="Ofaveolata009368"/>
    <m/>
    <n v="1.7702792300000001"/>
    <n v="1.1901716"/>
    <s v="Direct"/>
    <s v="NA"/>
  </r>
  <r>
    <x v="0"/>
    <x v="2"/>
    <s v="Ofaveolata009381"/>
    <m/>
    <n v="-1.7491616000000001"/>
    <n v="-1.1607495000000001"/>
    <s v="Direct"/>
    <s v="pumilio homolog"/>
  </r>
  <r>
    <x v="0"/>
    <x v="2"/>
    <s v="Ofaveolata009407"/>
    <m/>
    <n v="-3.6287216999999998"/>
    <n v="-3.8267601999999998"/>
    <s v="Direct"/>
    <s v="fibroblast growth factor-activated receptor activity"/>
  </r>
  <r>
    <x v="0"/>
    <x v="2"/>
    <s v="Ofaveolata009444"/>
    <m/>
    <n v="-1.6294019"/>
    <n v="-1.3137082"/>
    <s v="Direct"/>
    <s v="potassium:chloride symporter activity"/>
  </r>
  <r>
    <x v="0"/>
    <x v="2"/>
    <s v="Ofaveolata009578"/>
    <m/>
    <n v="3.4407019499999998"/>
    <n v="1.7215684600000001"/>
    <s v="Direct"/>
    <s v="NA"/>
  </r>
  <r>
    <x v="0"/>
    <x v="2"/>
    <s v="Ofaveolata009584"/>
    <m/>
    <n v="-1.8381154"/>
    <n v="-2.4603128999999999"/>
    <s v="Direct"/>
    <s v="NA"/>
  </r>
  <r>
    <x v="0"/>
    <x v="2"/>
    <s v="Ofaveolata009587"/>
    <m/>
    <n v="1.41581877"/>
    <n v="1.1527968099999999"/>
    <s v="Direct"/>
    <s v="NA"/>
  </r>
  <r>
    <x v="0"/>
    <x v="2"/>
    <s v="Ofaveolata009599"/>
    <m/>
    <n v="2.2519237099999998"/>
    <n v="2.2747872199999999"/>
    <s v="Direct"/>
    <s v="NA"/>
  </r>
  <r>
    <x v="0"/>
    <x v="2"/>
    <s v="Ofaveolata009607"/>
    <m/>
    <n v="-1.4961228"/>
    <n v="-1.8822901999999999"/>
    <s v="Direct"/>
    <s v="NA"/>
  </r>
  <r>
    <x v="0"/>
    <x v="2"/>
    <s v="Ofaveolata009701"/>
    <m/>
    <n v="-1.1820656"/>
    <n v="-3.1639889999999999"/>
    <s v="Direct"/>
    <s v="NA"/>
  </r>
  <r>
    <x v="0"/>
    <x v="2"/>
    <s v="Ofaveolata009708"/>
    <m/>
    <n v="-3.5353300999999999"/>
    <n v="-4.2501923000000001"/>
    <s v="Direct"/>
    <s v="deoxyhypusine monooxygenase activity"/>
  </r>
  <r>
    <x v="0"/>
    <x v="2"/>
    <s v="Ofaveolata009710"/>
    <m/>
    <n v="-2.0236744"/>
    <n v="-3.3683695999999999"/>
    <s v="Direct"/>
    <s v="NA"/>
  </r>
  <r>
    <x v="0"/>
    <x v="2"/>
    <s v="Ofaveolata009737"/>
    <m/>
    <n v="-5.1219345000000001"/>
    <n v="-1.2435436"/>
    <s v="Direct"/>
    <s v="NA"/>
  </r>
  <r>
    <x v="0"/>
    <x v="2"/>
    <s v="Ofaveolata009749"/>
    <m/>
    <n v="2.09305188"/>
    <n v="1.41831401"/>
    <s v="Direct"/>
    <s v="NA"/>
  </r>
  <r>
    <x v="0"/>
    <x v="2"/>
    <s v="Ofaveolata009761"/>
    <m/>
    <n v="-2.1542620000000001"/>
    <n v="-1.7115975000000001"/>
    <s v="Direct"/>
    <s v="Belongs to the MIP aquaporin (TC 1.A.8) family"/>
  </r>
  <r>
    <x v="0"/>
    <x v="2"/>
    <s v="Ofaveolata009778"/>
    <m/>
    <n v="-1.4939150999999999"/>
    <n v="-1.1653864"/>
    <s v="Direct"/>
    <s v="ribosomal protein"/>
  </r>
  <r>
    <x v="0"/>
    <x v="2"/>
    <s v="Ofaveolata009789"/>
    <m/>
    <n v="-1.0938658000000001"/>
    <n v="-1.2836917000000001"/>
    <s v="Direct"/>
    <s v="NA"/>
  </r>
  <r>
    <x v="0"/>
    <x v="2"/>
    <s v="Ofaveolata009808"/>
    <m/>
    <n v="-1.6543857"/>
    <n v="-1.3686654"/>
    <s v="Direct"/>
    <s v="ADP biosynthetic process"/>
  </r>
  <r>
    <x v="0"/>
    <x v="2"/>
    <s v="Ofaveolata009837"/>
    <m/>
    <n v="2.1578638799999998"/>
    <n v="1.8135410599999999"/>
    <s v="Direct"/>
    <s v="NA"/>
  </r>
  <r>
    <x v="0"/>
    <x v="2"/>
    <s v="Ofaveolata009865"/>
    <m/>
    <n v="-1.2933866999999999"/>
    <n v="-1.2471753999999999"/>
    <s v="Direct"/>
    <s v="Glycosyl hydrolase family 20, catalytic domain"/>
  </r>
  <r>
    <x v="0"/>
    <x v="2"/>
    <s v="Ofaveolata009870"/>
    <m/>
    <n v="-9.5719244999999997"/>
    <n v="-4.2501923000000001"/>
    <s v="Direct"/>
    <s v="Fatty acid desaturase"/>
  </r>
  <r>
    <x v="0"/>
    <x v="2"/>
    <s v="Ofaveolata009906"/>
    <m/>
    <n v="-5.0809243999999998"/>
    <n v="-7.9065285000000003"/>
    <s v="Direct"/>
    <s v="Signal-recognition-particle assembly has a crucial role in targeting secretory proteins to the rough endoplasmic reticulum membrane. SRP9 together with SRP14 and the Alu portion of the SRP RNA, constitutes the elongation arrest domain of SRP. The complex "/>
  </r>
  <r>
    <x v="0"/>
    <x v="2"/>
    <s v="Ofaveolata009928"/>
    <m/>
    <n v="3.00915738"/>
    <n v="5.8415617099999997"/>
    <s v="Direct"/>
    <s v="NA"/>
  </r>
  <r>
    <x v="0"/>
    <x v="2"/>
    <s v="Ofaveolata009933"/>
    <m/>
    <n v="-4.0945172000000003"/>
    <n v="-5.7666475999999998"/>
    <s v="Direct"/>
    <s v="Lys63-specific deubiquitinase activity"/>
  </r>
  <r>
    <x v="0"/>
    <x v="2"/>
    <s v="Ofaveolata009967"/>
    <m/>
    <n v="-2.1838567000000002"/>
    <n v="-2.3688196000000001"/>
    <s v="Direct"/>
    <s v="negative regulation of centrosome duplication"/>
  </r>
  <r>
    <x v="0"/>
    <x v="2"/>
    <s v="Ofaveolata010039"/>
    <m/>
    <n v="-2.1504843999999999"/>
    <n v="-1.9506897000000001"/>
    <s v="Direct"/>
    <s v="YTH domain family"/>
  </r>
  <r>
    <x v="0"/>
    <x v="2"/>
    <s v="Ofaveolata010071"/>
    <m/>
    <n v="2.2042480599999998"/>
    <n v="1.84582713"/>
    <s v="Direct"/>
    <s v="NA"/>
  </r>
  <r>
    <x v="0"/>
    <x v="2"/>
    <s v="Ofaveolata010074"/>
    <m/>
    <n v="3.02969606"/>
    <n v="3.7004698500000002"/>
    <s v="Direct"/>
    <s v="lipid transport"/>
  </r>
  <r>
    <x v="0"/>
    <x v="2"/>
    <s v="Ofaveolata010110"/>
    <m/>
    <n v="3.35361149"/>
    <n v="1.94949628"/>
    <s v="Direct"/>
    <s v="NA"/>
  </r>
  <r>
    <x v="0"/>
    <x v="2"/>
    <s v="Ofaveolata010112"/>
    <m/>
    <n v="4.86108779"/>
    <n v="3.55852535"/>
    <s v="Direct"/>
    <s v="frizzled binding"/>
  </r>
  <r>
    <x v="0"/>
    <x v="2"/>
    <s v="Ofaveolata010115"/>
    <m/>
    <n v="4.2735700999999997"/>
    <n v="1.3240425499999999"/>
    <s v="Direct"/>
    <s v="found in Wnt-1"/>
  </r>
  <r>
    <x v="0"/>
    <x v="2"/>
    <s v="Ofaveolata010118"/>
    <m/>
    <n v="1.4922868499999999"/>
    <n v="1.4345454799999999"/>
    <s v="Direct"/>
    <s v="Anthrax toxin receptor"/>
  </r>
  <r>
    <x v="0"/>
    <x v="2"/>
    <s v="Ofaveolata010119"/>
    <m/>
    <n v="2.79079933"/>
    <n v="2.18352075"/>
    <s v="Direct"/>
    <s v="mitogen-activated protein kinase"/>
  </r>
  <r>
    <x v="0"/>
    <x v="2"/>
    <s v="Ofaveolata010126"/>
    <m/>
    <n v="7.3020952399999999"/>
    <n v="6.1348121799999999"/>
    <s v="Direct"/>
    <s v="enhancer sequence-specific DNA binding"/>
  </r>
  <r>
    <x v="0"/>
    <x v="2"/>
    <s v="Ofaveolata010131"/>
    <m/>
    <n v="-16.921229"/>
    <n v="-13.537568"/>
    <s v="Direct"/>
    <s v="Belongs to the short-chain dehydrogenases reductases (SDR) family"/>
  </r>
  <r>
    <x v="0"/>
    <x v="2"/>
    <s v="Ofaveolata010138"/>
    <m/>
    <n v="1.6791250200000001"/>
    <n v="3.9741448500000001"/>
    <s v="Direct"/>
    <s v="NA"/>
  </r>
  <r>
    <x v="0"/>
    <x v="2"/>
    <s v="Ofaveolata010146"/>
    <m/>
    <n v="3.9751299200000001"/>
    <n v="2.5875758800000002"/>
    <s v="Direct"/>
    <s v="NA"/>
  </r>
  <r>
    <x v="0"/>
    <x v="2"/>
    <s v="Ofaveolata010164"/>
    <m/>
    <n v="-1.7625088"/>
    <n v="-1.7591072000000001"/>
    <s v="Direct"/>
    <s v="NA"/>
  </r>
  <r>
    <x v="0"/>
    <x v="2"/>
    <s v="Ofaveolata010169"/>
    <m/>
    <n v="-1.9242025"/>
    <n v="-1.5778368"/>
    <s v="Direct"/>
    <s v="dolichyl-phosphate-mannose-protein mannosyltransferase activity"/>
  </r>
  <r>
    <x v="0"/>
    <x v="2"/>
    <s v="Ofaveolata010179"/>
    <m/>
    <n v="-2.7167550999999999"/>
    <n v="-2.5168487000000002"/>
    <s v="Direct"/>
    <s v="E3 ubiquitin-protein ligase RNF181"/>
  </r>
  <r>
    <x v="0"/>
    <x v="2"/>
    <s v="Ofaveolata010182"/>
    <m/>
    <n v="-2.0850137000000002"/>
    <n v="-1.5884878"/>
    <s v="Direct"/>
    <s v="NA"/>
  </r>
  <r>
    <x v="0"/>
    <x v="2"/>
    <s v="Ofaveolata010188"/>
    <m/>
    <n v="-1.4136807"/>
    <n v="-1.7321755000000001"/>
    <s v="Direct"/>
    <s v="iron ion binding"/>
  </r>
  <r>
    <x v="0"/>
    <x v="2"/>
    <s v="Ofaveolata010190"/>
    <m/>
    <n v="5.0809244400000004"/>
    <n v="4.1339861200000003"/>
    <s v="Direct"/>
    <s v="neurotrophin receptor activity"/>
  </r>
  <r>
    <x v="0"/>
    <x v="2"/>
    <s v="Ofaveolata010192"/>
    <m/>
    <n v="1.3564083899999999"/>
    <n v="1.82557776"/>
    <s v="Direct"/>
    <s v="neurotrophin receptor activity"/>
  </r>
  <r>
    <x v="0"/>
    <x v="2"/>
    <s v="Ofaveolata010194"/>
    <m/>
    <n v="-3.2007501"/>
    <n v="-3.3984296000000001"/>
    <s v="Direct"/>
    <s v="Marginal zone B and"/>
  </r>
  <r>
    <x v="0"/>
    <x v="2"/>
    <s v="Ofaveolata010215"/>
    <m/>
    <n v="-7.8850864999999999"/>
    <n v="-9.8755729999999993"/>
    <s v="Direct"/>
    <s v="BIR domain binding"/>
  </r>
  <r>
    <x v="0"/>
    <x v="2"/>
    <s v="Ofaveolata010222"/>
    <m/>
    <n v="-3.3193117999999999"/>
    <n v="-3.5088650000000001"/>
    <s v="Direct"/>
    <s v="NA"/>
  </r>
  <r>
    <x v="0"/>
    <x v="2"/>
    <s v="Ofaveolata010234"/>
    <m/>
    <n v="-2.2259454999999999"/>
    <n v="-4.3235362000000004"/>
    <s v="Direct"/>
    <s v="negative regulation of bile acid biosynthetic process"/>
  </r>
  <r>
    <x v="0"/>
    <x v="2"/>
    <s v="Ofaveolata010241"/>
    <m/>
    <n v="-1.1309349"/>
    <n v="-2.9293873000000001"/>
    <s v="Direct"/>
    <s v="MAM domain, meprin/A5/mu"/>
  </r>
  <r>
    <x v="0"/>
    <x v="2"/>
    <s v="Ofaveolata010242"/>
    <m/>
    <n v="-1.0049703000000001"/>
    <n v="-1.0393758"/>
    <s v="Direct"/>
    <s v="structural constituent of ribosome"/>
  </r>
  <r>
    <x v="0"/>
    <x v="2"/>
    <s v="Ofaveolata010262"/>
    <m/>
    <n v="-5.3359193999999999"/>
    <n v="-5.9538076000000002"/>
    <s v="Direct"/>
    <s v="pyrophosphorylase 1"/>
  </r>
  <r>
    <x v="0"/>
    <x v="2"/>
    <s v="Ofaveolata010263"/>
    <m/>
    <n v="-4.3811390000000001"/>
    <n v="-2.3442064"/>
    <s v="Direct"/>
    <s v="pyrophosphorylase 1"/>
  </r>
  <r>
    <x v="0"/>
    <x v="2"/>
    <s v="Ofaveolata010285"/>
    <m/>
    <n v="-3.6477765999999998"/>
    <n v="-1.4301842"/>
    <s v="Direct"/>
    <s v="pineal gland development"/>
  </r>
  <r>
    <x v="0"/>
    <x v="2"/>
    <s v="Ofaveolata010286"/>
    <m/>
    <n v="-2.9109821"/>
    <n v="-2.1634652000000001"/>
    <s v="Direct"/>
    <s v="oxidoreductase activity"/>
  </r>
  <r>
    <x v="0"/>
    <x v="2"/>
    <s v="Ofaveolata010299"/>
    <m/>
    <n v="-1.7946652000000001"/>
    <n v="-3.4375494"/>
    <s v="Direct"/>
    <s v="acyl-coenzyme A thioesterase"/>
  </r>
  <r>
    <x v="0"/>
    <x v="2"/>
    <s v="Ofaveolata010351"/>
    <m/>
    <n v="-4.1533607999999997"/>
    <n v="-2.2756769000000001"/>
    <s v="Direct"/>
    <s v="protein KIAA2026 homolog"/>
  </r>
  <r>
    <x v="0"/>
    <x v="2"/>
    <s v="Ofaveolata010356"/>
    <m/>
    <n v="-2.9597311999999998"/>
    <n v="-1.9493441"/>
    <s v="Direct"/>
    <s v="Required for the first step in the synthesis of diphthamide, a post-translational modification of histidine which occurs in translation elongation factor 2"/>
  </r>
  <r>
    <x v="0"/>
    <x v="2"/>
    <s v="Ofaveolata010363"/>
    <m/>
    <n v="-7.8087045000000002"/>
    <n v="-6.0584603000000001"/>
    <s v="Direct"/>
    <s v="NA"/>
  </r>
  <r>
    <x v="0"/>
    <x v="2"/>
    <s v="Ofaveolata010364"/>
    <m/>
    <n v="-1.5967659000000001"/>
    <n v="-2.8563692999999999"/>
    <s v="Direct"/>
    <s v="cerebellum vasculature morphogenesis"/>
  </r>
  <r>
    <x v="0"/>
    <x v="2"/>
    <s v="Ofaveolata010378"/>
    <m/>
    <n v="2.3847629000000001"/>
    <n v="3.4346033399999998"/>
    <s v="Direct"/>
    <s v="NA"/>
  </r>
  <r>
    <x v="0"/>
    <x v="2"/>
    <s v="Ofaveolata010383"/>
    <m/>
    <n v="-1.0669734"/>
    <n v="-1.7395640999999999"/>
    <s v="Direct"/>
    <s v="6-phosphofructo-2-kinase activity"/>
  </r>
  <r>
    <x v="0"/>
    <x v="2"/>
    <s v="Ofaveolata010384"/>
    <m/>
    <n v="-2.8554940000000002"/>
    <n v="-3.2152856000000001"/>
    <s v="Direct"/>
    <s v="procollagen-proline 3-dioxygenase activity"/>
  </r>
  <r>
    <x v="0"/>
    <x v="2"/>
    <s v="Ofaveolata010401"/>
    <m/>
    <n v="-1.3967457000000001"/>
    <n v="-1.5602530999999999"/>
    <s v="Direct"/>
    <s v="organic anion transmembrane transporter activity"/>
  </r>
  <r>
    <x v="0"/>
    <x v="2"/>
    <s v="Ofaveolata010441"/>
    <m/>
    <n v="-3.3827332000000001"/>
    <n v="-2.4393435999999999"/>
    <s v="Direct"/>
    <s v="regulation of protein catabolic process"/>
  </r>
  <r>
    <x v="0"/>
    <x v="2"/>
    <s v="Ofaveolata010456"/>
    <m/>
    <n v="-7.7143147000000001"/>
    <n v="-7.1826040000000004"/>
    <s v="Direct"/>
    <s v="Belongs to the aldehyde dehydrogenase family"/>
  </r>
  <r>
    <x v="0"/>
    <x v="2"/>
    <s v="Ofaveolata010491"/>
    <m/>
    <n v="-1.4714910999999999"/>
    <n v="-1.3661818999999999"/>
    <s v="Direct"/>
    <s v="Arrestin (or S-antigen), N-terminal domain"/>
  </r>
  <r>
    <x v="0"/>
    <x v="2"/>
    <s v="Ofaveolata010511"/>
    <m/>
    <n v="-2.6401900999999999"/>
    <n v="-4.147691"/>
    <s v="Direct"/>
    <s v="NA"/>
  </r>
  <r>
    <x v="0"/>
    <x v="2"/>
    <s v="Ofaveolata010556"/>
    <m/>
    <n v="4.7670799700000002"/>
    <n v="3.67328038"/>
    <s v="Direct"/>
    <s v="metalloendopeptidase activity"/>
  </r>
  <r>
    <x v="0"/>
    <x v="2"/>
    <s v="Ofaveolata010565"/>
    <m/>
    <n v="-1.6055653999999999"/>
    <n v="-1.065204"/>
    <s v="Direct"/>
    <s v="RNA recognition motif. (a.k.a. RRM, RBD, or RNP domain)"/>
  </r>
  <r>
    <x v="0"/>
    <x v="2"/>
    <s v="Ofaveolata010569"/>
    <m/>
    <n v="-35.066324999999999"/>
    <n v="-34.782401"/>
    <s v="Direct"/>
    <s v="RNA recognition motif"/>
  </r>
  <r>
    <x v="0"/>
    <x v="2"/>
    <s v="Ofaveolata010570"/>
    <m/>
    <n v="-4.3196168999999998"/>
    <n v="-2.0909224000000002"/>
    <s v="Direct"/>
    <s v="NA"/>
  </r>
  <r>
    <x v="0"/>
    <x v="2"/>
    <s v="Ofaveolata010586"/>
    <m/>
    <n v="1.40158881"/>
    <n v="1.3349384"/>
    <s v="Direct"/>
    <s v="tachykinin receptor activity"/>
  </r>
  <r>
    <x v="0"/>
    <x v="2"/>
    <s v="Ofaveolata010588"/>
    <m/>
    <n v="-1.5666389000000001"/>
    <n v="-1.8189177999999999"/>
    <s v="Direct"/>
    <s v="N-acetyl-beta-glucosaminyl-glycoprotein 4-beta-N-acetylgalactosaminyltransferase activity"/>
  </r>
  <r>
    <x v="0"/>
    <x v="2"/>
    <s v="Ofaveolata010606"/>
    <m/>
    <n v="-2.2536190999999999"/>
    <n v="-5.3465328000000003"/>
    <s v="Direct"/>
    <s v="N-acetyl-beta-D-galactosaminidase activity"/>
  </r>
  <r>
    <x v="0"/>
    <x v="2"/>
    <s v="Ofaveolata010698"/>
    <m/>
    <n v="2.1909039899999998"/>
    <n v="2.0647513700000002"/>
    <s v="Direct"/>
    <s v="Nuclear factor of kappa light polypeptide gene enhancer in B-cells 1"/>
  </r>
  <r>
    <x v="0"/>
    <x v="2"/>
    <s v="Ofaveolata010708"/>
    <m/>
    <n v="-3.1863990000000002"/>
    <n v="-2.2090147999999998"/>
    <s v="Direct"/>
    <s v="NA"/>
  </r>
  <r>
    <x v="0"/>
    <x v="2"/>
    <s v="Ofaveolata010709"/>
    <m/>
    <n v="-1.1406126000000001"/>
    <n v="-2.1378417999999999"/>
    <s v="Direct"/>
    <s v="metalloendopeptidase activity"/>
  </r>
  <r>
    <x v="0"/>
    <x v="2"/>
    <s v="Ofaveolata010718"/>
    <m/>
    <n v="-1.3544318"/>
    <n v="-1.5232222"/>
    <s v="Direct"/>
    <s v="transmembrane protein 199"/>
  </r>
  <r>
    <x v="0"/>
    <x v="2"/>
    <s v="Ofaveolata010732"/>
    <m/>
    <n v="-4.2094288000000004"/>
    <n v="-2.4087553000000002"/>
    <s v="Direct"/>
    <s v="positive regulation of TOR signaling"/>
  </r>
  <r>
    <x v="0"/>
    <x v="2"/>
    <s v="Ofaveolata010782"/>
    <m/>
    <n v="3.6444004200000002"/>
    <n v="5.9279921499999997"/>
    <s v="Direct"/>
    <s v="NA"/>
  </r>
  <r>
    <x v="0"/>
    <x v="2"/>
    <s v="Ofaveolata010794"/>
    <m/>
    <n v="2.3930246999999998"/>
    <n v="1.0907804299999999"/>
    <s v="Direct"/>
    <s v="D-arabinitol dehydrogenase 1-like"/>
  </r>
  <r>
    <x v="0"/>
    <x v="2"/>
    <s v="Ofaveolata010796"/>
    <m/>
    <n v="-6.7640069"/>
    <n v="-4.805294"/>
    <s v="Direct"/>
    <s v="glutathione peroxidase activity"/>
  </r>
  <r>
    <x v="0"/>
    <x v="2"/>
    <s v="Ofaveolata010804"/>
    <m/>
    <n v="2.3393134999999998"/>
    <n v="2.2615965199999999"/>
    <s v="Direct"/>
    <s v="negative regulation of non-canonical Wnt signaling pathway"/>
  </r>
  <r>
    <x v="0"/>
    <x v="2"/>
    <s v="Ofaveolata010805"/>
    <m/>
    <n v="1.42321155"/>
    <n v="1.19002257"/>
    <s v="Direct"/>
    <s v="NA"/>
  </r>
  <r>
    <x v="0"/>
    <x v="2"/>
    <s v="Ofaveolata010815"/>
    <m/>
    <n v="-1.6580999999999999"/>
    <n v="-1.8251014000000001"/>
    <s v="Direct"/>
    <s v="structural constituent of ribosome"/>
  </r>
  <r>
    <x v="0"/>
    <x v="2"/>
    <s v="Ofaveolata010854"/>
    <m/>
    <n v="-1.224766"/>
    <n v="-1.3402944000000001"/>
    <s v="Direct"/>
    <s v="Galactose binding lectin domain"/>
  </r>
  <r>
    <x v="0"/>
    <x v="2"/>
    <s v="Ofaveolata010855"/>
    <m/>
    <n v="1.49124528"/>
    <n v="3.24670982"/>
    <s v="Direct"/>
    <s v="Galactose binding lectin domain"/>
  </r>
  <r>
    <x v="0"/>
    <x v="2"/>
    <s v="Ofaveolata010877"/>
    <m/>
    <n v="1.47339552"/>
    <n v="3.8642865"/>
    <s v="Direct"/>
    <s v="NA"/>
  </r>
  <r>
    <x v="0"/>
    <x v="2"/>
    <s v="Ofaveolata010878"/>
    <m/>
    <n v="-2.7506292000000001"/>
    <n v="-2.4199210999999998"/>
    <s v="Direct"/>
    <s v="Splicing factor 3a, subunit 2"/>
  </r>
  <r>
    <x v="0"/>
    <x v="2"/>
    <s v="Ofaveolata010880"/>
    <m/>
    <n v="-8.1289753000000005"/>
    <n v="-8.5871542999999999"/>
    <s v="Direct"/>
    <s v="Belongs to the small GTPase superfamily. Arf family"/>
  </r>
  <r>
    <x v="0"/>
    <x v="2"/>
    <s v="Ofaveolata010904"/>
    <m/>
    <n v="-4.8783753000000001"/>
    <n v="-5.4017911999999999"/>
    <s v="Direct"/>
    <s v="NA"/>
  </r>
  <r>
    <x v="0"/>
    <x v="2"/>
    <s v="Ofaveolata010907"/>
    <m/>
    <n v="-5.8584775999999996"/>
    <n v="-4.813536"/>
    <s v="Direct"/>
    <s v="DOMON domain-containing protein"/>
  </r>
  <r>
    <x v="0"/>
    <x v="2"/>
    <s v="Ofaveolata010918"/>
    <m/>
    <n v="-8.5346575999999992"/>
    <n v="-5.1379805000000003"/>
    <s v="Direct"/>
    <s v="L-gulonolactone oxidase-like"/>
  </r>
  <r>
    <x v="0"/>
    <x v="2"/>
    <s v="Ofaveolata010921"/>
    <m/>
    <n v="1.53789789"/>
    <n v="2.4378317900000002"/>
    <s v="Direct"/>
    <s v="NA"/>
  </r>
  <r>
    <x v="0"/>
    <x v="2"/>
    <s v="Ofaveolata010923"/>
    <m/>
    <n v="2.8480490999999999"/>
    <n v="2.1281098699999998"/>
    <s v="Direct"/>
    <s v="coagulation factor V"/>
  </r>
  <r>
    <x v="0"/>
    <x v="2"/>
    <s v="Ofaveolata010960"/>
    <m/>
    <n v="-7.2937557999999996"/>
    <n v="-2.5597447"/>
    <s v="Direct"/>
    <s v="N-box binding"/>
  </r>
  <r>
    <x v="0"/>
    <x v="2"/>
    <s v="Ofaveolata011061"/>
    <m/>
    <n v="-2.1617335"/>
    <n v="-1.4446956"/>
    <s v="Direct"/>
    <s v="NA"/>
  </r>
  <r>
    <x v="0"/>
    <x v="2"/>
    <s v="Ofaveolata011062"/>
    <m/>
    <n v="-1.2575273"/>
    <n v="-1.1210519999999999"/>
    <s v="Direct"/>
    <s v="acetyl-CoA C-acyltransferase activity"/>
  </r>
  <r>
    <x v="0"/>
    <x v="2"/>
    <s v="Ofaveolata011071"/>
    <m/>
    <n v="-11.167168"/>
    <n v="-8.1328951000000007"/>
    <s v="Direct"/>
    <s v="Glucan (1,4-alpha-), branching enzyme 1"/>
  </r>
  <r>
    <x v="0"/>
    <x v="2"/>
    <s v="Ofaveolata011077"/>
    <m/>
    <n v="1.31402281"/>
    <n v="1.4881518499999999"/>
    <s v="Direct"/>
    <s v="neuronal"/>
  </r>
  <r>
    <x v="0"/>
    <x v="2"/>
    <s v="Ofaveolata011147"/>
    <m/>
    <n v="-2.8362677000000001"/>
    <n v="-3.7191633999999998"/>
    <s v="Direct"/>
    <s v="cysteine-type endopeptidase inhibitor activity"/>
  </r>
  <r>
    <x v="0"/>
    <x v="2"/>
    <s v="Ofaveolata011218"/>
    <m/>
    <n v="1.5787053200000001"/>
    <n v="1.6663037599999999"/>
    <s v="Direct"/>
    <s v="NA"/>
  </r>
  <r>
    <x v="0"/>
    <x v="2"/>
    <s v="Ofaveolata011227"/>
    <m/>
    <n v="-13.868516"/>
    <n v="-10.942534"/>
    <s v="Direct"/>
    <s v="NA"/>
  </r>
  <r>
    <x v="0"/>
    <x v="2"/>
    <s v="Ofaveolata011228"/>
    <m/>
    <n v="-2.3909047999999999"/>
    <n v="-1.8683814999999999"/>
    <s v="Direct"/>
    <s v="negative regulation of protein localization to centrosome"/>
  </r>
  <r>
    <x v="0"/>
    <x v="2"/>
    <s v="Ofaveolata011254"/>
    <m/>
    <n v="-3.3762769000000001"/>
    <n v="-2.6808824000000002"/>
    <s v="Direct"/>
    <s v="Belongs to the eukaryotic ribosomal protein eS24 family"/>
  </r>
  <r>
    <x v="0"/>
    <x v="2"/>
    <s v="Ofaveolata011260"/>
    <m/>
    <n v="1.42321155"/>
    <n v="1.24942617"/>
    <s v="Direct"/>
    <s v="muscle alpha-actinin binding"/>
  </r>
  <r>
    <x v="0"/>
    <x v="2"/>
    <s v="Ofaveolata011289"/>
    <m/>
    <n v="1.8222352100000001"/>
    <n v="1.80301803"/>
    <s v="Direct"/>
    <s v="metalloendopeptidase activity"/>
  </r>
  <r>
    <x v="0"/>
    <x v="2"/>
    <s v="Ofaveolata011295"/>
    <m/>
    <n v="-3.4693521999999999"/>
    <n v="-2.7058757"/>
    <s v="Direct"/>
    <s v="protein adenylyltransferase activity"/>
  </r>
  <r>
    <x v="0"/>
    <x v="2"/>
    <s v="Ofaveolata011299"/>
    <m/>
    <n v="2.49718178"/>
    <n v="3.0601118"/>
    <s v="Direct"/>
    <s v="cell separation after cytokinesis"/>
  </r>
  <r>
    <x v="0"/>
    <x v="2"/>
    <s v="Ofaveolata011358"/>
    <m/>
    <n v="-1.7658727999999999"/>
    <n v="-2.2394002999999998"/>
    <s v="Direct"/>
    <s v="NA"/>
  </r>
  <r>
    <x v="0"/>
    <x v="2"/>
    <s v="Ofaveolata011361"/>
    <m/>
    <n v="4.54102914"/>
    <n v="3.7106127299999998"/>
    <s v="Direct"/>
    <s v="NA"/>
  </r>
  <r>
    <x v="0"/>
    <x v="2"/>
    <s v="Ofaveolata011375"/>
    <m/>
    <n v="-1.2729280999999999"/>
    <n v="-4.2433977000000001"/>
    <s v="Direct"/>
    <s v="Universal stress protein family"/>
  </r>
  <r>
    <x v="0"/>
    <x v="2"/>
    <s v="Ofaveolata011377"/>
    <m/>
    <n v="-2.9011898999999999"/>
    <n v="-2.7710477999999998"/>
    <s v="Direct"/>
    <s v="heterogeneous nuclear ribonucleoprotein"/>
  </r>
  <r>
    <x v="0"/>
    <x v="2"/>
    <s v="Ofaveolata011382"/>
    <m/>
    <n v="2.7154288700000002"/>
    <n v="1.4862157"/>
    <s v="Direct"/>
    <s v="positive regulation of DNA-binding transcription factor activity"/>
  </r>
  <r>
    <x v="0"/>
    <x v="2"/>
    <s v="Ofaveolata011437"/>
    <m/>
    <n v="-1.5685575"/>
    <n v="-2.7019617"/>
    <s v="Direct"/>
    <s v="NA"/>
  </r>
  <r>
    <x v="0"/>
    <x v="2"/>
    <s v="Ofaveolata011442"/>
    <m/>
    <n v="4.6263524900000004"/>
    <n v="2.6836485200000002"/>
    <s v="Direct"/>
    <s v="protein phosphatase inhibitor activity"/>
  </r>
  <r>
    <x v="0"/>
    <x v="2"/>
    <s v="Ofaveolata011458"/>
    <m/>
    <n v="-6.1633559"/>
    <n v="-4.8089190999999998"/>
    <s v="Direct"/>
    <s v="NA"/>
  </r>
  <r>
    <x v="0"/>
    <x v="2"/>
    <s v="Ofaveolata011485"/>
    <m/>
    <n v="1.32725501"/>
    <n v="1.70051752"/>
    <s v="Direct"/>
    <s v="NA"/>
  </r>
  <r>
    <x v="0"/>
    <x v="2"/>
    <s v="Ofaveolata011520"/>
    <m/>
    <n v="1.79901588"/>
    <n v="1.3475600299999999"/>
    <s v="Direct"/>
    <s v="GTPase activity"/>
  </r>
  <r>
    <x v="0"/>
    <x v="2"/>
    <s v="Ofaveolata011523"/>
    <m/>
    <n v="-2.5621136"/>
    <n v="-2.5366200000000001"/>
    <s v="Direct"/>
    <s v="rRNA binding"/>
  </r>
  <r>
    <x v="0"/>
    <x v="2"/>
    <s v="Ofaveolata011653"/>
    <m/>
    <n v="-12.924685999999999"/>
    <n v="-11.588547"/>
    <s v="Direct"/>
    <s v="NA"/>
  </r>
  <r>
    <x v="0"/>
    <x v="2"/>
    <s v="Ofaveolata011669"/>
    <m/>
    <n v="-1.2115121"/>
    <n v="-1.1173846000000001"/>
    <s v="Direct"/>
    <s v="glycerol channel activity"/>
  </r>
  <r>
    <x v="0"/>
    <x v="2"/>
    <s v="Ofaveolata011688"/>
    <m/>
    <n v="-1.4336835999999999"/>
    <n v="-1.8544034"/>
    <s v="Direct"/>
    <s v="NA"/>
  </r>
  <r>
    <x v="0"/>
    <x v="2"/>
    <s v="Ofaveolata011693"/>
    <m/>
    <n v="4.1711834699999999"/>
    <n v="5.6978427700000003"/>
    <s v="Direct"/>
    <s v="NA"/>
  </r>
  <r>
    <x v="0"/>
    <x v="2"/>
    <s v="Ofaveolata011707"/>
    <m/>
    <n v="-1.6199395999999999"/>
    <n v="-1.607605"/>
    <s v="Direct"/>
    <s v="NA"/>
  </r>
  <r>
    <x v="0"/>
    <x v="2"/>
    <s v="Ofaveolata011731"/>
    <m/>
    <n v="1.08511047"/>
    <n v="1.3718815"/>
    <s v="Direct"/>
    <s v="NA"/>
  </r>
  <r>
    <x v="0"/>
    <x v="2"/>
    <s v="Ofaveolata011785"/>
    <m/>
    <n v="1.58272542"/>
    <n v="1.29261629"/>
    <s v="Direct"/>
    <s v="NA"/>
  </r>
  <r>
    <x v="0"/>
    <x v="2"/>
    <s v="Ofaveolata011818"/>
    <m/>
    <n v="2.6831800800000001"/>
    <n v="4.1815204000000001"/>
    <s v="Direct"/>
    <s v="NA"/>
  </r>
  <r>
    <x v="0"/>
    <x v="2"/>
    <s v="Ofaveolata011874"/>
    <m/>
    <n v="1.4785510399999999"/>
    <n v="1.13568625"/>
    <s v="Direct"/>
    <s v="NA"/>
  </r>
  <r>
    <x v="0"/>
    <x v="2"/>
    <s v="Ofaveolata011914"/>
    <m/>
    <n v="1.25051483"/>
    <n v="1.9190430999999999"/>
    <s v="Direct"/>
    <s v="NA"/>
  </r>
  <r>
    <x v="0"/>
    <x v="2"/>
    <s v="Ofaveolata011968"/>
    <m/>
    <n v="2.6608391299999998"/>
    <n v="3.2705120499999998"/>
    <s v="Direct"/>
    <s v="NA"/>
  </r>
  <r>
    <x v="0"/>
    <x v="2"/>
    <s v="Ofaveolata012059"/>
    <m/>
    <n v="1.82803202"/>
    <n v="1.63614696"/>
    <s v="Direct"/>
    <s v="NA"/>
  </r>
  <r>
    <x v="0"/>
    <x v="2"/>
    <s v="Ofaveolata012065"/>
    <m/>
    <n v="1.19998823"/>
    <n v="1.23216075"/>
    <s v="Direct"/>
    <s v="NA"/>
  </r>
  <r>
    <x v="0"/>
    <x v="2"/>
    <s v="Ofaveolata012076"/>
    <m/>
    <n v="1.5642741099999999"/>
    <n v="1.4219297799999999"/>
    <s v="Direct"/>
    <s v="NA"/>
  </r>
  <r>
    <x v="0"/>
    <x v="2"/>
    <s v="Ofaveolata012100"/>
    <m/>
    <n v="2.3847629000000001"/>
    <n v="1.3373632799999999"/>
    <s v="Direct"/>
    <s v="NA"/>
  </r>
  <r>
    <x v="0"/>
    <x v="2"/>
    <s v="Ofaveolata012199"/>
    <m/>
    <n v="1.4922868499999999"/>
    <n v="1.3633887600000001"/>
    <s v="Direct"/>
    <s v="NA"/>
  </r>
  <r>
    <x v="0"/>
    <x v="2"/>
    <s v="Ofaveolata012264"/>
    <m/>
    <n v="1.2575273300000001"/>
    <n v="1.9643918600000001"/>
    <s v="Direct"/>
    <s v="NA"/>
  </r>
  <r>
    <x v="0"/>
    <x v="2"/>
    <s v="Ofaveolata012293"/>
    <m/>
    <n v="-1.4581318999999999"/>
    <n v="-2.4384527"/>
    <s v="Direct"/>
    <s v="NA"/>
  </r>
  <r>
    <x v="0"/>
    <x v="2"/>
    <s v="Ofaveolata012317"/>
    <m/>
    <n v="-3.2666590000000002"/>
    <n v="-2.4384527"/>
    <s v="Direct"/>
    <s v="Belongs to the MT-A70-like family"/>
  </r>
  <r>
    <x v="0"/>
    <x v="2"/>
    <s v="Ofaveolata012519"/>
    <m/>
    <n v="-1.3935230999999999"/>
    <n v="-1.2008182999999999"/>
    <s v="Direct"/>
    <s v="NA"/>
  </r>
  <r>
    <x v="0"/>
    <x v="2"/>
    <s v="Ofaveolata012526"/>
    <m/>
    <n v="-5.0809243999999998"/>
    <n v="-2.5612594999999998"/>
    <s v="Direct"/>
    <s v="N,N-dimethylaniline monooxygenase activity"/>
  </r>
  <r>
    <x v="0"/>
    <x v="2"/>
    <s v="Ofaveolata012632"/>
    <m/>
    <n v="-5.9526849000000004"/>
    <n v="-3.9788549999999998"/>
    <s v="Direct"/>
    <s v="NA"/>
  </r>
  <r>
    <x v="0"/>
    <x v="2"/>
    <s v="Ofaveolata012650"/>
    <m/>
    <n v="-1.7228777"/>
    <n v="-1.4155603000000001"/>
    <s v="Direct"/>
    <s v="acetylcholine-gated cation-selective channel activity"/>
  </r>
  <r>
    <x v="0"/>
    <x v="2"/>
    <s v="Ofaveolata012655"/>
    <m/>
    <n v="-2.6604523000000002"/>
    <n v="-2.0840926"/>
    <s v="Direct"/>
    <s v="zinc ion binding"/>
  </r>
  <r>
    <x v="0"/>
    <x v="2"/>
    <s v="Ofaveolata012658"/>
    <m/>
    <n v="-1.7009784999999999"/>
    <n v="-1.4259085"/>
    <s v="Direct"/>
    <s v="SUMO conjugating enzyme activity"/>
  </r>
  <r>
    <x v="0"/>
    <x v="2"/>
    <s v="Ofaveolata012672"/>
    <m/>
    <n v="2.0753470599999999"/>
    <n v="1.6944823099999999"/>
    <s v="Direct"/>
    <s v="V-myc avian myelocytomatosis viral oncogene neuroblastoma derived homolog"/>
  </r>
  <r>
    <x v="0"/>
    <x v="2"/>
    <s v="Ofaveolata012686"/>
    <m/>
    <n v="-1.1793951"/>
    <n v="-1.166714"/>
    <s v="Direct"/>
    <s v="Autophagy-related protein 13"/>
  </r>
  <r>
    <x v="0"/>
    <x v="2"/>
    <s v="Ofaveolata012688"/>
    <m/>
    <n v="-1.3213362"/>
    <n v="-1.2866739"/>
    <s v="Direct"/>
    <s v="Belongs to the universal ribosomal protein uS9 family"/>
  </r>
  <r>
    <x v="0"/>
    <x v="2"/>
    <s v="Ofaveolata012694"/>
    <m/>
    <n v="-12.587588999999999"/>
    <n v="-10.826692"/>
    <s v="Direct"/>
    <s v="NA"/>
  </r>
  <r>
    <x v="0"/>
    <x v="2"/>
    <s v="Ofaveolata012700"/>
    <m/>
    <n v="-1.1171702999999999"/>
    <n v="-1.0241787"/>
    <s v="Direct"/>
    <s v="NA"/>
  </r>
  <r>
    <x v="0"/>
    <x v="2"/>
    <s v="Ofaveolata012701"/>
    <m/>
    <n v="-4.1251651000000003"/>
    <n v="-1.3498490999999999"/>
    <s v="Direct"/>
    <s v="NA"/>
  </r>
  <r>
    <x v="0"/>
    <x v="2"/>
    <s v="Ofaveolata012705"/>
    <m/>
    <n v="-9.0317424000000006"/>
    <n v="-6.3992154000000001"/>
    <s v="Direct"/>
    <s v="NA"/>
  </r>
  <r>
    <x v="0"/>
    <x v="2"/>
    <s v="Ofaveolata012706"/>
    <m/>
    <n v="-4.0335339000000001"/>
    <n v="-4.1961500000000003"/>
    <s v="Direct"/>
    <s v="NA"/>
  </r>
  <r>
    <x v="0"/>
    <x v="2"/>
    <s v="Ofaveolata012707"/>
    <m/>
    <n v="-4.6565139999999996"/>
    <n v="-2.1636302999999999"/>
    <s v="Direct"/>
    <s v="NA"/>
  </r>
  <r>
    <x v="0"/>
    <x v="2"/>
    <s v="Ofaveolata012708"/>
    <m/>
    <n v="-4.5871766000000003"/>
    <n v="-5.2882609"/>
    <s v="Direct"/>
    <s v="NA"/>
  </r>
  <r>
    <x v="0"/>
    <x v="2"/>
    <s v="Ofaveolata012727"/>
    <m/>
    <n v="-2.014742"/>
    <n v="-1.4952193"/>
    <s v="Direct"/>
    <s v="transmembrane transport"/>
  </r>
  <r>
    <x v="0"/>
    <x v="2"/>
    <s v="Ofaveolata012736"/>
    <m/>
    <n v="-2.0847007999999998"/>
    <n v="-1.3328892000000001"/>
    <s v="Direct"/>
    <s v="NA"/>
  </r>
  <r>
    <x v="0"/>
    <x v="2"/>
    <s v="Ofaveolata012743"/>
    <m/>
    <n v="-1.3213362"/>
    <n v="-1.9734088000000001"/>
    <s v="Direct"/>
    <s v="NA"/>
  </r>
  <r>
    <x v="0"/>
    <x v="2"/>
    <s v="Ofaveolata012750"/>
    <m/>
    <n v="1.14849019"/>
    <n v="2.2614345299999998"/>
    <s v="Direct"/>
    <s v="NA"/>
  </r>
  <r>
    <x v="0"/>
    <x v="2"/>
    <s v="Ofaveolata012769"/>
    <m/>
    <n v="-3.6150821"/>
    <n v="-2.5484844"/>
    <s v="Direct"/>
    <s v="General transcription factor IIH"/>
  </r>
  <r>
    <x v="0"/>
    <x v="2"/>
    <s v="Ofaveolata012781"/>
    <m/>
    <n v="-2.9027899000000001"/>
    <n v="-2.2377034999999998"/>
    <s v="Direct"/>
    <s v="NA"/>
  </r>
  <r>
    <x v="0"/>
    <x v="2"/>
    <s v="Ofaveolata012800"/>
    <m/>
    <n v="-1.8040141000000001"/>
    <n v="-1.0676815"/>
    <s v="Direct"/>
    <s v="NA"/>
  </r>
  <r>
    <x v="0"/>
    <x v="2"/>
    <s v="Ofaveolata012816"/>
    <m/>
    <n v="-1.3686649"/>
    <n v="-2.1175731999999998"/>
    <s v="Direct"/>
    <s v="cysteine and glycine-rich protein"/>
  </r>
  <r>
    <x v="0"/>
    <x v="2"/>
    <s v="Ofaveolata012817"/>
    <m/>
    <n v="-4.4792757999999999"/>
    <n v="-4.1613388999999996"/>
    <s v="Direct"/>
    <s v="photoreceptor cell maintenance"/>
  </r>
  <r>
    <x v="0"/>
    <x v="2"/>
    <s v="Ofaveolata012818"/>
    <m/>
    <n v="-4.2140867999999996"/>
    <n v="-3.6851945000000002"/>
    <s v="Direct"/>
    <s v="hydrolase activity"/>
  </r>
  <r>
    <x v="0"/>
    <x v="2"/>
    <s v="Ofaveolata012820"/>
    <m/>
    <n v="1.4874700599999999"/>
    <n v="3.3381683299999998"/>
    <s v="Direct"/>
    <s v="Peptidyl-prolyl cis-trans isomerase"/>
  </r>
  <r>
    <x v="0"/>
    <x v="2"/>
    <s v="Ofaveolata012821"/>
    <m/>
    <n v="-1.8452103"/>
    <n v="-1.7736155"/>
    <s v="Direct"/>
    <s v="NA"/>
  </r>
  <r>
    <x v="0"/>
    <x v="2"/>
    <s v="Ofaveolata012824"/>
    <m/>
    <n v="1.64684243"/>
    <n v="1.4236297600000001"/>
    <s v="Direct"/>
    <s v="regulation of podosome assembly"/>
  </r>
  <r>
    <x v="0"/>
    <x v="2"/>
    <s v="Ofaveolata012830"/>
    <m/>
    <n v="-1.3544318"/>
    <n v="-1.3751281"/>
    <s v="Direct"/>
    <s v="NA"/>
  </r>
  <r>
    <x v="0"/>
    <x v="2"/>
    <s v="Ofaveolata012834"/>
    <m/>
    <n v="1.7414692199999999"/>
    <n v="1.7953366500000001"/>
    <s v="Direct"/>
    <s v="Mab-21"/>
  </r>
  <r>
    <x v="0"/>
    <x v="2"/>
    <s v="Ofaveolata012836"/>
    <m/>
    <n v="1.63146539"/>
    <n v="1.0351141100000001"/>
    <s v="Direct"/>
    <s v="Mab-21"/>
  </r>
  <r>
    <x v="0"/>
    <x v="2"/>
    <s v="Ofaveolata012838"/>
    <m/>
    <n v="1.2754581599999999"/>
    <n v="1.24233697"/>
    <s v="Direct"/>
    <s v="NA"/>
  </r>
  <r>
    <x v="0"/>
    <x v="2"/>
    <s v="Ofaveolata012861"/>
    <m/>
    <n v="1.10811064"/>
    <n v="3.0279033399999999"/>
    <s v="Direct"/>
    <s v="chromatin binding"/>
  </r>
  <r>
    <x v="0"/>
    <x v="2"/>
    <s v="Ofaveolata012866"/>
    <m/>
    <n v="-2.7146913000000001"/>
    <n v="-1.4730736"/>
    <s v="Direct"/>
    <s v="double-stranded RNA adenosine deaminase activity"/>
  </r>
  <r>
    <x v="0"/>
    <x v="2"/>
    <s v="Ofaveolata012871"/>
    <m/>
    <n v="-1.5883938"/>
    <n v="-1.4010692"/>
    <s v="Direct"/>
    <s v="NA"/>
  </r>
  <r>
    <x v="0"/>
    <x v="2"/>
    <s v="Ofaveolata012899"/>
    <m/>
    <n v="-3.3152765999999998"/>
    <n v="-1.9349544999999999"/>
    <s v="Direct"/>
    <s v="sulfuric ester hydrolase activity"/>
  </r>
  <r>
    <x v="0"/>
    <x v="2"/>
    <s v="Ofaveolata012906"/>
    <m/>
    <n v="1.8358275100000001"/>
    <n v="1.0459477800000001"/>
    <s v="Direct"/>
    <s v="Involved in the maturation of specific proteins in the endoplasmic reticulum"/>
  </r>
  <r>
    <x v="0"/>
    <x v="2"/>
    <s v="Ofaveolata012927"/>
    <m/>
    <n v="-2.6682532000000001"/>
    <n v="-3.2690630000000001"/>
    <s v="Direct"/>
    <s v="NA"/>
  </r>
  <r>
    <x v="0"/>
    <x v="2"/>
    <s v="Ofaveolata012935"/>
    <m/>
    <n v="-2.5380308"/>
    <n v="-1.0541026"/>
    <s v="Direct"/>
    <s v="histone binding"/>
  </r>
  <r>
    <x v="0"/>
    <x v="2"/>
    <s v="Ofaveolata012943"/>
    <m/>
    <n v="-2.1152274000000002"/>
    <n v="-2.4977490000000002"/>
    <s v="Direct"/>
    <s v="Ring finger protein"/>
  </r>
  <r>
    <x v="0"/>
    <x v="2"/>
    <s v="Ofaveolata012944"/>
    <m/>
    <n v="-1.7940498"/>
    <n v="-3.1332632"/>
    <s v="Direct"/>
    <s v="NA"/>
  </r>
  <r>
    <x v="0"/>
    <x v="2"/>
    <s v="Ofaveolata012985"/>
    <m/>
    <n v="-6.0089528000000003"/>
    <n v="-7.6526468000000003"/>
    <s v="Direct"/>
    <s v="NA"/>
  </r>
  <r>
    <x v="0"/>
    <x v="2"/>
    <s v="Ofaveolata013004"/>
    <m/>
    <n v="1.03922066"/>
    <n v="1.17673571"/>
    <s v="Direct"/>
    <s v="Rieske-like [2Fe-2S] domain"/>
  </r>
  <r>
    <x v="0"/>
    <x v="2"/>
    <s v="Ofaveolata013026"/>
    <m/>
    <n v="-1.8368549999999999"/>
    <n v="-2.6465561000000002"/>
    <s v="Direct"/>
    <s v="NA"/>
  </r>
  <r>
    <x v="0"/>
    <x v="2"/>
    <s v="Ofaveolata013027"/>
    <m/>
    <n v="-1.2047285000000001"/>
    <n v="-2.8959397"/>
    <s v="Direct"/>
    <s v="NA"/>
  </r>
  <r>
    <x v="0"/>
    <x v="2"/>
    <s v="Ofaveolata013028"/>
    <m/>
    <n v="-3.3187209000000002"/>
    <n v="-4.5334013999999998"/>
    <s v="Direct"/>
    <s v="NA"/>
  </r>
  <r>
    <x v="0"/>
    <x v="2"/>
    <s v="Ofaveolata013039"/>
    <m/>
    <n v="-4.6256922999999999"/>
    <n v="-4.2236504000000004"/>
    <s v="Direct"/>
    <s v="NA"/>
  </r>
  <r>
    <x v="0"/>
    <x v="2"/>
    <s v="Ofaveolata013050"/>
    <m/>
    <n v="-15.981878999999999"/>
    <n v="-13.189048"/>
    <s v="Direct"/>
    <s v="adiponectin receptor"/>
  </r>
  <r>
    <x v="0"/>
    <x v="2"/>
    <s v="Ofaveolata013053"/>
    <m/>
    <n v="-4.3235393999999996"/>
    <n v="-2.4653909000000001"/>
    <s v="Direct"/>
    <s v="Solute carrier family 4, sodium bicarbonate transporter, member 10"/>
  </r>
  <r>
    <x v="0"/>
    <x v="2"/>
    <s v="Ofaveolata013059"/>
    <m/>
    <n v="-4.3395292999999997"/>
    <n v="-2.3393978"/>
    <s v="Direct"/>
    <s v="Ran GTPase binding"/>
  </r>
  <r>
    <x v="0"/>
    <x v="2"/>
    <s v="Ofaveolata013074"/>
    <m/>
    <n v="1.06423943"/>
    <n v="1.22992039"/>
    <s v="Direct"/>
    <s v="intrinsic apoptotic signaling pathway in response to endoplasmic reticulum stress"/>
  </r>
  <r>
    <x v="0"/>
    <x v="2"/>
    <s v="Ofaveolata013087"/>
    <m/>
    <n v="12.310794599999999"/>
    <n v="9.9425992599999997"/>
    <s v="Direct"/>
    <s v="calcium ion binding"/>
  </r>
  <r>
    <x v="0"/>
    <x v="2"/>
    <s v="Ofaveolata013088"/>
    <m/>
    <n v="33.775493300000001"/>
    <n v="31.8750386"/>
    <s v="Direct"/>
    <s v="calcium ion binding"/>
  </r>
  <r>
    <x v="0"/>
    <x v="2"/>
    <s v="Ofaveolata013095"/>
    <m/>
    <n v="-8.5868011000000006"/>
    <n v="-8.9971692999999995"/>
    <s v="Direct"/>
    <s v="NA"/>
  </r>
  <r>
    <x v="0"/>
    <x v="2"/>
    <s v="Ofaveolata013097"/>
    <m/>
    <n v="-4.4269816999999998"/>
    <n v="-3.0932018000000001"/>
    <s v="Direct"/>
    <s v="Activating molecule in BECN1-regulated autophagy protein"/>
  </r>
  <r>
    <x v="0"/>
    <x v="2"/>
    <s v="Ofaveolata013102"/>
    <m/>
    <n v="-1.993771"/>
    <n v="-3.0666305999999999"/>
    <s v="Direct"/>
    <s v="sequence-specific DNA binding"/>
  </r>
  <r>
    <x v="0"/>
    <x v="2"/>
    <s v="Ofaveolata013115"/>
    <m/>
    <n v="-2.0503342999999998"/>
    <n v="-2.3423039999999999"/>
    <s v="Direct"/>
    <s v="sulfuric ester hydrolase activity"/>
  </r>
  <r>
    <x v="0"/>
    <x v="2"/>
    <s v="Ofaveolata013116"/>
    <m/>
    <n v="-1.3790165999999999"/>
    <n v="-1.3592137"/>
    <s v="Direct"/>
    <s v="sulfuric ester hydrolase activity"/>
  </r>
  <r>
    <x v="0"/>
    <x v="2"/>
    <s v="Ofaveolata013182"/>
    <m/>
    <n v="1.7784824400000001"/>
    <n v="3.1652418199999999"/>
    <s v="Direct"/>
    <s v="Small nuclear ribonucleoprotein"/>
  </r>
  <r>
    <x v="0"/>
    <x v="2"/>
    <s v="Ofaveolata013188"/>
    <m/>
    <n v="-1.8447515000000001"/>
    <n v="-2.2996268"/>
    <s v="Direct"/>
    <s v="NAD-dependent histone deacetylase activity (H4-K16 specific)"/>
  </r>
  <r>
    <x v="0"/>
    <x v="2"/>
    <s v="Ofaveolata013196"/>
    <m/>
    <n v="-2.5458938999999998"/>
    <n v="-4.0007682000000004"/>
    <s v="Direct"/>
    <s v="Toll-like receptor"/>
  </r>
  <r>
    <x v="0"/>
    <x v="2"/>
    <s v="Ofaveolata013198"/>
    <m/>
    <n v="1.26664859"/>
    <n v="1.1534993200000001"/>
    <s v="Direct"/>
    <s v="regulation of response to stimulus"/>
  </r>
  <r>
    <x v="0"/>
    <x v="2"/>
    <s v="Ofaveolata013246"/>
    <m/>
    <n v="1.02815733"/>
    <n v="1.9151128500000001"/>
    <s v="Direct"/>
    <s v="coreceptor activity involved in Wnt signaling pathway, planar cell polarity pathway"/>
  </r>
  <r>
    <x v="0"/>
    <x v="2"/>
    <s v="Ofaveolata013258"/>
    <m/>
    <n v="-2.4971817999999999"/>
    <n v="-1.7336663999999999"/>
    <s v="Direct"/>
    <s v="NA"/>
  </r>
  <r>
    <x v="0"/>
    <x v="2"/>
    <s v="Ofaveolata013287"/>
    <m/>
    <n v="-1.8126918999999999"/>
    <n v="-3.6264740999999998"/>
    <s v="Direct"/>
    <s v="Si dkey-5i3.5"/>
  </r>
  <r>
    <x v="0"/>
    <x v="2"/>
    <s v="Ofaveolata013305"/>
    <m/>
    <n v="2.1367802500000002"/>
    <n v="1.5043826199999999"/>
    <s v="Direct"/>
    <s v="Putative cyclase"/>
  </r>
  <r>
    <x v="0"/>
    <x v="2"/>
    <s v="Ofaveolata013340"/>
    <m/>
    <n v="5.7500842399999996"/>
    <n v="2.1976842300000001"/>
    <s v="Direct"/>
    <s v="NA"/>
  </r>
  <r>
    <x v="0"/>
    <x v="2"/>
    <s v="Ofaveolata013343"/>
    <m/>
    <n v="-1.6022272"/>
    <n v="-1.3196467999999999"/>
    <s v="Direct"/>
    <s v="NA"/>
  </r>
  <r>
    <x v="0"/>
    <x v="2"/>
    <s v="Ofaveolata013348"/>
    <m/>
    <n v="-1.2425147999999999"/>
    <n v="-3.6987323000000001"/>
    <s v="Direct"/>
    <s v="NA"/>
  </r>
  <r>
    <x v="0"/>
    <x v="2"/>
    <s v="Ofaveolata013368"/>
    <m/>
    <n v="-4.7950974000000004"/>
    <n v="-6.0830446"/>
    <s v="Direct"/>
    <s v="NA"/>
  </r>
  <r>
    <x v="0"/>
    <x v="2"/>
    <s v="Ofaveolata013370"/>
    <m/>
    <n v="-6.6730483999999999"/>
    <n v="-6.2832705000000004"/>
    <s v="Direct"/>
    <s v="NA"/>
  </r>
  <r>
    <x v="0"/>
    <x v="2"/>
    <s v="Ofaveolata013386"/>
    <m/>
    <n v="-2.1367802999999999"/>
    <n v="-1.7711796"/>
    <s v="Direct"/>
    <s v="NA"/>
  </r>
  <r>
    <x v="0"/>
    <x v="2"/>
    <s v="Ofaveolata013390"/>
    <m/>
    <n v="-1.5808542999999999"/>
    <n v="-1.6696518"/>
    <s v="Direct"/>
    <s v="lens induction in camera-type eye"/>
  </r>
  <r>
    <x v="0"/>
    <x v="2"/>
    <s v="Ofaveolata013399"/>
    <m/>
    <n v="1.5947016300000001"/>
    <n v="1.35624488"/>
    <s v="Direct"/>
    <s v="NA"/>
  </r>
  <r>
    <x v="0"/>
    <x v="2"/>
    <s v="Ofaveolata013401"/>
    <m/>
    <n v="-2.9124601000000001"/>
    <n v="-3.0242895999999999"/>
    <s v="Direct"/>
    <s v="NA"/>
  </r>
  <r>
    <x v="0"/>
    <x v="2"/>
    <s v="Ofaveolata013408"/>
    <m/>
    <n v="-1.4829445999999999"/>
    <n v="-2.7818385999999999"/>
    <s v="Direct"/>
    <s v="NA"/>
  </r>
  <r>
    <x v="0"/>
    <x v="2"/>
    <s v="Ofaveolata013409"/>
    <m/>
    <n v="-7.6455697000000002"/>
    <n v="-6.8659423999999998"/>
    <s v="Direct"/>
    <s v="NA"/>
  </r>
  <r>
    <x v="0"/>
    <x v="2"/>
    <s v="Ofaveolata013410"/>
    <m/>
    <n v="-1.8126671000000001"/>
    <n v="-1.0110621"/>
    <s v="Direct"/>
    <s v="NA"/>
  </r>
  <r>
    <x v="0"/>
    <x v="2"/>
    <s v="Ofaveolata013432"/>
    <m/>
    <n v="2.5890539399999999"/>
    <n v="1.78732701"/>
    <s v="Direct"/>
    <s v="NA"/>
  </r>
  <r>
    <x v="0"/>
    <x v="2"/>
    <s v="Ofaveolata013441"/>
    <m/>
    <n v="-1.3855850000000001"/>
    <n v="-1.0573399000000001"/>
    <s v="Direct"/>
    <s v="Isopentenyl-diphosphate"/>
  </r>
  <r>
    <x v="0"/>
    <x v="2"/>
    <s v="Ofaveolata013447"/>
    <m/>
    <n v="-1.5904210999999999"/>
    <n v="-1.1906737999999999"/>
    <s v="Direct"/>
    <s v="ammonium transmembrane transporter activity"/>
  </r>
  <r>
    <x v="0"/>
    <x v="2"/>
    <s v="Ofaveolata013452"/>
    <m/>
    <n v="-2.8851198999999998"/>
    <n v="-2.6285460999999999"/>
    <s v="Direct"/>
    <s v="ribosomal protein"/>
  </r>
  <r>
    <x v="0"/>
    <x v="2"/>
    <s v="Ofaveolata013458"/>
    <m/>
    <n v="-1.9143204"/>
    <n v="-2.3220358000000001"/>
    <s v="Direct"/>
    <s v="thyroid hormone transmembrane transporter activity"/>
  </r>
  <r>
    <x v="0"/>
    <x v="2"/>
    <s v="Ofaveolata013459"/>
    <m/>
    <n v="-1.8144412999999999"/>
    <n v="-3.1464338000000001"/>
    <s v="Direct"/>
    <s v="actin filament severing"/>
  </r>
  <r>
    <x v="0"/>
    <x v="2"/>
    <s v="Ofaveolata013471"/>
    <m/>
    <n v="1.9555240199999999"/>
    <n v="1.4035885800000001"/>
    <s v="Direct"/>
    <s v="Glutathione S-transferase"/>
  </r>
  <r>
    <x v="0"/>
    <x v="2"/>
    <s v="Ofaveolata013484"/>
    <m/>
    <n v="-1.6040474"/>
    <n v="-2.6377959999999998"/>
    <s v="Direct"/>
    <s v="identical protein binding"/>
  </r>
  <r>
    <x v="0"/>
    <x v="2"/>
    <s v="Ofaveolata013485"/>
    <m/>
    <n v="-2.8605355000000001"/>
    <n v="-2.6872262"/>
    <s v="Direct"/>
    <s v="glycogen (starch) synthase activity"/>
  </r>
  <r>
    <x v="0"/>
    <x v="2"/>
    <s v="Ofaveolata013489"/>
    <m/>
    <n v="-1.0575482"/>
    <n v="-1.3256929"/>
    <s v="Direct"/>
    <s v="Transfers N-acetylgalactosamine (GalNAc) from UDP-GalNAc to N-acetylglucosamine-beta-benzyl with a beta-1,4-linkage to form N,N'-diacetyllactosediamine, GalNAc-beta-1,4-GlcNAc structures in N-linked glycans and probably O-linked glycans"/>
  </r>
  <r>
    <x v="0"/>
    <x v="2"/>
    <s v="Ofaveolata013495"/>
    <m/>
    <n v="1.98006014"/>
    <n v="2.8154782300000001"/>
    <s v="Direct"/>
    <s v="protein-hormone receptor activity"/>
  </r>
  <r>
    <x v="0"/>
    <x v="2"/>
    <s v="Ofaveolata013501"/>
    <m/>
    <n v="-7.3972883999999999"/>
    <n v="-7.3161357000000002"/>
    <s v="Direct"/>
    <s v="actin filament severing"/>
  </r>
  <r>
    <x v="0"/>
    <x v="2"/>
    <s v="Ofaveolata013505"/>
    <m/>
    <n v="3.9477156899999999"/>
    <n v="2.6268767300000002"/>
    <s v="Direct"/>
    <s v="NA"/>
  </r>
  <r>
    <x v="0"/>
    <x v="2"/>
    <s v="Ofaveolata013512"/>
    <m/>
    <n v="-2.4701876"/>
    <n v="-1.4043322"/>
    <s v="Direct"/>
    <s v="positive regulation of testosterone secretion"/>
  </r>
  <r>
    <x v="0"/>
    <x v="2"/>
    <s v="Ofaveolata013513"/>
    <m/>
    <n v="3.5651622999999999"/>
    <n v="2.4035638399999999"/>
    <s v="Direct"/>
    <s v="xylosyltransferase activity"/>
  </r>
  <r>
    <x v="0"/>
    <x v="2"/>
    <s v="Ofaveolata013518"/>
    <m/>
    <n v="-5.9460506999999998"/>
    <n v="-1.7066406999999999"/>
    <s v="Direct"/>
    <s v="Neuronal PAS"/>
  </r>
  <r>
    <x v="0"/>
    <x v="2"/>
    <s v="Ofaveolata013543"/>
    <m/>
    <n v="1.38573379"/>
    <n v="1.5362275299999999"/>
    <s v="Direct"/>
    <s v="Broad-Complex, Tramtrack and Bric a brac"/>
  </r>
  <r>
    <x v="0"/>
    <x v="2"/>
    <s v="Ofaveolata013547"/>
    <m/>
    <n v="-1.5086042"/>
    <n v="-1.4570921999999999"/>
    <s v="Direct"/>
    <s v="signal recognition particle binding"/>
  </r>
  <r>
    <x v="0"/>
    <x v="2"/>
    <s v="Ofaveolata013549"/>
    <m/>
    <n v="-3.5573421000000001"/>
    <n v="-1.9101756000000001"/>
    <s v="Direct"/>
    <s v="calcium ion binding"/>
  </r>
  <r>
    <x v="0"/>
    <x v="2"/>
    <s v="Ofaveolata013555"/>
    <m/>
    <n v="-2.7154289"/>
    <n v="-1.9011544"/>
    <s v="Direct"/>
    <s v="FMN transmembrane transporter activity"/>
  </r>
  <r>
    <x v="0"/>
    <x v="2"/>
    <s v="Ofaveolata013565"/>
    <m/>
    <n v="-2.0930518999999999"/>
    <n v="-2.3563206999999999"/>
    <s v="Direct"/>
    <s v="NA"/>
  </r>
  <r>
    <x v="0"/>
    <x v="2"/>
    <s v="Ofaveolata013569"/>
    <m/>
    <n v="1.1193432400000001"/>
    <n v="2.1871328600000002"/>
    <s v="Direct"/>
    <s v="complement activation, classical pathway"/>
  </r>
  <r>
    <x v="0"/>
    <x v="2"/>
    <s v="Ofaveolata013580"/>
    <m/>
    <n v="-2.7213837999999999"/>
    <n v="-3.8608321000000001"/>
    <s v="Direct"/>
    <s v="Mitochondrial import receptor subunit TOM22 homolog"/>
  </r>
  <r>
    <x v="0"/>
    <x v="2"/>
    <s v="Ofaveolata013586"/>
    <m/>
    <n v="1.87497329"/>
    <n v="1.0777436899999999"/>
    <s v="Direct"/>
    <s v="NA"/>
  </r>
  <r>
    <x v="0"/>
    <x v="2"/>
    <s v="Ofaveolata013593"/>
    <m/>
    <n v="-1.6137067"/>
    <n v="-2.0217276000000002"/>
    <s v="Direct"/>
    <s v="lipid A metabolic process"/>
  </r>
  <r>
    <x v="0"/>
    <x v="2"/>
    <s v="Ofaveolata013615"/>
    <m/>
    <n v="1.6062452700000001"/>
    <n v="1.8501128099999999"/>
    <s v="Direct"/>
    <s v="mitochondrial respiratory chain complex IV assembly"/>
  </r>
  <r>
    <x v="0"/>
    <x v="2"/>
    <s v="Ofaveolata013633"/>
    <m/>
    <n v="2.2193911499999999"/>
    <n v="1.05264209"/>
    <s v="Direct"/>
    <s v="NA"/>
  </r>
  <r>
    <x v="0"/>
    <x v="2"/>
    <s v="Ofaveolata013634"/>
    <m/>
    <n v="1.23790533"/>
    <n v="2.2134284800000001"/>
    <s v="Direct"/>
    <s v="Luc7-like protein 3"/>
  </r>
  <r>
    <x v="0"/>
    <x v="2"/>
    <s v="Ofaveolata013651"/>
    <m/>
    <n v="-1.0136045"/>
    <n v="-1.5101586"/>
    <s v="Direct"/>
    <s v="Mitochondrial membrane ATP synthase (F(1)F(0) ATP synthase or Complex V) produces ATP from ADP in the presence of a proton gradient across the membrane which is generated by electron transport complexes of the respiratory chain. F-type ATPases consist of "/>
  </r>
  <r>
    <x v="0"/>
    <x v="2"/>
    <s v="Ofaveolata013659"/>
    <m/>
    <n v="-2.5027686"/>
    <n v="-2.3991804000000001"/>
    <s v="Direct"/>
    <s v="ribosomal large subunit assembly"/>
  </r>
  <r>
    <x v="0"/>
    <x v="2"/>
    <s v="Ofaveolata013665"/>
    <m/>
    <n v="6.5323156999999998"/>
    <n v="5.7099937599999997"/>
    <s v="Direct"/>
    <s v="NA"/>
  </r>
  <r>
    <x v="0"/>
    <x v="2"/>
    <s v="Ofaveolata013671"/>
    <m/>
    <n v="-1.8960094000000001"/>
    <n v="-1.8633123"/>
    <s v="Direct"/>
    <s v="Clusterin-associated protein 1"/>
  </r>
  <r>
    <x v="0"/>
    <x v="2"/>
    <s v="Ofaveolata013685"/>
    <m/>
    <n v="1.1293549199999999"/>
    <n v="2.70262878"/>
    <s v="Direct"/>
    <s v="NA"/>
  </r>
  <r>
    <x v="0"/>
    <x v="2"/>
    <s v="Ofaveolata013725"/>
    <m/>
    <n v="-1.6451427000000001"/>
    <n v="-1.0969628"/>
    <s v="Direct"/>
    <s v="Involved in intracellular signal transduction mediated by cytokines and growth factors. When associated with STAM, it suppresses DNA signaling upon stimulation by IL-2 and GM-CSF. Could be a direct effector of PI3-kinase in vesicular pathway via early end"/>
  </r>
  <r>
    <x v="0"/>
    <x v="2"/>
    <s v="Ofaveolata013726"/>
    <m/>
    <n v="-1.8453828000000001"/>
    <n v="-1.6584227"/>
    <s v="Direct"/>
    <s v="regulation of glucose import"/>
  </r>
  <r>
    <x v="0"/>
    <x v="2"/>
    <s v="Ofaveolata013730"/>
    <m/>
    <n v="-1.7750394"/>
    <n v="-3.0929649000000001"/>
    <s v="Direct"/>
    <s v="NA"/>
  </r>
  <r>
    <x v="0"/>
    <x v="2"/>
    <s v="Ofaveolata013758"/>
    <m/>
    <n v="-1.9040087000000001"/>
    <n v="-1.0509042"/>
    <s v="Direct"/>
    <s v="long-chain fatty acid catabolic process"/>
  </r>
  <r>
    <x v="0"/>
    <x v="2"/>
    <s v="Ofaveolata013791"/>
    <m/>
    <n v="-1.6382582999999999"/>
    <n v="-2.0477740999999998"/>
    <s v="Direct"/>
    <s v="NA"/>
  </r>
  <r>
    <x v="0"/>
    <x v="2"/>
    <s v="Ofaveolata013794"/>
    <m/>
    <n v="1.6700870699999999"/>
    <n v="2.4936718400000002"/>
    <s v="Direct"/>
    <s v="7 transmembrane receptor (rhodopsin family)"/>
  </r>
  <r>
    <x v="0"/>
    <x v="2"/>
    <s v="Ofaveolata013818"/>
    <m/>
    <n v="-4.1238365000000003"/>
    <n v="-6.9626174000000001"/>
    <s v="Direct"/>
    <s v="Glutathione S-transferase, N-terminal domain"/>
  </r>
  <r>
    <x v="0"/>
    <x v="2"/>
    <s v="Ofaveolata013841"/>
    <m/>
    <n v="1.4360031900000001"/>
    <n v="1.8228641400000001"/>
    <s v="Direct"/>
    <s v="DNA binding"/>
  </r>
  <r>
    <x v="0"/>
    <x v="2"/>
    <s v="Ofaveolata013861"/>
    <m/>
    <n v="1.57366484"/>
    <n v="1.57974061"/>
    <s v="Direct"/>
    <s v="RNA-binding protein Luc7-like"/>
  </r>
  <r>
    <x v="0"/>
    <x v="2"/>
    <s v="Ofaveolata013866"/>
    <m/>
    <n v="4.1127190799999997"/>
    <n v="2.6959467300000002"/>
    <s v="Direct"/>
    <s v="NA"/>
  </r>
  <r>
    <x v="0"/>
    <x v="2"/>
    <s v="Ofaveolata013894"/>
    <m/>
    <n v="-2.8133127999999998"/>
    <n v="-2.2736776000000001"/>
    <s v="Direct"/>
    <s v="cilium disassembly"/>
  </r>
  <r>
    <x v="0"/>
    <x v="2"/>
    <s v="Ofaveolata013926"/>
    <m/>
    <n v="2.3068215099999998"/>
    <n v="1.3110971499999999"/>
    <s v="Direct"/>
    <s v="NA"/>
  </r>
  <r>
    <x v="0"/>
    <x v="2"/>
    <s v="Ofaveolata013934"/>
    <m/>
    <n v="-2.1808396000000001"/>
    <n v="-2.0833181000000001"/>
    <s v="Direct"/>
    <s v="NA"/>
  </r>
  <r>
    <x v="0"/>
    <x v="2"/>
    <s v="Ofaveolata013955"/>
    <m/>
    <n v="2.1716455799999999"/>
    <n v="1.32569293"/>
    <s v="Direct"/>
    <s v="SOCS box"/>
  </r>
  <r>
    <x v="0"/>
    <x v="2"/>
    <s v="Ofaveolata013965"/>
    <m/>
    <n v="-1.8831499"/>
    <n v="-2.0840926"/>
    <s v="Direct"/>
    <s v="NA"/>
  </r>
  <r>
    <x v="0"/>
    <x v="2"/>
    <s v="Ofaveolata013966"/>
    <m/>
    <n v="-5.5288168999999998"/>
    <n v="-4.6051307000000001"/>
    <s v="Direct"/>
    <s v="ATPase activity, coupled to transmembrane movement of substances"/>
  </r>
  <r>
    <x v="0"/>
    <x v="2"/>
    <s v="Ofaveolata013974"/>
    <m/>
    <n v="-2.4069134000000001"/>
    <n v="-2.1807503000000001"/>
    <s v="Direct"/>
    <s v="rRNA export from nucleus"/>
  </r>
  <r>
    <x v="0"/>
    <x v="2"/>
    <s v="Ofaveolata013983"/>
    <m/>
    <n v="1.5366096600000001"/>
    <n v="1.1949990800000001"/>
    <s v="Direct"/>
    <s v="Helicase associated domain (HA2) Add an annotation"/>
  </r>
  <r>
    <x v="0"/>
    <x v="2"/>
    <s v="Ofaveolata013988"/>
    <m/>
    <n v="2.09305188"/>
    <n v="1.76877748"/>
    <s v="Direct"/>
    <s v="NA"/>
  </r>
  <r>
    <x v="0"/>
    <x v="2"/>
    <s v="Ofaveolata013990"/>
    <m/>
    <n v="-1.1027815000000001"/>
    <n v="-1.29739"/>
    <s v="Direct"/>
    <s v="protein processing involved in protein targeting to mitochondrion"/>
  </r>
  <r>
    <x v="0"/>
    <x v="2"/>
    <s v="Ofaveolata013991"/>
    <m/>
    <n v="-3.0848974999999998"/>
    <n v="-4.4174265999999998"/>
    <s v="Direct"/>
    <s v="NA"/>
  </r>
  <r>
    <x v="0"/>
    <x v="2"/>
    <s v="Ofaveolata013995"/>
    <m/>
    <n v="2.9482763300000001"/>
    <n v="1.6240248399999999"/>
    <s v="Direct"/>
    <s v="actin filament bundle assembly"/>
  </r>
  <r>
    <x v="0"/>
    <x v="2"/>
    <s v="Ofaveolata014006"/>
    <m/>
    <n v="9.9479958699999997"/>
    <n v="8.5616012599999998"/>
    <s v="Direct"/>
    <s v="Histone H1-delta-like"/>
  </r>
  <r>
    <x v="0"/>
    <x v="2"/>
    <s v="Ofaveolata014030"/>
    <m/>
    <n v="1.6157943800000001"/>
    <n v="1.5189690600000001"/>
    <s v="Direct"/>
    <s v="RNA binding"/>
  </r>
  <r>
    <x v="0"/>
    <x v="2"/>
    <s v="Ofaveolata014033"/>
    <m/>
    <n v="-1.0358428"/>
    <n v="-1.1173846000000001"/>
    <s v="Direct"/>
    <s v="NA"/>
  </r>
  <r>
    <x v="0"/>
    <x v="2"/>
    <s v="Ofaveolata014037"/>
    <m/>
    <n v="-2.7146913000000001"/>
    <n v="-2.6358022999999999"/>
    <s v="Direct"/>
    <s v="mannosyl-glycoprotein endo-beta-N-acetylglucosaminidase activity"/>
  </r>
  <r>
    <x v="0"/>
    <x v="2"/>
    <s v="Ofaveolata014042"/>
    <m/>
    <n v="1.4071293499999999"/>
    <n v="1.7234409399999999"/>
    <s v="Direct"/>
    <s v="NA"/>
  </r>
  <r>
    <x v="0"/>
    <x v="2"/>
    <s v="Ofaveolata014048"/>
    <m/>
    <n v="2.5341509699999998"/>
    <n v="1.4043321600000001"/>
    <s v="Direct"/>
    <s v="respiratory chain complex III assembly"/>
  </r>
  <r>
    <x v="0"/>
    <x v="2"/>
    <s v="Ofaveolata014052"/>
    <m/>
    <n v="-1.7314503999999999"/>
    <n v="-2.4490588999999998"/>
    <s v="Direct"/>
    <s v="protein C16orf52 homolog"/>
  </r>
  <r>
    <x v="0"/>
    <x v="2"/>
    <s v="Ofaveolata014085"/>
    <m/>
    <n v="-1.5198434000000001"/>
    <n v="-1.1586075"/>
    <s v="Direct"/>
    <s v="NA"/>
  </r>
  <r>
    <x v="0"/>
    <x v="2"/>
    <s v="Ofaveolata014091"/>
    <m/>
    <n v="1.5867818899999999"/>
    <n v="1.5753047099999999"/>
    <s v="Direct"/>
    <s v="NA"/>
  </r>
  <r>
    <x v="0"/>
    <x v="2"/>
    <s v="Ofaveolata014115"/>
    <m/>
    <n v="-3.1908310000000002"/>
    <n v="-1.8292908999999999"/>
    <s v="Direct"/>
    <s v="Component of the eukaryotic translation initiation factor 3 (eIF-3) complex, which is involved in protein synthesis and, together with other initiation factors, stimulates binding of mRNA and methionyl-tRNAi to the 40S ribosome"/>
  </r>
  <r>
    <x v="0"/>
    <x v="2"/>
    <s v="Ofaveolata014132"/>
    <m/>
    <n v="-4.3948469000000001"/>
    <n v="-2.5393840000000001"/>
    <s v="Direct"/>
    <s v="polycomb"/>
  </r>
  <r>
    <x v="0"/>
    <x v="2"/>
    <s v="Ofaveolata014189"/>
    <m/>
    <n v="-2.7907993000000002"/>
    <n v="-2.1051313999999999"/>
    <s v="Direct"/>
    <s v="alpha-L-fucosidase activity"/>
  </r>
  <r>
    <x v="0"/>
    <x v="2"/>
    <s v="Ofaveolata014202"/>
    <m/>
    <n v="-2.9783727"/>
    <n v="-2.9352504000000001"/>
    <s v="Direct"/>
    <s v="Transmembrane channel-like"/>
  </r>
  <r>
    <x v="0"/>
    <x v="2"/>
    <s v="Ofaveolata014247"/>
    <m/>
    <n v="4.5028882000000001"/>
    <n v="2.2179174800000001"/>
    <s v="Direct"/>
    <s v="NA"/>
  </r>
  <r>
    <x v="0"/>
    <x v="2"/>
    <s v="Ofaveolata014249"/>
    <m/>
    <n v="-2.7506292000000001"/>
    <n v="-2.4159427"/>
    <s v="Direct"/>
    <s v="DBH-like monooxygenase protein 1"/>
  </r>
  <r>
    <x v="0"/>
    <x v="2"/>
    <s v="Ofaveolata014266"/>
    <m/>
    <n v="-1.6157306"/>
    <n v="-1.1752762999999999"/>
    <s v="Direct"/>
    <s v="ArfGAP with dual PH"/>
  </r>
  <r>
    <x v="0"/>
    <x v="2"/>
    <s v="Ofaveolata014317"/>
    <m/>
    <n v="-2.4736392"/>
    <n v="-2.242359"/>
    <s v="Direct"/>
    <s v="belongs to the actin family"/>
  </r>
  <r>
    <x v="0"/>
    <x v="2"/>
    <s v="Ofaveolata014321"/>
    <m/>
    <n v="-2.4480936"/>
    <n v="-2.0518366000000001"/>
    <s v="Direct"/>
    <s v="NA"/>
  </r>
  <r>
    <x v="0"/>
    <x v="2"/>
    <s v="Ofaveolata014337"/>
    <m/>
    <n v="1.57624483"/>
    <n v="3.0162941999999999"/>
    <s v="Direct"/>
    <s v="NA"/>
  </r>
  <r>
    <x v="0"/>
    <x v="2"/>
    <s v="Ofaveolata014351"/>
    <m/>
    <n v="-2.6374094000000001"/>
    <n v="-1.2889919999999999"/>
    <s v="Direct"/>
    <s v="D-erythro-sphingosine kinase activity"/>
  </r>
  <r>
    <x v="0"/>
    <x v="2"/>
    <s v="Ofaveolata014376"/>
    <m/>
    <n v="-6.5201409999999997"/>
    <n v="-3.9231310000000001"/>
    <s v="Direct"/>
    <s v="glycine biosynthetic process from serine"/>
  </r>
  <r>
    <x v="0"/>
    <x v="2"/>
    <s v="Ofaveolata014380"/>
    <m/>
    <n v="-1.2101375000000001"/>
    <n v="-1.2709809999999999"/>
    <s v="Direct"/>
    <s v="PHD finger-like domain-containing protein 5A"/>
  </r>
  <r>
    <x v="0"/>
    <x v="2"/>
    <s v="Ofaveolata014387"/>
    <m/>
    <n v="-1.5211716"/>
    <n v="-1.0126945000000001"/>
    <s v="Direct"/>
    <s v="phosphatidylinositol transporter activity"/>
  </r>
  <r>
    <x v="0"/>
    <x v="2"/>
    <s v="Ofaveolata014398"/>
    <m/>
    <n v="1.1112347199999999"/>
    <n v="1.28881633"/>
    <s v="Direct"/>
    <s v="NA"/>
  </r>
  <r>
    <x v="0"/>
    <x v="2"/>
    <s v="Ofaveolata014408"/>
    <m/>
    <n v="-1.9383513000000001"/>
    <n v="-2.0671368999999999"/>
    <s v="Direct"/>
    <s v="NA"/>
  </r>
  <r>
    <x v="0"/>
    <x v="2"/>
    <s v="Ofaveolata014436"/>
    <m/>
    <n v="1.3786644800000001"/>
    <n v="1.36855434"/>
    <s v="Direct"/>
    <s v="inhibition of cysteine-type endopeptidase activity involved in apoptotic process"/>
  </r>
  <r>
    <x v="0"/>
    <x v="2"/>
    <s v="Ofaveolata014437"/>
    <m/>
    <n v="-1.5459609000000001"/>
    <n v="-1.2172525999999999"/>
    <s v="Direct"/>
    <s v="negative regulation of RIG-I signaling pathway"/>
  </r>
  <r>
    <x v="0"/>
    <x v="2"/>
    <s v="Ofaveolata014442"/>
    <m/>
    <n v="-3.5540888000000002"/>
    <n v="-1.7092335999999999"/>
    <s v="Direct"/>
    <s v="ubiquinone biosynthetic process"/>
  </r>
  <r>
    <x v="0"/>
    <x v="2"/>
    <s v="Ofaveolata014453"/>
    <m/>
    <n v="2.75342025"/>
    <n v="1.86154771"/>
    <s v="Direct"/>
    <s v="Lipoxygenase"/>
  </r>
  <r>
    <x v="0"/>
    <x v="2"/>
    <s v="Ofaveolata014463"/>
    <m/>
    <n v="-1.5280332000000001"/>
    <n v="-1.7748325"/>
    <s v="Direct"/>
    <s v="ion transport"/>
  </r>
  <r>
    <x v="0"/>
    <x v="2"/>
    <s v="Ofaveolata014473"/>
    <m/>
    <n v="-10.101601"/>
    <n v="-8.7002501999999993"/>
    <s v="Direct"/>
    <s v="NA"/>
  </r>
  <r>
    <x v="0"/>
    <x v="2"/>
    <s v="Ofaveolata014482"/>
    <m/>
    <n v="2.89510559"/>
    <n v="3.44003163"/>
    <s v="Direct"/>
    <s v="protein glycosylation in Golgi"/>
  </r>
  <r>
    <x v="0"/>
    <x v="2"/>
    <s v="Ofaveolata014495"/>
    <m/>
    <n v="-5.4043932999999997"/>
    <n v="-3.9352209999999999"/>
    <s v="Direct"/>
    <s v="cytoplasmic translational termination"/>
  </r>
  <r>
    <x v="0"/>
    <x v="2"/>
    <s v="Ofaveolata014499"/>
    <m/>
    <n v="-1.7101382000000001"/>
    <n v="-1.005633"/>
    <s v="Direct"/>
    <s v="Domain of unknown function (DUF4588)"/>
  </r>
  <r>
    <x v="0"/>
    <x v="2"/>
    <s v="Ofaveolata014500"/>
    <m/>
    <n v="-1.6011226999999999"/>
    <n v="-2.038656"/>
    <s v="Direct"/>
    <s v="ribosomal protein L12"/>
  </r>
  <r>
    <x v="0"/>
    <x v="2"/>
    <s v="Ofaveolata014545"/>
    <m/>
    <n v="-2.3958917"/>
    <n v="-3.5067168"/>
    <s v="Direct"/>
    <s v="Meiosis expressed gene 1 protein homolog"/>
  </r>
  <r>
    <x v="0"/>
    <x v="2"/>
    <s v="Ofaveolata014546"/>
    <m/>
    <n v="-1.2033601"/>
    <n v="-1.128695"/>
    <s v="Direct"/>
    <s v="protein-cysteine S-acyltransferase activity"/>
  </r>
  <r>
    <x v="0"/>
    <x v="2"/>
    <s v="Ofaveolata014557"/>
    <m/>
    <n v="-1.0530851999999999"/>
    <n v="-1.3002023"/>
    <s v="Direct"/>
    <s v="transferase activity"/>
  </r>
  <r>
    <x v="0"/>
    <x v="2"/>
    <s v="Ofaveolata014567"/>
    <m/>
    <n v="-1.8964973000000001"/>
    <n v="-1.2800471"/>
    <s v="Direct"/>
    <s v="actin filament severing"/>
  </r>
  <r>
    <x v="0"/>
    <x v="2"/>
    <s v="Ofaveolata014591"/>
    <m/>
    <n v="-3.7445105999999999"/>
    <n v="-2.7026509000000001"/>
    <s v="Direct"/>
    <s v="RNA splicing"/>
  </r>
  <r>
    <x v="0"/>
    <x v="2"/>
    <s v="Ofaveolata014620"/>
    <m/>
    <n v="-1.335486"/>
    <n v="-1.6289886"/>
    <s v="Direct"/>
    <s v="Endoplasmic reticulum to nucleus signaling"/>
  </r>
  <r>
    <x v="0"/>
    <x v="2"/>
    <s v="Ofaveolata014631"/>
    <m/>
    <n v="-3.0436358000000001"/>
    <n v="-3.1864775999999999"/>
    <s v="Direct"/>
    <s v="protein disulfide isomerase activity"/>
  </r>
  <r>
    <x v="0"/>
    <x v="2"/>
    <s v="Ofaveolata014635"/>
    <m/>
    <n v="-1.0281020000000001"/>
    <n v="-1.5667365"/>
    <s v="Direct"/>
    <s v="intraciliary transport"/>
  </r>
  <r>
    <x v="0"/>
    <x v="2"/>
    <s v="Ofaveolata014637"/>
    <m/>
    <n v="-1.7557255"/>
    <n v="-1.5859546"/>
    <s v="Direct"/>
    <s v="tRNA-dihydrouridine(16 17) synthase NAD(P)( ) -like"/>
  </r>
  <r>
    <x v="0"/>
    <x v="2"/>
    <s v="Ofaveolata014671"/>
    <m/>
    <n v="-3.6197978000000002"/>
    <n v="-5.7209493"/>
    <s v="Direct"/>
    <s v="WAP four-disulfide core domain"/>
  </r>
  <r>
    <x v="0"/>
    <x v="2"/>
    <s v="Ofaveolata014691"/>
    <m/>
    <n v="-1.4389479000000001"/>
    <n v="-2.5997176999999998"/>
    <s v="Direct"/>
    <s v="steroid hormone mediated signaling pathway"/>
  </r>
  <r>
    <x v="0"/>
    <x v="2"/>
    <s v="Ofaveolata014692"/>
    <m/>
    <n v="-5.0494583000000004"/>
    <n v="-6.859286"/>
    <s v="Direct"/>
    <s v="alpha-L-fucosidase activity"/>
  </r>
  <r>
    <x v="0"/>
    <x v="2"/>
    <s v="Ofaveolata014693"/>
    <m/>
    <n v="-1.4254157000000001"/>
    <n v="-3.2706903000000001"/>
    <s v="Direct"/>
    <s v="alpha-L-fucosidase activity"/>
  </r>
  <r>
    <x v="0"/>
    <x v="2"/>
    <s v="Ofaveolata014694"/>
    <m/>
    <n v="-2.9076890999999998"/>
    <n v="-2.0854727"/>
    <s v="Direct"/>
    <s v="phosphomannomutase activity"/>
  </r>
  <r>
    <x v="0"/>
    <x v="2"/>
    <s v="Ofaveolata014705"/>
    <m/>
    <n v="-1.8100655999999999"/>
    <n v="-1.7873270000000001"/>
    <s v="Direct"/>
    <s v="structural constituent of ribosome"/>
  </r>
  <r>
    <x v="0"/>
    <x v="2"/>
    <s v="Ofaveolata014718"/>
    <m/>
    <n v="1.05736283"/>
    <n v="1.6643761699999999"/>
    <s v="Direct"/>
    <s v="Nucleosome-remodeling factor subunit BPTF"/>
  </r>
  <r>
    <x v="0"/>
    <x v="2"/>
    <s v="Ofaveolata014719"/>
    <m/>
    <n v="-2.7325955"/>
    <n v="-3.0774309999999998"/>
    <s v="Direct"/>
    <s v="NA"/>
  </r>
  <r>
    <x v="0"/>
    <x v="2"/>
    <s v="Ofaveolata014728"/>
    <m/>
    <n v="-1.6497143999999999"/>
    <n v="-1.7334179999999999"/>
    <s v="Direct"/>
    <s v="Belongs to the glycosyl hydrolase 18 family"/>
  </r>
  <r>
    <x v="0"/>
    <x v="2"/>
    <s v="Ofaveolata014737"/>
    <m/>
    <n v="-1.1423521999999999"/>
    <n v="-2.5731856"/>
    <s v="Direct"/>
    <s v="7 transmembrane receptor (rhodopsin family)"/>
  </r>
  <r>
    <x v="0"/>
    <x v="2"/>
    <s v="Ofaveolata014740"/>
    <m/>
    <n v="-1.5681938"/>
    <n v="-1.2273147"/>
    <s v="Direct"/>
    <s v="Serine threonine-protein phosphatase"/>
  </r>
  <r>
    <x v="0"/>
    <x v="2"/>
    <s v="Ofaveolata014743"/>
    <m/>
    <n v="-2.1968850999999998"/>
    <n v="-1.1906737999999999"/>
    <s v="Direct"/>
    <s v="NA"/>
  </r>
  <r>
    <x v="0"/>
    <x v="2"/>
    <s v="Ofaveolata014749"/>
    <m/>
    <n v="-2.2268276"/>
    <n v="-2.4095721000000001"/>
    <s v="Direct"/>
    <s v="RNA polymerase II intronic transcription regulatory region sequence-specific DNA binding"/>
  </r>
  <r>
    <x v="0"/>
    <x v="2"/>
    <s v="Ofaveolata014771"/>
    <m/>
    <n v="1.9058799399999999"/>
    <n v="2.8736498699999999"/>
    <s v="Direct"/>
    <s v="AP endonuclease family 2"/>
  </r>
  <r>
    <x v="0"/>
    <x v="2"/>
    <s v="Ofaveolata014777"/>
    <m/>
    <n v="3.24880075"/>
    <n v="2.15887648"/>
    <s v="Direct"/>
    <s v="intracellular chloride channel activity"/>
  </r>
  <r>
    <x v="0"/>
    <x v="2"/>
    <s v="Ofaveolata014778"/>
    <m/>
    <n v="1.4805520299999999"/>
    <n v="2.27882389"/>
    <s v="Direct"/>
    <s v="intracellular chloride channel activity"/>
  </r>
  <r>
    <x v="0"/>
    <x v="2"/>
    <s v="Ofaveolata014784"/>
    <m/>
    <n v="2.11806648"/>
    <n v="1.3602902699999999"/>
    <s v="Direct"/>
    <s v="positive regulation of synapse structural plasticity"/>
  </r>
  <r>
    <x v="0"/>
    <x v="2"/>
    <s v="Ofaveolata014831"/>
    <m/>
    <n v="-1.2733190000000001"/>
    <n v="-1.0896729000000001"/>
    <s v="Direct"/>
    <s v="calcium, potassium:sodium antiporter activity"/>
  </r>
  <r>
    <x v="0"/>
    <x v="2"/>
    <s v="Ofaveolata014832"/>
    <m/>
    <n v="-5.4634777000000003"/>
    <n v="-2.5675287999999998"/>
    <s v="Direct"/>
    <s v="calcium, potassium:sodium antiporter activity"/>
  </r>
  <r>
    <x v="0"/>
    <x v="2"/>
    <s v="Ofaveolata014836"/>
    <m/>
    <n v="3.17668689"/>
    <n v="1.84538387"/>
    <s v="Direct"/>
    <s v="DNA-binding transcription factor activity, RNA polymerase II-specific"/>
  </r>
  <r>
    <x v="0"/>
    <x v="2"/>
    <s v="Ofaveolata014858"/>
    <m/>
    <n v="-1.0289741999999999"/>
    <n v="-1.2393592"/>
    <s v="Direct"/>
    <s v="Dermatopontin"/>
  </r>
  <r>
    <x v="0"/>
    <x v="2"/>
    <s v="Ofaveolata014876"/>
    <m/>
    <n v="-2.4441201000000001"/>
    <n v="-1.8813249000000001"/>
    <s v="Direct"/>
    <s v="GTPase activity"/>
  </r>
  <r>
    <x v="0"/>
    <x v="2"/>
    <s v="Ofaveolata014878"/>
    <m/>
    <n v="-1.0964604"/>
    <n v="-1.512086"/>
    <s v="Direct"/>
    <s v="Inward rectifier potassium channel"/>
  </r>
  <r>
    <x v="0"/>
    <x v="2"/>
    <s v="Ofaveolata014883"/>
    <m/>
    <n v="1.52778572"/>
    <n v="2.6150725399999999"/>
    <s v="Direct"/>
    <s v="NA"/>
  </r>
  <r>
    <x v="0"/>
    <x v="2"/>
    <s v="Ofaveolata014903"/>
    <m/>
    <n v="-2.6972773999999999"/>
    <n v="-1.1549126000000001"/>
    <s v="Direct"/>
    <s v="G-protein coupled receptor activity"/>
  </r>
  <r>
    <x v="0"/>
    <x v="2"/>
    <s v="Ofaveolata014914"/>
    <m/>
    <n v="-1.7205128000000001"/>
    <n v="-1.4233359000000001"/>
    <s v="Direct"/>
    <s v="Dermatopontin"/>
  </r>
  <r>
    <x v="0"/>
    <x v="2"/>
    <s v="Ofaveolata014923"/>
    <m/>
    <n v="-6.4681962999999998"/>
    <n v="-4.7094576000000004"/>
    <s v="Direct"/>
    <s v="pri-miRNA transcription by RNA polymerase II"/>
  </r>
  <r>
    <x v="0"/>
    <x v="2"/>
    <s v="Ofaveolata014925"/>
    <m/>
    <n v="-3.75868"/>
    <n v="-2.0647514"/>
    <s v="Direct"/>
    <s v="NA"/>
  </r>
  <r>
    <x v="0"/>
    <x v="2"/>
    <s v="Ofaveolata014947"/>
    <m/>
    <n v="-8.3495024000000004"/>
    <n v="-6.9305494999999997"/>
    <s v="Direct"/>
    <s v="MFS_1 like family"/>
  </r>
  <r>
    <x v="0"/>
    <x v="2"/>
    <s v="Ofaveolata014949"/>
    <m/>
    <n v="-2.4021992999999999"/>
    <n v="-1.0583431000000001"/>
    <s v="Direct"/>
    <s v="Major facilitator superfamily domain-containing protein 6-like"/>
  </r>
  <r>
    <x v="0"/>
    <x v="2"/>
    <s v="Ofaveolata014951"/>
    <m/>
    <n v="-1.6926654000000001"/>
    <n v="-1.3685543"/>
    <s v="Direct"/>
    <s v="L-asparagine biosynthetic process"/>
  </r>
  <r>
    <x v="0"/>
    <x v="2"/>
    <s v="Ofaveolata014959"/>
    <m/>
    <n v="-10.044302"/>
    <n v="-7.3397568"/>
    <s v="Direct"/>
    <s v="ER overload response"/>
  </r>
  <r>
    <x v="0"/>
    <x v="2"/>
    <s v="Ofaveolata014961"/>
    <m/>
    <n v="1.1327071900000001"/>
    <n v="1.5425196800000001"/>
    <s v="Direct"/>
    <s v="Erythrocyte membrane protein band 4.1 like"/>
  </r>
  <r>
    <x v="0"/>
    <x v="2"/>
    <s v="Ofaveolata014970"/>
    <m/>
    <n v="-1.6644481"/>
    <n v="-2.1639097"/>
    <s v="Direct"/>
    <s v="negative regulation of protein localization to ciliary membrane"/>
  </r>
  <r>
    <x v="0"/>
    <x v="2"/>
    <s v="Ofaveolata014975"/>
    <m/>
    <n v="-12.018731000000001"/>
    <n v="-6.5186299999999999"/>
    <s v="Direct"/>
    <s v="NA"/>
  </r>
  <r>
    <x v="0"/>
    <x v="2"/>
    <s v="Ofaveolata014980"/>
    <m/>
    <n v="-1.5068157"/>
    <n v="-1.8674394999999999"/>
    <s v="Direct"/>
    <s v="Belongs to the short-chain dehydrogenases reductases (SDR) family"/>
  </r>
  <r>
    <x v="0"/>
    <x v="2"/>
    <s v="Ofaveolata014984"/>
    <m/>
    <n v="2.5733056400000001"/>
    <n v="2.5607130499999999"/>
    <s v="Direct"/>
    <s v="NA"/>
  </r>
  <r>
    <x v="0"/>
    <x v="2"/>
    <s v="Ofaveolata014995"/>
    <m/>
    <n v="-1.0211676000000001"/>
    <n v="-1.7929423"/>
    <s v="Direct"/>
    <s v="Functions as actin-binding component of the Arp2 3 complex which is involved in regulation of actin polymerization and together with an activating nucleation-promoting factor (NPF) mediates the formation of branched actin networks"/>
  </r>
  <r>
    <x v="0"/>
    <x v="2"/>
    <s v="Ofaveolata015057"/>
    <m/>
    <n v="-1.8171834"/>
    <n v="-1.4486565"/>
    <s v="Direct"/>
    <s v="Fibrillar collagens C-terminal domain"/>
  </r>
  <r>
    <x v="0"/>
    <x v="2"/>
    <s v="Ofaveolata015059"/>
    <m/>
    <n v="-2.2137745"/>
    <n v="-2.1049481999999999"/>
    <s v="Direct"/>
    <s v="DNA replication origin binding"/>
  </r>
  <r>
    <x v="0"/>
    <x v="2"/>
    <s v="Ofaveolata015070"/>
    <m/>
    <n v="-2.6990006000000002"/>
    <n v="-1.104438"/>
    <s v="Direct"/>
    <s v="Chondroitin"/>
  </r>
  <r>
    <x v="0"/>
    <x v="2"/>
    <s v="Ofaveolata015089"/>
    <m/>
    <n v="2.3849038500000002"/>
    <n v="3.7106127299999998"/>
    <s v="Direct"/>
    <s v="coreceptor activity involved in Wnt signaling pathway, planar cell polarity pathway"/>
  </r>
  <r>
    <x v="0"/>
    <x v="2"/>
    <s v="Ofaveolata015101"/>
    <m/>
    <n v="-9.0251944000000002"/>
    <n v="-9.9448503000000006"/>
    <s v="Direct"/>
    <s v="NA"/>
  </r>
  <r>
    <x v="0"/>
    <x v="2"/>
    <s v="Ofaveolata015145"/>
    <m/>
    <n v="1.1829733499999999"/>
    <n v="1.55157984"/>
    <s v="Direct"/>
    <s v="NA"/>
  </r>
  <r>
    <x v="0"/>
    <x v="2"/>
    <s v="Ofaveolata015148"/>
    <m/>
    <n v="3.35001215"/>
    <n v="3.1433656299999999"/>
    <s v="Direct"/>
    <s v="NA"/>
  </r>
  <r>
    <x v="0"/>
    <x v="2"/>
    <s v="Ofaveolata015170"/>
    <m/>
    <n v="-1.2868592999999999"/>
    <n v="-1.0626973"/>
    <s v="Direct"/>
    <s v="NA"/>
  </r>
  <r>
    <x v="0"/>
    <x v="2"/>
    <s v="Ofaveolata015184"/>
    <m/>
    <n v="-1.674596"/>
    <n v="-2.5103412999999999"/>
    <s v="Direct"/>
    <s v="recombination hotspot binding"/>
  </r>
  <r>
    <x v="0"/>
    <x v="2"/>
    <s v="Ofaveolata015206"/>
    <m/>
    <n v="-2.3909047999999999"/>
    <n v="-2.0477740999999998"/>
    <s v="Direct"/>
    <s v="structural constituent of ribosome"/>
  </r>
  <r>
    <x v="0"/>
    <x v="2"/>
    <s v="Ofaveolata015208"/>
    <m/>
    <n v="5.3220153200000002"/>
    <n v="6.18968104"/>
    <s v="Direct"/>
    <s v="NA"/>
  </r>
  <r>
    <x v="0"/>
    <x v="2"/>
    <s v="Ofaveolata015215"/>
    <m/>
    <n v="-1.605013"/>
    <n v="-1.0806397999999999"/>
    <s v="Direct"/>
    <s v="Discs, large (Drosophila) homolog-associated protein"/>
  </r>
  <r>
    <x v="0"/>
    <x v="2"/>
    <s v="Ofaveolata015217"/>
    <m/>
    <n v="-3.6193578"/>
    <n v="-1.2316579000000001"/>
    <s v="Direct"/>
    <s v="O-fucosyltransferase 2"/>
  </r>
  <r>
    <x v="0"/>
    <x v="2"/>
    <s v="Ofaveolata015221"/>
    <m/>
    <n v="5.17815827"/>
    <n v="3.1875840700000002"/>
    <s v="Direct"/>
    <s v="glucose:sodium symporter activity"/>
  </r>
  <r>
    <x v="0"/>
    <x v="2"/>
    <s v="Ofaveolata015225"/>
    <m/>
    <n v="4.4956478600000001"/>
    <n v="2.12434514"/>
    <s v="Direct"/>
    <s v="NA"/>
  </r>
  <r>
    <x v="0"/>
    <x v="2"/>
    <s v="Ofaveolata015227"/>
    <m/>
    <n v="-2.6189092"/>
    <n v="-1.7175073999999999"/>
    <s v="Direct"/>
    <s v="NA"/>
  </r>
  <r>
    <x v="0"/>
    <x v="2"/>
    <s v="Ofaveolata015231"/>
    <m/>
    <n v="-2.1504843999999999"/>
    <n v="-1.5040427000000001"/>
    <s v="Direct"/>
    <s v="Solute carrier family 35, member B1"/>
  </r>
  <r>
    <x v="0"/>
    <x v="2"/>
    <s v="Ofaveolata015258"/>
    <m/>
    <n v="1.5151312299999999"/>
    <n v="1.9021844999999999"/>
    <s v="Direct"/>
    <s v="protein import into mitochondrial intermembrane space"/>
  </r>
  <r>
    <x v="0"/>
    <x v="2"/>
    <s v="Ofaveolata015263"/>
    <m/>
    <n v="-3.0895209000000001"/>
    <n v="-1.4424972"/>
    <s v="Direct"/>
    <s v="7 transmembrane receptor (rhodopsin family)"/>
  </r>
  <r>
    <x v="0"/>
    <x v="2"/>
    <s v="Ofaveolata015278"/>
    <m/>
    <n v="-1.8749733"/>
    <n v="-2.1721336999999998"/>
    <s v="Direct"/>
    <s v="fibroblast growth factor receptor binding"/>
  </r>
  <r>
    <x v="0"/>
    <x v="2"/>
    <s v="Ofaveolata015291"/>
    <m/>
    <n v="4.0777328300000004"/>
    <n v="1.44714597"/>
    <s v="Direct"/>
    <s v="regulation of mitotic metaphase/anaphase transition"/>
  </r>
  <r>
    <x v="0"/>
    <x v="2"/>
    <s v="Ofaveolata015296"/>
    <m/>
    <n v="-1.7264211"/>
    <n v="-2.0967516000000002"/>
    <s v="Direct"/>
    <s v="NA"/>
  </r>
  <r>
    <x v="0"/>
    <x v="2"/>
    <s v="Ofaveolata015320"/>
    <m/>
    <n v="-1.3272550000000001"/>
    <n v="-1.6276143000000001"/>
    <s v="Direct"/>
    <s v="ATP synthase subunit beta, mitochondrial"/>
  </r>
  <r>
    <x v="0"/>
    <x v="2"/>
    <s v="Ofaveolata015357"/>
    <m/>
    <n v="-4.8668725000000004"/>
    <n v="-4.805294"/>
    <s v="Direct"/>
    <s v="vesicle fusion with Golgi apparatus"/>
  </r>
  <r>
    <x v="0"/>
    <x v="2"/>
    <s v="Ofaveolata015394"/>
    <m/>
    <n v="2.09455452"/>
    <n v="1.9584574800000001"/>
    <s v="Direct"/>
    <s v="cyclin-dependent protein serine/threonine kinase activity"/>
  </r>
  <r>
    <x v="0"/>
    <x v="2"/>
    <s v="Ofaveolata015403"/>
    <m/>
    <n v="-3.5148636"/>
    <n v="-1.3906436"/>
    <s v="Direct"/>
    <s v="Carboxylesterase family"/>
  </r>
  <r>
    <x v="0"/>
    <x v="2"/>
    <s v="Ofaveolata015421"/>
    <m/>
    <n v="-2.6374094000000001"/>
    <n v="-2.0879238999999998"/>
    <s v="Direct"/>
    <s v="Belongs to the AAA ATPase family"/>
  </r>
  <r>
    <x v="0"/>
    <x v="2"/>
    <s v="Ofaveolata015424"/>
    <m/>
    <n v="-3.0703035999999999"/>
    <n v="-2.1158144999999999"/>
    <s v="Direct"/>
    <s v="NA"/>
  </r>
  <r>
    <x v="0"/>
    <x v="2"/>
    <s v="Ofaveolata015425"/>
    <m/>
    <n v="-1.7566227999999999"/>
    <n v="-1.346417"/>
    <s v="Direct"/>
    <s v="Mannose-6-phosphate receptor"/>
  </r>
  <r>
    <x v="0"/>
    <x v="2"/>
    <s v="Ofaveolata015426"/>
    <m/>
    <n v="-2.06806"/>
    <n v="-1.6229217"/>
    <s v="Direct"/>
    <s v="Belongs to the D-isomer specific 2-hydroxyacid dehydrogenase family"/>
  </r>
  <r>
    <x v="0"/>
    <x v="2"/>
    <s v="Ofaveolata015437"/>
    <m/>
    <n v="3.8512415199999999"/>
    <n v="2.1725377799999999"/>
    <s v="Direct"/>
    <s v="zinc ion binding"/>
  </r>
  <r>
    <x v="0"/>
    <x v="2"/>
    <s v="Ofaveolata015441"/>
    <m/>
    <n v="-2.4952470999999998"/>
    <n v="-2.6630726"/>
    <s v="Direct"/>
    <s v="NA"/>
  </r>
  <r>
    <x v="0"/>
    <x v="2"/>
    <s v="Ofaveolata015444"/>
    <m/>
    <n v="-5.0854008999999998"/>
    <n v="-2.5469897000000001"/>
    <s v="Direct"/>
    <s v="NA"/>
  </r>
  <r>
    <x v="0"/>
    <x v="2"/>
    <s v="Ofaveolata015459"/>
    <m/>
    <n v="1.1823196499999999"/>
    <n v="1.6403089900000001"/>
    <s v="Direct"/>
    <s v="NA"/>
  </r>
  <r>
    <x v="0"/>
    <x v="2"/>
    <s v="Ofaveolata015475"/>
    <m/>
    <n v="-1.7728067999999999"/>
    <n v="-1.9408358999999999"/>
    <s v="Direct"/>
    <s v="dephospho-CoA kinase activity"/>
  </r>
  <r>
    <x v="0"/>
    <x v="2"/>
    <s v="Ofaveolata015488"/>
    <m/>
    <n v="-1.0873808"/>
    <n v="-1.8513793999999999"/>
    <s v="Direct"/>
    <s v="NA"/>
  </r>
  <r>
    <x v="0"/>
    <x v="2"/>
    <s v="Ofaveolata015496"/>
    <m/>
    <n v="-1.8072036"/>
    <n v="-3.1358486999999999"/>
    <s v="Direct"/>
    <s v="NA"/>
  </r>
  <r>
    <x v="0"/>
    <x v="2"/>
    <s v="Ofaveolata015497"/>
    <m/>
    <n v="-5.1834147000000002"/>
    <n v="-5.4021792"/>
    <s v="Direct"/>
    <s v="NA"/>
  </r>
  <r>
    <x v="0"/>
    <x v="2"/>
    <s v="Ofaveolata015516"/>
    <m/>
    <n v="-2.7816141000000001"/>
    <n v="-1.5775071000000001"/>
    <s v="Direct"/>
    <s v="NA"/>
  </r>
  <r>
    <x v="0"/>
    <x v="2"/>
    <s v="Ofaveolata015525"/>
    <m/>
    <n v="1.5905403899999999"/>
    <n v="1.76116607"/>
    <s v="Direct"/>
    <s v="NA"/>
  </r>
  <r>
    <x v="0"/>
    <x v="2"/>
    <s v="Ofaveolata015532"/>
    <m/>
    <n v="-1.5198434000000001"/>
    <n v="-1.6153369"/>
    <s v="Direct"/>
    <s v="ATPase activity, coupled to transmembrane movement of substances"/>
  </r>
  <r>
    <x v="0"/>
    <x v="2"/>
    <s v="Ofaveolata015560"/>
    <m/>
    <n v="-1.1533407"/>
    <n v="-1.310824"/>
    <s v="Direct"/>
    <s v="protein targeting to mitochondrion"/>
  </r>
  <r>
    <x v="0"/>
    <x v="2"/>
    <s v="Ofaveolata015563"/>
    <m/>
    <n v="4.8401460500000004"/>
    <n v="3.2343392400000002"/>
    <s v="Direct"/>
    <s v="NA"/>
  </r>
  <r>
    <x v="0"/>
    <x v="2"/>
    <s v="Ofaveolata015567"/>
    <m/>
    <n v="5.7269227000000003"/>
    <n v="5.8460180499999996"/>
    <s v="Direct"/>
    <s v="NA"/>
  </r>
  <r>
    <x v="0"/>
    <x v="2"/>
    <s v="Ofaveolata015570"/>
    <m/>
    <n v="1.08342793"/>
    <n v="1.53748441"/>
    <s v="Direct"/>
    <s v="negative chemotaxis"/>
  </r>
  <r>
    <x v="0"/>
    <x v="2"/>
    <s v="Ofaveolata015571"/>
    <m/>
    <n v="4.0335339499999998"/>
    <n v="3.89340171"/>
    <s v="Direct"/>
    <s v="NA"/>
  </r>
  <r>
    <x v="0"/>
    <x v="2"/>
    <s v="Ofaveolata015579"/>
    <m/>
    <n v="-2.0635981000000001"/>
    <n v="-1.2175631"/>
    <s v="Direct"/>
    <s v="Belongs to the cullin family"/>
  </r>
  <r>
    <x v="0"/>
    <x v="2"/>
    <s v="Ofaveolata015589"/>
    <m/>
    <n v="1.55877485"/>
    <n v="2.08930646"/>
    <s v="Direct"/>
    <s v="Amidohydrolase family"/>
  </r>
  <r>
    <x v="0"/>
    <x v="2"/>
    <s v="Ofaveolata015629"/>
    <m/>
    <n v="1.8902249900000001"/>
    <n v="2.6959467300000002"/>
    <s v="Direct"/>
    <s v="NA"/>
  </r>
  <r>
    <x v="0"/>
    <x v="2"/>
    <s v="Ofaveolata015705"/>
    <m/>
    <n v="-1.8291937"/>
    <n v="-1.3359593999999999"/>
    <s v="Direct"/>
    <s v="this phosphorylation event is a prerequisite for the subsequent ligation of the two exon halves and the production of a mature tRNA. Component of the pre-mRNA cleavage complex II (CF-II), which seems to be required for mRNA 3'-end formation. Also phosphor"/>
  </r>
  <r>
    <x v="0"/>
    <x v="2"/>
    <s v="Ofaveolata015708"/>
    <m/>
    <n v="1.4881253800000001"/>
    <n v="1.9088485100000001"/>
    <s v="Direct"/>
    <s v="NA"/>
  </r>
  <r>
    <x v="0"/>
    <x v="2"/>
    <s v="Ofaveolata015725"/>
    <m/>
    <n v="-1.4050997999999999"/>
    <n v="-1.1607694"/>
    <s v="Direct"/>
    <s v="Essential component of the vacuolar proton pump (V- ATPase), a multimeric enzyme that catalyzes the translocation of protons across the membranes. Required for assembly and activity of the V-ATPase"/>
  </r>
  <r>
    <x v="0"/>
    <x v="2"/>
    <s v="Ofaveolata015761"/>
    <m/>
    <n v="-1.383669"/>
    <n v="-1.1522363"/>
    <s v="Direct"/>
    <s v="carbohydrate binding"/>
  </r>
  <r>
    <x v="0"/>
    <x v="2"/>
    <s v="Ofaveolata015777"/>
    <m/>
    <n v="1.45579912"/>
    <n v="2.2394003200000001"/>
    <s v="Direct"/>
    <s v="NA"/>
  </r>
  <r>
    <x v="0"/>
    <x v="2"/>
    <s v="Ofaveolata015832"/>
    <m/>
    <n v="-17.716676"/>
    <n v="-16.477255"/>
    <s v="Direct"/>
    <s v="NA"/>
  </r>
  <r>
    <x v="0"/>
    <x v="2"/>
    <s v="Ofaveolata015834"/>
    <m/>
    <n v="4.3149264299999999"/>
    <n v="1.83964124"/>
    <s v="Direct"/>
    <s v="metal ion binding"/>
  </r>
  <r>
    <x v="0"/>
    <x v="2"/>
    <s v="Ofaveolata015835"/>
    <m/>
    <n v="2.2268275800000001"/>
    <n v="1.5134946899999999"/>
    <s v="Direct"/>
    <s v="NA"/>
  </r>
  <r>
    <x v="0"/>
    <x v="2"/>
    <s v="Ofaveolata015845"/>
    <m/>
    <n v="2.3545534400000001"/>
    <n v="3.46215217"/>
    <s v="Direct"/>
    <s v="NA"/>
  </r>
  <r>
    <x v="0"/>
    <x v="2"/>
    <s v="Ofaveolata015856"/>
    <m/>
    <n v="-1.0281020000000001"/>
    <n v="-5.0130694"/>
    <s v="Direct"/>
    <s v="NA"/>
  </r>
  <r>
    <x v="0"/>
    <x v="2"/>
    <s v="Ofaveolata015976"/>
    <m/>
    <n v="1.87560449"/>
    <n v="1.6602615300000001"/>
    <s v="Direct"/>
    <s v="Vesicular inhibitory amino acid"/>
  </r>
  <r>
    <x v="0"/>
    <x v="2"/>
    <s v="Ofaveolata015997"/>
    <m/>
    <n v="1.0525341800000001"/>
    <n v="1.58542597"/>
    <s v="Direct"/>
    <s v="regulation of response to stimulus"/>
  </r>
  <r>
    <x v="0"/>
    <x v="2"/>
    <s v="Ofaveolata016000"/>
    <m/>
    <n v="-2.3789558"/>
    <n v="-1.5072425"/>
    <s v="Direct"/>
    <s v="oxidoreductase activity"/>
  </r>
  <r>
    <x v="0"/>
    <x v="2"/>
    <s v="Ofaveolata016003"/>
    <m/>
    <n v="-3.0848974999999998"/>
    <n v="-1.2872638000000001"/>
    <s v="Direct"/>
    <s v="sodium-dependent L-ascorbate transmembrane transporter activity"/>
  </r>
  <r>
    <x v="0"/>
    <x v="2"/>
    <s v="Ofaveolata016009"/>
    <m/>
    <n v="-5.3505848"/>
    <n v="-3.6135190000000001"/>
    <s v="Direct"/>
    <s v="sodium-dependent L-ascorbate transmembrane transporter activity"/>
  </r>
  <r>
    <x v="0"/>
    <x v="2"/>
    <s v="Ofaveolata016018"/>
    <m/>
    <n v="3.3177773899999998"/>
    <n v="1.6757408899999999"/>
    <s v="Direct"/>
    <s v="Universal stress protein family"/>
  </r>
  <r>
    <x v="0"/>
    <x v="2"/>
    <s v="Ofaveolata016019"/>
    <m/>
    <n v="9.4766624000000004"/>
    <n v="8.1753595200000007"/>
    <s v="Direct"/>
    <s v="Universal stress protein family"/>
  </r>
  <r>
    <x v="0"/>
    <x v="2"/>
    <s v="Ofaveolata016020"/>
    <m/>
    <n v="5.85963748"/>
    <n v="5.2943685199999999"/>
    <s v="Direct"/>
    <s v="Universal stress protein family"/>
  </r>
  <r>
    <x v="0"/>
    <x v="2"/>
    <s v="Ofaveolata016021"/>
    <m/>
    <n v="3.1421277500000002"/>
    <n v="1.99426185"/>
    <s v="Direct"/>
    <s v="Universal stress protein family"/>
  </r>
  <r>
    <x v="0"/>
    <x v="2"/>
    <s v="Ofaveolata016049"/>
    <m/>
    <n v="2.27165689"/>
    <n v="1.97190964"/>
    <s v="Direct"/>
    <s v="NA"/>
  </r>
  <r>
    <x v="0"/>
    <x v="2"/>
    <s v="Ofaveolata016050"/>
    <m/>
    <n v="1.63133846"/>
    <n v="1.2053833199999999"/>
    <s v="Direct"/>
    <s v="mitochondrial electron transport, NADH to ubiquinone"/>
  </r>
  <r>
    <x v="0"/>
    <x v="2"/>
    <s v="Ofaveolata016131"/>
    <m/>
    <n v="-8.5878376000000003"/>
    <n v="-5.0773902"/>
    <s v="Direct"/>
    <s v="NA"/>
  </r>
  <r>
    <x v="0"/>
    <x v="2"/>
    <s v="Ofaveolata016142"/>
    <m/>
    <n v="-1.3698824000000001"/>
    <n v="-1.0008804"/>
    <s v="Direct"/>
    <s v="mitochondrial transport"/>
  </r>
  <r>
    <x v="0"/>
    <x v="2"/>
    <s v="Ofaveolata016157"/>
    <m/>
    <n v="-3.1724800000000002"/>
    <n v="-5.9054278"/>
    <s v="Direct"/>
    <s v="NA"/>
  </r>
  <r>
    <x v="0"/>
    <x v="2"/>
    <s v="Ofaveolata016167"/>
    <m/>
    <n v="1.7971804"/>
    <n v="1.5710769099999999"/>
    <s v="Direct"/>
    <s v="NA"/>
  </r>
  <r>
    <x v="0"/>
    <x v="2"/>
    <s v="Ofaveolata016181"/>
    <m/>
    <n v="1.71842487"/>
    <n v="1.0375085900000001"/>
    <s v="Direct"/>
    <s v="NA"/>
  </r>
  <r>
    <x v="0"/>
    <x v="2"/>
    <s v="Ofaveolata016188"/>
    <m/>
    <n v="-1.9475267999999999"/>
    <n v="-2.1584203"/>
    <s v="Direct"/>
    <s v="NA"/>
  </r>
  <r>
    <x v="0"/>
    <x v="2"/>
    <s v="Ofaveolata016199"/>
    <m/>
    <n v="-2.0457809999999998"/>
    <n v="-1.0494056"/>
    <s v="Direct"/>
    <s v="hair follicle maturation"/>
  </r>
  <r>
    <x v="0"/>
    <x v="2"/>
    <s v="Ofaveolata016238"/>
    <m/>
    <n v="-5.1834147000000002"/>
    <n v="-4.0382556000000003"/>
    <s v="Direct"/>
    <s v="MFS_1 like family"/>
  </r>
  <r>
    <x v="0"/>
    <x v="2"/>
    <s v="Ofaveolata016241"/>
    <m/>
    <n v="-1.4949356"/>
    <n v="-2.5715042000000001"/>
    <s v="Direct"/>
    <s v="MFS_1 like family"/>
  </r>
  <r>
    <x v="0"/>
    <x v="2"/>
    <s v="Ofaveolata016246"/>
    <m/>
    <n v="-3.8404848"/>
    <n v="-3.4872413999999998"/>
    <s v="Direct"/>
    <s v="NA"/>
  </r>
  <r>
    <x v="0"/>
    <x v="2"/>
    <s v="Ofaveolata016252"/>
    <m/>
    <n v="-1.3295524999999999"/>
    <n v="-1.4802917"/>
    <s v="Direct"/>
    <s v="NA"/>
  </r>
  <r>
    <x v="0"/>
    <x v="2"/>
    <s v="Ofaveolata016255"/>
    <m/>
    <n v="-2.0930518999999999"/>
    <n v="-1.2110082"/>
    <s v="Direct"/>
    <s v="NA"/>
  </r>
  <r>
    <x v="0"/>
    <x v="2"/>
    <s v="Ofaveolata016257"/>
    <m/>
    <n v="-3.9019930999999999"/>
    <n v="-2.7450065000000001"/>
    <s v="Direct"/>
    <s v="NA"/>
  </r>
  <r>
    <x v="0"/>
    <x v="2"/>
    <s v="Ofaveolata016258"/>
    <m/>
    <n v="-12.761623"/>
    <n v="-7.5453058000000004"/>
    <s v="Direct"/>
    <s v="NA"/>
  </r>
  <r>
    <x v="0"/>
    <x v="2"/>
    <s v="Ofaveolata016259"/>
    <m/>
    <n v="-1.2297996"/>
    <n v="-1.3695778000000001"/>
    <s v="Direct"/>
    <s v="NA"/>
  </r>
  <r>
    <x v="0"/>
    <x v="2"/>
    <s v="Ofaveolata016260"/>
    <m/>
    <n v="-7.0006687000000003"/>
    <n v="-3.4466915"/>
    <s v="Direct"/>
    <s v="NA"/>
  </r>
  <r>
    <x v="0"/>
    <x v="2"/>
    <s v="Ofaveolata016270"/>
    <m/>
    <n v="-6.2440788999999999"/>
    <n v="-9.9973877000000009"/>
    <s v="Direct"/>
    <s v="NA"/>
  </r>
  <r>
    <x v="0"/>
    <x v="2"/>
    <s v="Ofaveolata016273"/>
    <m/>
    <n v="-5.7105923000000001"/>
    <n v="-4.7352473000000002"/>
    <s v="Direct"/>
    <s v="26s proteasome non-ATPase regulatory subunit"/>
  </r>
  <r>
    <x v="0"/>
    <x v="2"/>
    <s v="Ofaveolata016274"/>
    <m/>
    <n v="-2.0394594000000001"/>
    <n v="-1.1369587000000001"/>
    <s v="Direct"/>
    <s v="Cupin superfamily protein"/>
  </r>
  <r>
    <x v="0"/>
    <x v="2"/>
    <s v="Ofaveolata016294"/>
    <m/>
    <n v="4.1403618700000004"/>
    <n v="3.9818737799999999"/>
    <s v="Direct"/>
    <s v="NA"/>
  </r>
  <r>
    <x v="0"/>
    <x v="2"/>
    <s v="Ofaveolata016297"/>
    <m/>
    <n v="2.64556397"/>
    <n v="1.5777264499999999"/>
    <s v="Direct"/>
    <s v="NA"/>
  </r>
  <r>
    <x v="0"/>
    <x v="2"/>
    <s v="Ofaveolata016315"/>
    <m/>
    <n v="3.15543613"/>
    <n v="2.3288476500000002"/>
    <s v="Direct"/>
    <s v="NA"/>
  </r>
  <r>
    <x v="0"/>
    <x v="2"/>
    <s v="Ofaveolata016326"/>
    <m/>
    <n v="-5.3275132999999997"/>
    <n v="-4.7769697999999998"/>
    <s v="Direct"/>
    <s v="NA"/>
  </r>
  <r>
    <x v="0"/>
    <x v="2"/>
    <s v="Ofaveolata016327"/>
    <m/>
    <n v="-2.7684432000000001"/>
    <n v="-3.5079950000000002"/>
    <s v="Direct"/>
    <s v="ubiquitin-protein transferase activity"/>
  </r>
  <r>
    <x v="0"/>
    <x v="2"/>
    <s v="Ofaveolata016343"/>
    <m/>
    <n v="1.2531840299999999"/>
    <n v="1.2264394000000001"/>
    <s v="Direct"/>
    <s v="NA"/>
  </r>
  <r>
    <x v="0"/>
    <x v="2"/>
    <s v="Ofaveolata016349"/>
    <m/>
    <n v="1.10031232"/>
    <n v="1.3139179000000001"/>
    <s v="Direct"/>
    <s v="NA"/>
  </r>
  <r>
    <x v="0"/>
    <x v="2"/>
    <s v="Ofaveolata016371"/>
    <m/>
    <n v="1.4312118599999999"/>
    <n v="1.3022767799999999"/>
    <s v="Direct"/>
    <s v="histone methyltransferase activity (H3-K4 specific)"/>
  </r>
  <r>
    <x v="0"/>
    <x v="2"/>
    <s v="Ofaveolata016375"/>
    <m/>
    <n v="-2.7809900999999999"/>
    <n v="-3.3935578"/>
    <s v="Direct"/>
    <s v="3-hydroxyisobutyryl-CoA hydrolase activity"/>
  </r>
  <r>
    <x v="0"/>
    <x v="2"/>
    <s v="Ofaveolata016403"/>
    <m/>
    <n v="1.0907083399999999"/>
    <n v="1.4418172499999999"/>
    <s v="Direct"/>
    <s v="NA"/>
  </r>
  <r>
    <x v="0"/>
    <x v="2"/>
    <s v="Ofaveolata016405"/>
    <m/>
    <n v="2.42067524"/>
    <n v="1.9612342899999999"/>
    <s v="Direct"/>
    <s v="transcriptional regulatory protein"/>
  </r>
  <r>
    <x v="0"/>
    <x v="2"/>
    <s v="Ofaveolata016420"/>
    <m/>
    <n v="2.7414831799999999"/>
    <n v="3.0574581900000002"/>
    <s v="Direct"/>
    <s v="NA"/>
  </r>
  <r>
    <x v="0"/>
    <x v="2"/>
    <s v="Ofaveolata016434"/>
    <m/>
    <n v="-2.8226849999999999"/>
    <n v="-2.347505"/>
    <s v="Direct"/>
    <s v="NA"/>
  </r>
  <r>
    <x v="0"/>
    <x v="2"/>
    <s v="Ofaveolata016454"/>
    <m/>
    <n v="3.4445382699999998"/>
    <n v="3.81185843"/>
    <s v="Direct"/>
    <s v="protein ubiquitination"/>
  </r>
  <r>
    <x v="0"/>
    <x v="2"/>
    <s v="Ofaveolata016460"/>
    <m/>
    <n v="3.38650897"/>
    <n v="3.9289344700000002"/>
    <s v="Direct"/>
    <s v="NA"/>
  </r>
  <r>
    <x v="0"/>
    <x v="2"/>
    <s v="Ofaveolata016462"/>
    <m/>
    <n v="-1.6087689000000001"/>
    <n v="-2.3827590000000001"/>
    <s v="Direct"/>
    <s v="negative regulation of cardiac muscle contraction"/>
  </r>
  <r>
    <x v="0"/>
    <x v="2"/>
    <s v="Ofaveolata016478"/>
    <m/>
    <n v="-1.3136733"/>
    <n v="-1.1136244"/>
    <s v="Direct"/>
    <s v="Protein tyrosine phosphatase, receptor type"/>
  </r>
  <r>
    <x v="0"/>
    <x v="2"/>
    <s v="Ofaveolata016487"/>
    <m/>
    <n v="7.8660564600000002"/>
    <n v="4.7512853000000002"/>
    <s v="Direct"/>
    <s v="Methyltransferase domain"/>
  </r>
  <r>
    <x v="0"/>
    <x v="2"/>
    <s v="Ofaveolata016488"/>
    <m/>
    <n v="-1.3273634000000001"/>
    <n v="-1.7466927000000001"/>
    <s v="Direct"/>
    <s v="Methyltransferase domain"/>
  </r>
  <r>
    <x v="0"/>
    <x v="2"/>
    <s v="Ofaveolata016491"/>
    <m/>
    <n v="-1.3698824000000001"/>
    <n v="-3.1334545"/>
    <s v="Direct"/>
    <s v="NA"/>
  </r>
  <r>
    <x v="0"/>
    <x v="2"/>
    <s v="Ofaveolata016500"/>
    <m/>
    <n v="2.79079933"/>
    <n v="1.8501128099999999"/>
    <s v="Direct"/>
    <s v="Domain of unknown function (DUF4062)"/>
  </r>
  <r>
    <x v="0"/>
    <x v="2"/>
    <s v="Ofaveolata016501"/>
    <m/>
    <n v="3.0847753"/>
    <n v="2.5407341400000001"/>
    <s v="Direct"/>
    <s v="NA"/>
  </r>
  <r>
    <x v="0"/>
    <x v="2"/>
    <s v="Ofaveolata016502"/>
    <m/>
    <n v="5.6379971500000003"/>
    <n v="4.99992152"/>
    <s v="Direct"/>
    <s v="NA"/>
  </r>
  <r>
    <x v="0"/>
    <x v="2"/>
    <s v="Ofaveolata016585"/>
    <m/>
    <n v="-2.3138228999999999"/>
    <n v="-1.6094831000000001"/>
    <s v="Direct"/>
    <s v="uridine phosphorylase activity"/>
  </r>
  <r>
    <x v="0"/>
    <x v="2"/>
    <s v="Ofaveolata016588"/>
    <m/>
    <n v="-19.711349999999999"/>
    <n v="-13.810053"/>
    <s v="Direct"/>
    <s v="NA"/>
  </r>
  <r>
    <x v="0"/>
    <x v="2"/>
    <s v="Ofaveolata016589"/>
    <m/>
    <n v="-6.8078526000000004"/>
    <n v="-4.4139945999999997"/>
    <s v="Direct"/>
    <s v="NA"/>
  </r>
  <r>
    <x v="0"/>
    <x v="2"/>
    <s v="Ofaveolata016590"/>
    <m/>
    <n v="-9.9175359000000007"/>
    <n v="-7.3825368999999998"/>
    <s v="Direct"/>
    <s v="NA"/>
  </r>
  <r>
    <x v="0"/>
    <x v="2"/>
    <s v="Ofaveolata016591"/>
    <m/>
    <n v="-5.7703731999999999"/>
    <n v="-3.3825886000000001"/>
    <s v="Direct"/>
    <s v="NA"/>
  </r>
  <r>
    <x v="0"/>
    <x v="2"/>
    <s v="Ofaveolata016596"/>
    <m/>
    <n v="-12.079803999999999"/>
    <n v="-9.5079930000000008"/>
    <s v="Direct"/>
    <s v="NA"/>
  </r>
  <r>
    <x v="0"/>
    <x v="2"/>
    <s v="Ofaveolata016643"/>
    <m/>
    <n v="-10.234959999999999"/>
    <n v="-6.7710894000000001"/>
    <s v="Direct"/>
    <s v="NA"/>
  </r>
  <r>
    <x v="0"/>
    <x v="2"/>
    <s v="Ofaveolata016659"/>
    <m/>
    <n v="-1.6543595"/>
    <n v="-2.5002469999999999"/>
    <s v="Direct"/>
    <s v="mitochondrial electron transport, NADH to ubiquinone"/>
  </r>
  <r>
    <x v="0"/>
    <x v="2"/>
    <s v="Ofaveolata016668"/>
    <m/>
    <n v="-2.4623659"/>
    <n v="-2.0496728000000002"/>
    <s v="Direct"/>
    <s v="regulation of cellular macromolecule biosynthetic process"/>
  </r>
  <r>
    <x v="0"/>
    <x v="2"/>
    <s v="Ofaveolata016671"/>
    <m/>
    <n v="5.4926876299999998"/>
    <n v="3.1384842100000001"/>
    <s v="Direct"/>
    <s v="NADH dehydrogenase ubiquinone 1 alpha subcomplex subunit 4"/>
  </r>
  <r>
    <x v="0"/>
    <x v="2"/>
    <s v="Ofaveolata016672"/>
    <m/>
    <n v="-1.7410744"/>
    <n v="-1.6402437999999999"/>
    <s v="Direct"/>
    <s v="NADH dehydrogenase ubiquinone 1 alpha subcomplex subunit 4"/>
  </r>
  <r>
    <x v="0"/>
    <x v="2"/>
    <s v="Ofaveolata016777"/>
    <m/>
    <n v="-1.0538543"/>
    <n v="-2.0408776999999998"/>
    <s v="Direct"/>
    <s v="NA"/>
  </r>
  <r>
    <x v="0"/>
    <x v="2"/>
    <s v="Ofaveolata016801"/>
    <m/>
    <n v="-3.9481940999999998"/>
    <n v="-1.9480327"/>
    <s v="Direct"/>
    <s v="RNA polymerase II transcription elongation factor"/>
  </r>
  <r>
    <x v="0"/>
    <x v="2"/>
    <s v="Ofaveolata016819"/>
    <m/>
    <n v="3.1858787999999998"/>
    <n v="4.7930478900000004"/>
    <s v="Direct"/>
    <s v="Allows the formation of correctly charged Gln-tRNA(Gln) through the transamidation of misacylated Glu-tRNA(Gln) in the mitochondria. The reaction takes place in the presence of glutamine and ATP through an activated gamma-phospho-Glu- tRNA(Gln)"/>
  </r>
  <r>
    <x v="0"/>
    <x v="2"/>
    <s v="Ofaveolata016839"/>
    <m/>
    <n v="-2.4738687000000001"/>
    <n v="-2.9359487999999998"/>
    <s v="Direct"/>
    <s v="non-membrane spanning protein tyrosine phosphatase activity"/>
  </r>
  <r>
    <x v="0"/>
    <x v="2"/>
    <s v="Ofaveolata016857"/>
    <m/>
    <n v="-5.0186381000000004"/>
    <n v="-2.1369478000000002"/>
    <s v="Direct"/>
    <s v="MDM2/MDM4 family protein binding"/>
  </r>
  <r>
    <x v="0"/>
    <x v="2"/>
    <s v="Ofaveolata016859"/>
    <m/>
    <n v="5.3812136500000003"/>
    <n v="1.46261682"/>
    <s v="Direct"/>
    <s v="NA"/>
  </r>
  <r>
    <x v="0"/>
    <x v="2"/>
    <s v="Ofaveolata016870"/>
    <m/>
    <n v="1.5642741099999999"/>
    <n v="1.6582167400000001"/>
    <s v="Direct"/>
    <s v="protein localization to nuclear pore"/>
  </r>
  <r>
    <x v="0"/>
    <x v="2"/>
    <s v="Ofaveolata016878"/>
    <m/>
    <n v="1.5741266599999999"/>
    <n v="1.3349691299999999"/>
    <s v="Direct"/>
    <s v="NA"/>
  </r>
  <r>
    <x v="0"/>
    <x v="2"/>
    <s v="Ofaveolata016920"/>
    <m/>
    <n v="1.15477009"/>
    <n v="1.2100158700000001"/>
    <s v="Direct"/>
    <s v="NA"/>
  </r>
  <r>
    <x v="0"/>
    <x v="2"/>
    <s v="Ofaveolata016948"/>
    <m/>
    <n v="-2.9756828"/>
    <n v="-2.7939484999999999"/>
    <s v="Direct"/>
    <s v="60s ribosomal protein"/>
  </r>
  <r>
    <x v="0"/>
    <x v="2"/>
    <s v="Ofaveolata016958"/>
    <m/>
    <n v="-2.8536402000000001"/>
    <n v="-6.0644499999999999"/>
    <s v="Direct"/>
    <s v="organic anion transmembrane transporter activity"/>
  </r>
  <r>
    <x v="0"/>
    <x v="2"/>
    <s v="Ofaveolata016995"/>
    <m/>
    <n v="-2.0045744000000001"/>
    <n v="-2.3943992999999999"/>
    <s v="Direct"/>
    <s v="Thiamin pyrophosphokinase 1"/>
  </r>
  <r>
    <x v="0"/>
    <x v="2"/>
    <s v="Ofaveolata016997"/>
    <m/>
    <n v="1.84934482"/>
    <n v="2.0821064699999998"/>
    <s v="Direct"/>
    <s v="Kelch motif"/>
  </r>
  <r>
    <x v="0"/>
    <x v="2"/>
    <s v="Ofaveolata017008"/>
    <m/>
    <n v="-1.156677"/>
    <n v="-1.5980342999999999"/>
    <s v="Direct"/>
    <s v="Protein transport protein SEC61 subunit"/>
  </r>
  <r>
    <x v="0"/>
    <x v="2"/>
    <s v="Ofaveolata017050"/>
    <m/>
    <n v="-2.7234655999999999"/>
    <n v="-2.8760463999999999"/>
    <s v="Direct"/>
    <s v="NA"/>
  </r>
  <r>
    <x v="0"/>
    <x v="2"/>
    <s v="Ofaveolata017057"/>
    <m/>
    <n v="-9.6895836000000006"/>
    <n v="-3.5140226999999999"/>
    <s v="Direct"/>
    <s v="NA"/>
  </r>
  <r>
    <x v="0"/>
    <x v="2"/>
    <s v="Ofaveolata017058"/>
    <m/>
    <n v="-9.9196059000000005"/>
    <n v="-7.6146982999999997"/>
    <s v="Direct"/>
    <s v="NA"/>
  </r>
  <r>
    <x v="0"/>
    <x v="2"/>
    <s v="Ofaveolata017062"/>
    <m/>
    <n v="-14.971496"/>
    <n v="-10.05564"/>
    <s v="Direct"/>
    <s v="NA"/>
  </r>
  <r>
    <x v="0"/>
    <x v="2"/>
    <s v="Ofaveolata017067"/>
    <m/>
    <n v="-10.101601"/>
    <n v="-6.6025841999999999"/>
    <s v="Direct"/>
    <s v="Solute carrier family 12"/>
  </r>
  <r>
    <x v="0"/>
    <x v="2"/>
    <s v="Ofaveolata017069"/>
    <m/>
    <n v="-1.4477241000000001"/>
    <n v="-1.0866671999999999"/>
    <s v="Direct"/>
    <s v="3-oxoacyl-[acyl-carrier-protein] reductase (NADH) activity"/>
  </r>
  <r>
    <x v="0"/>
    <x v="2"/>
    <s v="Ofaveolata017091"/>
    <m/>
    <n v="-1.3140429"/>
    <n v="-2.4938856"/>
    <s v="Direct"/>
    <s v="actin filament polymerization"/>
  </r>
  <r>
    <x v="0"/>
    <x v="2"/>
    <s v="Ofaveolata017125"/>
    <m/>
    <n v="-2.0024316999999998"/>
    <n v="-1.7479104000000001"/>
    <s v="Direct"/>
    <s v="axoneme assembly"/>
  </r>
  <r>
    <x v="0"/>
    <x v="2"/>
    <s v="Ofaveolata017127"/>
    <m/>
    <n v="-1.9685021"/>
    <n v="-3.5235946999999999"/>
    <s v="Direct"/>
    <s v="NA"/>
  </r>
  <r>
    <x v="0"/>
    <x v="2"/>
    <s v="Ofaveolata017130"/>
    <m/>
    <n v="-2.0024316999999998"/>
    <n v="-1.0760124"/>
    <s v="Direct"/>
    <s v="NA"/>
  </r>
  <r>
    <x v="0"/>
    <x v="2"/>
    <s v="Ofaveolata017135"/>
    <m/>
    <n v="-2.7640427999999999"/>
    <n v="-2.0916914000000002"/>
    <s v="Direct"/>
    <s v="NA"/>
  </r>
  <r>
    <x v="0"/>
    <x v="2"/>
    <s v="Ofaveolata017138"/>
    <m/>
    <n v="-18.67127"/>
    <n v="-12.996027"/>
    <s v="Direct"/>
    <s v="NA"/>
  </r>
  <r>
    <x v="0"/>
    <x v="2"/>
    <s v="Ofaveolata017139"/>
    <m/>
    <n v="-19.400207000000002"/>
    <n v="-12.970672"/>
    <s v="Direct"/>
    <s v="NA"/>
  </r>
  <r>
    <x v="0"/>
    <x v="2"/>
    <s v="Ofaveolata017140"/>
    <m/>
    <n v="-14.971496"/>
    <n v="-7.9065285000000003"/>
    <s v="Direct"/>
    <s v="NA"/>
  </r>
  <r>
    <x v="0"/>
    <x v="2"/>
    <s v="Ofaveolata017141"/>
    <m/>
    <n v="-20.502794000000002"/>
    <n v="-13.060452"/>
    <s v="Direct"/>
    <s v="NA"/>
  </r>
  <r>
    <x v="0"/>
    <x v="2"/>
    <s v="Ofaveolata017142"/>
    <m/>
    <n v="-13.907304999999999"/>
    <n v="-10.286545"/>
    <s v="Direct"/>
    <s v="Galactose binding lectin domain"/>
  </r>
  <r>
    <x v="0"/>
    <x v="2"/>
    <s v="Ofaveolata017146"/>
    <m/>
    <n v="-2.8452266000000002"/>
    <n v="-2.1357433000000001"/>
    <s v="Direct"/>
    <s v="large ribosomal subunit rRNA binding"/>
  </r>
  <r>
    <x v="0"/>
    <x v="2"/>
    <s v="Ofaveolata017157"/>
    <m/>
    <n v="5.5177754500000002"/>
    <n v="4.7437075999999996"/>
    <s v="Direct"/>
    <s v="integrin"/>
  </r>
  <r>
    <x v="0"/>
    <x v="2"/>
    <s v="Ofaveolata017184"/>
    <m/>
    <n v="-1.4421546000000001"/>
    <n v="-3.0929649000000001"/>
    <s v="Direct"/>
    <s v="ABRA C-terminal like"/>
  </r>
  <r>
    <x v="0"/>
    <x v="2"/>
    <s v="Ofaveolata017190"/>
    <m/>
    <n v="-3.1029238000000001"/>
    <n v="-1.9550149999999999"/>
    <s v="Direct"/>
    <s v="NA"/>
  </r>
  <r>
    <x v="0"/>
    <x v="2"/>
    <s v="Ofaveolata017214"/>
    <m/>
    <n v="-3.3152765999999998"/>
    <n v="-3.0932018000000001"/>
    <s v="Direct"/>
    <s v="Galactose binding lectin domain"/>
  </r>
  <r>
    <x v="0"/>
    <x v="2"/>
    <s v="Ofaveolata017234"/>
    <m/>
    <n v="1.01648735"/>
    <n v="1.4043321600000001"/>
    <s v="Direct"/>
    <s v="Microtubule binding"/>
  </r>
  <r>
    <x v="0"/>
    <x v="2"/>
    <s v="Ofaveolata017246"/>
    <m/>
    <n v="-1.3790165999999999"/>
    <n v="-1.6597999000000001"/>
    <s v="Direct"/>
    <s v="NA"/>
  </r>
  <r>
    <x v="0"/>
    <x v="2"/>
    <s v="Ofaveolata017253"/>
    <m/>
    <n v="1.5324725400000001"/>
    <n v="2.1769481800000001"/>
    <s v="Direct"/>
    <s v="NA"/>
  </r>
  <r>
    <x v="0"/>
    <x v="2"/>
    <s v="Ofaveolata017270"/>
    <m/>
    <n v="1.2428602900000001"/>
    <n v="1.8071671899999999"/>
    <s v="Direct"/>
    <s v="negative regulation of Ras protein signal transduction"/>
  </r>
  <r>
    <x v="0"/>
    <x v="2"/>
    <s v="Ofaveolata017291"/>
    <m/>
    <n v="-6.8078526000000004"/>
    <n v="-6.8003114"/>
    <s v="Direct"/>
    <s v="Acyl-CoA synthetase long-chain family member"/>
  </r>
  <r>
    <x v="0"/>
    <x v="2"/>
    <s v="Ofaveolata017318"/>
    <m/>
    <n v="1.2873138500000001"/>
    <n v="2.16184105"/>
    <s v="Direct"/>
    <s v="NA"/>
  </r>
  <r>
    <x v="0"/>
    <x v="2"/>
    <s v="Ofaveolata017337"/>
    <m/>
    <n v="-2.6374094000000001"/>
    <n v="-4.4264622999999998"/>
    <s v="Direct"/>
    <s v="Defective in cullin neddylation 1 domain containing"/>
  </r>
  <r>
    <x v="0"/>
    <x v="2"/>
    <s v="Ofaveolata017341"/>
    <m/>
    <n v="2.70969471"/>
    <n v="1.4354594300000001"/>
    <s v="Direct"/>
    <s v="TNF(Tumour Necrosis Factor) family"/>
  </r>
  <r>
    <x v="0"/>
    <x v="2"/>
    <s v="Ofaveolata017344"/>
    <m/>
    <n v="2.5436210099999998"/>
    <n v="2.4406361799999998"/>
    <s v="Direct"/>
    <s v="NA"/>
  </r>
  <r>
    <x v="0"/>
    <x v="2"/>
    <s v="Ofaveolata017411"/>
    <m/>
    <n v="2.91851042"/>
    <n v="2.9625312199999998"/>
    <s v="Direct"/>
    <s v="DNA helicase"/>
  </r>
  <r>
    <x v="0"/>
    <x v="2"/>
    <s v="Ofaveolata017427"/>
    <m/>
    <n v="-2.5633667999999998"/>
    <n v="-2.3042069999999999"/>
    <s v="Direct"/>
    <s v="Belongs to the AAA ATPase family"/>
  </r>
  <r>
    <x v="0"/>
    <x v="2"/>
    <s v="Ofaveolata017432"/>
    <m/>
    <n v="-3.8852912000000002"/>
    <n v="-4.1626951999999999"/>
    <s v="Direct"/>
    <s v="structural constituent of ribosome"/>
  </r>
  <r>
    <x v="0"/>
    <x v="2"/>
    <s v="Ofaveolata017440"/>
    <m/>
    <n v="1.98006014"/>
    <n v="4.8595492"/>
    <s v="Direct"/>
    <s v="thymidylate kinase"/>
  </r>
  <r>
    <x v="0"/>
    <x v="2"/>
    <s v="Ofaveolata017468"/>
    <m/>
    <n v="-3.1737582"/>
    <n v="-3.5176460000000001"/>
    <s v="Direct"/>
    <s v="Argininosuccinate"/>
  </r>
  <r>
    <x v="0"/>
    <x v="2"/>
    <s v="Ofaveolata017502"/>
    <m/>
    <n v="-1.9281868"/>
    <n v="-2.5875759"/>
    <s v="Direct"/>
    <s v="O-acyltransferase"/>
  </r>
  <r>
    <x v="0"/>
    <x v="2"/>
    <s v="Ofaveolata017522"/>
    <m/>
    <n v="1.8690926699999999"/>
    <n v="1.1647589300000001"/>
    <s v="Direct"/>
    <s v="NA"/>
  </r>
  <r>
    <x v="0"/>
    <x v="2"/>
    <s v="Ofaveolata017525"/>
    <m/>
    <n v="-3.8810711000000002"/>
    <n v="-2.4139550000000001"/>
    <s v="Direct"/>
    <s v="box H/ACA snoRNA 3'-end processing"/>
  </r>
  <r>
    <x v="0"/>
    <x v="2"/>
    <s v="Ofaveolata017556"/>
    <m/>
    <n v="1.6779223000000001"/>
    <n v="1.2194553400000001"/>
    <s v="Direct"/>
    <s v="NA"/>
  </r>
  <r>
    <x v="0"/>
    <x v="2"/>
    <s v="Ofaveolata017559"/>
    <m/>
    <n v="2.1046087199999999"/>
    <n v="2.1229161099999998"/>
    <s v="Direct"/>
    <s v="NA"/>
  </r>
  <r>
    <x v="0"/>
    <x v="2"/>
    <s v="Ofaveolata017589"/>
    <m/>
    <n v="-4.1501368000000003"/>
    <n v="-2.6127302000000001"/>
    <s v="Direct"/>
    <s v="NA"/>
  </r>
  <r>
    <x v="0"/>
    <x v="2"/>
    <s v="Ofaveolata017620"/>
    <m/>
    <n v="4.1294022200000002"/>
    <n v="1.86830575"/>
    <s v="Direct"/>
    <s v="heme binding"/>
  </r>
  <r>
    <x v="0"/>
    <x v="2"/>
    <s v="Ofaveolata017695"/>
    <m/>
    <n v="-3.90842"/>
    <n v="-2.6710311999999998"/>
    <s v="Direct"/>
    <s v="positive regulation of TOR signaling"/>
  </r>
  <r>
    <x v="0"/>
    <x v="2"/>
    <s v="Ofaveolata017696"/>
    <m/>
    <n v="-1.3698824000000001"/>
    <n v="-1.4635449"/>
    <s v="Direct"/>
    <s v="DNA-binding transcription factor activity"/>
  </r>
  <r>
    <x v="0"/>
    <x v="2"/>
    <s v="Ofaveolata017701"/>
    <m/>
    <n v="-2.6715129000000002"/>
    <n v="-3.1416987999999999"/>
    <s v="Direct"/>
    <s v="receptor 161"/>
  </r>
  <r>
    <x v="0"/>
    <x v="2"/>
    <s v="Ofaveolata017710"/>
    <m/>
    <n v="-7.5359973"/>
    <n v="-5.4811104999999998"/>
    <s v="Direct"/>
    <s v="Eukaryotic initiation factor 4A-II isoform X1"/>
  </r>
  <r>
    <x v="0"/>
    <x v="2"/>
    <s v="Ofaveolata017714"/>
    <m/>
    <n v="-1.2212152000000001"/>
    <n v="-1.3619676000000001"/>
    <s v="Direct"/>
    <s v="Electron transfer flavoprotein subunit"/>
  </r>
  <r>
    <x v="0"/>
    <x v="2"/>
    <s v="Ofaveolata017715"/>
    <m/>
    <n v="2.0158007499999999"/>
    <n v="2.3827589900000001"/>
    <s v="Direct"/>
    <s v="NA"/>
  </r>
  <r>
    <x v="0"/>
    <x v="2"/>
    <s v="Ofaveolata017738"/>
    <m/>
    <n v="1.92148122"/>
    <n v="1.9154591599999999"/>
    <s v="Direct"/>
    <s v="NA"/>
  </r>
  <r>
    <x v="0"/>
    <x v="2"/>
    <s v="Ofaveolata017744"/>
    <m/>
    <n v="3.64154263"/>
    <n v="2.7266845800000001"/>
    <s v="Direct"/>
    <s v="NA"/>
  </r>
  <r>
    <x v="0"/>
    <x v="2"/>
    <s v="Ofaveolata017749"/>
    <m/>
    <n v="2.1064200500000001"/>
    <n v="1.78122615"/>
    <s v="Direct"/>
    <s v="NA"/>
  </r>
  <r>
    <x v="0"/>
    <x v="2"/>
    <s v="Ofaveolata017752"/>
    <m/>
    <n v="1.7152307899999999"/>
    <n v="2.1941822200000001"/>
    <s v="Direct"/>
    <s v="NA"/>
  </r>
  <r>
    <x v="0"/>
    <x v="2"/>
    <s v="Ofaveolata017760"/>
    <m/>
    <n v="3.2329154500000001"/>
    <n v="3.2295884699999999"/>
    <s v="Direct"/>
    <s v="NA"/>
  </r>
  <r>
    <x v="0"/>
    <x v="2"/>
    <s v="Ofaveolata017781"/>
    <m/>
    <n v="1.7601620600000001"/>
    <n v="2.0943573999999998"/>
    <s v="Direct"/>
    <s v="NA"/>
  </r>
  <r>
    <x v="0"/>
    <x v="2"/>
    <s v="Ofaveolata017799"/>
    <m/>
    <n v="2.9318778499999998"/>
    <n v="2.35801485"/>
    <s v="Direct"/>
    <s v="NA"/>
  </r>
  <r>
    <x v="0"/>
    <x v="2"/>
    <s v="Ofaveolata017800"/>
    <m/>
    <n v="8.0134454900000005"/>
    <n v="5.26291127"/>
    <s v="Direct"/>
    <s v="NA"/>
  </r>
  <r>
    <x v="0"/>
    <x v="2"/>
    <s v="Ofaveolata017802"/>
    <m/>
    <n v="1.1409879599999999"/>
    <n v="1.96304005"/>
    <s v="Direct"/>
    <s v="NA"/>
  </r>
  <r>
    <x v="0"/>
    <x v="2"/>
    <s v="Ofaveolata017809"/>
    <m/>
    <n v="-3.1342962999999999"/>
    <n v="-1.8871355000000001"/>
    <s v="Direct"/>
    <s v="inositol hexakisphosphate 6-kinase activity"/>
  </r>
  <r>
    <x v="0"/>
    <x v="2"/>
    <s v="Ofaveolata017830"/>
    <m/>
    <n v="-1.5838436"/>
    <n v="-1.7917145999999999"/>
    <s v="Direct"/>
    <s v="NA"/>
  </r>
  <r>
    <x v="0"/>
    <x v="2"/>
    <s v="Ofaveolata017850"/>
    <m/>
    <n v="-3.6624496999999998"/>
    <n v="-3.3792689999999999"/>
    <s v="Direct"/>
    <s v="cobalt ion transmembrane transporter activity"/>
  </r>
  <r>
    <x v="0"/>
    <x v="2"/>
    <s v="Ofaveolata017869"/>
    <m/>
    <n v="-7.8358587999999996"/>
    <n v="-8.2927152"/>
    <s v="Direct"/>
    <s v="NA"/>
  </r>
  <r>
    <x v="0"/>
    <x v="2"/>
    <s v="Ofaveolata017873"/>
    <m/>
    <n v="3.9137636499999999"/>
    <n v="2.9449754800000001"/>
    <s v="Direct"/>
    <s v="NA"/>
  </r>
  <r>
    <x v="0"/>
    <x v="2"/>
    <s v="Ofaveolata017875"/>
    <m/>
    <n v="1.3620446399999999"/>
    <n v="2.8747784900000002"/>
    <s v="Direct"/>
    <s v="NA"/>
  </r>
  <r>
    <x v="0"/>
    <x v="2"/>
    <s v="Ofaveolata017895"/>
    <m/>
    <n v="1.2048335299999999"/>
    <n v="1.0303498"/>
    <s v="Direct"/>
    <s v="G-protein coupled receptor activity"/>
  </r>
  <r>
    <x v="0"/>
    <x v="2"/>
    <s v="Ofaveolata017910"/>
    <m/>
    <n v="2.0949398700000001"/>
    <n v="1.9755650600000001"/>
    <s v="Direct"/>
    <s v="NA"/>
  </r>
  <r>
    <x v="0"/>
    <x v="2"/>
    <s v="Ofaveolata017937"/>
    <m/>
    <n v="-1.7295233999999999"/>
    <n v="-1.1240973999999999"/>
    <s v="Direct"/>
    <s v="serine-type endopeptidase inhibitor activity"/>
  </r>
  <r>
    <x v="0"/>
    <x v="2"/>
    <s v="Ofaveolata017965"/>
    <m/>
    <n v="-3.7953076000000001"/>
    <n v="-4.6481064999999999"/>
    <s v="Direct"/>
    <s v="positive regulation of rhodopsin gene expression"/>
  </r>
  <r>
    <x v="0"/>
    <x v="2"/>
    <s v="Ofaveolata017972"/>
    <m/>
    <n v="-4.9385516000000003"/>
    <n v="-4.4003361999999999"/>
    <s v="Direct"/>
    <s v="NA"/>
  </r>
  <r>
    <x v="0"/>
    <x v="2"/>
    <s v="Ofaveolata017999"/>
    <m/>
    <n v="-7.5588316000000004"/>
    <n v="-4.8440595999999996"/>
    <s v="Direct"/>
    <s v="chromatin organization"/>
  </r>
  <r>
    <x v="0"/>
    <x v="2"/>
    <s v="Ofaveolata018002"/>
    <m/>
    <n v="7.5400688799999998"/>
    <n v="2.74904087"/>
    <s v="Direct"/>
    <s v="propionyl-CoA carboxylase activity"/>
  </r>
  <r>
    <x v="0"/>
    <x v="2"/>
    <s v="Ofaveolata018006"/>
    <m/>
    <n v="1.2747076100000001"/>
    <n v="1.2015925300000001"/>
    <s v="Direct"/>
    <s v="TMEM151 family"/>
  </r>
  <r>
    <x v="0"/>
    <x v="2"/>
    <s v="Ofaveolata018015"/>
    <m/>
    <n v="-1.3793191"/>
    <n v="-1.940113"/>
    <s v="Direct"/>
    <s v="succinate-CoA ligase (ADP-forming) activity"/>
  </r>
  <r>
    <x v="0"/>
    <x v="2"/>
    <s v="Ofaveolata018040"/>
    <m/>
    <n v="-4.8337507999999998"/>
    <n v="-3.9656175"/>
    <s v="Direct"/>
    <s v="translation initiation factor activity"/>
  </r>
  <r>
    <x v="0"/>
    <x v="2"/>
    <s v="Ofaveolata018045"/>
    <m/>
    <n v="-10.798565999999999"/>
    <n v="-7.4641852999999996"/>
    <s v="Direct"/>
    <s v="sodium potassium-transporting ATPase subunit"/>
  </r>
  <r>
    <x v="0"/>
    <x v="2"/>
    <s v="Ofaveolata018047"/>
    <m/>
    <n v="1.4050998100000001"/>
    <n v="1.0430832800000001"/>
    <s v="Direct"/>
    <s v="ATPase activity, coupled to transmembrane movement of substances"/>
  </r>
  <r>
    <x v="0"/>
    <x v="2"/>
    <s v="Ofaveolata018073"/>
    <m/>
    <n v="-5.3792302999999997"/>
    <n v="-4.0614926000000002"/>
    <s v="Direct"/>
    <s v="Multidrug resistance-associated protein 1"/>
  </r>
  <r>
    <x v="0"/>
    <x v="2"/>
    <s v="Ofaveolata018074"/>
    <m/>
    <n v="-2.1363508000000002"/>
    <n v="-1.1413542000000001"/>
    <s v="Direct"/>
    <s v="ATPase activity, coupled to transmembrane movement of substances"/>
  </r>
  <r>
    <x v="0"/>
    <x v="2"/>
    <s v="Ofaveolata018104"/>
    <m/>
    <n v="1.83705604"/>
    <n v="2.0671368700000001"/>
    <s v="Direct"/>
    <s v="NA"/>
  </r>
  <r>
    <x v="0"/>
    <x v="2"/>
    <s v="Ofaveolata018107"/>
    <m/>
    <n v="-6.1356831999999999"/>
    <n v="-4.813536"/>
    <s v="Direct"/>
    <s v="NA"/>
  </r>
  <r>
    <x v="0"/>
    <x v="2"/>
    <s v="Ofaveolata018127"/>
    <m/>
    <n v="1.7205929"/>
    <n v="2.3758810700000002"/>
    <s v="Direct"/>
    <s v="NA"/>
  </r>
  <r>
    <x v="0"/>
    <x v="2"/>
    <s v="Ofaveolata018133"/>
    <m/>
    <n v="-1.6266419000000001"/>
    <n v="-1.2672639999999999"/>
    <s v="Direct"/>
    <s v="NA"/>
  </r>
  <r>
    <x v="0"/>
    <x v="2"/>
    <s v="Ofaveolata018140"/>
    <m/>
    <n v="-6.1283620000000001"/>
    <n v="-3.8608321000000001"/>
    <s v="Direct"/>
    <s v="Fumble"/>
  </r>
  <r>
    <x v="0"/>
    <x v="2"/>
    <s v="Ofaveolata018155"/>
    <m/>
    <n v="5.9763494000000001"/>
    <n v="3.0601118"/>
    <s v="Direct"/>
    <s v="NA"/>
  </r>
  <r>
    <x v="0"/>
    <x v="2"/>
    <s v="Ofaveolata018164"/>
    <m/>
    <n v="-1.2592911"/>
    <n v="-1.9381358"/>
    <s v="Direct"/>
    <s v="NA"/>
  </r>
  <r>
    <x v="0"/>
    <x v="2"/>
    <s v="Ofaveolata018197"/>
    <m/>
    <n v="-1.029285"/>
    <n v="-1.1560561"/>
    <s v="Direct"/>
    <s v="NAD(P)H-binding"/>
  </r>
  <r>
    <x v="0"/>
    <x v="2"/>
    <s v="Ofaveolata018230"/>
    <m/>
    <n v="1.7705661100000001"/>
    <n v="1.01929275"/>
    <s v="Direct"/>
    <s v="oligomeric golgi complex"/>
  </r>
  <r>
    <x v="0"/>
    <x v="2"/>
    <s v="Ofaveolata018234"/>
    <m/>
    <n v="-1.6403463"/>
    <n v="-3.1439450999999998"/>
    <s v="Direct"/>
    <s v="CTPase activity"/>
  </r>
  <r>
    <x v="0"/>
    <x v="2"/>
    <s v="Ofaveolata018236"/>
    <m/>
    <n v="-2.0865963999999999"/>
    <n v="-1.4862941000000001"/>
    <s v="Direct"/>
    <s v="NA"/>
  </r>
  <r>
    <x v="0"/>
    <x v="2"/>
    <s v="Ofaveolata018244"/>
    <m/>
    <n v="-1.0680358000000001"/>
    <n v="-1.1500558000000001"/>
    <s v="Direct"/>
    <s v="rRNA binding"/>
  </r>
  <r>
    <x v="0"/>
    <x v="2"/>
    <s v="Ofaveolata018251"/>
    <m/>
    <n v="1.1073693200000001"/>
    <n v="1.22843367"/>
    <s v="Direct"/>
    <s v="Belongs to the type-B carboxylesterase lipase family"/>
  </r>
  <r>
    <x v="0"/>
    <x v="2"/>
    <s v="Ofaveolata018280"/>
    <m/>
    <n v="2.1120564700000002"/>
    <n v="1.93666947"/>
    <s v="Direct"/>
    <s v="succinate dehydrogenase cytochrome b560 subunit"/>
  </r>
  <r>
    <x v="0"/>
    <x v="2"/>
    <s v="Ofaveolata018295"/>
    <m/>
    <n v="-2.8261577"/>
    <n v="-1.5859546"/>
    <s v="Direct"/>
    <s v="Cytidylyltransferase-like"/>
  </r>
  <r>
    <x v="0"/>
    <x v="2"/>
    <s v="Ofaveolata018302"/>
    <m/>
    <n v="-1.7081550000000001"/>
    <n v="-2.2066759999999999"/>
    <s v="Direct"/>
    <s v="ectonucleotide pyrophosphatase phosphodiesterase"/>
  </r>
  <r>
    <x v="0"/>
    <x v="2"/>
    <s v="Ofaveolata018305"/>
    <m/>
    <n v="-1.4921844"/>
    <n v="-1.5992983000000001"/>
    <s v="Direct"/>
    <s v="negative regulation of ectoderm development"/>
  </r>
  <r>
    <x v="0"/>
    <x v="2"/>
    <s v="Ofaveolata018311"/>
    <m/>
    <n v="-4.6308962999999999"/>
    <n v="-5.1716797000000003"/>
    <s v="Direct"/>
    <s v="dolichol-linked oligosaccharide biosynthetic process"/>
  </r>
  <r>
    <x v="0"/>
    <x v="2"/>
    <s v="Ofaveolata018318"/>
    <m/>
    <n v="-4.0936661000000001"/>
    <n v="-4.4834629000000001"/>
    <s v="Direct"/>
    <s v="NA"/>
  </r>
  <r>
    <x v="0"/>
    <x v="2"/>
    <s v="Ofaveolata018319"/>
    <m/>
    <n v="-1.1575126"/>
    <n v="-1.1901716"/>
    <s v="Direct"/>
    <s v="intracellular cholesterol transport"/>
  </r>
  <r>
    <x v="0"/>
    <x v="2"/>
    <s v="Ofaveolata018325"/>
    <m/>
    <n v="-1.8760935000000001"/>
    <n v="-1.3411261000000001"/>
    <s v="Direct"/>
    <s v="ribosomal small subunit assembly"/>
  </r>
  <r>
    <x v="0"/>
    <x v="2"/>
    <s v="Ofaveolata018334"/>
    <m/>
    <n v="-1.0265114"/>
    <n v="-1.0773598"/>
    <s v="Direct"/>
    <s v="NA"/>
  </r>
  <r>
    <x v="0"/>
    <x v="2"/>
    <s v="Ofaveolata018344"/>
    <m/>
    <n v="-6.7640069"/>
    <n v="-9.9916944000000001"/>
    <s v="Direct"/>
    <s v="Leucine rich repeat"/>
  </r>
  <r>
    <x v="0"/>
    <x v="2"/>
    <s v="Ofaveolata018360"/>
    <m/>
    <n v="-4.705317"/>
    <n v="-4.4429619999999996"/>
    <s v="Direct"/>
    <s v="Stores iron in a soluble, non-toxic, readily available form. Important for iron homeostasis. Iron is taken up in the ferrous form and deposited as ferric hydroxides after oxidation"/>
  </r>
  <r>
    <x v="0"/>
    <x v="2"/>
    <s v="Ofaveolata018388"/>
    <m/>
    <n v="-1.6849190999999999"/>
    <n v="-1.1194554000000001"/>
    <s v="Direct"/>
    <s v="sequence-specific DNA binding"/>
  </r>
  <r>
    <x v="0"/>
    <x v="2"/>
    <s v="Ofaveolata018394"/>
    <m/>
    <n v="-3.0305689999999998"/>
    <n v="-3.3372744000000001"/>
    <s v="Direct"/>
    <s v="Ubiquitin-associated domain-containing protein 2"/>
  </r>
  <r>
    <x v="0"/>
    <x v="2"/>
    <s v="Ofaveolata018433"/>
    <m/>
    <n v="-2.1593331"/>
    <n v="-1.6702900000000001"/>
    <s v="Direct"/>
    <s v="uridine-diphosphatase activity"/>
  </r>
  <r>
    <x v="0"/>
    <x v="2"/>
    <s v="Ofaveolata018465"/>
    <m/>
    <n v="3.3341963400000001"/>
    <n v="1.22992039"/>
    <s v="Direct"/>
    <s v="NA"/>
  </r>
  <r>
    <x v="0"/>
    <x v="2"/>
    <s v="Ofaveolata018486"/>
    <m/>
    <n v="3.6774263600000001"/>
    <n v="3.2382419699999998"/>
    <s v="Direct"/>
    <s v="Serine-type peptidase activity. It is involved in the biological process described with proteolysis"/>
  </r>
  <r>
    <x v="0"/>
    <x v="2"/>
    <s v="Ofaveolata018491"/>
    <m/>
    <n v="-2.4354974999999999"/>
    <n v="-5.4580209999999996"/>
    <s v="Direct"/>
    <s v="translation initiation factor activity"/>
  </r>
  <r>
    <x v="0"/>
    <x v="2"/>
    <s v="Ofaveolata018511"/>
    <m/>
    <n v="-1.5199400000000001"/>
    <n v="-2.1303353999999999"/>
    <s v="Direct"/>
    <s v="NA"/>
  </r>
  <r>
    <x v="0"/>
    <x v="2"/>
    <s v="Ofaveolata018616"/>
    <m/>
    <n v="-1.7510355"/>
    <n v="-1.3619676000000001"/>
    <s v="Direct"/>
    <s v="NA"/>
  </r>
  <r>
    <x v="0"/>
    <x v="2"/>
    <s v="Ofaveolata018714"/>
    <m/>
    <n v="-1.5481533000000001"/>
    <n v="-1.4504878999999999"/>
    <s v="Direct"/>
    <s v="NA"/>
  </r>
  <r>
    <x v="0"/>
    <x v="2"/>
    <s v="Ofaveolata018782"/>
    <m/>
    <n v="-2.5486947999999998"/>
    <n v="-3.2030729"/>
    <s v="Direct"/>
    <s v="TMEM192 family"/>
  </r>
  <r>
    <x v="0"/>
    <x v="2"/>
    <s v="Ofaveolata018790"/>
    <m/>
    <n v="-1.0851105000000001"/>
    <n v="-1.1461737999999999"/>
    <s v="Direct"/>
    <s v="NA"/>
  </r>
  <r>
    <x v="0"/>
    <x v="2"/>
    <s v="Ofaveolata018835"/>
    <m/>
    <n v="2.3770897999999998"/>
    <n v="2.2497198799999998"/>
    <s v="Direct"/>
    <s v="nucleotide binding. It is involved in the biological process described with RNA processing"/>
  </r>
  <r>
    <x v="0"/>
    <x v="2"/>
    <s v="Ofaveolata018838"/>
    <m/>
    <n v="1.86766348"/>
    <n v="1.82137908"/>
    <s v="Direct"/>
    <s v="X-ray repair complementing defective repair in Chinese hamster cells 1"/>
  </r>
  <r>
    <x v="0"/>
    <x v="2"/>
    <s v="Ofaveolata018851"/>
    <m/>
    <n v="-2.3717633999999999"/>
    <n v="-2.4802086000000001"/>
    <s v="Direct"/>
    <s v="ribosomal protein"/>
  </r>
  <r>
    <x v="0"/>
    <x v="2"/>
    <s v="Ofaveolata018926"/>
    <m/>
    <n v="2.4908160399999999"/>
    <n v="2.1150886899999999"/>
    <s v="Direct"/>
    <s v="NA"/>
  </r>
  <r>
    <x v="0"/>
    <x v="2"/>
    <s v="Ofaveolata018927"/>
    <m/>
    <n v="-3.7592257999999998"/>
    <n v="-4.7146046999999998"/>
    <s v="Direct"/>
    <s v="Belongs to the SelWTH family. Selenoprotein T subfamily"/>
  </r>
  <r>
    <x v="0"/>
    <x v="2"/>
    <s v="Ofaveolata018959"/>
    <m/>
    <n v="-2.442682"/>
    <n v="-1.1446544000000001"/>
    <s v="Direct"/>
    <s v="negative regulation of endoplasmic reticulum stress-induced neuron intrinsic apoptotic signaling pathway"/>
  </r>
  <r>
    <x v="0"/>
    <x v="2"/>
    <s v="Ofaveolata018998"/>
    <m/>
    <n v="-9.0464871000000002"/>
    <n v="-7.1696667999999999"/>
    <s v="Direct"/>
    <s v="quinone binding"/>
  </r>
  <r>
    <x v="0"/>
    <x v="2"/>
    <s v="Ofaveolata019000"/>
    <m/>
    <n v="-1.0026672999999999"/>
    <n v="-1.079426"/>
    <s v="Direct"/>
    <s v="hormone-sensitive lipase activity"/>
  </r>
  <r>
    <x v="0"/>
    <x v="2"/>
    <s v="Ofaveolata019003"/>
    <m/>
    <n v="-3.6311068999999998"/>
    <n v="-3.9353889999999998"/>
    <s v="Direct"/>
    <s v="proteasome-activating ATPase activity"/>
  </r>
  <r>
    <x v="0"/>
    <x v="2"/>
    <s v="Ofaveolata019014"/>
    <m/>
    <n v="-10.940806"/>
    <n v="-9.8755729999999993"/>
    <s v="Direct"/>
    <s v="Metalloendopeptidase activity. It is involved in the biological process described with proteolysis"/>
  </r>
  <r>
    <x v="0"/>
    <x v="2"/>
    <s v="Ofaveolata019022"/>
    <m/>
    <n v="6.1560888199999999"/>
    <n v="5.3623126399999999"/>
    <s v="Direct"/>
    <s v="omega-amidase activity"/>
  </r>
  <r>
    <x v="0"/>
    <x v="2"/>
    <s v="Ofaveolata019038"/>
    <m/>
    <n v="-2.0761490999999999"/>
    <n v="-1.8812765"/>
    <s v="Direct"/>
    <s v="NA"/>
  </r>
  <r>
    <x v="0"/>
    <x v="2"/>
    <s v="Ofaveolata019039"/>
    <m/>
    <n v="-2.5106891999999998"/>
    <n v="-2.7625410000000001"/>
    <s v="Direct"/>
    <s v="NA"/>
  </r>
  <r>
    <x v="0"/>
    <x v="2"/>
    <s v="Ofaveolata019080"/>
    <m/>
    <n v="-4.8783753000000001"/>
    <n v="-7.7704544999999996"/>
    <s v="Direct"/>
    <s v="peptidyl-dipeptidase activity"/>
  </r>
  <r>
    <x v="0"/>
    <x v="2"/>
    <s v="Ofaveolata019090"/>
    <m/>
    <n v="1.6394075299999999"/>
    <n v="2.02189562"/>
    <s v="Direct"/>
    <s v="iron assimilation by reduction and transport"/>
  </r>
  <r>
    <x v="0"/>
    <x v="2"/>
    <s v="Ofaveolata019111"/>
    <m/>
    <n v="2.4650006499999999"/>
    <n v="1.6081949499999999"/>
    <s v="Direct"/>
    <s v="NA"/>
  </r>
  <r>
    <x v="0"/>
    <x v="2"/>
    <s v="Ofaveolata019112"/>
    <m/>
    <n v="-1.8749733"/>
    <n v="-1.4781023"/>
    <s v="Direct"/>
    <s v="structural constituent of ribosome"/>
  </r>
  <r>
    <x v="0"/>
    <x v="2"/>
    <s v="Ofaveolata019130"/>
    <m/>
    <n v="-6.0866784999999997"/>
    <n v="-9.9916944000000001"/>
    <s v="Direct"/>
    <s v="NA"/>
  </r>
  <r>
    <x v="0"/>
    <x v="2"/>
    <s v="Ofaveolata019148"/>
    <m/>
    <n v="-6.6826812999999996"/>
    <n v="-5.1379805000000003"/>
    <s v="Direct"/>
    <s v="NA"/>
  </r>
  <r>
    <x v="0"/>
    <x v="2"/>
    <s v="Ofaveolata019158"/>
    <m/>
    <n v="4.7634435599999998"/>
    <n v="4.7281808200000004"/>
    <s v="Direct"/>
    <s v="calcium-dependent cysteine-type endopeptidase activity"/>
  </r>
  <r>
    <x v="0"/>
    <x v="2"/>
    <s v="Ofaveolata019221"/>
    <m/>
    <n v="-1.9999076"/>
    <n v="-4.0771579999999998"/>
    <s v="Direct"/>
    <s v="NA"/>
  </r>
  <r>
    <x v="0"/>
    <x v="2"/>
    <s v="Ofaveolata019225"/>
    <m/>
    <n v="-1.9685021"/>
    <n v="-2.8897675999999999"/>
    <s v="Direct"/>
    <s v="Transmembrane protein 145"/>
  </r>
  <r>
    <x v="0"/>
    <x v="2"/>
    <s v="Ofaveolata019234"/>
    <m/>
    <n v="-2.8554940000000002"/>
    <n v="-1.1894560999999999"/>
    <s v="Direct"/>
    <s v="Solute carrier family 37"/>
  </r>
  <r>
    <x v="0"/>
    <x v="2"/>
    <s v="Ofaveolata019280"/>
    <m/>
    <n v="2.9865403800000001"/>
    <n v="2.2811641200000001"/>
    <s v="Direct"/>
    <s v="NA"/>
  </r>
  <r>
    <x v="0"/>
    <x v="2"/>
    <s v="Ofaveolata019281"/>
    <m/>
    <n v="-2.1008969"/>
    <n v="-1.3008481999999999"/>
    <s v="Direct"/>
    <s v="protein serine/threonine phosphatase activity"/>
  </r>
  <r>
    <x v="0"/>
    <x v="2"/>
    <s v="Ofaveolata019290"/>
    <m/>
    <n v="-1.9768057999999999"/>
    <n v="-1.2268498999999999"/>
    <s v="Direct"/>
    <s v="potassium voltage-gated channel, subfamily H"/>
  </r>
  <r>
    <x v="0"/>
    <x v="2"/>
    <s v="Ofaveolata019310"/>
    <m/>
    <n v="-1.5094920999999999"/>
    <n v="-1.0718658000000001"/>
    <s v="Direct"/>
    <s v="NA"/>
  </r>
  <r>
    <x v="0"/>
    <x v="2"/>
    <s v="Ofaveolata019317"/>
    <m/>
    <n v="-1.0642393999999999"/>
    <n v="-1.3173007000000001"/>
    <s v="Direct"/>
    <s v="NA"/>
  </r>
  <r>
    <x v="0"/>
    <x v="2"/>
    <s v="Ofaveolata019329"/>
    <m/>
    <n v="-2.1654190999999998"/>
    <n v="-1.3423206000000001"/>
    <s v="Direct"/>
    <s v="enoyl-CoA hydratase isomerase family"/>
  </r>
  <r>
    <x v="0"/>
    <x v="2"/>
    <s v="Ofaveolata019340"/>
    <m/>
    <n v="-2.7210359999999998"/>
    <n v="-2.3240902000000001"/>
    <s v="Direct"/>
    <s v="furry homolog"/>
  </r>
  <r>
    <x v="0"/>
    <x v="2"/>
    <s v="Ofaveolata019354"/>
    <m/>
    <n v="-1.9729973000000001"/>
    <n v="-2.7050464999999999"/>
    <s v="Direct"/>
    <s v="Phosphatidylinositol 3,4,5-trisphosphate 3-phosphatase TPTE2-like"/>
  </r>
  <r>
    <x v="0"/>
    <x v="2"/>
    <s v="Ofaveolata019357"/>
    <m/>
    <n v="-1.5315692000000001"/>
    <n v="-1.480054"/>
    <s v="Direct"/>
    <s v="L-ornithine transmembrane transport"/>
  </r>
  <r>
    <x v="0"/>
    <x v="2"/>
    <s v="Ofaveolata019367"/>
    <m/>
    <n v="3.0847753"/>
    <n v="1.56740419"/>
    <s v="Direct"/>
    <s v="NA"/>
  </r>
  <r>
    <x v="0"/>
    <x v="2"/>
    <s v="Ofaveolata019395"/>
    <m/>
    <n v="-1.287077"/>
    <n v="-1.1586075"/>
    <s v="Direct"/>
    <s v="Lipoxygenase homology 2 (beta barrel) domain"/>
  </r>
  <r>
    <x v="0"/>
    <x v="2"/>
    <s v="Ofaveolata019396"/>
    <m/>
    <n v="-2.7222618999999999"/>
    <n v="-2.5660731999999999"/>
    <s v="Direct"/>
    <s v="NA"/>
  </r>
  <r>
    <x v="0"/>
    <x v="2"/>
    <s v="Ofaveolata019403"/>
    <m/>
    <n v="-1.4073454999999999"/>
    <n v="-1.6863355"/>
    <s v="Direct"/>
    <s v="NA"/>
  </r>
  <r>
    <x v="0"/>
    <x v="2"/>
    <s v="Ofaveolata019442"/>
    <m/>
    <n v="1.6964873499999999"/>
    <n v="2.2222615700000001"/>
    <s v="Direct"/>
    <s v="Pyridoxal-dependent decarboxylase conserved domain"/>
  </r>
  <r>
    <x v="0"/>
    <x v="2"/>
    <s v="Ofaveolata019598"/>
    <m/>
    <n v="-3.1857044999999999"/>
    <n v="-1.9248841999999999"/>
    <s v="Direct"/>
    <s v="Ammonium transporter"/>
  </r>
  <r>
    <x v="0"/>
    <x v="2"/>
    <s v="Ofaveolata019604"/>
    <m/>
    <n v="-2.8768058999999999"/>
    <n v="-2.8484965999999998"/>
    <s v="Direct"/>
    <s v="Histidinol-phosphatase"/>
  </r>
  <r>
    <x v="0"/>
    <x v="2"/>
    <s v="Ofaveolata019611"/>
    <m/>
    <n v="-12.890516"/>
    <n v="-13.793863"/>
    <s v="Direct"/>
    <s v="high mobility group"/>
  </r>
  <r>
    <x v="0"/>
    <x v="2"/>
    <s v="Ofaveolata019615"/>
    <m/>
    <n v="-2.2766505000000001"/>
    <n v="-1.7558385999999999"/>
    <s v="Direct"/>
    <s v="structural constituent of ribosome"/>
  </r>
  <r>
    <x v="0"/>
    <x v="2"/>
    <s v="Ofaveolata019617"/>
    <m/>
    <n v="-2.8414777999999998"/>
    <n v="-4.0700136999999996"/>
    <s v="Direct"/>
    <s v="tripeptidyl-peptidase activity"/>
  </r>
  <r>
    <x v="0"/>
    <x v="2"/>
    <s v="Ofaveolata019723"/>
    <m/>
    <n v="-10.918164000000001"/>
    <n v="-7.0600246999999996"/>
    <s v="Direct"/>
    <s v="ATP-dependent chromatin remodeling"/>
  </r>
  <r>
    <x v="0"/>
    <x v="2"/>
    <s v="Ofaveolata019732"/>
    <m/>
    <n v="2.1884524700000001"/>
    <n v="2.50089081"/>
    <s v="Direct"/>
    <s v="NACHT and WD repeat"/>
  </r>
  <r>
    <x v="0"/>
    <x v="2"/>
    <s v="Ofaveolata019748"/>
    <m/>
    <n v="-1.1705022"/>
    <n v="-1.2945359000000001"/>
    <s v="Direct"/>
    <s v="UFM1 hydrolase activity"/>
  </r>
  <r>
    <x v="0"/>
    <x v="2"/>
    <s v="Ofaveolata019772"/>
    <m/>
    <n v="1.96256605"/>
    <n v="1.691316"/>
    <s v="Direct"/>
    <s v="Peptidyl-prolyl cis-trans isomerase"/>
  </r>
  <r>
    <x v="0"/>
    <x v="2"/>
    <s v="Ofaveolata019777"/>
    <m/>
    <n v="-1.6326936000000001"/>
    <n v="-1.3148238999999999"/>
    <s v="Direct"/>
    <s v="Belongs to the cation transport ATPase (P-type) (TC 3.A.3) family. Type IV subfamily"/>
  </r>
  <r>
    <x v="0"/>
    <x v="2"/>
    <s v="Ofaveolata019781"/>
    <m/>
    <n v="-1.6175885999999999"/>
    <n v="-1.1547643000000001"/>
    <s v="Direct"/>
    <s v="NA"/>
  </r>
  <r>
    <x v="0"/>
    <x v="2"/>
    <s v="Ofaveolata019791"/>
    <m/>
    <n v="2.5156371399999999"/>
    <n v="1.0430832800000001"/>
    <s v="Direct"/>
    <s v="NA"/>
  </r>
  <r>
    <x v="0"/>
    <x v="2"/>
    <s v="Ofaveolata019804"/>
    <m/>
    <n v="2.6717362699999998"/>
    <n v="3.08215036"/>
    <s v="Direct"/>
    <s v="NA"/>
  </r>
  <r>
    <x v="0"/>
    <x v="2"/>
    <s v="Ofaveolata019823"/>
    <m/>
    <n v="-4.6227850000000004"/>
    <n v="-3.2404837999999998"/>
    <s v="Direct"/>
    <s v="NA"/>
  </r>
  <r>
    <x v="0"/>
    <x v="2"/>
    <s v="Ofaveolata019838"/>
    <m/>
    <n v="3.9920762600000002"/>
    <n v="2.8591411199999999"/>
    <s v="Direct"/>
    <s v="Ligand for members of the frizzled family of seven transmembrane receptors"/>
  </r>
  <r>
    <x v="0"/>
    <x v="2"/>
    <s v="Ofaveolata019842"/>
    <m/>
    <n v="3.3081879500000002"/>
    <n v="2.7224388500000001"/>
    <s v="Direct"/>
    <s v="cytoskeletal anchoring at plasma membrane"/>
  </r>
  <r>
    <x v="0"/>
    <x v="2"/>
    <s v="Ofaveolata019868"/>
    <m/>
    <n v="-2.4473406"/>
    <n v="-1.4730736"/>
    <s v="Direct"/>
    <s v="NA"/>
  </r>
  <r>
    <x v="0"/>
    <x v="2"/>
    <s v="Ofaveolata019877"/>
    <m/>
    <n v="-1.7668382"/>
    <n v="-1.385367"/>
    <s v="Direct"/>
    <s v="NA"/>
  </r>
  <r>
    <x v="0"/>
    <x v="2"/>
    <s v="Ofaveolata019895"/>
    <m/>
    <n v="1.30847044"/>
    <n v="1.6183325900000001"/>
    <s v="Direct"/>
    <s v="Glycosyl hydrolases family 2, sugar binding domain"/>
  </r>
  <r>
    <x v="0"/>
    <x v="2"/>
    <s v="Ofaveolata019911"/>
    <m/>
    <n v="-3.2299502000000002"/>
    <n v="-3.2681086000000001"/>
    <s v="Direct"/>
    <s v="RNA polymerase II sequence-specific DNA-binding transcription factor binding"/>
  </r>
  <r>
    <x v="0"/>
    <x v="2"/>
    <s v="Ofaveolata019918"/>
    <m/>
    <n v="4.37238521"/>
    <n v="3.67328038"/>
    <s v="Direct"/>
    <s v="Rho guanyl-nucleotide exchange factor activity"/>
  </r>
  <r>
    <x v="0"/>
    <x v="2"/>
    <s v="Ofaveolata019940"/>
    <m/>
    <n v="2.2696280799999999"/>
    <n v="2.2394003200000001"/>
    <s v="Direct"/>
    <s v="NA"/>
  </r>
  <r>
    <x v="0"/>
    <x v="2"/>
    <s v="Ofaveolata019946"/>
    <m/>
    <n v="-2.3171987999999999"/>
    <n v="-1.1089941000000001"/>
    <s v="Direct"/>
    <s v="metal ion binding"/>
  </r>
  <r>
    <x v="0"/>
    <x v="2"/>
    <s v="Ofaveolata019954"/>
    <m/>
    <n v="-1.3180149999999999"/>
    <n v="-2.2977405000000002"/>
    <s v="Direct"/>
    <s v="ITP binding"/>
  </r>
  <r>
    <x v="0"/>
    <x v="2"/>
    <s v="Ofaveolata019962"/>
    <m/>
    <n v="-2.8119170000000002"/>
    <n v="-2.1443865999999998"/>
    <s v="Direct"/>
    <s v="NA"/>
  </r>
  <r>
    <x v="0"/>
    <x v="2"/>
    <s v="Ofaveolata019974"/>
    <m/>
    <n v="-5.7877025"/>
    <n v="-3.1439450999999998"/>
    <s v="Direct"/>
    <s v="NA"/>
  </r>
  <r>
    <x v="0"/>
    <x v="2"/>
    <s v="Ofaveolata020043"/>
    <m/>
    <n v="1.6646607499999999"/>
    <n v="1.1906737999999999"/>
    <s v="Direct"/>
    <s v="NA"/>
  </r>
  <r>
    <x v="0"/>
    <x v="2"/>
    <s v="Ofaveolata020047"/>
    <m/>
    <n v="-2.3976111000000002"/>
    <n v="-2.4936718"/>
    <s v="Direct"/>
    <s v="Nucleoporin"/>
  </r>
  <r>
    <x v="0"/>
    <x v="2"/>
    <s v="Ofaveolata020071"/>
    <m/>
    <n v="2.5894358"/>
    <n v="1.7262469600000001"/>
    <s v="Direct"/>
    <s v="Oral-facial-digital syndrome 1"/>
  </r>
  <r>
    <x v="0"/>
    <x v="2"/>
    <s v="Ofaveolata020072"/>
    <m/>
    <n v="-1.5420555"/>
    <n v="-1.8478612999999999"/>
    <s v="Direct"/>
    <s v="tRNA methyltransferase activity"/>
  </r>
  <r>
    <x v="0"/>
    <x v="2"/>
    <s v="Ofaveolata020075"/>
    <m/>
    <n v="-1.2822"/>
    <n v="-1.6582262000000001"/>
    <s v="Direct"/>
    <s v="NA"/>
  </r>
  <r>
    <x v="0"/>
    <x v="2"/>
    <s v="Ofaveolata020633"/>
    <m/>
    <n v="3.0080635500000001"/>
    <n v="1.91060914"/>
    <s v="Direct"/>
    <s v="Belongs to the small Tim family"/>
  </r>
  <r>
    <x v="0"/>
    <x v="2"/>
    <s v="Ofaveolata020637"/>
    <m/>
    <n v="-1.3704322"/>
    <n v="-1.3110972000000001"/>
    <s v="Direct"/>
    <s v="maintenance of translational fidelity"/>
  </r>
  <r>
    <x v="0"/>
    <x v="2"/>
    <s v="Ofaveolata020644"/>
    <m/>
    <n v="-4.9713634999999998"/>
    <n v="-3.1914245999999999"/>
    <s v="Direct"/>
    <s v="Metalloendopeptidase activity. It is involved in the biological process described with proteolysis"/>
  </r>
  <r>
    <x v="0"/>
    <x v="2"/>
    <s v="Ofaveolata020675"/>
    <m/>
    <n v="5.2197639300000001"/>
    <n v="4.0718161000000004"/>
    <s v="Direct"/>
    <s v="NA"/>
  </r>
  <r>
    <x v="0"/>
    <x v="2"/>
    <s v="Ofaveolata020684"/>
    <m/>
    <n v="1.8532386000000001"/>
    <n v="2.1883948200000001"/>
    <s v="Direct"/>
    <s v="phosphoglycerate"/>
  </r>
  <r>
    <x v="0"/>
    <x v="2"/>
    <s v="Ofaveolata020752"/>
    <m/>
    <n v="-2.2997895000000002"/>
    <n v="-2.3639554"/>
    <s v="Direct"/>
    <s v="Belongs to the class I-like SAM-binding methyltransferase superfamily. RsmB NOP family"/>
  </r>
  <r>
    <x v="0"/>
    <x v="2"/>
    <s v="Ofaveolata020787"/>
    <m/>
    <n v="-1.4884257999999999"/>
    <n v="-1.1756438"/>
    <s v="Direct"/>
    <s v="acylglycerol kinase activity"/>
  </r>
  <r>
    <x v="0"/>
    <x v="2"/>
    <s v="Ofaveolata020790"/>
    <m/>
    <n v="-1.3545651999999999"/>
    <n v="-1.5575406000000001"/>
    <s v="Direct"/>
    <s v="protein serine/threonine phosphatase activity"/>
  </r>
  <r>
    <x v="0"/>
    <x v="2"/>
    <s v="Ofaveolata020795"/>
    <m/>
    <n v="1.15318532"/>
    <n v="1.22541181"/>
    <s v="Direct"/>
    <s v="NA"/>
  </r>
  <r>
    <x v="0"/>
    <x v="2"/>
    <s v="Ofaveolata020801"/>
    <m/>
    <n v="-3.8417598000000002"/>
    <n v="-1.57799"/>
    <s v="Direct"/>
    <s v="ATP-binding cassette, sub-family E"/>
  </r>
  <r>
    <x v="0"/>
    <x v="2"/>
    <s v="Ofaveolata020805"/>
    <m/>
    <n v="2.3941422800000001"/>
    <n v="2.9583298"/>
    <s v="Direct"/>
    <s v="NA"/>
  </r>
  <r>
    <x v="0"/>
    <x v="2"/>
    <s v="Ofaveolata020812"/>
    <m/>
    <n v="1.1996711"/>
    <n v="1.2106203900000001"/>
    <s v="Direct"/>
    <s v="NA"/>
  </r>
  <r>
    <x v="0"/>
    <x v="2"/>
    <s v="Ofaveolata020815"/>
    <m/>
    <n v="-5.0801007"/>
    <n v="-3.9151604"/>
    <s v="Direct"/>
    <s v="signal peptide processing"/>
  </r>
  <r>
    <x v="0"/>
    <x v="2"/>
    <s v="Ofaveolata020822"/>
    <m/>
    <n v="-7.0524708"/>
    <n v="-5.8017557999999996"/>
    <s v="Direct"/>
    <s v="oxidoreductase activity, oxidizing metal ions with flavin as acceptor"/>
  </r>
  <r>
    <x v="0"/>
    <x v="2"/>
    <s v="Ofaveolata020903"/>
    <m/>
    <n v="1.2075133600000001"/>
    <n v="2.3980943699999999"/>
    <s v="Direct"/>
    <s v="NA"/>
  </r>
  <r>
    <x v="0"/>
    <x v="2"/>
    <s v="Ofaveolata020961"/>
    <m/>
    <n v="-2.2189681999999999"/>
    <n v="-5.7229095000000001"/>
    <s v="Direct"/>
    <s v="Methyltransferase domain"/>
  </r>
  <r>
    <x v="0"/>
    <x v="2"/>
    <s v="Ofaveolata020969"/>
    <m/>
    <n v="-2.5822037"/>
    <n v="-2.2811987"/>
    <s v="Direct"/>
    <s v="ribosomal protein"/>
  </r>
  <r>
    <x v="0"/>
    <x v="2"/>
    <s v="Ofaveolata020989"/>
    <m/>
    <n v="-2.9310103999999999"/>
    <n v="-2.6753610000000001"/>
    <s v="Direct"/>
    <s v="positive regulation of DNA N-glycosylase activity"/>
  </r>
  <r>
    <x v="0"/>
    <x v="2"/>
    <s v="Ofaveolata020997"/>
    <m/>
    <n v="2.30712282"/>
    <n v="3.0694484100000001"/>
    <s v="Direct"/>
    <s v="fatty acid metabolic process"/>
  </r>
  <r>
    <x v="0"/>
    <x v="2"/>
    <s v="Ofaveolata021025"/>
    <m/>
    <n v="-2.9464402000000001"/>
    <n v="-3.0186259999999998"/>
    <s v="Direct"/>
    <s v="transmembrane transport"/>
  </r>
  <r>
    <x v="0"/>
    <x v="2"/>
    <s v="Ofaveolata021053"/>
    <m/>
    <n v="-1.862382"/>
    <n v="-1.8942313"/>
    <s v="Direct"/>
    <s v="NA"/>
  </r>
  <r>
    <x v="0"/>
    <x v="2"/>
    <s v="Ofaveolata021055"/>
    <m/>
    <n v="1.2877214400000001"/>
    <n v="1.1218342100000001"/>
    <s v="Direct"/>
    <s v="steroid binding"/>
  </r>
  <r>
    <x v="0"/>
    <x v="2"/>
    <s v="Ofaveolata021069"/>
    <m/>
    <n v="-1.1165749"/>
    <n v="-1.1370178"/>
    <s v="Direct"/>
    <s v="Lysosomal Pro-X"/>
  </r>
  <r>
    <x v="0"/>
    <x v="2"/>
    <s v="Ofaveolata021070"/>
    <m/>
    <n v="2.9639180700000001"/>
    <n v="2.68820075"/>
    <s v="Direct"/>
    <s v="NA"/>
  </r>
  <r>
    <x v="0"/>
    <x v="2"/>
    <s v="Ofaveolata021083"/>
    <m/>
    <n v="-2.8953926000000001"/>
    <n v="-2.2796533999999999"/>
    <s v="Direct"/>
    <s v="photoreceptor cell maintenance"/>
  </r>
  <r>
    <x v="0"/>
    <x v="2"/>
    <s v="Ofaveolata021119"/>
    <m/>
    <n v="-1.203865"/>
    <n v="-1.1040856999999999"/>
    <s v="Direct"/>
    <s v="NA"/>
  </r>
  <r>
    <x v="0"/>
    <x v="2"/>
    <s v="Ofaveolata021120"/>
    <m/>
    <n v="1.6720692100000001"/>
    <n v="2.0693507599999998"/>
    <s v="Direct"/>
    <s v="3',5'-cyclic-GMP phosphodiesterase activity"/>
  </r>
  <r>
    <x v="0"/>
    <x v="2"/>
    <s v="Ofaveolata021137"/>
    <m/>
    <n v="-2.4670264"/>
    <n v="-1.4819252999999999"/>
    <s v="Direct"/>
    <s v="Pregnancy-associated plasma protein-A"/>
  </r>
  <r>
    <x v="0"/>
    <x v="2"/>
    <s v="Ofaveolata021143"/>
    <m/>
    <n v="-1.1938960999999999"/>
    <n v="-1.5999363"/>
    <s v="Direct"/>
    <s v="mRNA transport"/>
  </r>
  <r>
    <x v="0"/>
    <x v="2"/>
    <s v="Ofaveolata021144"/>
    <m/>
    <n v="1.98955397"/>
    <n v="1.2506971"/>
    <s v="Direct"/>
    <s v="suppressor of G2 allele of SKP1"/>
  </r>
  <r>
    <x v="0"/>
    <x v="2"/>
    <s v="Ofaveolata021175"/>
    <m/>
    <n v="-2.7971197000000001"/>
    <n v="-1.6235834"/>
    <s v="Direct"/>
    <s v="NA"/>
  </r>
  <r>
    <x v="0"/>
    <x v="2"/>
    <s v="Ofaveolata021180"/>
    <m/>
    <n v="1.99413426"/>
    <n v="1.55784221"/>
    <s v="Direct"/>
    <s v="NA"/>
  </r>
  <r>
    <x v="0"/>
    <x v="2"/>
    <s v="Ofaveolata021184"/>
    <m/>
    <n v="1.8109157"/>
    <n v="1.32569293"/>
    <s v="Direct"/>
    <s v="NA"/>
  </r>
  <r>
    <x v="0"/>
    <x v="2"/>
    <s v="Ofaveolata021237"/>
    <m/>
    <n v="1.69695843"/>
    <n v="2.2263811699999998"/>
    <s v="Direct"/>
    <s v="NA"/>
  </r>
  <r>
    <x v="0"/>
    <x v="2"/>
    <s v="Ofaveolata021268"/>
    <m/>
    <n v="-5.4342604000000003"/>
    <n v="-5.0136129"/>
    <s v="Direct"/>
    <s v="NA"/>
  </r>
  <r>
    <x v="0"/>
    <x v="2"/>
    <s v="Ofaveolata021288"/>
    <m/>
    <n v="2.6047486700000002"/>
    <n v="2.9906248199999999"/>
    <s v="Direct"/>
    <s v="NA"/>
  </r>
  <r>
    <x v="0"/>
    <x v="2"/>
    <s v="Ofaveolata021289"/>
    <m/>
    <n v="1.8788677199999999"/>
    <n v="1.4419198099999999"/>
    <s v="Direct"/>
    <s v="NA"/>
  </r>
  <r>
    <x v="0"/>
    <x v="2"/>
    <s v="Ofaveolata021294"/>
    <m/>
    <n v="-1.6888996000000001"/>
    <n v="-1.5751195"/>
    <s v="Direct"/>
    <s v="Beta-lactamase"/>
  </r>
  <r>
    <x v="0"/>
    <x v="2"/>
    <s v="Ofaveolata021319"/>
    <m/>
    <n v="-1.8686332999999999"/>
    <n v="-3.3935105999999999"/>
    <s v="Direct"/>
    <s v="centriole replication"/>
  </r>
  <r>
    <x v="0"/>
    <x v="2"/>
    <s v="Ofaveolata021386"/>
    <m/>
    <n v="-1.1971868999999999"/>
    <n v="-1.1153808000000001"/>
    <s v="Direct"/>
    <s v="dolichyl-diphosphooligosaccharide-protein glycotransferase activity"/>
  </r>
  <r>
    <x v="0"/>
    <x v="2"/>
    <s v="Ofaveolata021389"/>
    <m/>
    <n v="-1.4451944999999999"/>
    <n v="-1.2313413"/>
    <s v="Direct"/>
    <s v="NA"/>
  </r>
  <r>
    <x v="0"/>
    <x v="2"/>
    <s v="Ofaveolata021396"/>
    <m/>
    <n v="-4.0413569000000003"/>
    <n v="-2.7561027999999999"/>
    <s v="Direct"/>
    <s v="glutamic-type peptidase activity"/>
  </r>
  <r>
    <x v="0"/>
    <x v="2"/>
    <s v="Ofaveolata021422"/>
    <m/>
    <n v="-1.591477"/>
    <n v="-3.3878770999999999"/>
    <s v="Direct"/>
    <s v="NA"/>
  </r>
  <r>
    <x v="0"/>
    <x v="2"/>
    <s v="Ofaveolata021507"/>
    <m/>
    <n v="-2.3731798"/>
    <n v="-2.5253770000000002"/>
    <s v="Direct"/>
    <s v="protein localization to perinuclear region of cytoplasm"/>
  </r>
  <r>
    <x v="0"/>
    <x v="2"/>
    <s v="Ofaveolata021514"/>
    <m/>
    <n v="3.1496882400000001"/>
    <n v="2.3894319899999998"/>
    <s v="Direct"/>
    <s v="glucuronosyltransferase activity"/>
  </r>
  <r>
    <x v="0"/>
    <x v="2"/>
    <s v="Ofaveolata021550"/>
    <m/>
    <n v="-1.4987945"/>
    <n v="-3.1483574999999999"/>
    <s v="Direct"/>
    <s v="Sparc osteonectin, cwcv and kazal-like domains proteoglycan (testican) 2"/>
  </r>
  <r>
    <x v="0"/>
    <x v="2"/>
    <s v="Ofaveolata021559"/>
    <m/>
    <n v="-4.5593066999999996"/>
    <n v="-1.5349473"/>
    <s v="Direct"/>
    <s v="NA"/>
  </r>
  <r>
    <x v="0"/>
    <x v="2"/>
    <s v="Ofaveolata021858"/>
    <m/>
    <n v="1.07770688"/>
    <n v="2.22570172"/>
    <s v="Direct"/>
    <s v="complement activation, classical pathway"/>
  </r>
  <r>
    <x v="0"/>
    <x v="2"/>
    <s v="Ofaveolata021870"/>
    <m/>
    <n v="-8.3410043999999992"/>
    <n v="-3.6264740999999998"/>
    <s v="Direct"/>
    <s v="NA"/>
  </r>
  <r>
    <x v="0"/>
    <x v="2"/>
    <s v="Ofaveolata021875"/>
    <m/>
    <n v="2.32953207"/>
    <n v="4.0575580599999999"/>
    <s v="Direct"/>
    <s v="NA"/>
  </r>
  <r>
    <x v="0"/>
    <x v="2"/>
    <s v="Ofaveolata021876"/>
    <m/>
    <n v="-1.3676895"/>
    <n v="-1.1892381000000001"/>
    <s v="Direct"/>
    <s v="NA"/>
  </r>
  <r>
    <x v="0"/>
    <x v="2"/>
    <s v="Ofaveolata021895"/>
    <m/>
    <n v="1.44222103"/>
    <n v="1.7891051600000001"/>
    <s v="Direct"/>
    <s v="NA"/>
  </r>
  <r>
    <x v="0"/>
    <x v="2"/>
    <s v="Ofaveolata021922"/>
    <m/>
    <n v="3.53735942"/>
    <n v="2.5253434000000001"/>
    <s v="Direct"/>
    <s v="Suppression of tumorigenicity 13 (colon carcinoma) (Hsp70 interacting protein)"/>
  </r>
  <r>
    <x v="0"/>
    <x v="2"/>
    <s v="Ofaveolata021934"/>
    <m/>
    <n v="-2.2558357999999998"/>
    <n v="-1.803018"/>
    <s v="Direct"/>
    <s v="NA"/>
  </r>
  <r>
    <x v="0"/>
    <x v="2"/>
    <s v="Ofaveolata021960"/>
    <m/>
    <n v="-7.7191318000000004"/>
    <n v="-6.9305494999999997"/>
    <s v="Direct"/>
    <s v="ATP:ADP antiporter activity"/>
  </r>
  <r>
    <x v="0"/>
    <x v="2"/>
    <s v="Ofaveolata021968"/>
    <m/>
    <n v="-10.550367"/>
    <n v="-6.9494702999999998"/>
    <s v="Direct"/>
    <s v="metallocarboxypeptidase activity"/>
  </r>
  <r>
    <x v="0"/>
    <x v="2"/>
    <s v="Ofaveolata021969"/>
    <m/>
    <n v="2.1617334800000001"/>
    <n v="2.2309035499999998"/>
    <s v="Direct"/>
    <s v="NA"/>
  </r>
  <r>
    <x v="0"/>
    <x v="2"/>
    <s v="Ofaveolata021990"/>
    <m/>
    <n v="4.0335339499999998"/>
    <n v="1.529361"/>
    <s v="Direct"/>
    <s v="NA"/>
  </r>
  <r>
    <x v="0"/>
    <x v="2"/>
    <s v="Ofaveolata021995"/>
    <m/>
    <n v="3.23325263"/>
    <n v="1.83136188"/>
    <s v="Direct"/>
    <s v="NA"/>
  </r>
  <r>
    <x v="0"/>
    <x v="2"/>
    <s v="Ofaveolata021996"/>
    <m/>
    <n v="1.9693989199999999"/>
    <n v="1.5148598099999999"/>
    <s v="Direct"/>
    <s v="NA"/>
  </r>
  <r>
    <x v="0"/>
    <x v="2"/>
    <s v="Ofaveolata021998"/>
    <m/>
    <n v="2.2573645600000001"/>
    <n v="1.51079922"/>
    <s v="Direct"/>
    <s v="tumor necrosis factor-activated receptor activity"/>
  </r>
  <r>
    <x v="0"/>
    <x v="2"/>
    <s v="Ofaveolata022005"/>
    <m/>
    <n v="3.93845701"/>
    <n v="1.9180248099999999"/>
    <s v="Direct"/>
    <s v="NA"/>
  </r>
  <r>
    <x v="0"/>
    <x v="2"/>
    <s v="Ofaveolata022011"/>
    <m/>
    <n v="3.14536836"/>
    <n v="1.3328892400000001"/>
    <s v="Direct"/>
    <s v="NA"/>
  </r>
  <r>
    <x v="0"/>
    <x v="2"/>
    <s v="Ofaveolata022018"/>
    <m/>
    <n v="-11.372134000000001"/>
    <n v="-6.2984951000000002"/>
    <s v="Direct"/>
    <s v="NA"/>
  </r>
  <r>
    <x v="0"/>
    <x v="2"/>
    <s v="Ofaveolata022022"/>
    <m/>
    <n v="-1.0711009"/>
    <n v="-1.0752950999999999"/>
    <s v="Direct"/>
    <s v="transcription factor activity, RNA polymerase II core promoter sequence-specific binding involved in preinitiation complex assembly"/>
  </r>
  <r>
    <x v="0"/>
    <x v="2"/>
    <s v="Ofaveolata022024"/>
    <m/>
    <n v="-1.5908043999999999"/>
    <n v="-1.1401323000000001"/>
    <s v="Direct"/>
    <s v="L-lactate"/>
  </r>
  <r>
    <x v="0"/>
    <x v="2"/>
    <s v="Ofaveolata022059"/>
    <m/>
    <n v="-6.8032066999999996"/>
    <n v="-5.0058528000000004"/>
    <s v="Direct"/>
    <s v="NA"/>
  </r>
  <r>
    <x v="0"/>
    <x v="2"/>
    <s v="Ofaveolata022060"/>
    <m/>
    <n v="-1.1568967999999999"/>
    <n v="-1.4594293"/>
    <s v="Direct"/>
    <s v="posttranscriptional tethering of RNA polymerase II gene DNA at nuclear periphery"/>
  </r>
  <r>
    <x v="0"/>
    <x v="2"/>
    <s v="Ofaveolata022087"/>
    <m/>
    <n v="-1.8756888"/>
    <n v="-1.8921659"/>
    <s v="Direct"/>
    <s v="NA"/>
  </r>
  <r>
    <x v="0"/>
    <x v="2"/>
    <s v="Ofaveolata022088"/>
    <m/>
    <n v="-2.0970805000000001"/>
    <n v="-2.2720701000000001"/>
    <s v="Direct"/>
    <s v="structural constituent of ribosome"/>
  </r>
  <r>
    <x v="0"/>
    <x v="2"/>
    <s v="Ofaveolata022092"/>
    <m/>
    <n v="-3.2761627"/>
    <n v="-5.3543075"/>
    <s v="Direct"/>
    <s v="pyrimidine nucleotide transmembrane transporter activity"/>
  </r>
  <r>
    <x v="0"/>
    <x v="2"/>
    <s v="Ofaveolata022112"/>
    <m/>
    <n v="-1.4441181000000001"/>
    <n v="-1.2403294"/>
    <s v="Direct"/>
    <s v="NA"/>
  </r>
  <r>
    <x v="0"/>
    <x v="2"/>
    <s v="Ofaveolata022126"/>
    <m/>
    <n v="-2.8226849999999999"/>
    <n v="-1.2733293999999999"/>
    <s v="Direct"/>
    <s v="steroid hormone receptor activity"/>
  </r>
  <r>
    <x v="0"/>
    <x v="2"/>
    <s v="Ofaveolata022127"/>
    <m/>
    <n v="-1.4460618999999999"/>
    <n v="-1.0777350999999999"/>
    <s v="Direct"/>
    <s v="NA"/>
  </r>
  <r>
    <x v="0"/>
    <x v="2"/>
    <s v="Ofaveolata022145"/>
    <m/>
    <n v="4.1388558599999996"/>
    <n v="1.09447436"/>
    <s v="Direct"/>
    <s v="NA"/>
  </r>
  <r>
    <x v="0"/>
    <x v="2"/>
    <s v="Ofaveolata022159"/>
    <m/>
    <n v="1.2154656699999999"/>
    <n v="1.11455517"/>
    <s v="Direct"/>
    <s v="ATP binding. It is involved in the biological process described with protein phosphorylation"/>
  </r>
  <r>
    <x v="0"/>
    <x v="2"/>
    <s v="Ofaveolata022163"/>
    <m/>
    <n v="1.6926654000000001"/>
    <n v="1.86838145"/>
    <s v="Direct"/>
    <s v="PRA1 family"/>
  </r>
  <r>
    <x v="0"/>
    <x v="2"/>
    <s v="Ofaveolata022177"/>
    <m/>
    <n v="-3.1797243000000002"/>
    <n v="-3.8608321000000001"/>
    <s v="Direct"/>
    <s v="Folate receptor"/>
  </r>
  <r>
    <x v="0"/>
    <x v="2"/>
    <s v="Ofaveolata022185"/>
    <m/>
    <n v="1.2293655400000001"/>
    <n v="1.00679425"/>
    <s v="Direct"/>
    <s v="miRNA binding"/>
  </r>
  <r>
    <x v="0"/>
    <x v="2"/>
    <s v="Ofaveolata022199"/>
    <m/>
    <n v="-1.6314654"/>
    <n v="-1.4138307999999999"/>
    <s v="Direct"/>
    <s v="UTP biosynthetic process"/>
  </r>
  <r>
    <x v="0"/>
    <x v="2"/>
    <s v="Ofaveolata022205"/>
    <m/>
    <n v="-2.6130827999999999"/>
    <n v="-3.9657200000000001"/>
    <s v="Direct"/>
    <s v="NA"/>
  </r>
  <r>
    <x v="0"/>
    <x v="2"/>
    <s v="Ofaveolata022225"/>
    <m/>
    <n v="-1.3574117999999999"/>
    <n v="-2.0408776999999998"/>
    <s v="Direct"/>
    <s v="Belongs to the glycosyl hydrolase 18 family"/>
  </r>
  <r>
    <x v="0"/>
    <x v="2"/>
    <s v="Ofaveolata022226"/>
    <m/>
    <n v="-2.0825857999999999"/>
    <n v="-2.1528271999999999"/>
    <s v="Direct"/>
    <s v="NA"/>
  </r>
  <r>
    <x v="0"/>
    <x v="2"/>
    <s v="Ofaveolata022228"/>
    <m/>
    <n v="-1.1325581"/>
    <n v="-1.5575151"/>
    <s v="Direct"/>
    <s v="Malignant T cell amplified sequence 1"/>
  </r>
  <r>
    <x v="0"/>
    <x v="2"/>
    <s v="Ofaveolata022229"/>
    <m/>
    <n v="-2.2509532999999999"/>
    <n v="-2.7026509000000001"/>
    <s v="Direct"/>
    <s v="regulation of DNA recombination at telomere"/>
  </r>
  <r>
    <x v="0"/>
    <x v="2"/>
    <s v="Ofaveolata022247"/>
    <m/>
    <n v="-1.4785509999999999"/>
    <n v="-1.5793957999999999"/>
    <s v="Direct"/>
    <s v="NA"/>
  </r>
  <r>
    <x v="0"/>
    <x v="2"/>
    <s v="Ofaveolata022259"/>
    <m/>
    <n v="-1.8083203999999999"/>
    <n v="-4.5530818999999996"/>
    <s v="Direct"/>
    <s v="NA"/>
  </r>
  <r>
    <x v="0"/>
    <x v="2"/>
    <s v="Ofaveolata022261"/>
    <m/>
    <n v="-4.4759225999999996"/>
    <n v="-2.8227954"/>
    <s v="Direct"/>
    <s v="NA"/>
  </r>
  <r>
    <x v="0"/>
    <x v="2"/>
    <s v="Ofaveolata022273"/>
    <m/>
    <n v="-1.5094920999999999"/>
    <n v="-1.3349384"/>
    <s v="Direct"/>
    <s v="pronephric nephron development"/>
  </r>
  <r>
    <x v="0"/>
    <x v="2"/>
    <s v="Ofaveolata022335"/>
    <m/>
    <n v="-2.0618226000000002"/>
    <n v="-1.6263452"/>
    <s v="Direct"/>
    <s v="cell cycle arrest"/>
  </r>
  <r>
    <x v="0"/>
    <x v="2"/>
    <s v="Ofaveolata022340"/>
    <m/>
    <n v="-1.6080699000000001"/>
    <n v="-1.0314558"/>
    <s v="Direct"/>
    <s v="NA"/>
  </r>
  <r>
    <x v="0"/>
    <x v="2"/>
    <s v="Ofaveolata022343"/>
    <m/>
    <n v="-3.4429485999999998"/>
    <n v="-2.7962695000000002"/>
    <s v="Direct"/>
    <s v="NA"/>
  </r>
  <r>
    <x v="0"/>
    <x v="2"/>
    <s v="Ofaveolata022344"/>
    <m/>
    <n v="4.6676203000000003"/>
    <n v="4.95482567"/>
    <s v="Direct"/>
    <s v="NA"/>
  </r>
  <r>
    <x v="0"/>
    <x v="2"/>
    <s v="Ofaveolata022351"/>
    <m/>
    <n v="1.383669"/>
    <n v="1.5264990300000001"/>
    <s v="Direct"/>
    <s v="NA"/>
  </r>
  <r>
    <x v="0"/>
    <x v="2"/>
    <s v="Ofaveolata022362"/>
    <m/>
    <n v="-1.2848926000000001"/>
    <n v="-1.7980252999999999"/>
    <s v="Direct"/>
    <s v="member RAS oncogene family"/>
  </r>
  <r>
    <x v="0"/>
    <x v="2"/>
    <s v="Ofaveolata022366"/>
    <m/>
    <n v="-14.655351"/>
    <n v="-7.0070126000000004"/>
    <s v="Direct"/>
    <s v="G-protein coupled receptor activity"/>
  </r>
  <r>
    <x v="0"/>
    <x v="2"/>
    <s v="Ofaveolata022372"/>
    <m/>
    <n v="-3.7503682999999999"/>
    <n v="-4.0007682000000004"/>
    <s v="Direct"/>
    <s v="Belongs to the sodium solute symporter (SSF) (TC 2.A.21) family"/>
  </r>
  <r>
    <x v="0"/>
    <x v="2"/>
    <s v="Ofaveolata022387"/>
    <m/>
    <n v="4.3851250799999999"/>
    <n v="2.2669048300000001"/>
    <s v="Direct"/>
    <s v="NA"/>
  </r>
  <r>
    <x v="0"/>
    <x v="2"/>
    <s v="Ofaveolata022400"/>
    <m/>
    <n v="-1.9916271000000001"/>
    <n v="-2.3352479000000002"/>
    <s v="Direct"/>
    <s v="secondary active sulfate transmembrane transporter activity"/>
  </r>
  <r>
    <x v="0"/>
    <x v="2"/>
    <s v="Ofaveolata022425"/>
    <m/>
    <n v="6.8078525499999998"/>
    <n v="9.2366831999999999"/>
    <s v="Direct"/>
    <s v="FAD binding domain of DNA photolyase"/>
  </r>
  <r>
    <x v="0"/>
    <x v="2"/>
    <s v="Ofaveolata022440"/>
    <m/>
    <n v="-1.2929491"/>
    <n v="-1.8633123"/>
    <s v="Direct"/>
    <s v="negative regulation of integrin-mediated signaling pathway"/>
  </r>
  <r>
    <x v="0"/>
    <x v="2"/>
    <s v="Ofaveolata022456"/>
    <m/>
    <n v="-2.1401656"/>
    <n v="-2.3067886999999998"/>
    <s v="Direct"/>
    <s v="mitogen-activated protein kinase"/>
  </r>
  <r>
    <x v="0"/>
    <x v="2"/>
    <s v="Ofaveolata022463"/>
    <m/>
    <n v="-2.6582119999999998"/>
    <n v="-1.203443"/>
    <s v="Direct"/>
    <s v="serine arginine-rich splicing factor"/>
  </r>
  <r>
    <x v="0"/>
    <x v="2"/>
    <s v="Ofaveolata022464"/>
    <m/>
    <n v="-4.9421369999999998"/>
    <n v="-6.9191104000000001"/>
    <s v="Direct"/>
    <s v="Dynein, light chain"/>
  </r>
  <r>
    <x v="0"/>
    <x v="2"/>
    <s v="Ofaveolata022467"/>
    <m/>
    <n v="-2.1225501000000002"/>
    <n v="-1.8396412"/>
    <s v="Direct"/>
    <s v="protein serine/threonine phosphatase activity"/>
  </r>
  <r>
    <x v="0"/>
    <x v="2"/>
    <s v="Ofaveolata022468"/>
    <m/>
    <n v="-2.9678786000000001"/>
    <n v="-3.3430768999999998"/>
    <s v="Direct"/>
    <s v="Complement component 1 q"/>
  </r>
  <r>
    <x v="0"/>
    <x v="2"/>
    <s v="Ofaveolata022471"/>
    <m/>
    <n v="-3.5701377999999999"/>
    <n v="-2.6268767"/>
    <s v="Direct"/>
    <s v="NA"/>
  </r>
  <r>
    <x v="0"/>
    <x v="2"/>
    <s v="Ofaveolata022474"/>
    <m/>
    <n v="-1.0357067"/>
    <n v="-2.8608867"/>
    <s v="Direct"/>
    <s v="RAB, member of RAS oncogene family-like 3"/>
  </r>
  <r>
    <x v="0"/>
    <x v="2"/>
    <s v="Ofaveolata022486"/>
    <m/>
    <n v="-2.3971117999999998"/>
    <n v="-1.6597694000000001"/>
    <s v="Direct"/>
    <s v="L27 domain binding"/>
  </r>
  <r>
    <x v="0"/>
    <x v="2"/>
    <s v="Ofaveolata022492"/>
    <m/>
    <n v="2.7440830699999998"/>
    <n v="2.2787349899999998"/>
    <s v="Direct"/>
    <s v="ATP-dependent DNA helicase activity"/>
  </r>
  <r>
    <x v="0"/>
    <x v="2"/>
    <s v="Ofaveolata022493"/>
    <m/>
    <n v="1.6728150900000001"/>
    <n v="3.7445648199999999"/>
    <s v="Direct"/>
    <s v="NA"/>
  </r>
  <r>
    <x v="0"/>
    <x v="2"/>
    <s v="Ofaveolata022498"/>
    <m/>
    <n v="-2.4013648000000001"/>
    <n v="-1.0293133999999999"/>
    <s v="Direct"/>
    <s v="calcium ion binding"/>
  </r>
  <r>
    <x v="0"/>
    <x v="2"/>
    <s v="Ofaveolata022501"/>
    <m/>
    <n v="3.7492359899999999"/>
    <n v="4.1896141800000004"/>
    <s v="Direct"/>
    <s v="LON peptidase N-terminal domain and RING finger"/>
  </r>
  <r>
    <x v="0"/>
    <x v="2"/>
    <s v="Ofaveolata022545"/>
    <m/>
    <n v="-1.4922933"/>
    <n v="-1.0640369999999999"/>
    <s v="Direct"/>
    <s v="NA"/>
  </r>
  <r>
    <x v="0"/>
    <x v="2"/>
    <s v="Ofaveolata022559"/>
    <m/>
    <n v="-1.6314654"/>
    <n v="-1.7234408999999999"/>
    <s v="Direct"/>
    <s v="organic anion transmembrane transporter activity"/>
  </r>
  <r>
    <x v="0"/>
    <x v="2"/>
    <s v="Ofaveolata022580"/>
    <m/>
    <n v="-12.032964"/>
    <n v="-9.9973877000000009"/>
    <s v="Direct"/>
    <s v="histone pre-mRNA DCP binding"/>
  </r>
  <r>
    <x v="0"/>
    <x v="2"/>
    <s v="Ofaveolata022583"/>
    <m/>
    <n v="-6.8078526000000004"/>
    <n v="-11.046903"/>
    <s v="Direct"/>
    <s v="Isocitrate lyase family"/>
  </r>
  <r>
    <x v="0"/>
    <x v="2"/>
    <s v="Ofaveolata022584"/>
    <m/>
    <n v="-1.5257563000000001"/>
    <n v="-1.8627591999999999"/>
    <s v="Direct"/>
    <s v="magnesium ion binding"/>
  </r>
  <r>
    <x v="0"/>
    <x v="2"/>
    <s v="Ofaveolata022598"/>
    <m/>
    <n v="1.72416269"/>
    <n v="1.69365071"/>
    <s v="Direct"/>
    <s v="transcription initiation from RNA polymerase III promoter"/>
  </r>
  <r>
    <x v="0"/>
    <x v="2"/>
    <s v="Ofaveolata022622"/>
    <m/>
    <n v="-1.2624496999999999"/>
    <n v="-1.7173144"/>
    <s v="Direct"/>
    <s v="NA"/>
  </r>
  <r>
    <x v="0"/>
    <x v="2"/>
    <s v="Ofaveolata022633"/>
    <m/>
    <n v="-2.8673627000000002"/>
    <n v="-3.9458823000000001"/>
    <s v="Direct"/>
    <s v="C-type lectin (CTL) or carbohydrate-recognition domain (CRD)"/>
  </r>
  <r>
    <x v="0"/>
    <x v="2"/>
    <s v="Ofaveolata022638"/>
    <m/>
    <n v="-12.310795000000001"/>
    <n v="-6.1736724000000001"/>
    <s v="Direct"/>
    <s v="carbohydrate binding"/>
  </r>
  <r>
    <x v="0"/>
    <x v="2"/>
    <s v="Ofaveolata022639"/>
    <m/>
    <n v="-6.6845083000000001"/>
    <n v="-4.2828894000000002"/>
    <s v="Direct"/>
    <s v="carbohydrate binding"/>
  </r>
  <r>
    <x v="0"/>
    <x v="2"/>
    <s v="Ofaveolata022645"/>
    <m/>
    <n v="-1.9556385999999999"/>
    <n v="-1.0914752000000001"/>
    <s v="Direct"/>
    <s v="cellular response to glucose starvation"/>
  </r>
  <r>
    <x v="0"/>
    <x v="2"/>
    <s v="Ofaveolata022655"/>
    <m/>
    <n v="-2.4520189000000001"/>
    <n v="-2.6765083000000001"/>
    <s v="Direct"/>
    <s v="Belongs to the WD repeat coronin family"/>
  </r>
  <r>
    <x v="0"/>
    <x v="2"/>
    <s v="Ofaveolata022663"/>
    <m/>
    <n v="2.3038904200000001"/>
    <n v="2.5974195199999999"/>
    <s v="Direct"/>
    <s v="phenanthrene-epoxide hydrolase activity"/>
  </r>
  <r>
    <x v="0"/>
    <x v="2"/>
    <s v="Ofaveolata022668"/>
    <m/>
    <n v="1.6705174700000001"/>
    <n v="2.4936718400000002"/>
    <s v="Direct"/>
    <s v="SET domain containing 6"/>
  </r>
  <r>
    <x v="0"/>
    <x v="2"/>
    <s v="Ofaveolata022674"/>
    <m/>
    <n v="-3.6617780999999998"/>
    <n v="-1.6539653999999999"/>
    <s v="Direct"/>
    <s v="calcium-transporting ATPase activity"/>
  </r>
  <r>
    <x v="0"/>
    <x v="2"/>
    <s v="Ofaveolata022676"/>
    <m/>
    <n v="-3.0562406000000002"/>
    <n v="-3.7912124999999999"/>
    <s v="Direct"/>
    <s v="Phosphoenolpyruvate phosphomutase"/>
  </r>
  <r>
    <x v="0"/>
    <x v="2"/>
    <s v="Ofaveolata022678"/>
    <m/>
    <n v="-6.3238222000000004"/>
    <n v="-5.7666475999999998"/>
    <s v="Direct"/>
    <s v="snRNA import into nucleus"/>
  </r>
  <r>
    <x v="0"/>
    <x v="2"/>
    <s v="Ofaveolata022690"/>
    <m/>
    <n v="-1.5511984999999999"/>
    <n v="-2.0867952000000001"/>
    <s v="Direct"/>
    <s v="telomerase activity"/>
  </r>
  <r>
    <x v="0"/>
    <x v="2"/>
    <s v="Ofaveolata022700"/>
    <m/>
    <n v="-1.0564480999999999"/>
    <n v="-1.2866739"/>
    <s v="Direct"/>
    <s v="Functions as component of the Arp2 3 complex which is involved in regulation of actin polymerization and together with an activating nucleation-promoting factor (NPF) mediates the formation of branched actin networks"/>
  </r>
  <r>
    <x v="0"/>
    <x v="2"/>
    <s v="Ofaveolata022703"/>
    <m/>
    <n v="-1.3141312999999999"/>
    <n v="-3.5961827999999998"/>
    <s v="Direct"/>
    <s v="Major Facilitator Superfamily"/>
  </r>
  <r>
    <x v="0"/>
    <x v="2"/>
    <s v="Ofaveolata022706"/>
    <m/>
    <n v="-4.0321756999999998"/>
    <n v="-2.0693508"/>
    <s v="Direct"/>
    <s v="aminoacyl-tRNA hydrolase activity"/>
  </r>
  <r>
    <x v="0"/>
    <x v="2"/>
    <s v="Ofaveolata022713"/>
    <m/>
    <n v="-1.6265962"/>
    <n v="-3.4591574999999999"/>
    <s v="Direct"/>
    <s v="vWA found in TerF C terminus"/>
  </r>
  <r>
    <x v="0"/>
    <x v="2"/>
    <s v="Ofaveolata022718"/>
    <m/>
    <n v="-2.7882532000000002"/>
    <n v="-1.5762628999999999"/>
    <s v="Direct"/>
    <s v="1-acylglycerol-3-phosphate O-acyltransferase activity"/>
  </r>
  <r>
    <x v="0"/>
    <x v="2"/>
    <s v="Ofaveolata022726"/>
    <m/>
    <n v="-5.4002999000000003"/>
    <n v="-3.3333460000000001"/>
    <s v="Direct"/>
    <s v="NA"/>
  </r>
  <r>
    <x v="0"/>
    <x v="2"/>
    <s v="Ofaveolata022732"/>
    <m/>
    <n v="5.1796963600000003"/>
    <n v="2.8764424599999998"/>
    <s v="Direct"/>
    <s v="NA"/>
  </r>
  <r>
    <x v="0"/>
    <x v="2"/>
    <s v="Ofaveolata022751"/>
    <m/>
    <n v="-2.3366361000000002"/>
    <n v="-2.4989994000000002"/>
    <s v="Direct"/>
    <s v="Domain that may be involved in binding ubiquitin-conjugating enzymes (UBCs)"/>
  </r>
  <r>
    <x v="0"/>
    <x v="2"/>
    <s v="Ofaveolata022753"/>
    <m/>
    <n v="-1.18492"/>
    <n v="-1.5189737999999999"/>
    <s v="Direct"/>
    <s v="translation reinitiation"/>
  </r>
  <r>
    <x v="0"/>
    <x v="2"/>
    <s v="Ofaveolata022806"/>
    <m/>
    <n v="-6.2119929000000003"/>
    <n v="-5.5892289000000002"/>
    <s v="Direct"/>
    <s v="positive regulation of epithelial to mesenchymal transition"/>
  </r>
  <r>
    <x v="0"/>
    <x v="2"/>
    <s v="Ofaveolata022807"/>
    <m/>
    <n v="-2.0848787"/>
    <n v="-4.2665366999999996"/>
    <s v="Direct"/>
    <s v="peptidase inhibitor activity"/>
  </r>
  <r>
    <x v="0"/>
    <x v="2"/>
    <s v="Ofaveolata022819"/>
    <m/>
    <n v="-2.3263541000000001"/>
    <n v="-1.6237785"/>
    <s v="Direct"/>
    <s v="EamA-like transporter family"/>
  </r>
  <r>
    <x v="0"/>
    <x v="2"/>
    <s v="Ofaveolata022848"/>
    <m/>
    <n v="-2.1367802999999999"/>
    <n v="-2.7623999000000001"/>
    <s v="Direct"/>
    <s v="PGAM family member 5, serine threonine protein phosphatase, mitochondrial"/>
  </r>
  <r>
    <x v="0"/>
    <x v="2"/>
    <s v="Ofaveolata022864"/>
    <m/>
    <n v="-1.6812682999999999"/>
    <n v="-1.6223339000000001"/>
    <s v="Direct"/>
    <s v="DNA replication"/>
  </r>
  <r>
    <x v="0"/>
    <x v="2"/>
    <s v="Ofaveolata022881"/>
    <m/>
    <n v="-6.6482685999999998"/>
    <n v="-5.0535182000000001"/>
    <s v="Direct"/>
    <s v="bleomycin hydrolase"/>
  </r>
  <r>
    <x v="0"/>
    <x v="2"/>
    <s v="Ofaveolata022899"/>
    <m/>
    <n v="-1.2505147999999999"/>
    <n v="-1.6740701"/>
    <s v="Direct"/>
    <s v="NA"/>
  </r>
  <r>
    <x v="0"/>
    <x v="2"/>
    <s v="Ofaveolata022905"/>
    <m/>
    <n v="-1.3543026"/>
    <n v="-1.217082"/>
    <s v="Direct"/>
    <s v="Notch signaling pathway"/>
  </r>
  <r>
    <x v="0"/>
    <x v="2"/>
    <s v="Ofaveolata022913"/>
    <m/>
    <n v="3.0604671300000001"/>
    <n v="2.2668241400000002"/>
    <s v="Direct"/>
    <s v="NA"/>
  </r>
  <r>
    <x v="0"/>
    <x v="2"/>
    <s v="Ofaveolata022915"/>
    <m/>
    <n v="4.1501367599999996"/>
    <n v="2.6045628999999999"/>
    <s v="Direct"/>
    <s v="NA"/>
  </r>
  <r>
    <x v="0"/>
    <x v="2"/>
    <s v="Ofaveolata022918"/>
    <m/>
    <n v="1.93813882"/>
    <n v="1.7572487400000001"/>
    <s v="Direct"/>
    <s v="Trypsin-like serine protease"/>
  </r>
  <r>
    <x v="0"/>
    <x v="2"/>
    <s v="Ofaveolata022966"/>
    <m/>
    <n v="-1.2260998000000001"/>
    <n v="-1.1158014999999999"/>
    <s v="Direct"/>
    <s v="DSBA-like thioredoxin domain"/>
  </r>
  <r>
    <x v="0"/>
    <x v="2"/>
    <s v="Ofaveolata022993"/>
    <m/>
    <n v="1.65670166"/>
    <n v="1.69497963"/>
    <s v="Direct"/>
    <s v="nucleic acid binding"/>
  </r>
  <r>
    <x v="0"/>
    <x v="2"/>
    <s v="Ofaveolata022997"/>
    <m/>
    <n v="1.0198035700000001"/>
    <n v="1.62417072"/>
    <s v="Direct"/>
    <s v="regulation of endoplasmic reticulum stress-induced intrinsic apoptotic signaling pathway"/>
  </r>
  <r>
    <x v="0"/>
    <x v="2"/>
    <s v="Ofaveolata023011"/>
    <m/>
    <n v="2.5700118700000001"/>
    <n v="2.1088564299999999"/>
    <s v="Direct"/>
    <s v="NA"/>
  </r>
  <r>
    <x v="0"/>
    <x v="2"/>
    <s v="Ofaveolata023014"/>
    <m/>
    <n v="-2.8868168000000001"/>
    <n v="-2.6600790999999999"/>
    <s v="Direct"/>
    <s v="NA"/>
  </r>
  <r>
    <x v="0"/>
    <x v="2"/>
    <s v="Ofaveolata023019"/>
    <m/>
    <n v="-1.4994654000000001"/>
    <n v="-1.467565"/>
    <s v="Direct"/>
    <s v="SOR/SNZ family"/>
  </r>
  <r>
    <x v="0"/>
    <x v="2"/>
    <s v="Ofaveolata023020"/>
    <m/>
    <n v="6.01217589"/>
    <n v="3.6949958600000001"/>
    <s v="Direct"/>
    <s v="Belongs to the peptidase C14A family"/>
  </r>
  <r>
    <x v="0"/>
    <x v="2"/>
    <s v="Ofaveolata023023"/>
    <m/>
    <n v="-1.9176335"/>
    <n v="-1.0512775999999999"/>
    <s v="Direct"/>
    <s v="Isocitrate lyase family"/>
  </r>
  <r>
    <x v="0"/>
    <x v="2"/>
    <s v="Ofaveolata023024"/>
    <m/>
    <n v="-1.2325618"/>
    <n v="-2.7491750000000001"/>
    <s v="Direct"/>
    <s v="Isocitrate lyase family"/>
  </r>
  <r>
    <x v="0"/>
    <x v="2"/>
    <s v="Ofaveolata023041"/>
    <m/>
    <n v="2.6976182299999998"/>
    <n v="3.29835506"/>
    <s v="Direct"/>
    <s v="recombination hotspot binding"/>
  </r>
  <r>
    <x v="0"/>
    <x v="2"/>
    <s v="Ofaveolata023052"/>
    <m/>
    <n v="1.5428706299999999"/>
    <n v="1.3904318099999999"/>
    <s v="Direct"/>
    <s v="negative regulation of ERK5 cascade"/>
  </r>
  <r>
    <x v="0"/>
    <x v="2"/>
    <s v="Ofaveolata023065"/>
    <m/>
    <n v="-2.5433392000000001"/>
    <n v="-4.6748718"/>
    <s v="Direct"/>
    <s v="positive regulation of dipeptide transport"/>
  </r>
  <r>
    <x v="0"/>
    <x v="2"/>
    <s v="Ofaveolata023072"/>
    <m/>
    <n v="-1.0610584000000001"/>
    <n v="-1.4942949999999999"/>
    <s v="Direct"/>
    <s v="mesenchymal cell apoptotic process"/>
  </r>
  <r>
    <x v="0"/>
    <x v="2"/>
    <s v="Ofaveolata023156"/>
    <m/>
    <n v="-1.8446094"/>
    <n v="-5.9433430999999999"/>
    <s v="Direct"/>
    <s v="Cystatin-like domain"/>
  </r>
  <r>
    <x v="0"/>
    <x v="2"/>
    <s v="Ofaveolata023169"/>
    <m/>
    <n v="-1.4711064"/>
    <n v="-1.01328"/>
    <s v="Direct"/>
    <s v="sphingolipid transporter activity"/>
  </r>
  <r>
    <x v="0"/>
    <x v="2"/>
    <s v="Ofaveolata023195"/>
    <m/>
    <n v="-2.4461803999999998"/>
    <n v="-1.1949991"/>
    <s v="Direct"/>
    <s v="NA"/>
  </r>
  <r>
    <x v="0"/>
    <x v="2"/>
    <s v="Ofaveolata023200"/>
    <m/>
    <n v="4.86879712"/>
    <n v="3.01670828"/>
    <s v="Direct"/>
    <s v="extracellularly ATP-gated cation channel activity"/>
  </r>
  <r>
    <x v="0"/>
    <x v="2"/>
    <s v="Ofaveolata023203"/>
    <m/>
    <n v="1.67285621"/>
    <n v="1.34960988"/>
    <s v="Direct"/>
    <s v="ribosomal protein S23"/>
  </r>
  <r>
    <x v="0"/>
    <x v="2"/>
    <s v="Ofaveolata023204"/>
    <m/>
    <n v="1.79404984"/>
    <n v="1.0019596799999999"/>
    <s v="Direct"/>
    <s v="L-pipecolate oxidase activity"/>
  </r>
  <r>
    <x v="0"/>
    <x v="2"/>
    <s v="Ofaveolata023209"/>
    <m/>
    <n v="-3.3093773"/>
    <n v="-2.3759505999999999"/>
    <s v="Direct"/>
    <s v="[3-methyl-2-oxobutanoate dehydrogenase (acetyl-transferring)] kinase activity"/>
  </r>
  <r>
    <x v="0"/>
    <x v="2"/>
    <s v="Ofaveolata023222"/>
    <m/>
    <n v="-1.7673852000000001"/>
    <n v="-1.3085795"/>
    <s v="Direct"/>
    <s v="Domain of unknown function (DUF4042)"/>
  </r>
  <r>
    <x v="0"/>
    <x v="2"/>
    <s v="Ofaveolata023233"/>
    <m/>
    <n v="1.42321155"/>
    <n v="1.1621765500000001"/>
    <s v="Direct"/>
    <s v="NA"/>
  </r>
  <r>
    <x v="0"/>
    <x v="2"/>
    <s v="Ofaveolata023236"/>
    <m/>
    <n v="-1.5765932"/>
    <n v="-1.1772279000000001"/>
    <s v="Direct"/>
    <s v="NA"/>
  </r>
  <r>
    <x v="0"/>
    <x v="2"/>
    <s v="Ofaveolata023238"/>
    <m/>
    <n v="1.7158163500000001"/>
    <n v="2.9842742699999998"/>
    <s v="Direct"/>
    <s v="NA"/>
  </r>
  <r>
    <x v="0"/>
    <x v="2"/>
    <s v="Ofaveolata023245"/>
    <m/>
    <n v="1.87751154"/>
    <n v="3.26684551"/>
    <s v="Direct"/>
    <s v="nitric-oxide synthase activity"/>
  </r>
  <r>
    <x v="0"/>
    <x v="2"/>
    <s v="Ofaveolata023261"/>
    <m/>
    <n v="-2.277952"/>
    <n v="-1.8985505"/>
    <s v="Direct"/>
    <s v="It is involved in the biological process described with chromatin remodeling"/>
  </r>
  <r>
    <x v="0"/>
    <x v="2"/>
    <s v="Ofaveolata023264"/>
    <m/>
    <n v="-1.6829297999999999"/>
    <n v="-1.6337493999999999"/>
    <s v="Direct"/>
    <s v="NA"/>
  </r>
  <r>
    <x v="0"/>
    <x v="2"/>
    <s v="Ofaveolata023276"/>
    <m/>
    <n v="1.1632902199999999"/>
    <n v="1.6932894300000001"/>
    <s v="Direct"/>
    <s v="face morphogenesis"/>
  </r>
  <r>
    <x v="0"/>
    <x v="2"/>
    <s v="Ofaveolata023284"/>
    <m/>
    <n v="2.1274856999999998"/>
    <n v="1.5700297999999999"/>
    <s v="Direct"/>
    <s v="intra-Golgi vesicle-mediated transport"/>
  </r>
  <r>
    <x v="0"/>
    <x v="2"/>
    <s v="Ofaveolata023286"/>
    <m/>
    <n v="-2.6374094000000001"/>
    <n v="-1.4766398999999999"/>
    <s v="Direct"/>
    <s v="Signal transducer activity. It is involved in the biological process described with intracellular signal transduction"/>
  </r>
  <r>
    <x v="0"/>
    <x v="2"/>
    <s v="Ofaveolata023288"/>
    <m/>
    <n v="-1.5094920999999999"/>
    <n v="-1.0970578"/>
    <s v="Direct"/>
    <s v="negative regulation of peptidyl-serine phosphorylation of STAT protein"/>
  </r>
  <r>
    <x v="0"/>
    <x v="2"/>
    <s v="Ofaveolata023296"/>
    <m/>
    <n v="-1.5261897"/>
    <n v="-3.0176892999999998"/>
    <s v="Direct"/>
    <s v="NA"/>
  </r>
  <r>
    <x v="0"/>
    <x v="2"/>
    <s v="Ofaveolata023304"/>
    <m/>
    <n v="-2.7167550999999999"/>
    <n v="-1.165478"/>
    <s v="Direct"/>
    <s v="endoplasmic reticulum organization"/>
  </r>
  <r>
    <x v="0"/>
    <x v="2"/>
    <s v="Ofaveolata023319"/>
    <m/>
    <n v="-1.5668911999999999"/>
    <n v="-1.1194554000000001"/>
    <s v="Direct"/>
    <s v="60s ribosomal protein"/>
  </r>
  <r>
    <x v="0"/>
    <x v="2"/>
    <s v="Ofaveolata023324"/>
    <m/>
    <n v="3.26392127"/>
    <n v="2.4599555"/>
    <s v="Direct"/>
    <s v="14-3-3 homologues"/>
  </r>
  <r>
    <x v="0"/>
    <x v="2"/>
    <s v="Ofaveolata023325"/>
    <m/>
    <n v="2.3589441799999999"/>
    <n v="2.4268914700000002"/>
    <s v="Direct"/>
    <s v="Belongs to the 14-3-3 family"/>
  </r>
  <r>
    <x v="0"/>
    <x v="2"/>
    <s v="Ofaveolata023328"/>
    <m/>
    <n v="3.01484554"/>
    <n v="2.1266857400000001"/>
    <s v="Direct"/>
    <s v="glutathione hydrolase activity"/>
  </r>
  <r>
    <x v="0"/>
    <x v="2"/>
    <s v="Ofaveolata023335"/>
    <m/>
    <n v="1.59303463"/>
    <n v="1.96873034"/>
    <s v="Direct"/>
    <s v="glutathione hydrolase activity"/>
  </r>
  <r>
    <x v="0"/>
    <x v="2"/>
    <s v="Ofaveolata023337"/>
    <m/>
    <n v="-1.1241098"/>
    <n v="-1.4202786999999999"/>
    <s v="Direct"/>
    <s v="glutathione hydrolase activity"/>
  </r>
  <r>
    <x v="0"/>
    <x v="2"/>
    <s v="Ofaveolata023339"/>
    <m/>
    <n v="-9.2139842000000005"/>
    <n v="-6.2392614000000002"/>
    <s v="Direct"/>
    <s v="Receptor for arginine vasopressin. The activity of this receptor is mediated by G proteins which activate a phosphatidyl- inositol-calcium second messenger system"/>
  </r>
  <r>
    <x v="0"/>
    <x v="2"/>
    <s v="Ofaveolata023345"/>
    <m/>
    <n v="-2.3133374999999998"/>
    <n v="-3.1579834999999998"/>
    <s v="Direct"/>
    <s v="Converts proline to delta-1-pyrroline-5-carboxylate"/>
  </r>
  <r>
    <x v="0"/>
    <x v="2"/>
    <s v="Ofaveolata023384"/>
    <m/>
    <n v="-1.8786951999999999"/>
    <n v="-2.4839538000000001"/>
    <s v="Direct"/>
    <s v="Microcephalin"/>
  </r>
  <r>
    <x v="0"/>
    <x v="2"/>
    <s v="Ofaveolata023400"/>
    <m/>
    <n v="7.8399516900000004"/>
    <n v="9.0505273899999992"/>
    <s v="Direct"/>
    <s v="Belongs to the MIP aquaporin (TC 1.A.8) family"/>
  </r>
  <r>
    <x v="0"/>
    <x v="2"/>
    <s v="Ofaveolata023437"/>
    <m/>
    <n v="1.16360665"/>
    <n v="2.77104785"/>
    <s v="Direct"/>
    <s v="NA"/>
  </r>
  <r>
    <x v="0"/>
    <x v="2"/>
    <s v="Ofaveolata023443"/>
    <m/>
    <n v="-5.121461"/>
    <n v="-3.9289345"/>
    <s v="Direct"/>
    <s v="membrane protein proteolysis involved in retrograde protein transport, ER to cytosol"/>
  </r>
  <r>
    <x v="0"/>
    <x v="2"/>
    <s v="Ofaveolata023444"/>
    <m/>
    <n v="-2.9951677999999999"/>
    <n v="-2.4031148"/>
    <s v="Direct"/>
    <s v="NA"/>
  </r>
  <r>
    <x v="0"/>
    <x v="2"/>
    <s v="Ofaveolata023446"/>
    <m/>
    <n v="2.4670263800000001"/>
    <n v="1.8456751600000001"/>
    <s v="Direct"/>
    <s v="hydrolase activity, acting on ester bonds"/>
  </r>
  <r>
    <x v="0"/>
    <x v="2"/>
    <s v="Ofaveolata023450"/>
    <m/>
    <n v="-8.8693741999999993"/>
    <n v="-7.0704579000000001"/>
    <s v="Direct"/>
    <s v="NA"/>
  </r>
  <r>
    <x v="0"/>
    <x v="2"/>
    <s v="Ofaveolata023451"/>
    <m/>
    <n v="-38.165309000000001"/>
    <n v="-31.875039000000001"/>
    <s v="Direct"/>
    <s v="NA"/>
  </r>
  <r>
    <x v="0"/>
    <x v="2"/>
    <s v="Ofaveolata023505"/>
    <m/>
    <n v="3.6354761400000002"/>
    <n v="2.4936718400000002"/>
    <s v="Direct"/>
    <s v="NA"/>
  </r>
  <r>
    <x v="0"/>
    <x v="2"/>
    <s v="Ofaveolata023506"/>
    <m/>
    <n v="2.8179154500000001"/>
    <n v="3.4172219799999999"/>
    <s v="Direct"/>
    <s v="NA"/>
  </r>
  <r>
    <x v="0"/>
    <x v="2"/>
    <s v="Ofaveolata023540"/>
    <m/>
    <n v="-4.2320352999999997"/>
    <n v="-3.3037898000000001"/>
    <s v="Direct"/>
    <s v="NA"/>
  </r>
  <r>
    <x v="0"/>
    <x v="2"/>
    <s v="Ofaveolata023548"/>
    <m/>
    <n v="-2.7089268"/>
    <n v="-3.8508170000000002"/>
    <s v="Direct"/>
    <s v="protein import into mitochondrial inner membrane"/>
  </r>
  <r>
    <x v="0"/>
    <x v="2"/>
    <s v="Ofaveolata023560"/>
    <m/>
    <n v="1.3190812300000001"/>
    <n v="1.12237075"/>
    <s v="Direct"/>
    <s v="TBC1 domain family member"/>
  </r>
  <r>
    <x v="0"/>
    <x v="2"/>
    <s v="Ofaveolata023563"/>
    <m/>
    <n v="-5.7492786000000002"/>
    <n v="-7.0557420999999998"/>
    <s v="Direct"/>
    <s v="nitric oxide catabolic process"/>
  </r>
  <r>
    <x v="0"/>
    <x v="2"/>
    <s v="Ofaveolata023564"/>
    <m/>
    <n v="-1.5668389"/>
    <n v="-1.9004141000000001"/>
    <s v="Direct"/>
    <s v="unfolded protein binding"/>
  </r>
  <r>
    <x v="0"/>
    <x v="2"/>
    <s v="Ofaveolata023565"/>
    <m/>
    <n v="-3.1542976999999999"/>
    <n v="-2.1237917999999998"/>
    <s v="Direct"/>
    <s v="translational elongation"/>
  </r>
  <r>
    <x v="0"/>
    <x v="2"/>
    <s v="Ofaveolata023571"/>
    <m/>
    <n v="-1.2930058"/>
    <n v="-1.3110972000000001"/>
    <s v="Direct"/>
    <s v="NA"/>
  </r>
  <r>
    <x v="0"/>
    <x v="2"/>
    <s v="Ofaveolata023572"/>
    <m/>
    <n v="1.53228345"/>
    <n v="1.7687428199999999"/>
    <s v="Direct"/>
    <s v="(3S)-citramalyl-CoA lyase activity"/>
  </r>
  <r>
    <x v="0"/>
    <x v="2"/>
    <s v="Ofaveolata023578"/>
    <m/>
    <n v="-1.2493439"/>
    <n v="-2.0720626000000002"/>
    <s v="Direct"/>
    <s v="peptidyl-threonine dephosphorylation"/>
  </r>
  <r>
    <x v="0"/>
    <x v="2"/>
    <s v="Ofaveolata023587"/>
    <m/>
    <n v="-1.7199886"/>
    <n v="-2.3435980000000001"/>
    <s v="Direct"/>
    <s v="NA"/>
  </r>
  <r>
    <x v="0"/>
    <x v="2"/>
    <s v="Ofaveolata023634"/>
    <m/>
    <n v="1.28209284"/>
    <n v="1.86254732"/>
    <s v="Direct"/>
    <s v="nonsense mediated mRNA decay factor"/>
  </r>
  <r>
    <x v="0"/>
    <x v="2"/>
    <s v="Ofaveolata023642"/>
    <m/>
    <n v="-2.1274856999999998"/>
    <n v="-2.3605176000000001"/>
    <s v="Direct"/>
    <s v="translation elongation factor activity"/>
  </r>
  <r>
    <x v="0"/>
    <x v="2"/>
    <s v="Ofaveolata023665"/>
    <m/>
    <n v="1.2625593900000001"/>
    <n v="1.15392648"/>
    <s v="Direct"/>
    <s v="protein localization to site of double-strand break"/>
  </r>
  <r>
    <x v="0"/>
    <x v="2"/>
    <s v="Ofaveolata023673"/>
    <m/>
    <n v="-2.6133223999999999"/>
    <n v="-1.0920352"/>
    <s v="Direct"/>
    <s v="family with sequence similarity 57, member A"/>
  </r>
  <r>
    <x v="0"/>
    <x v="2"/>
    <s v="Ofaveolata023686"/>
    <m/>
    <n v="-1.1223495999999999"/>
    <n v="-1.1233394999999999"/>
    <s v="Direct"/>
    <s v="NA"/>
  </r>
  <r>
    <x v="0"/>
    <x v="2"/>
    <s v="Ofaveolata023777"/>
    <m/>
    <n v="2.5458938999999998"/>
    <n v="1.7596531500000001"/>
    <s v="Direct"/>
    <s v="NA"/>
  </r>
  <r>
    <x v="0"/>
    <x v="2"/>
    <s v="Ofaveolata023780"/>
    <m/>
    <n v="-1.8100655999999999"/>
    <n v="-1.6285646"/>
    <s v="Direct"/>
    <s v="Wax ester synthase-like Acyl-CoA acyltransferase domain"/>
  </r>
  <r>
    <x v="0"/>
    <x v="2"/>
    <s v="Ofaveolata023790"/>
    <m/>
    <n v="1.7774966400000001"/>
    <n v="1.9294872000000001"/>
    <s v="Direct"/>
    <s v="cleavage furrow ingression"/>
  </r>
  <r>
    <x v="0"/>
    <x v="2"/>
    <s v="Ofaveolata023794"/>
    <m/>
    <n v="1.7658727700000001"/>
    <n v="1.5362275299999999"/>
    <s v="Direct"/>
    <s v="NA"/>
  </r>
  <r>
    <x v="0"/>
    <x v="2"/>
    <s v="Ofaveolata023805"/>
    <m/>
    <n v="-1.7418053"/>
    <n v="-1.1103831"/>
    <s v="Direct"/>
    <s v="negative regulation of Schwann cell proliferation"/>
  </r>
  <r>
    <x v="0"/>
    <x v="2"/>
    <s v="Ofaveolata023810"/>
    <m/>
    <n v="3.2009003300000001"/>
    <n v="3.9847040499999999"/>
    <s v="Direct"/>
    <s v="protein depalmitoleylation"/>
  </r>
  <r>
    <x v="0"/>
    <x v="2"/>
    <s v="Ofaveolata023828"/>
    <m/>
    <n v="6.4681963099999997"/>
    <n v="4.2987015900000003"/>
    <s v="Direct"/>
    <s v="protein-disulfide reductase activity"/>
  </r>
  <r>
    <x v="0"/>
    <x v="2"/>
    <s v="Ofaveolata023844"/>
    <m/>
    <n v="1.4628257099999999"/>
    <n v="1.13629885"/>
    <s v="Direct"/>
    <s v="NA"/>
  </r>
  <r>
    <x v="0"/>
    <x v="2"/>
    <s v="Ofaveolata023845"/>
    <m/>
    <n v="-1.9557848"/>
    <n v="-1.5562715"/>
    <s v="Direct"/>
    <s v="ribosomal large subunit assembly"/>
  </r>
  <r>
    <x v="0"/>
    <x v="2"/>
    <s v="Ofaveolata023855"/>
    <m/>
    <n v="-2.7189036999999998"/>
    <n v="-3.1480144999999999"/>
    <s v="Direct"/>
    <s v="phagosome-lysosome fusion"/>
  </r>
  <r>
    <x v="0"/>
    <x v="2"/>
    <s v="Ofaveolata023871"/>
    <m/>
    <n v="3.1790626999999998"/>
    <n v="2.8666081000000001"/>
    <s v="Direct"/>
    <s v="NA"/>
  </r>
  <r>
    <x v="0"/>
    <x v="2"/>
    <s v="Ofaveolata023872"/>
    <m/>
    <n v="3.30834772"/>
    <n v="2.7623998599999999"/>
    <s v="Direct"/>
    <s v="NA"/>
  </r>
  <r>
    <x v="0"/>
    <x v="2"/>
    <s v="Ofaveolata023914"/>
    <m/>
    <n v="2.1255974800000002"/>
    <n v="2.8114673799999998"/>
    <s v="Direct"/>
    <s v="NA"/>
  </r>
  <r>
    <x v="0"/>
    <x v="2"/>
    <s v="Ofaveolata023968"/>
    <m/>
    <n v="-1.0027423"/>
    <n v="-1.1586075"/>
    <s v="Direct"/>
    <s v="factor 19"/>
  </r>
  <r>
    <x v="0"/>
    <x v="2"/>
    <s v="Ofaveolata023969"/>
    <m/>
    <n v="-1.395683"/>
    <n v="-1.5318058000000001"/>
    <s v="Direct"/>
    <s v="Coiled-coil domain-containing protein 92"/>
  </r>
  <r>
    <x v="0"/>
    <x v="2"/>
    <s v="Ofaveolata024000"/>
    <m/>
    <n v="-2.2781335"/>
    <n v="-2.0862847000000002"/>
    <s v="Direct"/>
    <s v="retrograde transport, endosome to Golgi"/>
  </r>
  <r>
    <x v="0"/>
    <x v="2"/>
    <s v="Ofaveolata024018"/>
    <m/>
    <n v="-2.2414809999999998"/>
    <n v="-1.4654142999999999"/>
    <s v="Direct"/>
    <s v="peptidase inhibitor activity"/>
  </r>
  <r>
    <x v="0"/>
    <x v="2"/>
    <s v="Ofaveolata024019"/>
    <m/>
    <n v="3.1001533700000001"/>
    <n v="2.4444277900000002"/>
    <s v="Direct"/>
    <s v="NA"/>
  </r>
  <r>
    <x v="0"/>
    <x v="2"/>
    <s v="Ofaveolata024028"/>
    <m/>
    <n v="-3.2501791"/>
    <n v="-2.0610696000000002"/>
    <s v="Direct"/>
    <s v="Fibrosin-1-like"/>
  </r>
  <r>
    <x v="0"/>
    <x v="2"/>
    <s v="Ofaveolata024035"/>
    <m/>
    <n v="-1.6314654"/>
    <n v="-1.1651841999999999"/>
    <s v="Direct"/>
    <s v="rRNA (guanine-N7)-methylation"/>
  </r>
  <r>
    <x v="0"/>
    <x v="2"/>
    <s v="Ofaveolata024064"/>
    <m/>
    <n v="-2.3847629000000001"/>
    <n v="-2.5412837000000001"/>
    <s v="Direct"/>
    <s v="Amino acid permease"/>
  </r>
  <r>
    <x v="0"/>
    <x v="2"/>
    <s v="Ofaveolata024067"/>
    <m/>
    <n v="-1.5705260000000001"/>
    <n v="-1.4599399"/>
    <s v="Direct"/>
    <s v="maturation of LSU-rRNA from tricistronic rRNA transcript (SSU-rRNA, 5.8S rRNA, LSU-rRNA)"/>
  </r>
  <r>
    <x v="0"/>
    <x v="2"/>
    <s v="Ofaveolata024073"/>
    <m/>
    <n v="-2.5436209999999999"/>
    <n v="-1.7264592999999999"/>
    <s v="Direct"/>
    <s v="metal ion binding"/>
  </r>
  <r>
    <x v="0"/>
    <x v="2"/>
    <s v="Ofaveolata024079"/>
    <m/>
    <n v="3.9087286099999998"/>
    <n v="1.75289147"/>
    <s v="Direct"/>
    <s v="RNA-directed 5'-3' RNA polymerase activity"/>
  </r>
  <r>
    <x v="0"/>
    <x v="2"/>
    <s v="Ofaveolata024081"/>
    <m/>
    <n v="2.58344226"/>
    <n v="2.55324873"/>
    <s v="Direct"/>
    <s v="RNA-directed 5'-3' RNA polymerase activity"/>
  </r>
  <r>
    <x v="0"/>
    <x v="2"/>
    <s v="Ofaveolata024096"/>
    <m/>
    <n v="-1.9768057999999999"/>
    <n v="-1.8691553999999999"/>
    <s v="Direct"/>
    <s v="negative regulation of meiotic chromosome separation"/>
  </r>
  <r>
    <x v="0"/>
    <x v="2"/>
    <s v="Ofaveolata024109"/>
    <m/>
    <n v="1.0832021599999999"/>
    <n v="1.3163767799999999"/>
    <s v="Direct"/>
    <s v="NA"/>
  </r>
  <r>
    <x v="0"/>
    <x v="2"/>
    <s v="Ofaveolata024124"/>
    <m/>
    <n v="-2.1594663999999999"/>
    <n v="-1.0991318000000001"/>
    <s v="Direct"/>
    <s v="NA"/>
  </r>
  <r>
    <x v="0"/>
    <x v="2"/>
    <s v="Ofaveolata024125"/>
    <m/>
    <n v="6.7318735700000003"/>
    <n v="4.80529399"/>
    <s v="Direct"/>
    <s v="NA"/>
  </r>
  <r>
    <x v="0"/>
    <x v="2"/>
    <s v="Ofaveolata024138"/>
    <m/>
    <n v="-2.3770897999999998"/>
    <n v="-1.7435702"/>
    <s v="Direct"/>
    <s v="Transcription elongation factor B"/>
  </r>
  <r>
    <x v="0"/>
    <x v="2"/>
    <s v="Ofaveolata024147"/>
    <m/>
    <n v="-1.1337743"/>
    <n v="-1.3332344"/>
    <s v="Direct"/>
    <s v="Belongs to the enoyl-CoA hydratase isomerase family"/>
  </r>
  <r>
    <x v="0"/>
    <x v="2"/>
    <s v="Ofaveolata024163"/>
    <m/>
    <n v="2.2357248699999999"/>
    <n v="2.02189562"/>
    <s v="Direct"/>
    <s v="NA"/>
  </r>
  <r>
    <x v="0"/>
    <x v="2"/>
    <s v="Ofaveolata024165"/>
    <m/>
    <n v="-1.6010221"/>
    <n v="-1.8070778000000001"/>
    <s v="Direct"/>
    <s v="NA"/>
  </r>
  <r>
    <x v="0"/>
    <x v="2"/>
    <s v="Ofaveolata024190"/>
    <m/>
    <n v="-2.6900415999999998"/>
    <n v="-1.8537311999999999"/>
    <s v="Direct"/>
    <s v="structural constituent of ribosome"/>
  </r>
  <r>
    <x v="0"/>
    <x v="2"/>
    <s v="Ofaveolata024202"/>
    <m/>
    <n v="1.54295801"/>
    <n v="1.19589737"/>
    <s v="Direct"/>
    <s v="Cellular repressor of E1A-stimulated genes 2"/>
  </r>
  <r>
    <x v="0"/>
    <x v="2"/>
    <s v="Ofaveolata024209"/>
    <m/>
    <n v="2.6045561400000001"/>
    <n v="4.0945804399999997"/>
    <s v="Direct"/>
    <s v="copper ion binding"/>
  </r>
  <r>
    <x v="0"/>
    <x v="2"/>
    <s v="Ofaveolata024212"/>
    <m/>
    <n v="-1.4050997999999999"/>
    <n v="-1.691316"/>
    <s v="Direct"/>
    <s v="Belongs to the thiolase family"/>
  </r>
  <r>
    <x v="0"/>
    <x v="2"/>
    <s v="Ofaveolata024225"/>
    <m/>
    <n v="-2.6604523000000002"/>
    <n v="-2.7193124000000002"/>
    <s v="Direct"/>
    <s v="regulation of kinetochore assembly"/>
  </r>
  <r>
    <x v="0"/>
    <x v="2"/>
    <s v="Ofaveolata024231"/>
    <m/>
    <n v="-1.6003963999999999"/>
    <n v="-2.3366859999999998"/>
    <s v="Direct"/>
    <s v="NA"/>
  </r>
  <r>
    <x v="0"/>
    <x v="2"/>
    <s v="Ofaveolata024236"/>
    <m/>
    <n v="-1.2160271"/>
    <n v="-1.3718815"/>
    <s v="Direct"/>
    <s v="SRY (sex determining region Y)-box"/>
  </r>
  <r>
    <x v="0"/>
    <x v="2"/>
    <s v="Ofaveolata024239"/>
    <m/>
    <n v="-3.1344761000000001"/>
    <n v="-2.4977490000000002"/>
    <s v="Direct"/>
    <s v="UDP-N-acetylglucosamine catabolic process"/>
  </r>
  <r>
    <x v="0"/>
    <x v="2"/>
    <s v="Ofaveolata024244"/>
    <m/>
    <n v="-1.0007725000000001"/>
    <n v="-2.7661362"/>
    <s v="Direct"/>
    <s v="Late endosomal lysosomal adaptor, MAPK and MTOR activator 5"/>
  </r>
  <r>
    <x v="0"/>
    <x v="2"/>
    <s v="Ofaveolata024248"/>
    <m/>
    <n v="-1.5357746000000001"/>
    <n v="-1.6164523"/>
    <s v="Direct"/>
    <s v="asparagine catabolic process via L-aspartate"/>
  </r>
  <r>
    <x v="0"/>
    <x v="2"/>
    <s v="Ofaveolata024251"/>
    <m/>
    <n v="-4.6861552"/>
    <n v="-4.8062044000000004"/>
    <s v="Direct"/>
    <s v="NA"/>
  </r>
  <r>
    <x v="0"/>
    <x v="2"/>
    <s v="Ofaveolata024255"/>
    <m/>
    <n v="-2.7634932000000001"/>
    <n v="-2.7480373999999999"/>
    <s v="Direct"/>
    <s v="NA"/>
  </r>
  <r>
    <x v="0"/>
    <x v="2"/>
    <s v="Ofaveolata024256"/>
    <m/>
    <n v="-6.9487819999999996"/>
    <n v="-3.7938177999999998"/>
    <s v="Direct"/>
    <s v="NA"/>
  </r>
  <r>
    <x v="0"/>
    <x v="2"/>
    <s v="Ofaveolata024284"/>
    <m/>
    <n v="-2.1936442"/>
    <n v="-2.1721336999999998"/>
    <s v="Direct"/>
    <s v="NA"/>
  </r>
  <r>
    <x v="0"/>
    <x v="2"/>
    <s v="Ofaveolata024297"/>
    <m/>
    <n v="-4.1929683999999998"/>
    <n v="-3.0387754"/>
    <s v="Direct"/>
    <s v="stromal membrane-associated protein"/>
  </r>
  <r>
    <x v="0"/>
    <x v="2"/>
    <s v="Ofaveolata024301"/>
    <m/>
    <n v="-4.2092235999999996"/>
    <n v="-3.8458861"/>
    <s v="Direct"/>
    <s v="metalloaminopeptidase activity"/>
  </r>
  <r>
    <x v="0"/>
    <x v="2"/>
    <s v="Ofaveolata024308"/>
    <m/>
    <n v="-6.6274819000000003"/>
    <n v="-3.9148298000000001"/>
    <s v="Direct"/>
    <s v="positive regulation of exoribonuclease activity"/>
  </r>
  <r>
    <x v="0"/>
    <x v="2"/>
    <s v="Ofaveolata024312"/>
    <m/>
    <n v="1.5151312299999999"/>
    <n v="3.24577939"/>
    <s v="Direct"/>
    <s v="histone acetyltransferase activity"/>
  </r>
  <r>
    <x v="0"/>
    <x v="2"/>
    <s v="Ofaveolata024320"/>
    <m/>
    <n v="4.3574131300000003"/>
    <n v="3.1995517200000001"/>
    <s v="Direct"/>
    <s v="Phosphotyrosine interaction domain (PTB/PID)"/>
  </r>
  <r>
    <x v="0"/>
    <x v="2"/>
    <s v="Ofaveolata024321"/>
    <m/>
    <n v="-1.9948779000000001"/>
    <n v="-1.3461536999999999"/>
    <s v="Direct"/>
    <s v="Animal haem peroxidase"/>
  </r>
  <r>
    <x v="0"/>
    <x v="2"/>
    <s v="Ofaveolata024323"/>
    <m/>
    <n v="-1.8847872000000001"/>
    <n v="-1.8260934"/>
    <s v="Direct"/>
    <s v="Animal haem peroxidase"/>
  </r>
  <r>
    <x v="0"/>
    <x v="2"/>
    <s v="Ofaveolata024326"/>
    <m/>
    <n v="-11.065991"/>
    <n v="-8.7129191000000006"/>
    <s v="Direct"/>
    <s v="Animal haem peroxidase"/>
  </r>
  <r>
    <x v="0"/>
    <x v="2"/>
    <s v="Ofaveolata024334"/>
    <m/>
    <n v="-6.1981469000000002"/>
    <n v="-2.3581487999999999"/>
    <s v="Direct"/>
    <s v="Animal haem peroxidase"/>
  </r>
  <r>
    <x v="0"/>
    <x v="2"/>
    <s v="Ofaveolata024336"/>
    <m/>
    <n v="-12.079803999999999"/>
    <n v="-8.3259322999999998"/>
    <s v="Direct"/>
    <s v="Animal haem peroxidase"/>
  </r>
  <r>
    <x v="0"/>
    <x v="2"/>
    <s v="Ofaveolata024338"/>
    <m/>
    <n v="-9.3315867000000008"/>
    <n v="-5.7690431000000002"/>
    <s v="Direct"/>
    <s v="Animal haem peroxidase"/>
  </r>
  <r>
    <x v="0"/>
    <x v="2"/>
    <s v="Ofaveolata024342"/>
    <m/>
    <n v="-4.8055031000000001"/>
    <n v="-2.8760463999999999"/>
    <s v="Direct"/>
    <s v="Animal haem peroxidase"/>
  </r>
  <r>
    <x v="0"/>
    <x v="2"/>
    <s v="Ofaveolata024354"/>
    <m/>
    <n v="1.3998062499999999"/>
    <n v="1.19255987"/>
    <s v="Direct"/>
    <s v="NA"/>
  </r>
  <r>
    <x v="0"/>
    <x v="2"/>
    <s v="Ofaveolata024357"/>
    <m/>
    <n v="-2.2021367000000001"/>
    <n v="-3.2708148000000001"/>
    <s v="Direct"/>
    <s v="NA"/>
  </r>
  <r>
    <x v="0"/>
    <x v="2"/>
    <s v="Ofaveolata024360"/>
    <m/>
    <n v="-1.6995521"/>
    <n v="-2.1088564000000001"/>
    <s v="Direct"/>
    <s v="NA"/>
  </r>
  <r>
    <x v="0"/>
    <x v="2"/>
    <s v="Ofaveolata024364"/>
    <m/>
    <n v="-2.8541911"/>
    <n v="-3.8755413999999999"/>
    <s v="Direct"/>
    <s v="acetate-CoA ligase activity"/>
  </r>
  <r>
    <x v="0"/>
    <x v="2"/>
    <s v="Ofaveolata024365"/>
    <m/>
    <n v="1.66233224"/>
    <n v="1.1534153199999999"/>
    <s v="Direct"/>
    <s v="ankyrin repeats"/>
  </r>
  <r>
    <x v="0"/>
    <x v="2"/>
    <s v="Ofaveolata024384"/>
    <m/>
    <n v="-5.2880231999999996"/>
    <n v="-4.7662474000000001"/>
    <s v="Direct"/>
    <s v="NA"/>
  </r>
  <r>
    <x v="0"/>
    <x v="2"/>
    <s v="Ofaveolata024407"/>
    <m/>
    <n v="1.1616616"/>
    <n v="1.00010186"/>
    <s v="Direct"/>
    <s v="NA"/>
  </r>
  <r>
    <x v="0"/>
    <x v="2"/>
    <s v="Ofaveolata024421"/>
    <m/>
    <n v="1.59767547"/>
    <n v="2.4384526700000002"/>
    <s v="Direct"/>
    <s v="negative regulation of monocyte differentiation"/>
  </r>
  <r>
    <x v="0"/>
    <x v="2"/>
    <s v="Ofaveolata024441"/>
    <m/>
    <n v="6.9152199899999998"/>
    <n v="6.7975391299999997"/>
    <s v="Direct"/>
    <s v="GPN-loop GTPase 3"/>
  </r>
  <r>
    <x v="0"/>
    <x v="2"/>
    <s v="Ofaveolata024454"/>
    <m/>
    <n v="-1.1425721"/>
    <n v="-2.4421048000000001"/>
    <s v="Direct"/>
    <s v="tektin 2 (testicular)"/>
  </r>
  <r>
    <x v="0"/>
    <x v="2"/>
    <s v="Ofaveolata024463"/>
    <m/>
    <n v="-2.2558357999999998"/>
    <n v="-1.3089557000000001"/>
    <s v="Direct"/>
    <s v="ER to Golgi vesicle-mediated transport"/>
  </r>
  <r>
    <x v="0"/>
    <x v="2"/>
    <s v="Ofaveolata024468"/>
    <m/>
    <n v="-1.1232385"/>
    <n v="-1.6579119"/>
    <s v="Direct"/>
    <s v="ATP binding. It is involved in the biological process described with protein phosphorylation"/>
  </r>
  <r>
    <x v="0"/>
    <x v="2"/>
    <s v="Ofaveolata024476"/>
    <m/>
    <n v="-1.6521963"/>
    <n v="-1.0920352"/>
    <s v="Direct"/>
    <s v="Sigma factor PP2C-like phosphatases"/>
  </r>
  <r>
    <x v="0"/>
    <x v="2"/>
    <s v="Ofaveolata024477"/>
    <m/>
    <n v="1.0660291900000001"/>
    <n v="1.0546051299999999"/>
    <s v="Direct"/>
    <s v="ethanolaminephosphotransferase activity"/>
  </r>
  <r>
    <x v="0"/>
    <x v="2"/>
    <s v="Ofaveolata024483"/>
    <m/>
    <n v="-3.8630661000000002"/>
    <n v="-3.3904242"/>
    <s v="Direct"/>
    <s v="translation initiation factor activity"/>
  </r>
  <r>
    <x v="0"/>
    <x v="2"/>
    <s v="Ofaveolata024491"/>
    <m/>
    <n v="2.5850689999999998"/>
    <n v="2.7290279800000001"/>
    <s v="Direct"/>
    <s v="NA"/>
  </r>
  <r>
    <x v="0"/>
    <x v="2"/>
    <s v="Ofaveolata024492"/>
    <m/>
    <n v="-2.4772813999999999"/>
    <n v="-1.9709350000000001"/>
    <s v="Direct"/>
    <s v="NA"/>
  </r>
  <r>
    <x v="0"/>
    <x v="2"/>
    <s v="Ofaveolata024493"/>
    <m/>
    <n v="-2.2500950999999998"/>
    <n v="-3.4785808"/>
    <s v="Direct"/>
    <s v="intracellular distribution of mitochondria"/>
  </r>
  <r>
    <x v="0"/>
    <x v="2"/>
    <s v="Ofaveolata024494"/>
    <m/>
    <n v="-8.7205638000000008"/>
    <n v="-7.8139934999999996"/>
    <s v="Direct"/>
    <s v="Protein of unknown function (DUF2615)"/>
  </r>
  <r>
    <x v="0"/>
    <x v="2"/>
    <s v="Ofaveolata024496"/>
    <m/>
    <n v="-2.7146913000000001"/>
    <n v="-1.5248174000000001"/>
    <s v="Direct"/>
    <s v="NA"/>
  </r>
  <r>
    <x v="0"/>
    <x v="2"/>
    <s v="Ofaveolata024508"/>
    <m/>
    <n v="-1.2353282000000001"/>
    <n v="-1.0822909999999999"/>
    <s v="Direct"/>
    <s v="chromatin remodeling"/>
  </r>
  <r>
    <x v="0"/>
    <x v="2"/>
    <s v="Ofaveolata024535"/>
    <m/>
    <n v="-2.7154289"/>
    <n v="-4.0370645999999999"/>
    <s v="Direct"/>
    <s v="NA"/>
  </r>
  <r>
    <x v="0"/>
    <x v="2"/>
    <s v="Ofaveolata024555"/>
    <m/>
    <n v="-3.4006801000000002"/>
    <n v="-2.5916492"/>
    <s v="Direct"/>
    <s v="translation initiation factor activity"/>
  </r>
  <r>
    <x v="0"/>
    <x v="2"/>
    <s v="Ofaveolata024578"/>
    <m/>
    <n v="1.8899238"/>
    <n v="1.9158952600000001"/>
    <s v="Direct"/>
    <s v="lethal(3)malignant brain tumor-like protein"/>
  </r>
  <r>
    <x v="0"/>
    <x v="2"/>
    <s v="Ofaveolata024583"/>
    <m/>
    <n v="-1.1938960999999999"/>
    <n v="-2.3481583000000001"/>
    <s v="Direct"/>
    <s v="BEN domain-containing protein 3"/>
  </r>
  <r>
    <x v="0"/>
    <x v="2"/>
    <s v="Ofaveolata024604"/>
    <m/>
    <n v="-1.4407591"/>
    <n v="-3.0696249999999998"/>
    <s v="Direct"/>
    <s v="lipid catabolic process"/>
  </r>
  <r>
    <x v="0"/>
    <x v="2"/>
    <s v="Ofaveolata024609"/>
    <m/>
    <n v="4.8762288199999997"/>
    <n v="4.5617873800000002"/>
    <s v="Direct"/>
    <s v="RNA splicing"/>
  </r>
  <r>
    <x v="0"/>
    <x v="2"/>
    <s v="Ofaveolata024646"/>
    <m/>
    <n v="-2.1116575000000002"/>
    <n v="-1.3406138999999999"/>
    <s v="Direct"/>
    <s v="Pyridine nucleotide-disulfide oxidoreductase domain-containing protein"/>
  </r>
  <r>
    <x v="0"/>
    <x v="2"/>
    <s v="Ofaveolata024652"/>
    <m/>
    <n v="-1.2824589"/>
    <n v="-1.4292771"/>
    <s v="Direct"/>
    <s v="iron-sulfur cluster assembly"/>
  </r>
  <r>
    <x v="0"/>
    <x v="2"/>
    <s v="Ofaveolata024667"/>
    <m/>
    <n v="-6.4954234"/>
    <n v="-4.0087798000000001"/>
    <s v="Direct"/>
    <s v="Mitochondrial genome maintenance MGM101"/>
  </r>
  <r>
    <x v="0"/>
    <x v="2"/>
    <s v="Ofaveolata024673"/>
    <m/>
    <n v="1.48031286"/>
    <n v="1.4738248"/>
    <s v="Direct"/>
    <s v="oxidation-reduction process"/>
  </r>
  <r>
    <x v="0"/>
    <x v="2"/>
    <s v="Ofaveolata024679"/>
    <m/>
    <n v="-5.0882392999999997"/>
    <n v="-6.6128169000000003"/>
    <s v="Direct"/>
    <s v="phosphoenolpyruvate carboxykinase activity"/>
  </r>
  <r>
    <x v="0"/>
    <x v="2"/>
    <s v="Ofaveolata024680"/>
    <m/>
    <n v="3.2734006299999998"/>
    <n v="1.36353233"/>
    <s v="Direct"/>
    <s v="phosphoenolpyruvate carboxykinase activity"/>
  </r>
  <r>
    <x v="0"/>
    <x v="2"/>
    <s v="Ofaveolata024682"/>
    <m/>
    <n v="1.0359405699999999"/>
    <n v="1.0866611500000001"/>
    <s v="Direct"/>
    <s v="Wnt-protein binding"/>
  </r>
  <r>
    <x v="0"/>
    <x v="2"/>
    <s v="Ofaveolata024688"/>
    <m/>
    <n v="-2.0044545999999999"/>
    <n v="-1.7711796"/>
    <s v="Direct"/>
    <s v="soluble NSF attachment protein activity"/>
  </r>
  <r>
    <x v="0"/>
    <x v="2"/>
    <s v="Ofaveolata024689"/>
    <m/>
    <n v="2.2200411299999998"/>
    <n v="1.7515202400000001"/>
    <s v="Direct"/>
    <s v="tubulin binding"/>
  </r>
  <r>
    <x v="0"/>
    <x v="2"/>
    <s v="Ofaveolata024733"/>
    <m/>
    <n v="-1.2711068000000001"/>
    <n v="-1.1727437000000001"/>
    <s v="Direct"/>
    <s v="NA"/>
  </r>
  <r>
    <x v="0"/>
    <x v="2"/>
    <s v="Ofaveolata024742"/>
    <m/>
    <n v="-1.9776172000000001"/>
    <n v="-4.8321873000000002"/>
    <s v="Direct"/>
    <s v="NA"/>
  </r>
  <r>
    <x v="0"/>
    <x v="2"/>
    <s v="Ofaveolata024765"/>
    <m/>
    <n v="-2.1445948000000001"/>
    <n v="-1.5426637999999999"/>
    <s v="Direct"/>
    <s v="structural constituent of ribosome"/>
  </r>
  <r>
    <x v="0"/>
    <x v="2"/>
    <s v="Ofaveolata024791"/>
    <m/>
    <n v="-6.1365898999999997"/>
    <n v="-3.8154933999999998"/>
    <s v="Direct"/>
    <s v="calcium ion binding"/>
  </r>
  <r>
    <x v="0"/>
    <x v="2"/>
    <s v="Ofaveolata024852"/>
    <m/>
    <n v="7.0985635599999997"/>
    <n v="6.4285548300000004"/>
    <s v="Direct"/>
    <s v="abducens nerve formation"/>
  </r>
  <r>
    <x v="0"/>
    <x v="2"/>
    <s v="Ofaveolata024855"/>
    <m/>
    <n v="-1.1848578000000001"/>
    <n v="-1.6111129"/>
    <s v="Direct"/>
    <s v="WW domain-containing oxidoreductase"/>
  </r>
  <r>
    <x v="0"/>
    <x v="2"/>
    <s v="Ofaveolata024878"/>
    <m/>
    <n v="-2.1274856999999998"/>
    <n v="-2.8437841000000001"/>
    <s v="Direct"/>
    <s v="NA"/>
  </r>
  <r>
    <x v="0"/>
    <x v="2"/>
    <s v="Ofaveolata024904"/>
    <m/>
    <n v="-2.5818401999999998"/>
    <n v="-1.4075738"/>
    <s v="Direct"/>
    <s v="Collagen triple helix"/>
  </r>
  <r>
    <x v="0"/>
    <x v="2"/>
    <s v="Ofaveolata024921"/>
    <m/>
    <n v="-1.2707135000000001"/>
    <n v="-1.7581100999999999"/>
    <s v="Direct"/>
    <s v="NA"/>
  </r>
  <r>
    <x v="0"/>
    <x v="2"/>
    <s v="Ofaveolata024927"/>
    <m/>
    <n v="-3.1307757000000001"/>
    <n v="-4.4290617000000001"/>
    <s v="Direct"/>
    <s v="TNF receptor-associated factor"/>
  </r>
  <r>
    <x v="0"/>
    <x v="2"/>
    <s v="Ofaveolata024964"/>
    <m/>
    <n v="-3.8025959"/>
    <n v="-3.8029187000000002"/>
    <s v="Direct"/>
    <s v="cysteine-type endopeptidase activity"/>
  </r>
  <r>
    <x v="0"/>
    <x v="2"/>
    <s v="Ofaveolata024967"/>
    <m/>
    <n v="-2.7362464000000002"/>
    <n v="-3.490103"/>
    <s v="Direct"/>
    <s v="cysteine-type endopeptidase activity"/>
  </r>
  <r>
    <x v="0"/>
    <x v="2"/>
    <s v="Ofaveolata024970"/>
    <m/>
    <n v="-1.7607047"/>
    <n v="-1.6135029999999999"/>
    <s v="Direct"/>
    <s v="protein targeting to lysosome"/>
  </r>
  <r>
    <x v="0"/>
    <x v="2"/>
    <s v="Ofaveolata024974"/>
    <m/>
    <n v="-2.6401900999999999"/>
    <n v="-5.0852703999999997"/>
    <s v="Direct"/>
    <s v="ER membrane protein complex subunit"/>
  </r>
  <r>
    <x v="0"/>
    <x v="2"/>
    <s v="Ofaveolata024990"/>
    <m/>
    <n v="2.55999211"/>
    <n v="1.72473378"/>
    <s v="Direct"/>
    <s v="NA"/>
  </r>
  <r>
    <x v="0"/>
    <x v="2"/>
    <s v="Ofaveolata024996"/>
    <m/>
    <n v="-4.3560328000000004"/>
    <n v="-2.5168487000000002"/>
    <s v="Direct"/>
    <s v="negative regulation of transcription by RNA polymerase II"/>
  </r>
  <r>
    <x v="0"/>
    <x v="2"/>
    <s v="Ofaveolata025000"/>
    <m/>
    <n v="3.3003208100000001"/>
    <n v="2.9732923900000001"/>
    <s v="Direct"/>
    <s v="protein O-GlcNAc transferase activity"/>
  </r>
  <r>
    <x v="0"/>
    <x v="2"/>
    <s v="Ofaveolata025001"/>
    <m/>
    <n v="2.1020320899999998"/>
    <n v="1.99062556"/>
    <s v="Direct"/>
    <s v="NA"/>
  </r>
  <r>
    <x v="0"/>
    <x v="2"/>
    <s v="Ofaveolata025008"/>
    <m/>
    <n v="1.2516885799999999"/>
    <n v="1.4260249199999999"/>
    <s v="Direct"/>
    <s v="NA"/>
  </r>
  <r>
    <x v="0"/>
    <x v="2"/>
    <s v="Ofaveolata025012"/>
    <m/>
    <n v="1.4614755500000001"/>
    <n v="1.77913337"/>
    <s v="Direct"/>
    <s v="Cupin-like domain"/>
  </r>
  <r>
    <x v="0"/>
    <x v="2"/>
    <s v="Ofaveolata025013"/>
    <m/>
    <n v="-4.9245295000000002"/>
    <n v="-6.0644499999999999"/>
    <s v="Direct"/>
    <s v="GDP-mannose"/>
  </r>
  <r>
    <x v="0"/>
    <x v="2"/>
    <s v="Ofaveolata025017"/>
    <m/>
    <n v="3.59253701"/>
    <n v="3.5797470200000001"/>
    <s v="Direct"/>
    <s v="saccharopine dehydrogenase (NAD+, L-lysine-forming) activity"/>
  </r>
  <r>
    <x v="0"/>
    <x v="2"/>
    <s v="Ofaveolata025023"/>
    <m/>
    <n v="-2.0386486000000001"/>
    <n v="-1.4864188"/>
    <s v="Direct"/>
    <s v="Uncharacterized conserved protein (DUF2347)"/>
  </r>
  <r>
    <x v="0"/>
    <x v="2"/>
    <s v="Ofaveolata025043"/>
    <m/>
    <n v="-5.0845688000000004"/>
    <n v="-2.3322623"/>
    <s v="Direct"/>
    <s v="NA"/>
  </r>
  <r>
    <x v="0"/>
    <x v="2"/>
    <s v="Ofaveolata025070"/>
    <m/>
    <n v="-2.6054941"/>
    <n v="-1.6679908999999999"/>
    <s v="Direct"/>
    <s v="positive regulation of NLRP3 inflammasome complex assembly"/>
  </r>
  <r>
    <x v="0"/>
    <x v="2"/>
    <s v="Ofaveolata025075"/>
    <m/>
    <n v="-1.6194237"/>
    <n v="-1.8457553"/>
    <s v="Direct"/>
    <s v="leucine-rich repeat serine threonine-protein kinase"/>
  </r>
  <r>
    <x v="0"/>
    <x v="2"/>
    <s v="Ofaveolata025081"/>
    <m/>
    <n v="3.0160592899999998"/>
    <n v="1.2617442999999999"/>
    <s v="Direct"/>
    <s v="regulation of mRNA export from nucleus"/>
  </r>
  <r>
    <x v="0"/>
    <x v="2"/>
    <s v="Ofaveolata025147"/>
    <m/>
    <n v="-1.2824243"/>
    <n v="-1.6509682000000001"/>
    <s v="Direct"/>
    <s v="NA"/>
  </r>
  <r>
    <x v="0"/>
    <x v="2"/>
    <s v="Ofaveolata025167"/>
    <m/>
    <n v="4.9954768500000002"/>
    <n v="2.3851966299999998"/>
    <s v="Direct"/>
    <s v="vascular endothelial growth factor receptor-2 signaling pathway"/>
  </r>
  <r>
    <x v="0"/>
    <x v="2"/>
    <s v="Ofaveolata025176"/>
    <m/>
    <n v="6.1594170799999999"/>
    <n v="4.4429620099999996"/>
    <s v="Direct"/>
    <s v="NA"/>
  </r>
  <r>
    <x v="0"/>
    <x v="2"/>
    <s v="Ofaveolata025184"/>
    <m/>
    <n v="-2.8362677000000001"/>
    <n v="-2.6834205"/>
    <s v="Direct"/>
    <s v="syndrome nuclear autoantigen 1"/>
  </r>
  <r>
    <x v="0"/>
    <x v="2"/>
    <s v="Ofaveolata025187"/>
    <m/>
    <n v="-3.2791481999999998"/>
    <n v="-3.8123349000000002"/>
    <s v="Direct"/>
    <s v="NA"/>
  </r>
  <r>
    <x v="0"/>
    <x v="2"/>
    <s v="Ofaveolata025189"/>
    <m/>
    <n v="-14.051104"/>
    <n v="-7.7963909999999998"/>
    <s v="Direct"/>
    <s v="structural constituent of cuticle"/>
  </r>
  <r>
    <x v="0"/>
    <x v="2"/>
    <s v="Ofaveolata025190"/>
    <m/>
    <n v="-17.607279999999999"/>
    <n v="-11.946096000000001"/>
    <s v="Direct"/>
    <s v="structural constituent of cuticle"/>
  </r>
  <r>
    <x v="0"/>
    <x v="2"/>
    <s v="Ofaveolata025193"/>
    <m/>
    <n v="-14.422558"/>
    <n v="-9.3204781000000008"/>
    <s v="Direct"/>
    <s v="structural constituent of cuticle"/>
  </r>
  <r>
    <x v="0"/>
    <x v="2"/>
    <s v="Ofaveolata025221"/>
    <m/>
    <n v="-2.6347583000000001"/>
    <n v="-4.5172384000000001"/>
    <s v="Direct"/>
    <s v="positive regulation of epithelial to mesenchymal transition"/>
  </r>
  <r>
    <x v="0"/>
    <x v="2"/>
    <s v="Ofaveolata025225"/>
    <m/>
    <n v="2.5963839499999999"/>
    <n v="1.7699574899999999"/>
    <s v="Direct"/>
    <s v="NA"/>
  </r>
  <r>
    <x v="0"/>
    <x v="2"/>
    <s v="Ofaveolata025231"/>
    <m/>
    <n v="-3.1908310000000002"/>
    <n v="-1.7248884"/>
    <s v="Direct"/>
    <s v="NA"/>
  </r>
  <r>
    <x v="0"/>
    <x v="2"/>
    <s v="Ofaveolata025267"/>
    <m/>
    <n v="-7.5127471999999997"/>
    <n v="-4.3838995000000001"/>
    <s v="Direct"/>
    <s v="NA"/>
  </r>
  <r>
    <x v="0"/>
    <x v="2"/>
    <s v="Ofaveolata025271"/>
    <m/>
    <n v="-1.9195697"/>
    <n v="-1.9324325"/>
    <s v="Direct"/>
    <s v="Saccharopine"/>
  </r>
  <r>
    <x v="0"/>
    <x v="2"/>
    <s v="Ofaveolata025300"/>
    <m/>
    <n v="3.5857909700000001"/>
    <n v="1.9093049799999999"/>
    <s v="Direct"/>
    <s v="positive regulation of extracellular matrix disassembly"/>
  </r>
  <r>
    <x v="0"/>
    <x v="2"/>
    <s v="Ofaveolata025315"/>
    <m/>
    <n v="-1.3350090999999999"/>
    <n v="-2.2726454"/>
    <s v="Direct"/>
    <s v="NADH dehydrogenase (ubiquinone) flavoprotein 2"/>
  </r>
  <r>
    <x v="0"/>
    <x v="2"/>
    <s v="Ofaveolata025327"/>
    <m/>
    <n v="-2.0136707"/>
    <n v="-1.2471753999999999"/>
    <s v="Direct"/>
    <s v="Aldo/keto reductase family"/>
  </r>
  <r>
    <x v="0"/>
    <x v="2"/>
    <s v="Ofaveolata025342"/>
    <m/>
    <n v="-13.256663"/>
    <n v="-8.9971692999999995"/>
    <s v="Direct"/>
    <s v="NA"/>
  </r>
  <r>
    <x v="0"/>
    <x v="2"/>
    <s v="Ofaveolata025365"/>
    <m/>
    <n v="-1.6919944"/>
    <n v="-2.0010178000000001"/>
    <s v="Direct"/>
    <s v="NA"/>
  </r>
  <r>
    <x v="0"/>
    <x v="2"/>
    <s v="Ofaveolata025374"/>
    <m/>
    <n v="-2.5499706"/>
    <n v="-3.4438316000000002"/>
    <s v="Direct"/>
    <s v="protein destabilization"/>
  </r>
  <r>
    <x v="0"/>
    <x v="2"/>
    <s v="Ofaveolata025426"/>
    <m/>
    <n v="1.8961570999999999"/>
    <n v="1.9038546300000001"/>
    <s v="Direct"/>
    <s v="NA"/>
  </r>
  <r>
    <x v="0"/>
    <x v="2"/>
    <s v="Ofaveolata025429"/>
    <m/>
    <n v="-7.0006687000000003"/>
    <n v="-5.3625107999999999"/>
    <s v="Direct"/>
    <s v="positive regulation of epithelial to mesenchymal transition"/>
  </r>
  <r>
    <x v="0"/>
    <x v="2"/>
    <s v="Ofaveolata025430"/>
    <m/>
    <n v="-4.3052590000000004"/>
    <n v="-4.0317411999999999"/>
    <s v="Direct"/>
    <s v="NA"/>
  </r>
  <r>
    <x v="0"/>
    <x v="2"/>
    <s v="Ofaveolata025436"/>
    <m/>
    <n v="-7.6599868999999998"/>
    <n v="-5.5217682999999997"/>
    <s v="Direct"/>
    <s v="positive regulation of epithelial to mesenchymal transition"/>
  </r>
  <r>
    <x v="0"/>
    <x v="2"/>
    <s v="Ofaveolata025437"/>
    <m/>
    <n v="-13.868516"/>
    <n v="-9.4042779000000003"/>
    <s v="Direct"/>
    <s v="peptidase inhibitor activity"/>
  </r>
  <r>
    <x v="0"/>
    <x v="2"/>
    <s v="Ofaveolata025439"/>
    <m/>
    <n v="-3.6478514999999998"/>
    <n v="-1.8834930000000001"/>
    <s v="Direct"/>
    <s v="positive regulation of epithelial to mesenchymal transition"/>
  </r>
  <r>
    <x v="0"/>
    <x v="2"/>
    <s v="Ofaveolata025442"/>
    <m/>
    <n v="-3.4754524999999998"/>
    <n v="-3.4582709999999999"/>
    <s v="Direct"/>
    <s v="peptidase inhibitor activity"/>
  </r>
  <r>
    <x v="0"/>
    <x v="2"/>
    <s v="Ofaveolata025443"/>
    <m/>
    <n v="-1.0260952999999999"/>
    <n v="-1.0991318000000001"/>
    <s v="Direct"/>
    <s v="peptidase inhibitor activity"/>
  </r>
  <r>
    <x v="0"/>
    <x v="2"/>
    <s v="Ofaveolata025444"/>
    <m/>
    <n v="-1.4228681000000001"/>
    <n v="-2.5731856"/>
    <s v="Direct"/>
    <s v="positive regulation of epithelial to mesenchymal transition"/>
  </r>
  <r>
    <x v="0"/>
    <x v="2"/>
    <s v="Ofaveolata025448"/>
    <m/>
    <n v="-1.5827808999999999"/>
    <n v="-1.6686862"/>
    <s v="Direct"/>
    <s v="Putative DNA-binding domain"/>
  </r>
  <r>
    <x v="0"/>
    <x v="2"/>
    <s v="Ofaveolata025449"/>
    <m/>
    <n v="-15.307301000000001"/>
    <n v="-15.223239"/>
    <s v="Direct"/>
    <s v="BolA-like protein"/>
  </r>
  <r>
    <x v="0"/>
    <x v="2"/>
    <s v="Ofaveolata025455"/>
    <m/>
    <n v="-6.0089528000000003"/>
    <n v="-3.8140279000000001"/>
    <s v="Direct"/>
    <s v="Calbindin 2a"/>
  </r>
  <r>
    <x v="0"/>
    <x v="2"/>
    <s v="Ofaveolata025456"/>
    <m/>
    <n v="5.6181349799999998"/>
    <n v="4.2272888899999996"/>
    <s v="Direct"/>
    <s v="Calbindin 2a"/>
  </r>
  <r>
    <x v="0"/>
    <x v="2"/>
    <s v="Ofaveolata025472"/>
    <m/>
    <n v="-5.2314281999999999"/>
    <n v="-4.0142129999999998"/>
    <s v="Direct"/>
    <s v="tRNA threonylcarbamoyladenosine metabolic process"/>
  </r>
  <r>
    <x v="0"/>
    <x v="2"/>
    <s v="Ofaveolata025475"/>
    <m/>
    <n v="-2.1401656"/>
    <n v="-2.1530201999999998"/>
    <s v="Direct"/>
    <s v="Dehydrogenase reductase SDR family member"/>
  </r>
  <r>
    <x v="0"/>
    <x v="2"/>
    <s v="Ofaveolata025477"/>
    <m/>
    <n v="2.7154288700000002"/>
    <n v="1.5386816400000001"/>
    <s v="Direct"/>
    <s v="NA"/>
  </r>
  <r>
    <x v="0"/>
    <x v="2"/>
    <s v="Ofaveolata025485"/>
    <m/>
    <n v="-1.9596624"/>
    <n v="-1.1854096999999999"/>
    <s v="Direct"/>
    <s v="DNA replication complex GINS protein"/>
  </r>
  <r>
    <x v="0"/>
    <x v="2"/>
    <s v="Ofaveolata025486"/>
    <m/>
    <n v="-18.308727000000001"/>
    <n v="-19.453358999999999"/>
    <s v="Direct"/>
    <s v="dolichyl-diphosphooligosaccharide-protein glycotransferase activity"/>
  </r>
  <r>
    <x v="0"/>
    <x v="2"/>
    <s v="Ofaveolata025488"/>
    <m/>
    <n v="1.2025942000000001"/>
    <n v="1.69378947"/>
    <s v="Direct"/>
    <s v="NA"/>
  </r>
  <r>
    <x v="0"/>
    <x v="2"/>
    <s v="Ofaveolata025489"/>
    <m/>
    <n v="1.1971869399999999"/>
    <n v="1.3414260600000001"/>
    <s v="Direct"/>
    <s v="NA"/>
  </r>
  <r>
    <x v="0"/>
    <x v="2"/>
    <s v="Ofaveolata025520"/>
    <m/>
    <n v="1.57052601"/>
    <n v="1.00188605"/>
    <s v="Direct"/>
    <s v="Arp2/3 complex-mediated actin nucleation"/>
  </r>
  <r>
    <x v="0"/>
    <x v="2"/>
    <s v="Ofaveolata025543"/>
    <m/>
    <n v="-1.3237882999999999"/>
    <n v="-2.2183785"/>
    <s v="Direct"/>
    <s v="NA"/>
  </r>
  <r>
    <x v="0"/>
    <x v="2"/>
    <s v="Ofaveolata025644"/>
    <m/>
    <n v="-1.1647101"/>
    <n v="-3.8546274999999999"/>
    <s v="Direct"/>
    <s v="NA"/>
  </r>
  <r>
    <x v="0"/>
    <x v="2"/>
    <s v="Ofaveolata025657"/>
    <m/>
    <n v="2.3661892299999998"/>
    <n v="3.2506895099999999"/>
    <s v="Direct"/>
    <s v="NA"/>
  </r>
  <r>
    <x v="0"/>
    <x v="2"/>
    <s v="Ofaveolata025659"/>
    <m/>
    <n v="-1.7156119999999999"/>
    <n v="-1.3609013000000001"/>
    <s v="Direct"/>
    <s v="establishment of animal organ orientation"/>
  </r>
  <r>
    <x v="0"/>
    <x v="2"/>
    <s v="Ofaveolata025678"/>
    <m/>
    <n v="1.06609121"/>
    <n v="1.0430832800000001"/>
    <s v="Direct"/>
    <s v="NA"/>
  </r>
  <r>
    <x v="0"/>
    <x v="2"/>
    <s v="Ofaveolata025692"/>
    <m/>
    <n v="-1.8919827"/>
    <n v="-1.9310415000000001"/>
    <s v="Direct"/>
    <s v="NA"/>
  </r>
  <r>
    <x v="0"/>
    <x v="2"/>
    <s v="Ofaveolata025693"/>
    <m/>
    <n v="-2.1962141000000002"/>
    <n v="-1.7125538"/>
    <s v="Direct"/>
    <s v="NA"/>
  </r>
  <r>
    <x v="0"/>
    <x v="2"/>
    <s v="Ofaveolata025694"/>
    <m/>
    <n v="-13.805263"/>
    <n v="-11.439742000000001"/>
    <s v="Direct"/>
    <s v="NA"/>
  </r>
  <r>
    <x v="0"/>
    <x v="2"/>
    <s v="Ofaveolata025695"/>
    <m/>
    <n v="-2.6374094000000001"/>
    <n v="-2.5119422999999999"/>
    <s v="Direct"/>
    <s v="NA"/>
  </r>
  <r>
    <x v="0"/>
    <x v="2"/>
    <s v="Ofaveolata025696"/>
    <m/>
    <n v="-2.7345996000000001"/>
    <n v="-2.5389681"/>
    <s v="Direct"/>
    <s v="NA"/>
  </r>
  <r>
    <x v="0"/>
    <x v="2"/>
    <s v="Ofaveolata025698"/>
    <m/>
    <n v="-6.0462672"/>
    <n v="-3.1582403000000001"/>
    <s v="Direct"/>
    <s v="NA"/>
  </r>
  <r>
    <x v="0"/>
    <x v="2"/>
    <s v="Ofaveolata025729"/>
    <m/>
    <n v="-4.1945085999999998"/>
    <n v="-3.1332632"/>
    <s v="Direct"/>
    <s v="negative regulation of cell growth"/>
  </r>
  <r>
    <x v="0"/>
    <x v="2"/>
    <s v="Ofaveolata025755"/>
    <m/>
    <n v="-1.5118469999999999"/>
    <n v="-1.3226142999999999"/>
    <s v="Direct"/>
    <s v="negative regulation of sequestering of triglyceride"/>
  </r>
  <r>
    <x v="0"/>
    <x v="2"/>
    <s v="Ofaveolata025759"/>
    <m/>
    <n v="-1.5451447"/>
    <n v="-1.520851"/>
    <s v="Direct"/>
    <s v="structural constituent of ribosome"/>
  </r>
  <r>
    <x v="0"/>
    <x v="2"/>
    <s v="Ofaveolata025762"/>
    <m/>
    <n v="-3.8161233999999999"/>
    <n v="-3.2032451000000002"/>
    <s v="Direct"/>
    <s v="protein modification by small protein conjugation"/>
  </r>
  <r>
    <x v="0"/>
    <x v="2"/>
    <s v="Ofaveolata025774"/>
    <m/>
    <n v="-5.7476197000000004"/>
    <n v="-6.9617737000000002"/>
    <s v="Direct"/>
    <s v="threonine-type endopeptidase activity"/>
  </r>
  <r>
    <x v="0"/>
    <x v="2"/>
    <s v="Ofaveolata025780"/>
    <m/>
    <n v="1.5397024699999999"/>
    <n v="1.3897715900000001"/>
    <s v="Direct"/>
    <s v="calmodulin-dependent protein kinase activity"/>
  </r>
  <r>
    <x v="0"/>
    <x v="2"/>
    <s v="Ofaveolata025786"/>
    <m/>
    <n v="-6.2576222000000001"/>
    <n v="-5.7099938000000003"/>
    <s v="Direct"/>
    <s v="S-adenosylhomocysteine catabolic process"/>
  </r>
  <r>
    <x v="0"/>
    <x v="2"/>
    <s v="Ofaveolata025789"/>
    <m/>
    <n v="-2.9564675"/>
    <n v="-1.7155654"/>
    <s v="Direct"/>
    <s v="mRNA processing"/>
  </r>
  <r>
    <x v="0"/>
    <x v="2"/>
    <s v="Ofaveolata025810"/>
    <m/>
    <n v="1.5632285800000001"/>
    <n v="2.2796533800000001"/>
    <s v="Direct"/>
    <s v="cyclic-GMP-AMP synthase activity"/>
  </r>
  <r>
    <x v="0"/>
    <x v="2"/>
    <s v="Ofaveolata025833"/>
    <m/>
    <n v="1.3443349099999999"/>
    <n v="1.6590462699999999"/>
    <s v="Direct"/>
    <s v="Ring finger"/>
  </r>
  <r>
    <x v="0"/>
    <x v="2"/>
    <s v="Ofaveolata025836"/>
    <m/>
    <n v="3.2194237800000001"/>
    <n v="4.1538127899999999"/>
    <s v="Direct"/>
    <s v="NA"/>
  </r>
  <r>
    <x v="0"/>
    <x v="2"/>
    <s v="Ofaveolata025841"/>
    <m/>
    <n v="2.3941422800000001"/>
    <n v="1.529361"/>
    <s v="Direct"/>
    <s v="dihydroorotate dehydrogenase activity"/>
  </r>
  <r>
    <x v="0"/>
    <x v="2"/>
    <s v="Ofaveolata025849"/>
    <m/>
    <n v="-3.7487645999999999"/>
    <n v="-5.5201245999999999"/>
    <s v="Direct"/>
    <s v="Myosin, light"/>
  </r>
  <r>
    <x v="0"/>
    <x v="2"/>
    <s v="Ofaveolata025856"/>
    <m/>
    <n v="-1.8303244000000001"/>
    <n v="-4.0389153999999996"/>
    <s v="Direct"/>
    <s v="RmlD substrate binding domain"/>
  </r>
  <r>
    <x v="0"/>
    <x v="2"/>
    <s v="Ofaveolata025865"/>
    <m/>
    <n v="-1.8194953"/>
    <n v="-2.0893065000000002"/>
    <s v="Direct"/>
    <s v="NA"/>
  </r>
  <r>
    <x v="0"/>
    <x v="2"/>
    <s v="Ofaveolata025873"/>
    <m/>
    <n v="1.9882854299999999"/>
    <n v="2.3139202600000002"/>
    <s v="Direct"/>
    <s v="Programmed cell death"/>
  </r>
  <r>
    <x v="0"/>
    <x v="2"/>
    <s v="Ofaveolata025879"/>
    <m/>
    <n v="4.5562686499999998"/>
    <n v="4.5270472699999997"/>
    <s v="Direct"/>
    <s v="calcium ion binding"/>
  </r>
  <r>
    <x v="0"/>
    <x v="2"/>
    <s v="Ofaveolata025891"/>
    <m/>
    <n v="-9.9479959000000004"/>
    <n v="-10.535645000000001"/>
    <s v="Direct"/>
    <s v="antigen processing and presentation of exogenous peptide antigen via MHC class I"/>
  </r>
  <r>
    <x v="0"/>
    <x v="2"/>
    <s v="Ofaveolata025892"/>
    <m/>
    <n v="-2.4480936"/>
    <n v="-7.279496"/>
    <s v="Direct"/>
    <s v="antigen processing and presentation of exogenous peptide antigen via MHC class I"/>
  </r>
  <r>
    <x v="0"/>
    <x v="2"/>
    <s v="Ofaveolata025972"/>
    <m/>
    <n v="-1.862382"/>
    <n v="-3.0708883"/>
    <s v="Direct"/>
    <s v="Protein phosphatase 1 regulatory subunit 27"/>
  </r>
  <r>
    <x v="0"/>
    <x v="2"/>
    <s v="Ofaveolata025975"/>
    <m/>
    <n v="1.2516885799999999"/>
    <n v="1.2284123600000001"/>
    <s v="Direct"/>
    <s v="Methyltransferase-like protein 17"/>
  </r>
  <r>
    <x v="0"/>
    <x v="2"/>
    <s v="Ofaveolata025979"/>
    <m/>
    <n v="-6.7315785999999997"/>
    <n v="-7.1717915999999997"/>
    <s v="Direct"/>
    <s v="defense response to fungus"/>
  </r>
  <r>
    <x v="0"/>
    <x v="2"/>
    <s v="Ofaveolata025993"/>
    <m/>
    <n v="-1.5810618999999999"/>
    <n v="-1.6863355"/>
    <s v="Direct"/>
    <s v="Glutathione S-transferase"/>
  </r>
  <r>
    <x v="0"/>
    <x v="2"/>
    <s v="Ofaveolata025999"/>
    <m/>
    <n v="-2.4378815999999999"/>
    <n v="-2.4494734999999999"/>
    <s v="Direct"/>
    <s v="response to unfolded protein"/>
  </r>
  <r>
    <x v="0"/>
    <x v="2"/>
    <s v="Ofaveolata026000"/>
    <m/>
    <n v="-1.6172645000000001"/>
    <n v="-1.5601278000000001"/>
    <s v="Direct"/>
    <s v="metalloendopeptidase activity"/>
  </r>
  <r>
    <x v="0"/>
    <x v="2"/>
    <s v="Ofaveolata026010"/>
    <m/>
    <n v="-7.0034678000000001"/>
    <n v="-2.8009594999999998"/>
    <s v="Direct"/>
    <s v="negative regulation of SNARE complex assembly"/>
  </r>
  <r>
    <x v="0"/>
    <x v="2"/>
    <s v="Ofaveolata026020"/>
    <m/>
    <n v="2.9285389400000001"/>
    <n v="2.1369478200000001"/>
    <s v="Direct"/>
    <s v="protein ADP-ribosylase activity"/>
  </r>
  <r>
    <x v="0"/>
    <x v="2"/>
    <s v="Ofaveolata026043"/>
    <m/>
    <n v="-1.8280320000000001"/>
    <n v="-1.3972545999999999"/>
    <s v="Direct"/>
    <s v="NA"/>
  </r>
  <r>
    <x v="0"/>
    <x v="2"/>
    <s v="Ofaveolata026055"/>
    <m/>
    <n v="-2.2366174999999999"/>
    <n v="-1.9349544999999999"/>
    <s v="Direct"/>
    <s v="ubiquitin-like protein-specific protease activity"/>
  </r>
  <r>
    <x v="0"/>
    <x v="2"/>
    <s v="Ofaveolata026079"/>
    <m/>
    <n v="3.1908309699999999"/>
    <n v="1.63411065"/>
    <s v="Direct"/>
    <s v="NA"/>
  </r>
  <r>
    <x v="0"/>
    <x v="2"/>
    <s v="Ofaveolata026080"/>
    <m/>
    <n v="4.0601710000000004"/>
    <n v="2.41984179"/>
    <s v="Direct"/>
    <s v="NA"/>
  </r>
  <r>
    <x v="0"/>
    <x v="2"/>
    <s v="Ofaveolata026116"/>
    <m/>
    <n v="-2.3747452999999998"/>
    <n v="-2.3435980000000001"/>
    <s v="Direct"/>
    <s v="NA"/>
  </r>
  <r>
    <x v="0"/>
    <x v="2"/>
    <s v="Ofaveolata026123"/>
    <m/>
    <n v="-1.0358830999999999"/>
    <n v="-2.3153038000000001"/>
    <s v="Direct"/>
    <s v="NA"/>
  </r>
  <r>
    <x v="0"/>
    <x v="2"/>
    <s v="Ofaveolata026139"/>
    <m/>
    <n v="1.8072035799999999"/>
    <n v="1.59929185"/>
    <s v="Direct"/>
    <s v="adenylate cyclase-activating G-protein coupled receptor signaling pathway"/>
  </r>
  <r>
    <x v="0"/>
    <x v="2"/>
    <s v="Ofaveolata026146"/>
    <m/>
    <n v="-2.0503342999999998"/>
    <n v="-1.7162329999999999"/>
    <s v="Direct"/>
    <s v="Cytochrome c1, heme protein"/>
  </r>
  <r>
    <x v="0"/>
    <x v="2"/>
    <s v="Ofaveolata026173"/>
    <m/>
    <n v="-4.4125937000000004"/>
    <n v="-4.0709732000000001"/>
    <s v="Direct"/>
    <s v="cysteine desulfurase activity"/>
  </r>
  <r>
    <x v="0"/>
    <x v="2"/>
    <s v="Ofaveolata026176"/>
    <m/>
    <n v="-1.5451447"/>
    <n v="-1.0897866"/>
    <s v="Direct"/>
    <s v="lipid metabolic process"/>
  </r>
  <r>
    <x v="0"/>
    <x v="2"/>
    <s v="Ofaveolata026191"/>
    <m/>
    <n v="-3.9198960999999999"/>
    <n v="-3.3935578"/>
    <s v="Direct"/>
    <s v="NA"/>
  </r>
  <r>
    <x v="0"/>
    <x v="2"/>
    <s v="Ofaveolata026192"/>
    <m/>
    <n v="-1.4585303999999999"/>
    <n v="-1.1706603"/>
    <s v="Direct"/>
    <s v="NA"/>
  </r>
  <r>
    <x v="0"/>
    <x v="2"/>
    <s v="Ofaveolata026194"/>
    <m/>
    <n v="-3.9457773"/>
    <n v="-4.0256334999999996"/>
    <s v="Direct"/>
    <s v="peptide-methionine (S)-S-oxide reductase activity"/>
  </r>
  <r>
    <x v="0"/>
    <x v="2"/>
    <s v="Ofaveolata026211"/>
    <m/>
    <n v="-3.3041741"/>
    <n v="-2.0860021"/>
    <s v="Direct"/>
    <s v="DNA binding"/>
  </r>
  <r>
    <x v="0"/>
    <x v="2"/>
    <s v="Ofaveolata026239"/>
    <m/>
    <n v="-2.4630751000000002"/>
    <n v="-4.4070334999999998"/>
    <s v="Direct"/>
    <s v="Family with sequence similarity 69 member C"/>
  </r>
  <r>
    <x v="0"/>
    <x v="2"/>
    <s v="Ofaveolata026259"/>
    <m/>
    <n v="-2.317469"/>
    <n v="-2.2445642000000001"/>
    <s v="Direct"/>
    <s v="cilium assembly"/>
  </r>
  <r>
    <x v="0"/>
    <x v="2"/>
    <s v="Ofaveolata026263"/>
    <m/>
    <n v="-1.5878071"/>
    <n v="-1.3332344"/>
    <s v="Direct"/>
    <s v="Phosphoethanolamine methyltransferase"/>
  </r>
  <r>
    <x v="0"/>
    <x v="2"/>
    <s v="Ofaveolata026264"/>
    <m/>
    <n v="-5.8317771"/>
    <n v="-8.4940181999999993"/>
    <s v="Direct"/>
    <s v="Cys/Met metabolism PLP-dependent enzyme"/>
  </r>
  <r>
    <x v="0"/>
    <x v="2"/>
    <s v="Ofaveolata026274"/>
    <m/>
    <n v="-1.1184997000000001"/>
    <n v="-1.0738097"/>
    <s v="Direct"/>
    <s v="nuclear protein 1"/>
  </r>
  <r>
    <x v="0"/>
    <x v="2"/>
    <s v="Ofaveolata026330"/>
    <m/>
    <n v="-1.862382"/>
    <n v="-1.0423944000000001"/>
    <s v="Direct"/>
    <s v="Family with sequence similarity 210 member B"/>
  </r>
  <r>
    <x v="0"/>
    <x v="2"/>
    <s v="Ofaveolata026338"/>
    <m/>
    <n v="-1.3354585000000001"/>
    <n v="-1.2294065999999999"/>
    <s v="Direct"/>
    <s v="dodecenoyl-CoA delta-isomerase activity"/>
  </r>
  <r>
    <x v="0"/>
    <x v="2"/>
    <s v="Ofaveolata026353"/>
    <m/>
    <n v="2.6374093699999999"/>
    <n v="1.7229122400000001"/>
    <s v="Direct"/>
    <s v="Family with sequence similarity 192, member A"/>
  </r>
  <r>
    <x v="0"/>
    <x v="2"/>
    <s v="Ofaveolata026375"/>
    <m/>
    <n v="-3.4445383000000001"/>
    <n v="-1.8757994"/>
    <s v="Direct"/>
    <s v="NA"/>
  </r>
  <r>
    <x v="0"/>
    <x v="2"/>
    <s v="Ofaveolata026381"/>
    <m/>
    <n v="1.91674703"/>
    <n v="1.75298938"/>
    <s v="Direct"/>
    <s v="NA"/>
  </r>
  <r>
    <x v="0"/>
    <x v="2"/>
    <s v="Ofaveolata026385"/>
    <m/>
    <n v="-1.4204471999999999"/>
    <n v="-1.7175073999999999"/>
    <s v="Direct"/>
    <s v="NA"/>
  </r>
  <r>
    <x v="0"/>
    <x v="2"/>
    <s v="Ofaveolata026390"/>
    <m/>
    <n v="-3.3286699999999998"/>
    <n v="-2.3916917"/>
    <s v="Direct"/>
    <s v="NA"/>
  </r>
  <r>
    <x v="0"/>
    <x v="2"/>
    <s v="Ofaveolata026391"/>
    <m/>
    <n v="3.8199438400000001"/>
    <n v="2.29764583"/>
    <s v="Direct"/>
    <s v="V-maf musculoaponeurotic fibrosarcoma oncogene family, protein B, duplicate b"/>
  </r>
  <r>
    <x v="0"/>
    <x v="2"/>
    <s v="Ofaveolata026392"/>
    <m/>
    <n v="1.6497093300000001"/>
    <n v="1.07487171"/>
    <s v="Direct"/>
    <s v="Belongs to the bZIP family"/>
  </r>
  <r>
    <x v="0"/>
    <x v="2"/>
    <s v="Ofaveolata026393"/>
    <m/>
    <n v="2.9463920199999998"/>
    <n v="3.3333460000000001"/>
    <s v="Direct"/>
    <s v="NA"/>
  </r>
  <r>
    <x v="0"/>
    <x v="2"/>
    <s v="Ofaveolata026397"/>
    <m/>
    <n v="4.7109950600000001"/>
    <n v="3.0439135199999998"/>
    <s v="Direct"/>
    <s v="Belongs to the bZIP family"/>
  </r>
  <r>
    <x v="0"/>
    <x v="2"/>
    <s v="Ofaveolata026398"/>
    <m/>
    <n v="5.5502751400000001"/>
    <n v="5.7690431100000001"/>
    <s v="Direct"/>
    <s v="NA"/>
  </r>
  <r>
    <x v="0"/>
    <x v="2"/>
    <s v="Ofaveolata026401"/>
    <m/>
    <n v="4.42828233"/>
    <n v="1.9113573500000001"/>
    <s v="Direct"/>
    <s v="V-maf avian musculoaponeurotic fibrosarcoma oncogene homolog"/>
  </r>
  <r>
    <x v="0"/>
    <x v="2"/>
    <s v="Ofaveolata026402"/>
    <m/>
    <n v="1.2974653899999999"/>
    <n v="1.2732936100000001"/>
    <s v="Direct"/>
    <s v="abducens nerve formation"/>
  </r>
  <r>
    <x v="0"/>
    <x v="2"/>
    <s v="Ofaveolata026403"/>
    <m/>
    <n v="-1.6597919999999999"/>
    <n v="-1.9028221000000001"/>
    <s v="Direct"/>
    <s v="NA"/>
  </r>
  <r>
    <x v="0"/>
    <x v="2"/>
    <s v="Ofaveolata026415"/>
    <m/>
    <n v="1.5481330499999999"/>
    <n v="1.3905109499999999"/>
    <s v="Direct"/>
    <s v="NA"/>
  </r>
  <r>
    <x v="0"/>
    <x v="2"/>
    <s v="Ofaveolata026430"/>
    <m/>
    <n v="1.8291936900000001"/>
    <n v="1.4868274399999999"/>
    <s v="Direct"/>
    <s v="NA"/>
  </r>
  <r>
    <x v="0"/>
    <x v="2"/>
    <s v="Ofaveolata026445"/>
    <m/>
    <n v="2.4736392"/>
    <n v="1.2298669099999999"/>
    <s v="Direct"/>
    <s v="Starch/carbohydrate-binding module (family 53)"/>
  </r>
  <r>
    <x v="0"/>
    <x v="2"/>
    <s v="Ofaveolata026447"/>
    <m/>
    <n v="3.35254298"/>
    <n v="2.0647513700000002"/>
    <s v="Direct"/>
    <s v="Starch/carbohydrate-binding module (family 53)"/>
  </r>
  <r>
    <x v="0"/>
    <x v="2"/>
    <s v="Ofaveolata026455"/>
    <m/>
    <n v="-11.541949000000001"/>
    <n v="-10.894743999999999"/>
    <s v="Direct"/>
    <s v="AFG3-like protein"/>
  </r>
  <r>
    <x v="0"/>
    <x v="2"/>
    <s v="Ofaveolata026466"/>
    <m/>
    <n v="-4.2161055999999997"/>
    <n v="-5.5288769999999996"/>
    <s v="Direct"/>
    <s v="phosphatidic acid transporter activity"/>
  </r>
  <r>
    <x v="0"/>
    <x v="2"/>
    <s v="Ofaveolata026477"/>
    <m/>
    <n v="-10.440364000000001"/>
    <n v="-3.9657200000000001"/>
    <s v="Direct"/>
    <s v="NA"/>
  </r>
  <r>
    <x v="0"/>
    <x v="2"/>
    <s v="Ofaveolata026491"/>
    <m/>
    <n v="1.5492154499999999"/>
    <n v="1.0488977799999999"/>
    <s v="Direct"/>
    <s v="NA"/>
  </r>
  <r>
    <x v="0"/>
    <x v="2"/>
    <s v="Ofaveolata026493"/>
    <m/>
    <n v="-5.3728454000000001"/>
    <n v="-3.0839232999999999"/>
    <s v="Direct"/>
    <s v="NA"/>
  </r>
  <r>
    <x v="0"/>
    <x v="2"/>
    <s v="Ofaveolata026497"/>
    <m/>
    <n v="-13.891133"/>
    <n v="-9.0908014000000001"/>
    <s v="Direct"/>
    <s v="NA"/>
  </r>
  <r>
    <x v="0"/>
    <x v="2"/>
    <s v="Ofaveolata026505"/>
    <m/>
    <n v="-3.2776713000000002"/>
    <n v="-2.0204214"/>
    <s v="Direct"/>
    <s v="NA"/>
  </r>
  <r>
    <x v="0"/>
    <x v="2"/>
    <s v="Ofaveolata026514"/>
    <m/>
    <n v="-1.3544318"/>
    <n v="-1.3709511000000001"/>
    <s v="Direct"/>
    <s v="canonical Wnt signaling pathway involved in osteoblast differentiation"/>
  </r>
  <r>
    <x v="0"/>
    <x v="2"/>
    <s v="Ofaveolata026524"/>
    <m/>
    <n v="3.27914824"/>
    <n v="1.74772065"/>
    <s v="Direct"/>
    <s v="N-acetyl-beta-glucosaminyl-glycoprotein 4-beta-N-acetylgalactosaminyltransferase activity"/>
  </r>
  <r>
    <x v="0"/>
    <x v="2"/>
    <s v="Ofaveolata026538"/>
    <m/>
    <n v="3.1641207699999998"/>
    <n v="2.8911667900000002"/>
    <s v="Direct"/>
    <s v="NA"/>
  </r>
  <r>
    <x v="0"/>
    <x v="2"/>
    <s v="Ofaveolata026600"/>
    <m/>
    <n v="1.73649381"/>
    <n v="1.39637049"/>
    <s v="Direct"/>
    <s v="2 iron, 2 sulfur cluster binding"/>
  </r>
  <r>
    <x v="0"/>
    <x v="2"/>
    <s v="Ofaveolata026601"/>
    <m/>
    <n v="-10.007782000000001"/>
    <n v="-11.432719000000001"/>
    <s v="Direct"/>
    <s v="RNA splicing"/>
  </r>
  <r>
    <x v="0"/>
    <x v="2"/>
    <s v="Ofaveolata026602"/>
    <m/>
    <n v="-3.4243760000000001"/>
    <n v="-3.2965369"/>
    <s v="Direct"/>
    <s v="NA"/>
  </r>
  <r>
    <x v="0"/>
    <x v="2"/>
    <s v="Ofaveolata026605"/>
    <m/>
    <n v="-3.1863990000000002"/>
    <n v="-2.2064180000000002"/>
    <s v="Direct"/>
    <s v="Belongs to the AAA ATPase family"/>
  </r>
  <r>
    <x v="0"/>
    <x v="2"/>
    <s v="Ofaveolata026612"/>
    <m/>
    <n v="1.0098589"/>
    <n v="1.5983612"/>
    <s v="Direct"/>
    <s v="Belongs to the OSBP family"/>
  </r>
  <r>
    <x v="0"/>
    <x v="2"/>
    <s v="Ofaveolata026617"/>
    <m/>
    <n v="-3.4905346000000002"/>
    <n v="-2.880897"/>
    <s v="Direct"/>
    <s v="Protein of unknown function (DUF974)"/>
  </r>
  <r>
    <x v="0"/>
    <x v="2"/>
    <s v="Ofaveolata026631"/>
    <m/>
    <n v="-3.2007501"/>
    <n v="-4.5003602000000003"/>
    <s v="Direct"/>
    <s v="NA"/>
  </r>
  <r>
    <x v="0"/>
    <x v="2"/>
    <s v="Ofaveolata026646"/>
    <m/>
    <n v="-2.8690804000000001"/>
    <n v="-3.8458861"/>
    <s v="Direct"/>
    <s v="Ferric-chelate reductase"/>
  </r>
  <r>
    <x v="0"/>
    <x v="2"/>
    <s v="Ofaveolata026674"/>
    <m/>
    <n v="-2.7907993000000002"/>
    <n v="-2.2594788000000001"/>
    <s v="Direct"/>
    <s v="structural constituent of cytoskeleton"/>
  </r>
  <r>
    <x v="0"/>
    <x v="2"/>
    <s v="Ofaveolata026677"/>
    <m/>
    <n v="-3.2361171"/>
    <n v="-1.6409878"/>
    <s v="Direct"/>
    <s v="Rab GTPase binding"/>
  </r>
  <r>
    <x v="0"/>
    <x v="2"/>
    <s v="Ofaveolata026678"/>
    <m/>
    <n v="-2.6497674"/>
    <n v="-1.2945359000000001"/>
    <s v="Direct"/>
    <s v="Histidine biosynthesis trifunctional protein"/>
  </r>
  <r>
    <x v="0"/>
    <x v="2"/>
    <s v="Ofaveolata026690"/>
    <m/>
    <n v="-3.8848128000000002"/>
    <n v="-3.4334004999999999"/>
    <s v="Direct"/>
    <s v="NA"/>
  </r>
  <r>
    <x v="0"/>
    <x v="2"/>
    <s v="Ofaveolata026736"/>
    <m/>
    <n v="3.4092170799999999"/>
    <n v="4.1365193700000003"/>
    <s v="Direct"/>
    <s v="NA"/>
  </r>
  <r>
    <x v="0"/>
    <x v="2"/>
    <s v="Ofaveolata026759"/>
    <m/>
    <n v="-4.6658397000000003"/>
    <n v="-3.7180453"/>
    <s v="Direct"/>
    <s v="proton channel activity"/>
  </r>
  <r>
    <x v="0"/>
    <x v="2"/>
    <s v="Ofaveolata026777"/>
    <m/>
    <n v="-2.4480936"/>
    <n v="-1.0592135"/>
    <s v="Direct"/>
    <s v="beta-endorphin binding"/>
  </r>
  <r>
    <x v="0"/>
    <x v="2"/>
    <s v="Ofaveolata026871"/>
    <m/>
    <n v="2.8131933899999999"/>
    <n v="1.4996534399999999"/>
    <s v="Direct"/>
    <s v="NA"/>
  </r>
  <r>
    <x v="0"/>
    <x v="2"/>
    <s v="Ofaveolata026883"/>
    <m/>
    <n v="-2.8554940000000002"/>
    <n v="-1.0901292"/>
    <s v="Direct"/>
    <s v="NADP-retinol dehydrogenase activity"/>
  </r>
  <r>
    <x v="0"/>
    <x v="2"/>
    <s v="Ofaveolata026884"/>
    <m/>
    <n v="-1.4231476999999999"/>
    <n v="-2.7962695000000002"/>
    <s v="Direct"/>
    <s v="NADP-retinol dehydrogenase activity"/>
  </r>
  <r>
    <x v="0"/>
    <x v="2"/>
    <s v="Ofaveolata026893"/>
    <m/>
    <n v="-2.2877065000000001"/>
    <n v="-2.6384113"/>
    <s v="Direct"/>
    <s v="dolichyl pyrophosphate Man9GlcNAc2 alpha-1,3-glucosyltransferase activity"/>
  </r>
  <r>
    <x v="0"/>
    <x v="2"/>
    <s v="Ofaveolata026897"/>
    <m/>
    <n v="-1.8749733"/>
    <n v="-3.0310196"/>
    <s v="Direct"/>
    <s v="NA"/>
  </r>
  <r>
    <x v="0"/>
    <x v="2"/>
    <s v="Ofaveolata026917"/>
    <m/>
    <n v="-1.4567398"/>
    <n v="-2.242359"/>
    <s v="Direct"/>
    <s v="proton-transporting ATP synthase activity, rotational mechanism"/>
  </r>
  <r>
    <x v="0"/>
    <x v="2"/>
    <s v="Ofaveolata026930"/>
    <m/>
    <n v="-2.7925591999999999"/>
    <n v="-4.3795399000000002"/>
    <s v="Direct"/>
    <s v="Belongs to the V-ATPase proteolipid subunit family"/>
  </r>
  <r>
    <x v="0"/>
    <x v="2"/>
    <s v="Ofaveolata026942"/>
    <m/>
    <n v="4.2161397999999997"/>
    <n v="2.0750095800000001"/>
    <s v="Direct"/>
    <s v="Phosphatidic acid phosphatase type 2B"/>
  </r>
  <r>
    <x v="0"/>
    <x v="2"/>
    <s v="Ofaveolata026944"/>
    <m/>
    <n v="4.2782744099999999"/>
    <n v="3.5324435300000001"/>
    <s v="Direct"/>
    <s v="epidermal growth factor receptor"/>
  </r>
  <r>
    <x v="0"/>
    <x v="2"/>
    <s v="Ofaveolata026947"/>
    <m/>
    <n v="2.2974811800000001"/>
    <n v="1.15747719"/>
    <s v="Direct"/>
    <s v="Catalyzes the formation of S-adenosylmethionine from methionine and ATP"/>
  </r>
  <r>
    <x v="0"/>
    <x v="2"/>
    <s v="Ofaveolata026967"/>
    <m/>
    <n v="2.08193713"/>
    <n v="3.1123965999999998"/>
    <s v="Direct"/>
    <s v="metal ion binding"/>
  </r>
  <r>
    <x v="0"/>
    <x v="2"/>
    <s v="Ofaveolata026978"/>
    <m/>
    <n v="-1.7008601000000001"/>
    <n v="-1.3741513999999999"/>
    <s v="Direct"/>
    <s v="NA"/>
  </r>
  <r>
    <x v="0"/>
    <x v="2"/>
    <s v="Ofaveolata027010"/>
    <m/>
    <n v="-2.2296265000000002"/>
    <n v="-1.8356101"/>
    <s v="Direct"/>
    <s v="regulation of secretory granule organization"/>
  </r>
  <r>
    <x v="0"/>
    <x v="2"/>
    <s v="Ofaveolata027016"/>
    <m/>
    <n v="-3.1766869"/>
    <n v="-2.2811987"/>
    <s v="Direct"/>
    <s v="Sterol-sensing domain of SREBP cleavage-activation"/>
  </r>
  <r>
    <x v="0"/>
    <x v="2"/>
    <s v="Ofaveolata027031"/>
    <m/>
    <n v="-1.4943061"/>
    <n v="-2.1877124999999999"/>
    <s v="Direct"/>
    <s v="Chromosome 1 open reading frame 177"/>
  </r>
  <r>
    <x v="0"/>
    <x v="2"/>
    <s v="Ofaveolata027035"/>
    <m/>
    <n v="1.44424346"/>
    <n v="1.2194553400000001"/>
    <s v="Direct"/>
    <s v="NA"/>
  </r>
  <r>
    <x v="0"/>
    <x v="2"/>
    <s v="Ofaveolata027037"/>
    <m/>
    <n v="1.03126242"/>
    <n v="1.18730863"/>
    <s v="Direct"/>
    <s v="NA"/>
  </r>
  <r>
    <x v="0"/>
    <x v="2"/>
    <s v="Ofaveolata027045"/>
    <m/>
    <n v="4.51191941"/>
    <n v="3.3950286799999998"/>
    <s v="Direct"/>
    <s v="NA"/>
  </r>
  <r>
    <x v="0"/>
    <x v="2"/>
    <s v="Ofaveolata027055"/>
    <m/>
    <n v="-1.5143542000000001"/>
    <n v="-3.1752508000000002"/>
    <s v="Direct"/>
    <s v="Myosin, light"/>
  </r>
  <r>
    <x v="0"/>
    <x v="2"/>
    <s v="Ofaveolata027059"/>
    <m/>
    <n v="-4.5269816"/>
    <n v="-5.5793366000000004"/>
    <s v="Direct"/>
    <s v="glycerol ether metabolic process"/>
  </r>
  <r>
    <x v="0"/>
    <x v="2"/>
    <s v="Ofaveolata027062"/>
    <m/>
    <n v="-11.418713"/>
    <n v="-13.189048"/>
    <s v="Direct"/>
    <s v="glycerol ether metabolic process"/>
  </r>
  <r>
    <x v="0"/>
    <x v="2"/>
    <s v="Ofaveolata027091"/>
    <m/>
    <n v="2.9597312200000001"/>
    <n v="1.9924259600000001"/>
    <s v="Direct"/>
    <s v="Coiled-coil domain containing 17"/>
  </r>
  <r>
    <x v="0"/>
    <x v="2"/>
    <s v="Ofaveolata027109"/>
    <m/>
    <n v="16.391345900000001"/>
    <n v="11.060110399999999"/>
    <s v="Direct"/>
    <s v="NA"/>
  </r>
  <r>
    <x v="0"/>
    <x v="2"/>
    <s v="Ofaveolata027158"/>
    <m/>
    <n v="-4.6728562"/>
    <n v="-3.9952803000000001"/>
    <s v="Direct"/>
    <s v="metallocarboxypeptidase activity"/>
  </r>
  <r>
    <x v="0"/>
    <x v="2"/>
    <s v="Ofaveolata027159"/>
    <m/>
    <n v="-5.0057200000000002"/>
    <n v="-7.0710962000000004"/>
    <s v="Direct"/>
    <s v="metallocarboxypeptidase activity"/>
  </r>
  <r>
    <x v="0"/>
    <x v="2"/>
    <s v="Ofaveolata027181"/>
    <m/>
    <n v="-5.0593412999999998"/>
    <n v="-4.5562769999999997"/>
    <s v="Direct"/>
    <s v="NA"/>
  </r>
  <r>
    <x v="0"/>
    <x v="2"/>
    <s v="Ofaveolata027185"/>
    <m/>
    <n v="3.4445382699999998"/>
    <n v="3.4156498499999999"/>
    <s v="Direct"/>
    <s v="common myeloid progenitor cell proliferation"/>
  </r>
  <r>
    <x v="0"/>
    <x v="2"/>
    <s v="Ofaveolata027201"/>
    <m/>
    <n v="2.2959963700000001"/>
    <n v="1.0451796099999999"/>
    <s v="Direct"/>
    <s v="Belongs to the ammonium transporter (TC 2.A.49) family. Rh subfamily"/>
  </r>
  <r>
    <x v="0"/>
    <x v="2"/>
    <s v="Ofaveolata027205"/>
    <m/>
    <n v="3.7623849200000001"/>
    <n v="4.0833651599999996"/>
    <s v="Direct"/>
    <s v="DNA synthesis involved in double-strand break repair via homologous recombination"/>
  </r>
  <r>
    <x v="0"/>
    <x v="2"/>
    <s v="Ofaveolata027206"/>
    <m/>
    <n v="1.6373458999999999"/>
    <n v="1.4354594300000001"/>
    <s v="Direct"/>
    <s v="Gremlin-2"/>
  </r>
  <r>
    <x v="0"/>
    <x v="2"/>
    <s v="Ofaveolata027208"/>
    <m/>
    <n v="-1.0644914999999999"/>
    <n v="-1.1483601000000001"/>
    <s v="Direct"/>
    <s v="NA"/>
  </r>
  <r>
    <x v="0"/>
    <x v="2"/>
    <s v="Ofaveolata027210"/>
    <m/>
    <n v="-4.1763750000000002"/>
    <n v="-3.8811594999999999"/>
    <s v="Direct"/>
    <s v="Sulfatase-modifying factor enzyme 1"/>
  </r>
  <r>
    <x v="0"/>
    <x v="2"/>
    <s v="Ofaveolata027215"/>
    <m/>
    <n v="-1.2462728000000001"/>
    <n v="-1.1779188"/>
    <s v="Direct"/>
    <s v="NA"/>
  </r>
  <r>
    <x v="0"/>
    <x v="2"/>
    <s v="Ofaveolata027249"/>
    <m/>
    <n v="-4.6275015000000002"/>
    <n v="-1.425519"/>
    <s v="Direct"/>
    <s v="e3 ubiquitin-protein ligase"/>
  </r>
  <r>
    <x v="0"/>
    <x v="2"/>
    <s v="Ofaveolata027252"/>
    <m/>
    <n v="1.258491"/>
    <n v="1.42927706"/>
    <s v="Direct"/>
    <s v="Polysaccharide deacetylase"/>
  </r>
  <r>
    <x v="0"/>
    <x v="2"/>
    <s v="Ofaveolata027253"/>
    <m/>
    <n v="4.4679660200000004"/>
    <n v="6.4682449100000001"/>
    <s v="Direct"/>
    <s v="NA"/>
  </r>
  <r>
    <x v="0"/>
    <x v="2"/>
    <s v="Ofaveolata027268"/>
    <m/>
    <n v="-1.1264681999999999"/>
    <n v="-1.1465097"/>
    <s v="Direct"/>
    <s v="cytoplasmic sequestering of NF-kappaB"/>
  </r>
  <r>
    <x v="0"/>
    <x v="2"/>
    <s v="Ofaveolata027277"/>
    <m/>
    <n v="-5.2672831000000002"/>
    <n v="-3.4800536000000002"/>
    <s v="Direct"/>
    <s v="NA"/>
  </r>
  <r>
    <x v="0"/>
    <x v="2"/>
    <s v="Ofaveolata027302"/>
    <m/>
    <n v="-2.7131121999999999"/>
    <n v="-4.4493612000000002"/>
    <s v="Direct"/>
    <s v="protein-disulfide reductase (glutathione) activity"/>
  </r>
  <r>
    <x v="0"/>
    <x v="2"/>
    <s v="Ofaveolata027304"/>
    <m/>
    <n v="1.5268807900000001"/>
    <n v="2.1477357000000001"/>
    <s v="Direct"/>
    <s v="NA"/>
  </r>
  <r>
    <x v="0"/>
    <x v="2"/>
    <s v="Ofaveolata027400"/>
    <m/>
    <n v="-2.4409250999999998"/>
    <n v="-4.7927249999999999"/>
    <s v="Direct"/>
    <s v="NA"/>
  </r>
  <r>
    <x v="0"/>
    <x v="2"/>
    <s v="Ofaveolata027438"/>
    <m/>
    <n v="2.3032245200000001"/>
    <n v="1.1878523400000001"/>
    <s v="Direct"/>
    <s v="NA"/>
  </r>
  <r>
    <x v="0"/>
    <x v="2"/>
    <s v="Ofaveolata027439"/>
    <m/>
    <n v="4.1609035900000002"/>
    <n v="3.67328038"/>
    <s v="Direct"/>
    <s v="NA"/>
  </r>
  <r>
    <x v="0"/>
    <x v="2"/>
    <s v="Ofaveolata027442"/>
    <m/>
    <n v="-3.7974171000000001"/>
    <n v="-4.5334013999999998"/>
    <s v="Direct"/>
    <s v="glutamine biosynthetic process"/>
  </r>
  <r>
    <x v="0"/>
    <x v="2"/>
    <s v="Ofaveolata027445"/>
    <m/>
    <n v="-1.1965805"/>
    <n v="-2.8539734000000001"/>
    <s v="Direct"/>
    <s v="glutamine biosynthetic process"/>
  </r>
  <r>
    <x v="0"/>
    <x v="2"/>
    <s v="Ofaveolata027450"/>
    <m/>
    <n v="-19.641179999999999"/>
    <n v="-14.02242"/>
    <s v="Direct"/>
    <s v="NA"/>
  </r>
  <r>
    <x v="0"/>
    <x v="2"/>
    <s v="Ofaveolata027507"/>
    <m/>
    <n v="-2.5557044000000002"/>
    <n v="-1.8068683000000001"/>
    <s v="Direct"/>
    <s v="sulfuric ester hydrolase activity"/>
  </r>
  <r>
    <x v="0"/>
    <x v="2"/>
    <s v="Ofaveolata027518"/>
    <m/>
    <n v="-1.1881069"/>
    <n v="-1.3414974"/>
    <s v="Direct"/>
    <s v="magnesium ion transmembrane transporter activity"/>
  </r>
  <r>
    <x v="0"/>
    <x v="2"/>
    <s v="Ofaveolata027534"/>
    <m/>
    <n v="2.1112696899999999"/>
    <n v="2.9514359699999999"/>
    <s v="Direct"/>
    <s v="glutathione peroxidase activity"/>
  </r>
  <r>
    <x v="0"/>
    <x v="2"/>
    <s v="Ofaveolata027538"/>
    <m/>
    <n v="-3.8825162999999998"/>
    <n v="-1.9512640000000001"/>
    <s v="Direct"/>
    <s v="NA"/>
  </r>
  <r>
    <x v="0"/>
    <x v="2"/>
    <s v="Ofaveolata027542"/>
    <m/>
    <n v="-2.3620418999999999"/>
    <n v="-1.0542130999999999"/>
    <s v="Direct"/>
    <s v="Eukaryotic-type carbonic anhydrase"/>
  </r>
  <r>
    <x v="0"/>
    <x v="2"/>
    <s v="Ofaveolata027545"/>
    <m/>
    <n v="-7.6856337000000003"/>
    <n v="-7.4802451000000003"/>
    <s v="Direct"/>
    <s v="carbonic anhydrase"/>
  </r>
  <r>
    <x v="0"/>
    <x v="2"/>
    <s v="Ofaveolata027566"/>
    <m/>
    <n v="1.15318532"/>
    <n v="1.1000482199999999"/>
    <s v="Direct"/>
    <s v="NA"/>
  </r>
  <r>
    <x v="0"/>
    <x v="2"/>
    <s v="Ofaveolata027571"/>
    <m/>
    <n v="-1.5904210999999999"/>
    <n v="-1.1907687"/>
    <s v="Direct"/>
    <s v="NA"/>
  </r>
  <r>
    <x v="0"/>
    <x v="2"/>
    <s v="Ofaveolata027574"/>
    <m/>
    <n v="-2.1547312999999999"/>
    <n v="-1.7890557"/>
    <s v="Direct"/>
    <s v="NA"/>
  </r>
  <r>
    <x v="0"/>
    <x v="2"/>
    <s v="Ofaveolata027609"/>
    <m/>
    <n v="-6.7325001999999996"/>
    <n v="-5.9443973000000003"/>
    <s v="Direct"/>
    <s v="Sterol-sensing domain of SREBP cleavage-activation"/>
  </r>
  <r>
    <x v="0"/>
    <x v="2"/>
    <s v="Ofaveolata027707"/>
    <m/>
    <n v="1.10016406"/>
    <n v="1.0343689300000001"/>
    <s v="Direct"/>
    <s v="NA"/>
  </r>
  <r>
    <x v="0"/>
    <x v="2"/>
    <s v="Ofaveolata027735"/>
    <m/>
    <n v="-1.8866372"/>
    <n v="-1.8696923999999999"/>
    <s v="Direct"/>
    <s v="diphthine synthase activity"/>
  </r>
  <r>
    <x v="0"/>
    <x v="2"/>
    <s v="Ofaveolata027737"/>
    <m/>
    <n v="-1.5432205000000001"/>
    <n v="-2.8897675999999999"/>
    <s v="Direct"/>
    <s v="Belongs to the enoyl-CoA hydratase isomerase family"/>
  </r>
  <r>
    <x v="0"/>
    <x v="2"/>
    <s v="Ofaveolata027747"/>
    <m/>
    <n v="-2.4055485999999999"/>
    <n v="-3.0511575999999998"/>
    <s v="Direct"/>
    <s v="NA"/>
  </r>
  <r>
    <x v="0"/>
    <x v="2"/>
    <s v="Ofaveolata027769"/>
    <m/>
    <n v="-1.4567398"/>
    <n v="-4.3389746000000002"/>
    <s v="Direct"/>
    <s v="regulation of intraciliary retrograde transport"/>
  </r>
  <r>
    <x v="0"/>
    <x v="2"/>
    <s v="Ofaveolata027771"/>
    <m/>
    <n v="3.9311735300000001"/>
    <n v="3.28055466"/>
    <s v="Direct"/>
    <s v="spectrin binding"/>
  </r>
  <r>
    <x v="0"/>
    <x v="2"/>
    <s v="Ofaveolata027775"/>
    <m/>
    <n v="-3.9756604000000002"/>
    <n v="-2.9646992000000001"/>
    <s v="Direct"/>
    <s v="protein serine/threonine kinase activity"/>
  </r>
  <r>
    <x v="0"/>
    <x v="2"/>
    <s v="Ofaveolata027778"/>
    <m/>
    <n v="-7.8613283000000003"/>
    <n v="-7.0734288999999997"/>
    <s v="Direct"/>
    <s v="Sel1-like repeats."/>
  </r>
  <r>
    <x v="0"/>
    <x v="2"/>
    <s v="Ofaveolata027832"/>
    <m/>
    <n v="-1.3764957"/>
    <n v="-1.756113"/>
    <s v="Direct"/>
    <s v="NA"/>
  </r>
  <r>
    <x v="0"/>
    <x v="2"/>
    <s v="Ofaveolata027835"/>
    <m/>
    <n v="-1.8322052"/>
    <n v="-1.0879970000000001"/>
    <s v="Direct"/>
    <s v="Histone-lysine N-methyltransferase, H3 lysine-79 specific"/>
  </r>
  <r>
    <x v="0"/>
    <x v="2"/>
    <s v="Ofaveolata027857"/>
    <m/>
    <n v="2.3529940300000001"/>
    <n v="1.4203377500000001"/>
    <s v="Direct"/>
    <s v="NA"/>
  </r>
  <r>
    <x v="0"/>
    <x v="2"/>
    <s v="Ofaveolata027886"/>
    <m/>
    <n v="-3.9316475"/>
    <n v="-1.5999363"/>
    <s v="Direct"/>
    <s v="glutathione hydrolase activity"/>
  </r>
  <r>
    <x v="0"/>
    <x v="2"/>
    <s v="Ofaveolata027889"/>
    <m/>
    <n v="-3.8724382999999998"/>
    <n v="-4.1812978999999997"/>
    <s v="Direct"/>
    <s v="tachykinin receptor activity"/>
  </r>
  <r>
    <x v="0"/>
    <x v="2"/>
    <s v="Ofaveolata027896"/>
    <m/>
    <n v="-2.9277860000000002"/>
    <n v="-1.1925599"/>
    <s v="Direct"/>
    <s v="Belongs to the p53 family"/>
  </r>
  <r>
    <x v="0"/>
    <x v="2"/>
    <s v="Ofaveolata027933"/>
    <m/>
    <n v="5.0434539000000003"/>
    <n v="3.1596091500000001"/>
    <s v="Direct"/>
    <s v="NA"/>
  </r>
  <r>
    <x v="0"/>
    <x v="2"/>
    <s v="Ofaveolata027953"/>
    <m/>
    <n v="-2.9819567999999999"/>
    <n v="-2.2401654"/>
    <s v="Direct"/>
    <s v="very-long-chain enoyl-CoA"/>
  </r>
  <r>
    <x v="0"/>
    <x v="2"/>
    <s v="Ofaveolata027959"/>
    <m/>
    <n v="-1.355097"/>
    <n v="-1.6779363"/>
    <s v="Direct"/>
    <s v="DNA-directed RNA polymerase activity. It is involved in the biological process described with transcription, DNA-templated"/>
  </r>
  <r>
    <x v="0"/>
    <x v="2"/>
    <s v="Ofaveolata027973"/>
    <m/>
    <n v="-3.0160593000000002"/>
    <n v="-3.3864689000000001"/>
    <s v="Direct"/>
    <s v="DIRAS family, GTP-binding Ras-like"/>
  </r>
  <r>
    <x v="0"/>
    <x v="2"/>
    <s v="Ofaveolata027982"/>
    <m/>
    <n v="5.3242813499999997"/>
    <n v="4.7240787800000001"/>
    <s v="Direct"/>
    <s v="Pyruvate formate lyase-like"/>
  </r>
  <r>
    <x v="0"/>
    <x v="2"/>
    <s v="Ofaveolata028005"/>
    <m/>
    <n v="-6.9375448000000004"/>
    <n v="-4.6538171999999998"/>
    <s v="Direct"/>
    <s v="BCCT, betaine/carnitine/choline family transporter"/>
  </r>
  <r>
    <x v="0"/>
    <x v="2"/>
    <s v="Ofaveolata028046"/>
    <m/>
    <n v="4.7464842899999997"/>
    <n v="2.4189957999999998"/>
    <s v="Direct"/>
    <s v="NA"/>
  </r>
  <r>
    <x v="0"/>
    <x v="2"/>
    <s v="Ofaveolata028063"/>
    <m/>
    <n v="-1.0017912"/>
    <n v="-1.2733293999999999"/>
    <s v="Direct"/>
    <s v="Belongs to the histone deacetylase family. HD Type 1 subfamily"/>
  </r>
  <r>
    <x v="0"/>
    <x v="2"/>
    <s v="Ofaveolata028094"/>
    <m/>
    <n v="-1.6607479999999999"/>
    <n v="-2.5911271999999999"/>
    <s v="Direct"/>
    <s v="axoneme assembly"/>
  </r>
  <r>
    <x v="0"/>
    <x v="2"/>
    <s v="Ofaveolata028098"/>
    <m/>
    <n v="-1.3553329000000001"/>
    <n v="-2.1994232999999999"/>
    <s v="Direct"/>
    <s v="NA"/>
  </r>
  <r>
    <x v="0"/>
    <x v="2"/>
    <s v="Ofaveolata028101"/>
    <m/>
    <n v="1.0726586899999999"/>
    <n v="1.8697585000000001"/>
    <s v="Direct"/>
    <s v="NA"/>
  </r>
  <r>
    <x v="0"/>
    <x v="2"/>
    <s v="Ofaveolata028108"/>
    <m/>
    <n v="4.4843304499999999"/>
    <n v="2.67409418"/>
    <s v="Direct"/>
    <s v="metalloendopeptidase activity"/>
  </r>
  <r>
    <x v="0"/>
    <x v="2"/>
    <s v="Ofaveolata028109"/>
    <m/>
    <n v="-1.1754450000000001"/>
    <n v="-1.902766"/>
    <s v="Direct"/>
    <s v="NA"/>
  </r>
  <r>
    <x v="0"/>
    <x v="2"/>
    <s v="Ofaveolata028131"/>
    <m/>
    <n v="2.60619837"/>
    <n v="2.55324873"/>
    <s v="Direct"/>
    <s v="D-arabinono-1,4-lactone oxidase"/>
  </r>
  <r>
    <x v="0"/>
    <x v="2"/>
    <s v="Ofaveolata028160"/>
    <m/>
    <n v="1.80136586"/>
    <n v="1.0546051299999999"/>
    <s v="Direct"/>
    <s v="RNA binding"/>
  </r>
  <r>
    <x v="0"/>
    <x v="2"/>
    <s v="Ofaveolata028190"/>
    <m/>
    <n v="-7.0596560999999998"/>
    <n v="-2.7852301000000002"/>
    <s v="Direct"/>
    <s v="camera-type eye development"/>
  </r>
  <r>
    <x v="0"/>
    <x v="2"/>
    <s v="Ofaveolata028201"/>
    <m/>
    <n v="-3.9698500000000001"/>
    <n v="-3.902126"/>
    <s v="Direct"/>
    <s v="Insulin gene enhancer protein"/>
  </r>
  <r>
    <x v="0"/>
    <x v="2"/>
    <s v="Ofaveolata028207"/>
    <m/>
    <n v="-2.7495402000000002"/>
    <n v="-4.0804172000000003"/>
    <s v="Direct"/>
    <s v="Cupin-like domain"/>
  </r>
  <r>
    <x v="0"/>
    <x v="2"/>
    <s v="Ofaveolata028208"/>
    <m/>
    <n v="-4.705317"/>
    <n v="-2.7939484999999999"/>
    <s v="Direct"/>
    <s v="protein transport"/>
  </r>
  <r>
    <x v="0"/>
    <x v="2"/>
    <s v="Ofaveolata028211"/>
    <m/>
    <n v="2.7967298399999998"/>
    <n v="2.74949413"/>
    <s v="Direct"/>
    <s v="NA"/>
  </r>
  <r>
    <x v="0"/>
    <x v="2"/>
    <s v="Ofaveolata028213"/>
    <m/>
    <n v="-1.5642741"/>
    <n v="-1.7461799"/>
    <s v="Direct"/>
    <s v="NA"/>
  </r>
  <r>
    <x v="0"/>
    <x v="2"/>
    <s v="Ofaveolata028243"/>
    <m/>
    <n v="15.210509699999999"/>
    <n v="12.2284243"/>
    <s v="Direct"/>
    <s v="helicase activity"/>
  </r>
  <r>
    <x v="0"/>
    <x v="2"/>
    <s v="Ofaveolata028249"/>
    <m/>
    <n v="-5.5877882999999997"/>
    <n v="-5.5217682999999997"/>
    <s v="Direct"/>
    <s v="myristoyl-CoA hydrolase activity"/>
  </r>
  <r>
    <x v="0"/>
    <x v="2"/>
    <s v="Ofaveolata028253"/>
    <m/>
    <n v="1.15769239"/>
    <n v="1.6970103999999999"/>
    <s v="Direct"/>
    <s v="spermatogenesis"/>
  </r>
  <r>
    <x v="0"/>
    <x v="2"/>
    <s v="Ofaveolata028311"/>
    <m/>
    <n v="-3.3135387000000001"/>
    <n v="-2.5466242000000001"/>
    <s v="Direct"/>
    <s v="intramolecular oxidoreductase activity, transposing S-S bonds"/>
  </r>
  <r>
    <x v="0"/>
    <x v="2"/>
    <s v="Ofaveolata028319"/>
    <m/>
    <n v="-4.3388701000000003"/>
    <n v="-3.2155086000000002"/>
    <s v="Direct"/>
    <s v="structural constituent of ribosome"/>
  </r>
  <r>
    <x v="0"/>
    <x v="2"/>
    <s v="Ofaveolata028325"/>
    <m/>
    <n v="-1.1575126"/>
    <n v="-1.4340109999999999"/>
    <s v="Direct"/>
    <s v="ubiquitin-like protein-specific protease activity"/>
  </r>
  <r>
    <x v="0"/>
    <x v="2"/>
    <s v="Ofaveolata028410"/>
    <m/>
    <n v="4.3210604799999999"/>
    <n v="5.0130693700000002"/>
    <s v="Direct"/>
    <s v="NA"/>
  </r>
  <r>
    <x v="0"/>
    <x v="2"/>
    <s v="Ofaveolata028458"/>
    <m/>
    <n v="1.5117265499999999"/>
    <n v="1.1172639900000001"/>
    <s v="Direct"/>
    <s v="Furin-like repeats"/>
  </r>
  <r>
    <x v="0"/>
    <x v="2"/>
    <s v="Ofaveolata028467"/>
    <m/>
    <n v="3.6214538100000002"/>
    <n v="3.9135598599999999"/>
    <s v="Direct"/>
    <s v="NA"/>
  </r>
  <r>
    <x v="0"/>
    <x v="2"/>
    <s v="Ofaveolata028471"/>
    <m/>
    <n v="2.4838366399999998"/>
    <n v="3.86083211"/>
    <s v="Direct"/>
    <s v="betaine-homocysteine S-methyltransferase activity"/>
  </r>
  <r>
    <x v="0"/>
    <x v="2"/>
    <s v="Ofaveolata028502"/>
    <m/>
    <n v="1.15477009"/>
    <n v="1.2156836"/>
    <s v="Direct"/>
    <s v="Survival motor neuron protein"/>
  </r>
  <r>
    <x v="0"/>
    <x v="2"/>
    <s v="Ofaveolata028556"/>
    <m/>
    <n v="-4.0945172000000003"/>
    <n v="-3.9657200000000001"/>
    <s v="Direct"/>
    <s v="NA"/>
  </r>
  <r>
    <x v="0"/>
    <x v="2"/>
    <s v="Ofaveolata028559"/>
    <m/>
    <n v="-2.2708735999999998"/>
    <n v="-1.4606058"/>
    <s v="Direct"/>
    <s v="NA"/>
  </r>
  <r>
    <x v="0"/>
    <x v="2"/>
    <s v="Ofaveolata028571"/>
    <m/>
    <n v="-2.1686519999999998"/>
    <n v="-2.3192575"/>
    <s v="Direct"/>
    <s v="calcium ion binding"/>
  </r>
  <r>
    <x v="0"/>
    <x v="2"/>
    <s v="Ofaveolata028580"/>
    <m/>
    <n v="-1.6040474"/>
    <n v="-2.6564261"/>
    <s v="Direct"/>
    <s v="NA"/>
  </r>
  <r>
    <x v="0"/>
    <x v="2"/>
    <s v="Ofaveolata028667"/>
    <m/>
    <n v="3.49053463"/>
    <n v="3.80393983"/>
    <s v="Direct"/>
    <s v="negative regulation of smooth muscle cell differentiation"/>
  </r>
  <r>
    <x v="0"/>
    <x v="2"/>
    <s v="Ofaveolata028669"/>
    <m/>
    <n v="1.3747387900000001"/>
    <n v="1.6025841999999999"/>
    <s v="Direct"/>
    <s v="interkinetic nuclear migration"/>
  </r>
  <r>
    <x v="0"/>
    <x v="2"/>
    <s v="Ofaveolata028673"/>
    <m/>
    <n v="2.1600162799999998"/>
    <n v="2.9270435400000001"/>
    <s v="Direct"/>
    <s v="regulation of proteasomal ubiquitin-dependent protein catabolic process"/>
  </r>
  <r>
    <x v="0"/>
    <x v="2"/>
    <s v="Ofaveolata028679"/>
    <m/>
    <n v="-1.8208222999999999"/>
    <n v="-1.6893159"/>
    <s v="Direct"/>
    <s v="RING finger protein 115"/>
  </r>
  <r>
    <x v="0"/>
    <x v="2"/>
    <s v="Ofaveolata028686"/>
    <m/>
    <n v="4.1844916599999999"/>
    <n v="3.1567860699999999"/>
    <s v="Direct"/>
    <s v="Cupin-like domain"/>
  </r>
  <r>
    <x v="0"/>
    <x v="2"/>
    <s v="Ofaveolata028697"/>
    <m/>
    <n v="-2.534151"/>
    <n v="-4.2236504000000004"/>
    <s v="Direct"/>
    <s v="protein N-linked glycosylation via arginine"/>
  </r>
  <r>
    <x v="0"/>
    <x v="2"/>
    <s v="Ofaveolata028699"/>
    <m/>
    <n v="-4.5153416999999996"/>
    <n v="-3.6887550999999998"/>
    <s v="Direct"/>
    <s v="T cell proliferation involved in immune response"/>
  </r>
  <r>
    <x v="0"/>
    <x v="2"/>
    <s v="Ofaveolata028704"/>
    <m/>
    <n v="-1.7784823999999999"/>
    <n v="-1.9184116"/>
    <s v="Direct"/>
    <s v="Acts in the nervous system to mediate the control of copulatory organs during courtship"/>
  </r>
  <r>
    <x v="0"/>
    <x v="2"/>
    <s v="Ofaveolata028711"/>
    <m/>
    <n v="4.0111760700000003"/>
    <n v="2.6182654799999998"/>
    <s v="Direct"/>
    <s v="structural molecule activity"/>
  </r>
  <r>
    <x v="0"/>
    <x v="2"/>
    <s v="Ofaveolata028712"/>
    <m/>
    <n v="1.52778572"/>
    <n v="1.0741143500000001"/>
    <s v="Direct"/>
    <s v="NA"/>
  </r>
  <r>
    <x v="0"/>
    <x v="2"/>
    <s v="Ofaveolata028722"/>
    <m/>
    <n v="-1.2336023"/>
    <n v="-2.0334386000000002"/>
    <s v="Direct"/>
    <s v="Paired box protein 7"/>
  </r>
  <r>
    <x v="0"/>
    <x v="2"/>
    <s v="Ofaveolata028744"/>
    <m/>
    <n v="-6.1566425000000002"/>
    <n v="-4.9209429"/>
    <s v="Direct"/>
    <s v="positive regulation of phosphorylation of RNA polymerase II C-terminal domain"/>
  </r>
  <r>
    <x v="0"/>
    <x v="2"/>
    <s v="Ofaveolata028753"/>
    <m/>
    <n v="2.0418484000000001"/>
    <n v="1.0828566399999999"/>
    <s v="Direct"/>
    <s v="NA"/>
  </r>
  <r>
    <x v="0"/>
    <x v="2"/>
    <s v="Ofaveolata028760"/>
    <m/>
    <n v="-5.7664483000000004"/>
    <n v="-4.5481502999999996"/>
    <s v="Direct"/>
    <s v="3-hydroxyacyl-CoA dehydratase activity"/>
  </r>
  <r>
    <x v="0"/>
    <x v="2"/>
    <s v="Ofaveolata028763"/>
    <m/>
    <n v="-1.9718718"/>
    <n v="-1.666275"/>
    <s v="Direct"/>
    <s v="NA"/>
  </r>
  <r>
    <x v="0"/>
    <x v="2"/>
    <s v="Ofaveolata028765"/>
    <m/>
    <n v="-1.1264681999999999"/>
    <n v="-1.0210094000000001"/>
    <s v="Direct"/>
    <s v="positive regulation by host of viral genome replication"/>
  </r>
  <r>
    <x v="0"/>
    <x v="2"/>
    <s v="Ofaveolata028767"/>
    <m/>
    <n v="-8.9641552999999998"/>
    <n v="-8.1753595000000008"/>
    <s v="Direct"/>
    <s v="PPIases accelerate the folding of proteins. It catalyzes the cis-trans isomerization of proline imidic peptide bonds in oligopeptides"/>
  </r>
  <r>
    <x v="0"/>
    <x v="2"/>
    <s v="Ofaveolata028768"/>
    <m/>
    <n v="-1.0418343999999999"/>
    <n v="-1.7466107"/>
    <s v="Direct"/>
    <s v="PPIases accelerate the folding of proteins. It catalyzes the cis-trans isomerization of proline imidic peptide bonds in oligopeptides"/>
  </r>
  <r>
    <x v="0"/>
    <x v="2"/>
    <s v="Ofaveolata028772"/>
    <m/>
    <n v="-1.6136024"/>
    <n v="-3.0929649000000001"/>
    <s v="Direct"/>
    <s v="Short calmodulin-binding motif containing conserved Ile and Gln residues."/>
  </r>
  <r>
    <x v="0"/>
    <x v="2"/>
    <s v="Ofaveolata028788"/>
    <m/>
    <n v="-2.7184414000000001"/>
    <n v="-2.1260222"/>
    <s v="Direct"/>
    <s v="positive regulation of rRNA processing"/>
  </r>
  <r>
    <x v="0"/>
    <x v="2"/>
    <s v="Ofaveolata028792"/>
    <m/>
    <n v="-3.6150821"/>
    <n v="-3.1052384000000002"/>
    <s v="Direct"/>
    <s v="Belongs to the universal ribosomal protein uS19 family"/>
  </r>
  <r>
    <x v="0"/>
    <x v="2"/>
    <s v="Ofaveolata028797"/>
    <m/>
    <n v="-4.4049309000000001"/>
    <n v="-2.1142834000000001"/>
    <s v="Direct"/>
    <s v="guanine nucleotide-releasing factor"/>
  </r>
  <r>
    <x v="0"/>
    <x v="2"/>
    <s v="Ofaveolata028816"/>
    <m/>
    <n v="-3.6287216999999998"/>
    <n v="-1.2254749"/>
    <s v="Direct"/>
    <s v="calcium ion binding"/>
  </r>
  <r>
    <x v="0"/>
    <x v="2"/>
    <s v="Ofaveolata028859"/>
    <m/>
    <n v="-5.2314281999999999"/>
    <n v="-3.3538934999999999"/>
    <s v="Direct"/>
    <s v="Non-lysosomal glucosylceramidase that catalyzes the conversion of glucosylceramide to free glucose and ceramide"/>
  </r>
  <r>
    <x v="0"/>
    <x v="2"/>
    <s v="Ofaveolata028882"/>
    <m/>
    <n v="3.29400914"/>
    <n v="2.1583583900000001"/>
    <s v="Direct"/>
    <s v="Wnt-activated receptor activity"/>
  </r>
  <r>
    <x v="0"/>
    <x v="2"/>
    <s v="Ofaveolata028888"/>
    <m/>
    <n v="-1.7838299"/>
    <n v="-1.5688633000000001"/>
    <s v="Direct"/>
    <s v="PFAM Thioredoxin"/>
  </r>
  <r>
    <x v="0"/>
    <x v="2"/>
    <s v="Ofaveolata028889"/>
    <m/>
    <n v="-2.5867265000000002"/>
    <n v="-2.9104575000000001"/>
    <s v="Direct"/>
    <s v="NA"/>
  </r>
  <r>
    <x v="0"/>
    <x v="2"/>
    <s v="Ofaveolata028893"/>
    <m/>
    <n v="2.5700118700000001"/>
    <n v="1.60896218"/>
    <s v="Direct"/>
    <s v="NA"/>
  </r>
  <r>
    <x v="0"/>
    <x v="2"/>
    <s v="Ofaveolata028900"/>
    <m/>
    <n v="-1.5120471"/>
    <n v="-1.1429775"/>
    <s v="Direct"/>
    <s v="Beta-1,3-galactosyltransferase 4"/>
  </r>
  <r>
    <x v="0"/>
    <x v="2"/>
    <s v="Ofaveolata028919"/>
    <m/>
    <n v="-1.3166255"/>
    <n v="-1.5635192"/>
    <s v="Direct"/>
    <s v="SHC (Src homology 2 domain containing) transforming protein"/>
  </r>
  <r>
    <x v="0"/>
    <x v="2"/>
    <s v="Ofaveolata028939"/>
    <m/>
    <n v="-1.4183615999999999"/>
    <n v="-1.6877584999999999"/>
    <s v="Direct"/>
    <s v="Belongs to the FBPase class 1 family"/>
  </r>
  <r>
    <x v="0"/>
    <x v="2"/>
    <s v="Ofaveolata028941"/>
    <m/>
    <n v="-7.8090003000000001"/>
    <n v="-6.8452561999999997"/>
    <s v="Direct"/>
    <s v="NA"/>
  </r>
  <r>
    <x v="0"/>
    <x v="2"/>
    <s v="Ofaveolata028942"/>
    <m/>
    <n v="-1.6314654"/>
    <n v="-2.2977405000000002"/>
    <s v="Direct"/>
    <s v="NA"/>
  </r>
  <r>
    <x v="0"/>
    <x v="2"/>
    <s v="Ofaveolata028944"/>
    <m/>
    <n v="-1.0594409"/>
    <n v="-1.5185128999999999"/>
    <s v="Direct"/>
    <s v="NA"/>
  </r>
  <r>
    <x v="0"/>
    <x v="2"/>
    <s v="Ofaveolata028945"/>
    <m/>
    <n v="-3.9877514000000001"/>
    <n v="-4.3869321000000001"/>
    <s v="Direct"/>
    <s v="NA"/>
  </r>
  <r>
    <x v="0"/>
    <x v="2"/>
    <s v="Ofaveolata028947"/>
    <m/>
    <n v="-3.3428003999999998"/>
    <n v="-1.6037656"/>
    <s v="Direct"/>
    <s v="NA"/>
  </r>
  <r>
    <x v="0"/>
    <x v="2"/>
    <s v="Ofaveolata028948"/>
    <m/>
    <n v="-1.1515458000000001"/>
    <n v="-1.0732250000000001"/>
    <s v="Direct"/>
    <s v="mannose-ethanolamine phosphotransferase activity"/>
  </r>
  <r>
    <x v="0"/>
    <x v="2"/>
    <s v="Ofaveolata028961"/>
    <m/>
    <n v="3.9829563499999998"/>
    <n v="2.5706611100000001"/>
    <s v="Direct"/>
    <s v="regulation of fibroblast apoptotic process"/>
  </r>
  <r>
    <x v="0"/>
    <x v="2"/>
    <s v="Ofaveolata028964"/>
    <m/>
    <n v="-1.0559886000000001"/>
    <n v="-1.0773598"/>
    <s v="Direct"/>
    <s v="nucleic acid binding"/>
  </r>
  <r>
    <x v="0"/>
    <x v="2"/>
    <s v="Ofaveolata029003"/>
    <m/>
    <n v="-2.5313264000000002"/>
    <n v="-1.9357537"/>
    <s v="Direct"/>
    <s v="NA"/>
  </r>
  <r>
    <x v="0"/>
    <x v="2"/>
    <s v="Ofaveolata029009"/>
    <m/>
    <n v="-2.1527835999999998"/>
    <n v="-2.3980944000000002"/>
    <s v="Direct"/>
    <s v="fatty acid beta-oxidation using acyl-CoA dehydrogenase"/>
  </r>
  <r>
    <x v="0"/>
    <x v="2"/>
    <s v="Ofaveolata029011"/>
    <m/>
    <n v="1.62308681"/>
    <n v="3.06154576"/>
    <s v="Direct"/>
    <s v="NA"/>
  </r>
  <r>
    <x v="0"/>
    <x v="2"/>
    <s v="Ofaveolata029052"/>
    <m/>
    <n v="2.11314278"/>
    <n v="1.64983064"/>
    <s v="Direct"/>
    <s v="Lipoxygenase"/>
  </r>
  <r>
    <x v="0"/>
    <x v="2"/>
    <s v="Ofaveolata029057"/>
    <m/>
    <n v="-1.2544188999999999"/>
    <n v="-1.1192635"/>
    <s v="Direct"/>
    <s v="Collagen triple helix"/>
  </r>
  <r>
    <x v="0"/>
    <x v="2"/>
    <s v="Ofaveolata029062"/>
    <m/>
    <n v="-3.3970425"/>
    <n v="-6.5960217999999999"/>
    <s v="Direct"/>
    <s v="Ankyrin repeat and SOCS box"/>
  </r>
  <r>
    <x v="0"/>
    <x v="2"/>
    <s v="Ofaveolata029083"/>
    <m/>
    <n v="-3.0104483000000002"/>
    <n v="-2.8013031000000002"/>
    <s v="Direct"/>
    <s v="calcium, potassium:sodium antiporter activity"/>
  </r>
  <r>
    <x v="0"/>
    <x v="2"/>
    <s v="Ofaveolata029106"/>
    <m/>
    <n v="-2.6522353000000001"/>
    <n v="-2.7272318000000002"/>
    <s v="Direct"/>
    <s v="NADH dehydrogenase (ubiquinone) 1 alpha subcomplex"/>
  </r>
  <r>
    <x v="0"/>
    <x v="2"/>
    <s v="Ofaveolata029114"/>
    <m/>
    <n v="1.6720692100000001"/>
    <n v="2.5322311900000001"/>
    <s v="Direct"/>
    <s v="NA"/>
  </r>
  <r>
    <x v="0"/>
    <x v="2"/>
    <s v="Ofaveolata029115"/>
    <m/>
    <n v="1.4206129700000001"/>
    <n v="1.9492563899999999"/>
    <s v="Direct"/>
    <s v="NA"/>
  </r>
  <r>
    <x v="0"/>
    <x v="2"/>
    <s v="Ofaveolata029127"/>
    <m/>
    <n v="3.2265848899999998"/>
    <n v="1.78886367"/>
    <s v="Direct"/>
    <s v="NA"/>
  </r>
  <r>
    <x v="0"/>
    <x v="2"/>
    <s v="Ofaveolata029145"/>
    <m/>
    <n v="-1.1232686999999999"/>
    <n v="-1.2852136000000001"/>
    <s v="Direct"/>
    <s v="ER membrane protein complex subunit"/>
  </r>
  <r>
    <x v="0"/>
    <x v="2"/>
    <s v="Ofaveolata029155"/>
    <m/>
    <n v="1.4628257099999999"/>
    <n v="1.1573844200000001"/>
    <s v="Direct"/>
    <s v="NA"/>
  </r>
  <r>
    <x v="0"/>
    <x v="2"/>
    <s v="Ofaveolata029171"/>
    <m/>
    <n v="-2.6271618000000001"/>
    <n v="-2.1569543000000002"/>
    <s v="Direct"/>
    <s v="unfolded protein binding"/>
  </r>
  <r>
    <x v="0"/>
    <x v="2"/>
    <s v="Ofaveolata029192"/>
    <m/>
    <n v="-8.3580304999999999"/>
    <n v="-4.9176777999999999"/>
    <s v="Direct"/>
    <s v="MAC/Perforin domain"/>
  </r>
  <r>
    <x v="0"/>
    <x v="2"/>
    <s v="Ofaveolata029194"/>
    <m/>
    <n v="-1.0742247"/>
    <n v="-1.7580617999999999"/>
    <s v="Direct"/>
    <s v="Ariadne RBR E3 ubiquitin protein ligase 1"/>
  </r>
  <r>
    <x v="0"/>
    <x v="2"/>
    <s v="Ofaveolata029208"/>
    <m/>
    <n v="3.1238040499999999"/>
    <n v="1.1886627000000001"/>
    <s v="Direct"/>
    <s v="NA"/>
  </r>
  <r>
    <x v="0"/>
    <x v="2"/>
    <s v="Ofaveolata029215"/>
    <m/>
    <n v="-2.0248203999999999"/>
    <n v="-3.3930478000000002"/>
    <s v="Direct"/>
    <s v="NA"/>
  </r>
  <r>
    <x v="0"/>
    <x v="2"/>
    <s v="Ofaveolata029232"/>
    <m/>
    <n v="-3.1674627000000002"/>
    <n v="-4.1645184000000004"/>
    <s v="Direct"/>
    <s v="NA"/>
  </r>
  <r>
    <x v="0"/>
    <x v="2"/>
    <s v="Ofaveolata029233"/>
    <m/>
    <n v="-1.4894000999999999"/>
    <n v="-2.3916917"/>
    <s v="Direct"/>
    <s v="Ubiquitin-conjugating enzyme"/>
  </r>
  <r>
    <x v="0"/>
    <x v="2"/>
    <s v="Ofaveolata029234"/>
    <m/>
    <n v="-1.7281062"/>
    <n v="-1.2261027"/>
    <s v="Direct"/>
    <s v="NA"/>
  </r>
  <r>
    <x v="0"/>
    <x v="2"/>
    <s v="Ofaveolata029238"/>
    <m/>
    <n v="2.73222231"/>
    <n v="2.8998291100000002"/>
    <s v="Direct"/>
    <s v="Threonine dehydratase"/>
  </r>
  <r>
    <x v="0"/>
    <x v="2"/>
    <s v="Ofaveolata029248"/>
    <m/>
    <n v="-3.3301267000000001"/>
    <n v="-3.9057523000000001"/>
    <s v="Direct"/>
    <s v="zinc ion binding"/>
  </r>
  <r>
    <x v="0"/>
    <x v="2"/>
    <s v="Ofaveolata029252"/>
    <m/>
    <n v="-4.1787258999999999"/>
    <n v="-3.4024812999999998"/>
    <s v="Direct"/>
    <s v="Asparaginyl-tRNA synthetase"/>
  </r>
  <r>
    <x v="0"/>
    <x v="2"/>
    <s v="Ofaveolata029254"/>
    <m/>
    <n v="-1.2877213999999999"/>
    <n v="-1.0507137"/>
    <s v="Direct"/>
    <s v="ribosomal protein"/>
  </r>
  <r>
    <x v="0"/>
    <x v="2"/>
    <s v="Ofaveolata029258"/>
    <m/>
    <n v="-13.078468000000001"/>
    <n v="-8.4933157000000001"/>
    <s v="Direct"/>
    <s v="NA"/>
  </r>
  <r>
    <x v="0"/>
    <x v="2"/>
    <s v="Ofaveolata029259"/>
    <m/>
    <n v="1.02480152"/>
    <n v="1.4715810300000001"/>
    <s v="Direct"/>
    <s v="NA"/>
  </r>
  <r>
    <x v="0"/>
    <x v="2"/>
    <s v="Ofaveolata029276"/>
    <m/>
    <n v="2.8920355999999998"/>
    <n v="2.6197863199999998"/>
    <s v="Direct"/>
    <s v="NA"/>
  </r>
  <r>
    <x v="0"/>
    <x v="2"/>
    <s v="Ofaveolata029289"/>
    <m/>
    <n v="-1.6623322"/>
    <n v="-1.1329111000000001"/>
    <s v="Direct"/>
    <s v="alpha-methylacyl-CoA racemase activity"/>
  </r>
  <r>
    <x v="0"/>
    <x v="2"/>
    <s v="Ofaveolata029290"/>
    <m/>
    <n v="-1.5893617"/>
    <n v="-1.1818306000000001"/>
    <s v="Direct"/>
    <s v="Chondroitin sulfate synthase"/>
  </r>
  <r>
    <x v="0"/>
    <x v="2"/>
    <s v="Ofaveolata029294"/>
    <m/>
    <n v="7.8573070999999999"/>
    <n v="5.6284804299999998"/>
    <s v="Direct"/>
    <s v="Belongs to the oxygen-dependent FAD-linked oxidoreductase family"/>
  </r>
  <r>
    <x v="0"/>
    <x v="2"/>
    <s v="Ofaveolata029295"/>
    <m/>
    <n v="1.87869522"/>
    <n v="3.5164876600000001"/>
    <s v="Direct"/>
    <s v="NA"/>
  </r>
  <r>
    <x v="0"/>
    <x v="2"/>
    <s v="Ofaveolata029312"/>
    <m/>
    <n v="-1.0458589"/>
    <n v="-5.1366455999999996"/>
    <s v="Direct"/>
    <s v="NA"/>
  </r>
  <r>
    <x v="0"/>
    <x v="2"/>
    <s v="Ofaveolata029344"/>
    <m/>
    <n v="-1.2953817000000001"/>
    <n v="-1.0148895"/>
    <s v="Direct"/>
    <s v="Excises uracil residues from the DNA which can arise as a result of misincorporation of dUMP residues by DNA polymerase or due to deamination of cytosine"/>
  </r>
  <r>
    <x v="0"/>
    <x v="2"/>
    <s v="Ofaveolata029374"/>
    <m/>
    <n v="-2.0057442000000001"/>
    <n v="-2.7254410999999998"/>
    <s v="Direct"/>
    <s v="The coatomer is a cytosolic protein complex that binds to dilysine motifs and reversibly associates with Golgi non- clathrin-coated vesicles, which further mediate biosynthetic protein transport from the ER, via the Golgi up to the trans Golgi network. Th"/>
  </r>
  <r>
    <x v="0"/>
    <x v="2"/>
    <s v="Ofaveolata029411"/>
    <m/>
    <n v="2.5756936600000002"/>
    <n v="2.6161825099999998"/>
    <s v="Direct"/>
    <s v="NA"/>
  </r>
  <r>
    <x v="0"/>
    <x v="2"/>
    <s v="Ofaveolata029412"/>
    <m/>
    <n v="2.0320424199999998"/>
    <n v="2.0860020800000001"/>
    <s v="Direct"/>
    <s v="DUF167"/>
  </r>
  <r>
    <x v="0"/>
    <x v="2"/>
    <s v="Ofaveolata029422"/>
    <m/>
    <n v="-11.746703999999999"/>
    <n v="-11.439885"/>
    <s v="Direct"/>
    <s v="Thioredoxin-like domain"/>
  </r>
  <r>
    <x v="0"/>
    <x v="2"/>
    <s v="Ofaveolata029423"/>
    <m/>
    <n v="-4.8529466000000001"/>
    <n v="-2.6109064000000002"/>
    <s v="Direct"/>
    <s v="miRNA binding"/>
  </r>
  <r>
    <x v="0"/>
    <x v="2"/>
    <s v="Ofaveolata029427"/>
    <m/>
    <n v="-8.2981365"/>
    <n v="-7.7717226999999998"/>
    <s v="Direct"/>
    <s v="Elongation factor"/>
  </r>
  <r>
    <x v="0"/>
    <x v="2"/>
    <s v="Ofaveolata029433"/>
    <m/>
    <n v="-1.4417692"/>
    <n v="-1.1093362"/>
    <s v="Direct"/>
    <s v="Caspase domain"/>
  </r>
  <r>
    <x v="0"/>
    <x v="2"/>
    <s v="Ofaveolata029458"/>
    <m/>
    <n v="1.5955295"/>
    <n v="1.55147163"/>
    <s v="Direct"/>
    <s v="NA"/>
  </r>
  <r>
    <x v="0"/>
    <x v="2"/>
    <s v="Ofaveolata029486"/>
    <m/>
    <n v="1.63076789"/>
    <n v="1.00850102"/>
    <s v="Direct"/>
    <s v="neuronal calcium sensor"/>
  </r>
  <r>
    <x v="0"/>
    <x v="2"/>
    <s v="Ofaveolata029518"/>
    <m/>
    <n v="-1.8786951999999999"/>
    <n v="-2.0121085000000001"/>
    <s v="Direct"/>
    <s v="NA"/>
  </r>
  <r>
    <x v="0"/>
    <x v="2"/>
    <s v="Ofaveolata029521"/>
    <m/>
    <n v="1.27110678"/>
    <n v="1.0854013199999999"/>
    <s v="Direct"/>
    <s v="NA"/>
  </r>
  <r>
    <x v="0"/>
    <x v="2"/>
    <s v="Ofaveolata029523"/>
    <m/>
    <n v="1.35430261"/>
    <n v="2.1171918500000002"/>
    <s v="Direct"/>
    <s v="complement activation"/>
  </r>
  <r>
    <x v="0"/>
    <x v="2"/>
    <s v="Ofaveolata029525"/>
    <m/>
    <n v="1.63901462"/>
    <n v="1.54631253"/>
    <s v="Direct"/>
    <s v="Interferon induced with helicase C domain 1"/>
  </r>
  <r>
    <x v="0"/>
    <x v="2"/>
    <s v="Ofaveolata029572"/>
    <m/>
    <n v="-1.4023106000000001"/>
    <n v="-1.2769807"/>
    <s v="Direct"/>
    <s v="vesicle-associated membrane protein 4"/>
  </r>
  <r>
    <x v="0"/>
    <x v="2"/>
    <s v="Ofaveolata029593"/>
    <m/>
    <n v="1.67451153"/>
    <n v="2.1677114"/>
    <s v="Direct"/>
    <s v="NA"/>
  </r>
  <r>
    <x v="0"/>
    <x v="2"/>
    <s v="Ofaveolata029623"/>
    <m/>
    <n v="3.0396772900000002"/>
    <n v="4.3151933500000004"/>
    <s v="Direct"/>
    <s v="Ribosomal protein S16"/>
  </r>
  <r>
    <x v="0"/>
    <x v="2"/>
    <s v="Ofaveolata029637"/>
    <m/>
    <n v="-1.9553255"/>
    <n v="-2.0492485"/>
    <s v="Direct"/>
    <s v="5S rRNA binding"/>
  </r>
  <r>
    <x v="0"/>
    <x v="2"/>
    <s v="Ofaveolata029640"/>
    <m/>
    <n v="1.0663026200000001"/>
    <n v="1.1761534600000001"/>
    <s v="Direct"/>
    <s v="cellular response to camptothecin"/>
  </r>
  <r>
    <x v="0"/>
    <x v="2"/>
    <s v="Ofaveolata029658"/>
    <m/>
    <n v="-2.0503342999999998"/>
    <n v="-1.0737585000000001"/>
    <s v="Direct"/>
    <s v="GTP-Rho binding"/>
  </r>
  <r>
    <x v="0"/>
    <x v="2"/>
    <s v="Ofaveolata029659"/>
    <m/>
    <n v="-1.4899340000000001"/>
    <n v="-1.9274849999999999"/>
    <s v="Direct"/>
    <s v="Specifically binds 5-hydroxymethylcytosine (5hmC)- containing DNA in stem cells, suggesting that it acts as a specific reader of 5hmC in stem cells. May act as a peptidase"/>
  </r>
  <r>
    <x v="0"/>
    <x v="2"/>
    <s v="Ofaveolata029667"/>
    <m/>
    <n v="-6.5296273999999999"/>
    <n v="-2.8347465000000001"/>
    <s v="Direct"/>
    <s v="NA"/>
  </r>
  <r>
    <x v="0"/>
    <x v="2"/>
    <s v="Ofaveolata029688"/>
    <m/>
    <n v="2.3847629000000001"/>
    <n v="2.1997751399999999"/>
    <s v="Direct"/>
    <s v="NA"/>
  </r>
  <r>
    <x v="0"/>
    <x v="2"/>
    <s v="Ofaveolata029710"/>
    <m/>
    <n v="-3.2501791"/>
    <n v="-4.0614926000000002"/>
    <s v="Direct"/>
    <s v="NA"/>
  </r>
  <r>
    <x v="0"/>
    <x v="2"/>
    <s v="Ofaveolata029717"/>
    <m/>
    <n v="1.44755418"/>
    <n v="1.3423206000000001"/>
    <s v="Direct"/>
    <s v="NA"/>
  </r>
  <r>
    <x v="0"/>
    <x v="2"/>
    <s v="Ofaveolata029719"/>
    <m/>
    <n v="3.46441709"/>
    <n v="2.7380534299999999"/>
    <s v="Direct"/>
    <s v="NA"/>
  </r>
  <r>
    <x v="0"/>
    <x v="2"/>
    <s v="Ofaveolata029723"/>
    <m/>
    <n v="-8.2676832000000005"/>
    <n v="-7.1991563000000003"/>
    <s v="Direct"/>
    <s v="NA"/>
  </r>
  <r>
    <x v="0"/>
    <x v="2"/>
    <s v="Ofaveolata029736"/>
    <m/>
    <n v="-2.6374094000000001"/>
    <n v="-3.4377393000000001"/>
    <s v="Direct"/>
    <s v="Belongs to the uridine kinase family"/>
  </r>
  <r>
    <x v="0"/>
    <x v="2"/>
    <s v="Ofaveolata029746"/>
    <m/>
    <n v="10.0840672"/>
    <n v="13.0604523"/>
    <s v="Direct"/>
    <s v="Tuberous sclerosis"/>
  </r>
  <r>
    <x v="0"/>
    <x v="2"/>
    <s v="Ofaveolata029747"/>
    <m/>
    <n v="-3.7240099999999998"/>
    <n v="-3.5691198000000002"/>
    <s v="Direct"/>
    <s v="HD domain"/>
  </r>
  <r>
    <x v="0"/>
    <x v="2"/>
    <s v="Ofaveolata029755"/>
    <m/>
    <n v="-3.0037083999999998"/>
    <n v="-1.9552258"/>
    <s v="Direct"/>
    <s v="Peptidase M16 inactive domain"/>
  </r>
  <r>
    <x v="0"/>
    <x v="2"/>
    <s v="Ofaveolata029756"/>
    <m/>
    <n v="-5.5077940999999999"/>
    <n v="-4.4935308000000003"/>
    <s v="Direct"/>
    <s v="threonine-type endopeptidase activity"/>
  </r>
  <r>
    <x v="0"/>
    <x v="2"/>
    <s v="Ofaveolata029779"/>
    <m/>
    <n v="-4.3264217"/>
    <n v="-2.7509752999999999"/>
    <s v="Direct"/>
    <s v="NA"/>
  </r>
  <r>
    <x v="0"/>
    <x v="2"/>
    <s v="Ofaveolata029786"/>
    <m/>
    <n v="-12.407971999999999"/>
    <n v="-7.3416259000000004"/>
    <s v="Direct"/>
    <s v="cellular zinc ion homeostasis"/>
  </r>
  <r>
    <x v="0"/>
    <x v="2"/>
    <s v="Ofaveolata029796"/>
    <m/>
    <n v="1.18439881"/>
    <n v="1.8261586000000001"/>
    <s v="Direct"/>
    <s v="protein transport"/>
  </r>
  <r>
    <x v="0"/>
    <x v="2"/>
    <s v="Ofaveolata029798"/>
    <m/>
    <n v="-3.0015790999999998"/>
    <n v="-2.1387011999999999"/>
    <s v="Direct"/>
    <s v="NA"/>
  </r>
  <r>
    <x v="0"/>
    <x v="2"/>
    <s v="Ofaveolata029799"/>
    <m/>
    <n v="-3.6193578"/>
    <n v="-2.6197678999999998"/>
    <s v="Direct"/>
    <s v="NA"/>
  </r>
  <r>
    <x v="0"/>
    <x v="2"/>
    <s v="Ofaveolata029818"/>
    <m/>
    <n v="-2.5834423000000002"/>
    <n v="-1.7484980000000001"/>
    <s v="Direct"/>
    <s v="NA"/>
  </r>
  <r>
    <x v="0"/>
    <x v="2"/>
    <s v="Ofaveolata029819"/>
    <m/>
    <n v="-4.4191381999999999"/>
    <n v="-3.7458437"/>
    <s v="Direct"/>
    <s v="coreceptor activity involved in Wnt signaling pathway, planar cell polarity pathway"/>
  </r>
  <r>
    <x v="0"/>
    <x v="2"/>
    <s v="Ofaveolata029820"/>
    <m/>
    <n v="-6.8524145000000001"/>
    <n v="-4.8089190999999998"/>
    <s v="Direct"/>
    <s v="NAD(P)+ nucleosidase activity"/>
  </r>
  <r>
    <x v="0"/>
    <x v="2"/>
    <s v="Ofaveolata029829"/>
    <m/>
    <n v="-1.4522013"/>
    <n v="-1.2471753999999999"/>
    <s v="Direct"/>
    <s v="tRNA wybutosine-synthesizing protein 3 homolog"/>
  </r>
  <r>
    <x v="0"/>
    <x v="2"/>
    <s v="Ofaveolata029834"/>
    <m/>
    <n v="1.22972937"/>
    <n v="1.1892381299999999"/>
    <s v="Direct"/>
    <s v="nicotinamide phosphoribosyltransferase activity"/>
  </r>
  <r>
    <x v="0"/>
    <x v="2"/>
    <s v="Ofaveolata029838"/>
    <m/>
    <n v="-3.2163783000000001"/>
    <n v="-5.4063771999999997"/>
    <s v="Direct"/>
    <s v="organic anion transmembrane transporter activity"/>
  </r>
  <r>
    <x v="0"/>
    <x v="2"/>
    <s v="Ofaveolata029860"/>
    <m/>
    <n v="1.56361901"/>
    <n v="2.1711331700000001"/>
    <s v="Direct"/>
    <s v="NA"/>
  </r>
  <r>
    <x v="0"/>
    <x v="2"/>
    <s v="Ofaveolata029875"/>
    <m/>
    <n v="1.9230928"/>
    <n v="1.1282560699999999"/>
    <s v="Direct"/>
    <s v="spectrin binding"/>
  </r>
  <r>
    <x v="0"/>
    <x v="2"/>
    <s v="Ofaveolata029885"/>
    <m/>
    <n v="-1.6745114999999999"/>
    <n v="-1.2388412"/>
    <s v="Direct"/>
    <s v="NA"/>
  </r>
  <r>
    <x v="0"/>
    <x v="2"/>
    <s v="Ofaveolata029893"/>
    <m/>
    <n v="5.8389900299999997"/>
    <n v="8.8337398300000007"/>
    <s v="Direct"/>
    <s v="nitric oxide synthase"/>
  </r>
  <r>
    <x v="0"/>
    <x v="2"/>
    <s v="Ofaveolata029896"/>
    <m/>
    <n v="-2.2799356"/>
    <n v="-1.4122979"/>
    <s v="Direct"/>
    <s v="alpha/beta hydrolase fold"/>
  </r>
  <r>
    <x v="0"/>
    <x v="2"/>
    <s v="Ofaveolata029897"/>
    <m/>
    <n v="-1.5581011"/>
    <n v="-2.1877124999999999"/>
    <s v="Direct"/>
    <s v="UDP-glucoronosyl and UDP-glucosyl transferase"/>
  </r>
  <r>
    <x v="0"/>
    <x v="2"/>
    <s v="Ofaveolata029931"/>
    <m/>
    <n v="1.2355471099999999"/>
    <n v="1.0737585300000001"/>
    <s v="Direct"/>
    <s v="metal ion binding"/>
  </r>
  <r>
    <x v="0"/>
    <x v="2"/>
    <s v="Ofaveolata029935"/>
    <m/>
    <n v="-15.591696000000001"/>
    <n v="-14.575925"/>
    <s v="Direct"/>
    <s v="poly(U) RNA binding"/>
  </r>
  <r>
    <x v="0"/>
    <x v="2"/>
    <s v="Ofaveolata029937"/>
    <m/>
    <n v="-2.7776084000000001"/>
    <n v="-3.4477077"/>
    <s v="Direct"/>
    <s v="protein processing involved in protein targeting to mitochondrion"/>
  </r>
  <r>
    <x v="0"/>
    <x v="2"/>
    <s v="Ofaveolata029961"/>
    <m/>
    <n v="3.43556822"/>
    <n v="3.8899549800000002"/>
    <s v="Direct"/>
    <s v="negative regulation of protein depolymerization"/>
  </r>
  <r>
    <x v="0"/>
    <x v="2"/>
    <s v="Ofaveolata029963"/>
    <m/>
    <n v="2.23454782"/>
    <n v="2.4425636499999999"/>
    <s v="Direct"/>
    <s v="ATP-dependent 3'-5' RNA helicase activity"/>
  </r>
  <r>
    <x v="0"/>
    <x v="2"/>
    <s v="Ofaveolata029977"/>
    <m/>
    <n v="-2.6077672999999999"/>
    <n v="-2.4244458999999998"/>
    <s v="Direct"/>
    <s v="SOUL heme-binding protein"/>
  </r>
  <r>
    <x v="0"/>
    <x v="2"/>
    <s v="Ofaveolata029978"/>
    <m/>
    <n v="-8.2131229000000001"/>
    <n v="-7.4128145999999999"/>
    <s v="Direct"/>
    <s v="SOUL heme-binding protein"/>
  </r>
  <r>
    <x v="0"/>
    <x v="2"/>
    <s v="Ofaveolata029979"/>
    <m/>
    <n v="-2.8666279000000001"/>
    <n v="-1.9776806"/>
    <s v="Direct"/>
    <s v="RNA polymerase II subunit B1 CTD phosphatase RPAP2"/>
  </r>
  <r>
    <x v="0"/>
    <x v="2"/>
    <s v="Ofaveolata029980"/>
    <m/>
    <n v="1.1092175399999999"/>
    <n v="1.0920352200000001"/>
    <s v="Direct"/>
    <s v="laminin subunit"/>
  </r>
  <r>
    <x v="0"/>
    <x v="2"/>
    <s v="Ofaveolata029992"/>
    <m/>
    <n v="-2.1793222999999999"/>
    <n v="-1.8391894"/>
    <s v="Direct"/>
    <s v="structural constituent of ribosome"/>
  </r>
  <r>
    <x v="0"/>
    <x v="2"/>
    <s v="Ofaveolata029996"/>
    <m/>
    <n v="-1.5818475999999999"/>
    <n v="-1.0541026"/>
    <s v="Direct"/>
    <s v="manganese ion binding"/>
  </r>
  <r>
    <x v="0"/>
    <x v="2"/>
    <s v="Ofaveolata030004"/>
    <m/>
    <n v="1.76683821"/>
    <n v="1.0386246100000001"/>
    <s v="Direct"/>
    <s v="Mov10 RISC complex RNA helicase"/>
  </r>
  <r>
    <x v="0"/>
    <x v="2"/>
    <s v="Ofaveolata030009"/>
    <m/>
    <n v="-2.6276518000000002"/>
    <n v="-2.4603128999999999"/>
    <s v="Direct"/>
    <s v="NA"/>
  </r>
  <r>
    <x v="0"/>
    <x v="2"/>
    <s v="Ofaveolata030010"/>
    <m/>
    <n v="-4.9549149000000003"/>
    <n v="-3.4198005"/>
    <s v="Direct"/>
    <s v="Far upstream element-binding protein"/>
  </r>
  <r>
    <x v="0"/>
    <x v="2"/>
    <s v="Ofaveolata030046"/>
    <m/>
    <n v="1.1492775500000001"/>
    <n v="1.6511136099999999"/>
    <s v="Direct"/>
    <s v="Regulator of chromosome condensation"/>
  </r>
  <r>
    <x v="0"/>
    <x v="2"/>
    <s v="Ofaveolata030092"/>
    <m/>
    <n v="2.1962140699999999"/>
    <n v="1.73458921"/>
    <s v="Direct"/>
    <s v="9-cis retinoic acid receptor activity"/>
  </r>
  <r>
    <x v="0"/>
    <x v="2"/>
    <s v="Ofaveolata030095"/>
    <m/>
    <n v="-6.0101677000000002"/>
    <n v="-5.9332415999999997"/>
    <s v="Direct"/>
    <s v="Dienelactone hydrolase family"/>
  </r>
  <r>
    <x v="0"/>
    <x v="2"/>
    <s v="Ofaveolata030101"/>
    <m/>
    <n v="-1.2473295"/>
    <n v="-2.3916917"/>
    <s v="Direct"/>
    <s v="maturation of LSU-rRNA from tricistronic rRNA transcript (SSU-rRNA, 5.8S rRNA, LSU-rRNA)"/>
  </r>
  <r>
    <x v="0"/>
    <x v="2"/>
    <s v="Ofaveolata030136"/>
    <m/>
    <n v="-1.5156643000000001"/>
    <n v="-1.9550341"/>
    <s v="Direct"/>
    <s v="Ubiquitin specific peptidase 20"/>
  </r>
  <r>
    <x v="0"/>
    <x v="2"/>
    <s v="Ofaveolata030138"/>
    <m/>
    <n v="-5.5497816999999996"/>
    <n v="-3.4580141000000002"/>
    <s v="Direct"/>
    <s v="Ubiquitin carboxyl-terminal hydrolase"/>
  </r>
  <r>
    <x v="0"/>
    <x v="2"/>
    <s v="Ofaveolata030151"/>
    <m/>
    <n v="1.44424346"/>
    <n v="1.4325813599999999"/>
    <s v="Direct"/>
    <s v="Uncharacterized conserved protein (DUF2358)"/>
  </r>
  <r>
    <x v="0"/>
    <x v="2"/>
    <s v="Ofaveolata030193"/>
    <m/>
    <n v="-1.4374742"/>
    <n v="-3.5437935999999999"/>
    <s v="Direct"/>
    <s v="NA"/>
  </r>
  <r>
    <x v="0"/>
    <x v="2"/>
    <s v="Ofaveolata030201"/>
    <m/>
    <n v="2.4013647800000002"/>
    <n v="2.3568114900000001"/>
    <s v="Direct"/>
    <s v="NA"/>
  </r>
  <r>
    <x v="0"/>
    <x v="2"/>
    <s v="Ofaveolata030213"/>
    <m/>
    <n v="1.28565263"/>
    <n v="1.47771758"/>
    <s v="Direct"/>
    <s v="NA"/>
  </r>
  <r>
    <x v="0"/>
    <x v="2"/>
    <s v="Ofaveolata030220"/>
    <m/>
    <n v="6.4409224199999997"/>
    <n v="4.6145729199999996"/>
    <s v="Direct"/>
    <s v="thioesterase binding"/>
  </r>
  <r>
    <x v="0"/>
    <x v="2"/>
    <s v="Ofaveolata030224"/>
    <m/>
    <n v="1.8307520500000001"/>
    <n v="1.6374089700000001"/>
    <s v="Direct"/>
    <s v="NA"/>
  </r>
  <r>
    <x v="0"/>
    <x v="2"/>
    <s v="Ofaveolata030231"/>
    <m/>
    <n v="-3.5760339999999999"/>
    <n v="-2.3897217999999998"/>
    <s v="Direct"/>
    <s v="protein-cysteine S-acyltransferase activity"/>
  </r>
  <r>
    <x v="0"/>
    <x v="2"/>
    <s v="Ofaveolata030274"/>
    <m/>
    <n v="1.0026672999999999"/>
    <n v="1.02950425"/>
    <s v="Direct"/>
    <s v="Surfeit locus protein 2 (SURF2)"/>
  </r>
  <r>
    <x v="0"/>
    <x v="2"/>
    <s v="Ofaveolata030276"/>
    <m/>
    <n v="-1.4389479000000001"/>
    <n v="-2.0731042999999998"/>
    <s v="Direct"/>
    <s v="Aminotransferase class-V"/>
  </r>
  <r>
    <x v="0"/>
    <x v="2"/>
    <s v="Ofaveolata030277"/>
    <m/>
    <n v="-6.5871421999999997"/>
    <n v="-5.6402649"/>
    <s v="Direct"/>
    <s v="negative regulation of DNA damage checkpoint"/>
  </r>
  <r>
    <x v="0"/>
    <x v="2"/>
    <s v="Ofaveolata030278"/>
    <m/>
    <n v="-6.2531584999999996"/>
    <n v="-6.3962653999999999"/>
    <s v="Direct"/>
    <s v="Catalyzes conversion of folates to polyglutamate derivatives allowing concentration of folate compounds in the cell and the intracellular retention of these cofactors, which are important substrates for most of the folate-dependent enzymes that are involv"/>
  </r>
  <r>
    <x v="0"/>
    <x v="2"/>
    <s v="Ofaveolata030283"/>
    <m/>
    <n v="-2.3570940999999999"/>
    <n v="-2.6904010999999999"/>
    <s v="Direct"/>
    <s v="negative regulation of glucocorticoid receptor signaling pathway"/>
  </r>
  <r>
    <x v="0"/>
    <x v="2"/>
    <s v="Ofaveolata030285"/>
    <m/>
    <n v="-1.6523896"/>
    <n v="-1.4841645000000001"/>
    <s v="Direct"/>
    <s v="ribosomal protein"/>
  </r>
  <r>
    <x v="0"/>
    <x v="2"/>
    <s v="Ofaveolata030301"/>
    <m/>
    <n v="-2.6126771999999998"/>
    <n v="-2.1349743000000001"/>
    <s v="Direct"/>
    <s v="Belongs to the TRAFAC class myosin-kinesin ATPase superfamily. Kinesin family"/>
  </r>
  <r>
    <x v="0"/>
    <x v="2"/>
    <s v="Ofaveolata030326"/>
    <m/>
    <n v="-1.4087018"/>
    <n v="-1.4730736"/>
    <s v="Direct"/>
    <s v="mitochondrial translation"/>
  </r>
  <r>
    <x v="0"/>
    <x v="2"/>
    <s v="Ofaveolata030337"/>
    <m/>
    <n v="1.3113728"/>
    <n v="1.6293005899999999"/>
    <s v="Direct"/>
    <s v="protein tag"/>
  </r>
  <r>
    <x v="0"/>
    <x v="2"/>
    <s v="Ofaveolata030341"/>
    <m/>
    <n v="-1.1740195"/>
    <n v="-1.7395640999999999"/>
    <s v="Direct"/>
    <s v="leucine-rich repeat and IQ domain-containing protein 3"/>
  </r>
  <r>
    <x v="0"/>
    <x v="2"/>
    <s v="Ofaveolata030345"/>
    <m/>
    <n v="-2.6985967999999998"/>
    <n v="-2.0707931999999998"/>
    <s v="Direct"/>
    <s v="NA"/>
  </r>
  <r>
    <x v="0"/>
    <x v="2"/>
    <s v="Ofaveolata030360"/>
    <m/>
    <n v="-1.7940498"/>
    <n v="-1.5784828"/>
    <s v="Direct"/>
    <s v="NA"/>
  </r>
  <r>
    <x v="0"/>
    <x v="2"/>
    <s v="Ofaveolata030362"/>
    <m/>
    <n v="-6.2632089999999998"/>
    <n v="-5.6476626999999997"/>
    <s v="Direct"/>
    <s v="NA"/>
  </r>
  <r>
    <x v="0"/>
    <x v="2"/>
    <s v="Ofaveolata030363"/>
    <m/>
    <n v="-3.0281459000000002"/>
    <n v="-1.0126374"/>
    <s v="Direct"/>
    <s v="NA"/>
  </r>
  <r>
    <x v="0"/>
    <x v="2"/>
    <s v="Ofaveolata030366"/>
    <m/>
    <n v="5.5032553399999999"/>
    <n v="5.4063772200000004"/>
    <s v="Direct"/>
    <s v="procollagen galactosyltransferase activity"/>
  </r>
  <r>
    <x v="0"/>
    <x v="2"/>
    <s v="Ofaveolata030370"/>
    <m/>
    <n v="-2.0369164999999998"/>
    <n v="-2.3099791000000001"/>
    <s v="Direct"/>
    <s v="Proline-rich coiled-coil"/>
  </r>
  <r>
    <x v="0"/>
    <x v="2"/>
    <s v="Ofaveolata030373"/>
    <m/>
    <n v="-2.0424088999999999"/>
    <n v="-2.0625529999999999"/>
    <s v="Direct"/>
    <s v="thyroid hormone transmembrane transporter activity"/>
  </r>
  <r>
    <x v="0"/>
    <x v="2"/>
    <s v="Ofaveolata030409"/>
    <m/>
    <n v="-3.1291863000000002"/>
    <n v="-5.1602214999999996"/>
    <s v="Direct"/>
    <s v="sulfiredoxin activity"/>
  </r>
  <r>
    <x v="0"/>
    <x v="2"/>
    <s v="Ofaveolata030420"/>
    <m/>
    <n v="-3.7882729999999998"/>
    <n v="-1.3690844"/>
    <s v="Direct"/>
    <s v="NA"/>
  </r>
  <r>
    <x v="0"/>
    <x v="2"/>
    <s v="Ofaveolata030441"/>
    <m/>
    <n v="-2.3521744"/>
    <n v="-1.8739482000000001"/>
    <s v="Direct"/>
    <s v="Belongs to the TRAFAC class myosin-kinesin ATPase superfamily. Myosin family"/>
  </r>
  <r>
    <x v="0"/>
    <x v="2"/>
    <s v="Ofaveolata030454"/>
    <m/>
    <n v="-6.0071488999999998"/>
    <n v="-3.6247764999999998"/>
    <s v="Direct"/>
    <s v="NA"/>
  </r>
  <r>
    <x v="0"/>
    <x v="2"/>
    <s v="Ofaveolata030466"/>
    <m/>
    <n v="3.2138474600000002"/>
    <n v="1.2106203900000001"/>
    <s v="Direct"/>
    <s v="NA"/>
  </r>
  <r>
    <x v="0"/>
    <x v="2"/>
    <s v="Ofaveolata030469"/>
    <m/>
    <n v="8.0703971699999997"/>
    <n v="8.0054542499999997"/>
    <s v="Direct"/>
    <s v="Peyer's patch morphogenesis"/>
  </r>
  <r>
    <x v="0"/>
    <x v="2"/>
    <s v="Ofaveolata030493"/>
    <m/>
    <n v="-2.5934849999999998"/>
    <n v="-3.7978676999999998"/>
    <s v="Direct"/>
    <s v="Formyl transferase, C-terminal domain"/>
  </r>
  <r>
    <x v="0"/>
    <x v="2"/>
    <s v="Ofaveolata030508"/>
    <m/>
    <n v="-1.8718785"/>
    <n v="-1.1901014000000001"/>
    <s v="Direct"/>
    <s v="3',5'-cyclic-AMP phosphodiesterase activity"/>
  </r>
  <r>
    <x v="0"/>
    <x v="2"/>
    <s v="Ofaveolata030516"/>
    <m/>
    <n v="-1.0610584000000001"/>
    <n v="-1.0866610999999999"/>
    <s v="Direct"/>
    <s v="NA"/>
  </r>
  <r>
    <x v="0"/>
    <x v="2"/>
    <s v="Ofaveolata030528"/>
    <m/>
    <n v="-3.6749081000000001"/>
    <n v="-3.5116143000000002"/>
    <s v="Direct"/>
    <s v="quinone binding"/>
  </r>
  <r>
    <x v="0"/>
    <x v="2"/>
    <s v="Ofaveolata030532"/>
    <m/>
    <n v="2.3847629000000001"/>
    <n v="1.32226172"/>
    <s v="Direct"/>
    <s v="Zona pellucida-like domain"/>
  </r>
  <r>
    <x v="0"/>
    <x v="2"/>
    <s v="Ofaveolata030534"/>
    <m/>
    <n v="3.3617541599999998"/>
    <n v="3.21491974"/>
    <s v="Direct"/>
    <s v="dimethylglycine dehydrogenase activity"/>
  </r>
  <r>
    <x v="0"/>
    <x v="2"/>
    <s v="Ofaveolata030541"/>
    <m/>
    <n v="-3.0281459000000002"/>
    <n v="-2.3764970999999999"/>
    <s v="Direct"/>
    <s v="ATPase activity, coupled to transmembrane movement of substances"/>
  </r>
  <r>
    <x v="0"/>
    <x v="2"/>
    <s v="Ofaveolata030545"/>
    <m/>
    <n v="-1.7242731"/>
    <n v="-1.3681302"/>
    <s v="Direct"/>
    <s v="RNA-binding component of the eukaryotic translation initiation factor 3 (eIF-3) complex, which is involved in protein synthesis of a specialized repertoire of mRNAs and, together with other initiation factors, stimulates binding of mRNA and methionyl-tRNA"/>
  </r>
  <r>
    <x v="0"/>
    <x v="2"/>
    <s v="Ofaveolata030565"/>
    <m/>
    <n v="-2.3144360000000002"/>
    <n v="-1.9696077999999999"/>
    <s v="Direct"/>
    <s v="scavenger receptor activity"/>
  </r>
  <r>
    <x v="0"/>
    <x v="2"/>
    <s v="Ofaveolata030619"/>
    <m/>
    <n v="-1.0800253"/>
    <n v="-1.2094673"/>
    <s v="Direct"/>
    <s v="casein kinase"/>
  </r>
  <r>
    <x v="0"/>
    <x v="2"/>
    <s v="Ofaveolata030623"/>
    <m/>
    <n v="-2.2892187000000002"/>
    <n v="-2.2115504000000001"/>
    <s v="Direct"/>
    <s v="RNA splicing"/>
  </r>
  <r>
    <x v="0"/>
    <x v="2"/>
    <s v="Ofaveolata030624"/>
    <m/>
    <n v="1.7251948500000001"/>
    <n v="1.5541844300000001"/>
    <s v="Direct"/>
    <s v="Poly (ADP-ribose) polymerase"/>
  </r>
  <r>
    <x v="0"/>
    <x v="2"/>
    <s v="Ofaveolata030633"/>
    <m/>
    <n v="1.45168769"/>
    <n v="1.5308783500000001"/>
    <s v="Direct"/>
    <s v="TCDD-inducible"/>
  </r>
  <r>
    <x v="0"/>
    <x v="2"/>
    <s v="Ofaveolata030644"/>
    <m/>
    <n v="2.0093427099999999"/>
    <n v="2.2911417900000002"/>
    <s v="Direct"/>
    <s v="NA"/>
  </r>
  <r>
    <x v="0"/>
    <x v="2"/>
    <s v="Ofaveolata030646"/>
    <m/>
    <n v="-1.3486644999999999"/>
    <n v="-1.3518889999999999"/>
    <s v="Direct"/>
    <s v="NA"/>
  </r>
  <r>
    <x v="0"/>
    <x v="2"/>
    <s v="Ofaveolata030647"/>
    <m/>
    <n v="-1.0450804"/>
    <n v="-1.1126206999999999"/>
    <s v="Direct"/>
    <s v="sequence-specific DNA binding. It is involved in the biological process described with regulation of transcription, DNA-templated"/>
  </r>
  <r>
    <x v="0"/>
    <x v="2"/>
    <s v="Ofaveolata030676"/>
    <m/>
    <n v="-1.1027815000000001"/>
    <n v="-1.0103593"/>
    <s v="Direct"/>
    <s v="Dienelactone hydrolase family"/>
  </r>
  <r>
    <x v="0"/>
    <x v="2"/>
    <s v="Ofaveolata030677"/>
    <m/>
    <n v="-1.3650354"/>
    <n v="-2.5956177"/>
    <s v="Direct"/>
    <s v="proximal promoter DNA-binding transcription activator activity, RNA polymerase II-specific"/>
  </r>
  <r>
    <x v="0"/>
    <x v="2"/>
    <s v="Ofaveolata030701"/>
    <m/>
    <n v="-1.6610149000000001"/>
    <n v="-1.2966605"/>
    <s v="Direct"/>
    <s v="NA"/>
  </r>
  <r>
    <x v="0"/>
    <x v="2"/>
    <s v="Ofaveolata030703"/>
    <m/>
    <n v="-7.2937557999999996"/>
    <n v="-5.3612301000000002"/>
    <s v="Direct"/>
    <s v="NA"/>
  </r>
  <r>
    <x v="0"/>
    <x v="2"/>
    <s v="Ofaveolata030734"/>
    <m/>
    <n v="2.1277181999999999"/>
    <n v="2.0403533700000001"/>
    <s v="Direct"/>
    <s v="NA"/>
  </r>
  <r>
    <x v="0"/>
    <x v="2"/>
    <s v="Ofaveolata030747"/>
    <m/>
    <n v="6.7318735700000003"/>
    <n v="2.6205833300000001"/>
    <s v="Direct"/>
    <s v="NA"/>
  </r>
  <r>
    <x v="0"/>
    <x v="2"/>
    <s v="Ofaveolata030759"/>
    <m/>
    <n v="1.9149517899999999"/>
    <n v="1.76195886"/>
    <s v="Direct"/>
    <s v="NA"/>
  </r>
  <r>
    <x v="0"/>
    <x v="2"/>
    <s v="Ofaveolata030762"/>
    <m/>
    <n v="-3.5400835000000002"/>
    <n v="-3.6797442999999999"/>
    <s v="Direct"/>
    <s v="NA"/>
  </r>
  <r>
    <x v="0"/>
    <x v="2"/>
    <s v="Ofaveolata030812"/>
    <m/>
    <n v="-5.2392931999999997"/>
    <n v="-3.6851945000000002"/>
    <s v="Direct"/>
    <s v="lysophospholipase activity"/>
  </r>
  <r>
    <x v="0"/>
    <x v="2"/>
    <s v="Ofaveolata030837"/>
    <m/>
    <n v="1.3537269599999999"/>
    <n v="2.1704784199999998"/>
    <s v="Direct"/>
    <s v="NA"/>
  </r>
  <r>
    <x v="0"/>
    <x v="2"/>
    <s v="Ofaveolata030847"/>
    <m/>
    <n v="-4.2735700999999997"/>
    <n v="-2.4454842000000001"/>
    <s v="Direct"/>
    <s v="regulation of Cdc42 protein signal transduction"/>
  </r>
  <r>
    <x v="0"/>
    <x v="2"/>
    <s v="Ofaveolata030855"/>
    <m/>
    <n v="-3.6617780999999998"/>
    <n v="-2.8623474"/>
    <s v="Direct"/>
    <s v="Proprotein convertase subtilisin kexin type"/>
  </r>
  <r>
    <x v="0"/>
    <x v="2"/>
    <s v="Ofaveolata030882"/>
    <m/>
    <n v="-2.5308864"/>
    <n v="-2.1717274999999998"/>
    <s v="Direct"/>
    <s v="NA"/>
  </r>
  <r>
    <x v="0"/>
    <x v="2"/>
    <s v="Ofaveolata030884"/>
    <m/>
    <n v="-3.9904259999999998"/>
    <n v="-1.3066248"/>
    <s v="Direct"/>
    <s v="Protein rolling stone-like"/>
  </r>
  <r>
    <x v="0"/>
    <x v="2"/>
    <s v="Ofaveolata030951"/>
    <m/>
    <n v="-4.6058617000000002"/>
    <n v="-4.3881888"/>
    <s v="Direct"/>
    <s v="negative regulation of cell growth"/>
  </r>
  <r>
    <x v="0"/>
    <x v="2"/>
    <s v="Ofaveolata030971"/>
    <m/>
    <n v="-1.9710171999999999"/>
    <n v="-2.4421048000000001"/>
    <s v="Direct"/>
    <s v="lipid catabolic process"/>
  </r>
  <r>
    <x v="0"/>
    <x v="2"/>
    <s v="Ofaveolata030973"/>
    <m/>
    <n v="2.1488648000000001"/>
    <n v="2.2621686799999998"/>
    <s v="Direct"/>
    <s v="NA"/>
  </r>
  <r>
    <x v="0"/>
    <x v="2"/>
    <s v="Ofaveolata031051"/>
    <m/>
    <n v="1.77280679"/>
    <n v="1.1429774699999999"/>
    <s v="Direct"/>
    <s v="helix loop helix domain"/>
  </r>
  <r>
    <x v="0"/>
    <x v="2"/>
    <s v="Ofaveolata031065"/>
    <m/>
    <n v="1.6220417300000001"/>
    <n v="1.0907027600000001"/>
    <s v="Direct"/>
    <s v="supervillin"/>
  </r>
  <r>
    <x v="0"/>
    <x v="2"/>
    <s v="Ofaveolata031067"/>
    <m/>
    <n v="-2.0626612"/>
    <n v="-2.0691217000000002"/>
    <s v="Direct"/>
    <s v="U6 snRNA-associated Sm-like protein"/>
  </r>
  <r>
    <x v="0"/>
    <x v="2"/>
    <s v="Ofaveolata031084"/>
    <m/>
    <n v="-2.0506647"/>
    <n v="-2.6268767"/>
    <s v="Direct"/>
    <s v="Carboxypeptidase"/>
  </r>
  <r>
    <x v="0"/>
    <x v="2"/>
    <s v="Ofaveolata031086"/>
    <m/>
    <n v="-1.0508278"/>
    <n v="-2.4454842000000001"/>
    <s v="Direct"/>
    <s v="NA"/>
  </r>
  <r>
    <x v="0"/>
    <x v="2"/>
    <s v="Ofaveolata031112"/>
    <m/>
    <n v="-6.9218453999999996"/>
    <n v="-5.4021792"/>
    <s v="Direct"/>
    <s v="Small nuclear ribonucleoprotein"/>
  </r>
  <r>
    <x v="0"/>
    <x v="2"/>
    <s v="Ofaveolata031121"/>
    <m/>
    <n v="-1.3410483"/>
    <n v="-2.1807503000000001"/>
    <s v="Direct"/>
    <s v="NA"/>
  </r>
  <r>
    <x v="0"/>
    <x v="2"/>
    <s v="Ofaveolata031139"/>
    <m/>
    <n v="-1.2757016000000001"/>
    <n v="-1.4414051000000001"/>
    <s v="Direct"/>
    <s v="axonogenesis involved in innervation"/>
  </r>
  <r>
    <x v="0"/>
    <x v="2"/>
    <s v="Ofaveolata031172"/>
    <m/>
    <n v="-2.5818401999999998"/>
    <n v="-3.2776320999999999"/>
    <s v="Direct"/>
    <s v="sequence-specific DNA binding"/>
  </r>
  <r>
    <x v="0"/>
    <x v="2"/>
    <s v="Ofaveolata031197"/>
    <m/>
    <n v="-5.1782927000000001"/>
    <n v="-5.0847356000000001"/>
    <s v="Direct"/>
    <s v="S-adenosylmethionine cycle"/>
  </r>
  <r>
    <x v="0"/>
    <x v="2"/>
    <s v="Ofaveolata031226"/>
    <m/>
    <n v="4.86879712"/>
    <n v="2.7971189500000002"/>
    <s v="Direct"/>
    <s v="NA"/>
  </r>
  <r>
    <x v="0"/>
    <x v="2"/>
    <s v="Ofaveolata031289"/>
    <m/>
    <n v="-3.3059596"/>
    <n v="-3.2406207999999999"/>
    <s v="Direct"/>
    <s v="Degradation arginine-rich protein for mis-folding"/>
  </r>
  <r>
    <x v="0"/>
    <x v="2"/>
    <s v="Ofaveolata031292"/>
    <m/>
    <n v="-2.5719888000000002"/>
    <n v="-2.1440646000000001"/>
    <s v="Direct"/>
    <s v="NA"/>
  </r>
  <r>
    <x v="0"/>
    <x v="2"/>
    <s v="Ofaveolata031293"/>
    <m/>
    <n v="-5.1467153000000003"/>
    <n v="-4.3030919000000001"/>
    <s v="Direct"/>
    <s v="NA"/>
  </r>
  <r>
    <x v="0"/>
    <x v="2"/>
    <s v="Ofaveolata031317"/>
    <m/>
    <n v="1.54686759"/>
    <n v="1.1549912"/>
    <s v="Direct"/>
    <s v="Archaemetzincin-2 isoform X1"/>
  </r>
  <r>
    <x v="0"/>
    <x v="2"/>
    <s v="Ofaveolata031323"/>
    <m/>
    <n v="2.7070946500000002"/>
    <n v="1.9493441499999999"/>
    <s v="Direct"/>
    <s v="heme binding"/>
  </r>
  <r>
    <x v="0"/>
    <x v="2"/>
    <s v="Ofaveolata031346"/>
    <m/>
    <n v="-3.3603393000000001"/>
    <n v="-5.2999612999999997"/>
    <s v="Direct"/>
    <s v="NA"/>
  </r>
  <r>
    <x v="0"/>
    <x v="2"/>
    <s v="Ofaveolata031435"/>
    <m/>
    <n v="2.3412355900000001"/>
    <n v="1.27285969"/>
    <s v="Direct"/>
    <s v="NA"/>
  </r>
  <r>
    <x v="0"/>
    <x v="2"/>
    <s v="Ofaveolata031439"/>
    <m/>
    <n v="2.3496440999999999"/>
    <n v="2.1056192999999999"/>
    <s v="Direct"/>
    <s v="NA"/>
  </r>
  <r>
    <x v="0"/>
    <x v="2"/>
    <s v="Ofaveolata031441"/>
    <m/>
    <n v="-10.550367"/>
    <n v="-6.7089473000000002"/>
    <s v="Direct"/>
    <s v="Solute carrier family 35"/>
  </r>
  <r>
    <x v="0"/>
    <x v="2"/>
    <s v="Ofaveolata031462"/>
    <m/>
    <n v="-1.0634155999999999"/>
    <n v="-1.1304069000000001"/>
    <s v="Direct"/>
    <s v="Solute carrier family 35 (UDP-galactose transporter), member A2"/>
  </r>
  <r>
    <x v="0"/>
    <x v="2"/>
    <s v="Ofaveolata031584"/>
    <m/>
    <n v="1.0450803900000001"/>
    <n v="1.1606368"/>
    <s v="Direct"/>
    <s v="PX domain"/>
  </r>
  <r>
    <x v="0"/>
    <x v="2"/>
    <s v="Ofaveolata031645"/>
    <m/>
    <n v="-1.5827253999999999"/>
    <n v="-1.5161625000000001"/>
    <s v="Direct"/>
    <s v="NA"/>
  </r>
  <r>
    <x v="0"/>
    <x v="2"/>
    <s v="Ofaveolata031651"/>
    <m/>
    <n v="-3.9920762999999999"/>
    <n v="-4.9531387999999996"/>
    <s v="Direct"/>
    <s v="Glutaredoxin"/>
  </r>
  <r>
    <x v="0"/>
    <x v="2"/>
    <s v="Ofaveolata031666"/>
    <m/>
    <n v="-1.5501258"/>
    <n v="-1.1995722"/>
    <s v="Direct"/>
    <s v="protection from non-homologous end joining at telomere"/>
  </r>
  <r>
    <x v="0"/>
    <x v="2"/>
    <s v="Ofaveolata031672"/>
    <m/>
    <n v="2.0083450799999998"/>
    <n v="2.3288476500000002"/>
    <s v="Direct"/>
    <s v="amine sulfotransferase activity"/>
  </r>
  <r>
    <x v="0"/>
    <x v="2"/>
    <s v="Ofaveolata031675"/>
    <m/>
    <n v="-1.7905180000000001"/>
    <n v="-4.3709689999999997"/>
    <s v="Direct"/>
    <s v="NA"/>
  </r>
  <r>
    <x v="0"/>
    <x v="2"/>
    <s v="Ofaveolata031693"/>
    <m/>
    <n v="-2.2660661000000002"/>
    <n v="-1.7922647"/>
    <s v="Direct"/>
    <s v="lysosomal lumen pH elevation"/>
  </r>
  <r>
    <x v="0"/>
    <x v="2"/>
    <s v="Ofaveolata031699"/>
    <m/>
    <n v="2.3484034500000002"/>
    <n v="1.9027075600000001"/>
    <s v="Direct"/>
    <s v="glucosaminylgalactosylglucosylceramide beta-galactosyltransferase activity"/>
  </r>
  <r>
    <x v="0"/>
    <x v="2"/>
    <s v="Ofaveolata031733"/>
    <m/>
    <n v="-5.1092858999999997"/>
    <n v="-2.9866101"/>
    <s v="Direct"/>
    <s v="NA"/>
  </r>
  <r>
    <x v="0"/>
    <x v="2"/>
    <s v="Ofaveolata031737"/>
    <m/>
    <n v="-2.6571481000000001"/>
    <n v="-2.5002469999999999"/>
    <s v="Direct"/>
    <s v="NA"/>
  </r>
  <r>
    <x v="0"/>
    <x v="2"/>
    <s v="Ofaveolata031761"/>
    <m/>
    <n v="-2.6990006000000002"/>
    <n v="-2.0126998"/>
    <s v="Direct"/>
    <s v="Belongs to the mitochondrial carrier (TC 2.A.29) family"/>
  </r>
  <r>
    <x v="0"/>
    <x v="2"/>
    <s v="Ofaveolata031779"/>
    <m/>
    <n v="-5.2627534999999996"/>
    <n v="-5.6583741999999999"/>
    <s v="Direct"/>
    <s v="BCL (B-Cell lymphoma); contains BH1, BH2 regions"/>
  </r>
  <r>
    <x v="0"/>
    <x v="2"/>
    <s v="Ofaveolata031781"/>
    <m/>
    <n v="-1.5207245"/>
    <n v="-1.9132450000000001"/>
    <s v="Direct"/>
    <s v="Cytochrome B561, N terminal"/>
  </r>
  <r>
    <x v="0"/>
    <x v="2"/>
    <s v="Ofaveolata031790"/>
    <m/>
    <n v="7.3020952399999999"/>
    <n v="4.8321873499999999"/>
    <s v="Direct"/>
    <s v="NA"/>
  </r>
  <r>
    <x v="0"/>
    <x v="2"/>
    <s v="Ofaveolata031810"/>
    <m/>
    <n v="-2.4634619999999998"/>
    <n v="-1.0957642999999999"/>
    <s v="Direct"/>
    <s v="NA"/>
  </r>
  <r>
    <x v="0"/>
    <x v="2"/>
    <s v="Ofaveolata031847"/>
    <m/>
    <n v="-2.7893995999999999"/>
    <n v="-2.1335807"/>
    <s v="Direct"/>
    <s v="GDP-fucose import into Golgi lumen"/>
  </r>
  <r>
    <x v="0"/>
    <x v="2"/>
    <s v="Ofaveolata031852"/>
    <m/>
    <n v="-6.9719487000000004"/>
    <n v="-4.8595492"/>
    <s v="Direct"/>
    <s v="spliceosomal complex assembly"/>
  </r>
  <r>
    <x v="0"/>
    <x v="2"/>
    <s v="Ofaveolata031858"/>
    <m/>
    <n v="-2.3133374999999998"/>
    <n v="-3.9688034000000001"/>
    <s v="Direct"/>
    <s v="negative regulation of zinc ion transmembrane import"/>
  </r>
  <r>
    <x v="0"/>
    <x v="2"/>
    <s v="Ofaveolata031871"/>
    <m/>
    <n v="-2.2370261"/>
    <n v="-1.4465252"/>
    <s v="Direct"/>
    <s v="DNA replication origin binding"/>
  </r>
  <r>
    <x v="0"/>
    <x v="2"/>
    <s v="Ofaveolata031893"/>
    <m/>
    <n v="-9.7930025000000001"/>
    <n v="-5.8675107000000004"/>
    <s v="Direct"/>
    <s v="NA"/>
  </r>
  <r>
    <x v="0"/>
    <x v="2"/>
    <s v="Ofaveolata031896"/>
    <m/>
    <n v="-5.2609216999999999"/>
    <n v="-4.5492904000000003"/>
    <s v="Direct"/>
    <s v="thioredoxin-disulfide reductase activity"/>
  </r>
  <r>
    <x v="0"/>
    <x v="2"/>
    <s v="Ofaveolata031923"/>
    <m/>
    <n v="3.79343319"/>
    <n v="5.1794202900000004"/>
    <s v="Direct"/>
    <s v="metanephric glomerular basement membrane development"/>
  </r>
  <r>
    <x v="0"/>
    <x v="2"/>
    <s v="Ofaveolata031939"/>
    <m/>
    <n v="-5.5877882999999997"/>
    <n v="-3.8899550000000001"/>
    <s v="Direct"/>
    <s v="carnitine O-palmitoyltransferase activity"/>
  </r>
  <r>
    <x v="0"/>
    <x v="2"/>
    <s v="Ofaveolata031943"/>
    <m/>
    <n v="-1.0053091000000001"/>
    <n v="-1.9512640000000001"/>
    <s v="Direct"/>
    <s v="NA"/>
  </r>
  <r>
    <x v="0"/>
    <x v="2"/>
    <s v="Ofaveolata031944"/>
    <m/>
    <n v="-1.7710722000000001"/>
    <n v="-2.8630922000000001"/>
    <s v="Direct"/>
    <s v="Ribosomal protein S12/S23"/>
  </r>
  <r>
    <x v="0"/>
    <x v="2"/>
    <s v="Ofaveolata031950"/>
    <m/>
    <n v="-1.6157279"/>
    <n v="-1.2702179"/>
    <s v="Direct"/>
    <s v="DBD domain binding"/>
  </r>
  <r>
    <x v="0"/>
    <x v="2"/>
    <s v="Ofaveolata031957"/>
    <m/>
    <n v="-1.3793191"/>
    <n v="-1.2651669999999999"/>
    <s v="Direct"/>
    <s v="NA"/>
  </r>
  <r>
    <x v="0"/>
    <x v="2"/>
    <s v="Ofaveolata031964"/>
    <m/>
    <n v="-1.6592939"/>
    <n v="-3.8458861"/>
    <s v="Direct"/>
    <s v="NA"/>
  </r>
  <r>
    <x v="0"/>
    <x v="2"/>
    <s v="Ofaveolata031965"/>
    <m/>
    <n v="3.8206826899999999"/>
    <n v="3.2079337799999998"/>
    <s v="Direct"/>
    <s v="NA"/>
  </r>
  <r>
    <x v="0"/>
    <x v="2"/>
    <s v="Ofaveolata031987"/>
    <m/>
    <n v="-2.3162262999999998"/>
    <n v="-1.8542946"/>
    <s v="Direct"/>
    <s v="NA"/>
  </r>
  <r>
    <x v="0"/>
    <x v="2"/>
    <s v="Ofaveolata032009"/>
    <m/>
    <n v="3.35039664"/>
    <n v="1.2053489399999999"/>
    <s v="Direct"/>
    <s v="NA"/>
  </r>
  <r>
    <x v="0"/>
    <x v="2"/>
    <s v="Ofaveolata032016"/>
    <m/>
    <n v="2.58912107"/>
    <n v="3.8458861199999999"/>
    <s v="Direct"/>
    <s v="NA"/>
  </r>
  <r>
    <x v="0"/>
    <x v="2"/>
    <s v="Ofaveolata032027"/>
    <m/>
    <n v="-2.9832765000000001"/>
    <n v="-3.2909255000000002"/>
    <s v="Direct"/>
    <s v="NA"/>
  </r>
  <r>
    <x v="0"/>
    <x v="2"/>
    <s v="Ofaveolata032035"/>
    <m/>
    <n v="-1.0108600000000001"/>
    <n v="-1.0702691"/>
    <s v="Direct"/>
    <s v="NA"/>
  </r>
  <r>
    <x v="0"/>
    <x v="2"/>
    <s v="Ofaveolata032059"/>
    <m/>
    <n v="1.92813542"/>
    <n v="1.2798565799999999"/>
    <s v="Direct"/>
    <s v="NA"/>
  </r>
  <r>
    <x v="0"/>
    <x v="2"/>
    <s v="Ofaveolata032071"/>
    <m/>
    <n v="2.0328490499999998"/>
    <n v="2.2744860600000001"/>
    <s v="Direct"/>
    <s v="RNA splicing, via transesterification reactions with bulged adenosine as nucleophile"/>
  </r>
  <r>
    <x v="0"/>
    <x v="2"/>
    <s v="Ofaveolata032073"/>
    <m/>
    <n v="-3.3961947000000001"/>
    <n v="-4.3792328999999999"/>
    <s v="Direct"/>
    <s v="NA"/>
  </r>
  <r>
    <x v="0"/>
    <x v="2"/>
    <s v="Ofaveolata032082"/>
    <m/>
    <n v="-1.2830195"/>
    <n v="-2.4740269000000001"/>
    <s v="Direct"/>
    <s v="P granule disassembly"/>
  </r>
  <r>
    <x v="0"/>
    <x v="2"/>
    <s v="Ofaveolata032083"/>
    <m/>
    <n v="-1.5972267"/>
    <n v="-2.1051313999999999"/>
    <s v="Direct"/>
    <s v="SCF-dependent proteasomal ubiquitin-dependent protein catabolic process"/>
  </r>
  <r>
    <x v="0"/>
    <x v="2"/>
    <s v="Ofaveolata032085"/>
    <m/>
    <n v="1.5912765200000001"/>
    <n v="1.62417072"/>
    <s v="Direct"/>
    <s v="Heat shock 70 kDa protein 12A-like"/>
  </r>
  <r>
    <x v="0"/>
    <x v="2"/>
    <s v="Ofaveolata032218"/>
    <m/>
    <n v="-1.7872665999999999"/>
    <n v="-1.5107991999999999"/>
    <s v="Direct"/>
    <s v="NA"/>
  </r>
  <r>
    <x v="0"/>
    <x v="2"/>
    <s v="Ofaveolata032268"/>
    <m/>
    <n v="-6.1236683000000003"/>
    <n v="-5.2767610999999999"/>
    <s v="Direct"/>
    <s v="Translocon-associated protein, delta subunit precursor (TRAP-delta)"/>
  </r>
  <r>
    <x v="0"/>
    <x v="2"/>
    <s v="Ofaveolata032270"/>
    <m/>
    <n v="-2.2652706999999999"/>
    <n v="-2.0343841999999999"/>
    <s v="Direct"/>
    <s v="acylamino-acid-releasing enzyme"/>
  </r>
  <r>
    <x v="0"/>
    <x v="2"/>
    <s v="Ofaveolata032304"/>
    <m/>
    <n v="3.0847753"/>
    <n v="2.6268767300000002"/>
    <s v="Direct"/>
    <s v="Catalyzes the formation of S-adenosylmethionine from methionine and ATP"/>
  </r>
  <r>
    <x v="0"/>
    <x v="2"/>
    <s v="Ofaveolata032311"/>
    <m/>
    <n v="-3.5908711000000002"/>
    <n v="-3.3890060000000002"/>
    <s v="Direct"/>
    <s v="regulation of actin phosphorylation"/>
  </r>
  <r>
    <x v="0"/>
    <x v="2"/>
    <s v="Ofaveolata032312"/>
    <m/>
    <n v="-2.3534095000000002"/>
    <n v="-4.6065478000000004"/>
    <s v="Direct"/>
    <s v="NA"/>
  </r>
  <r>
    <x v="0"/>
    <x v="2"/>
    <s v="Ofaveolata032342"/>
    <m/>
    <n v="2.58184017"/>
    <n v="1.5043826199999999"/>
    <s v="Direct"/>
    <s v="phosphatase 4, regulatory subunit"/>
  </r>
  <r>
    <x v="0"/>
    <x v="2"/>
    <s v="Ofaveolata032346"/>
    <m/>
    <n v="-5.8389899999999999"/>
    <n v="-5.9603197999999997"/>
    <s v="Direct"/>
    <s v="NA"/>
  </r>
  <r>
    <x v="0"/>
    <x v="2"/>
    <s v="Ofaveolata032347"/>
    <m/>
    <n v="-2.2819364000000002"/>
    <n v="-4.0815222000000002"/>
    <s v="Direct"/>
    <s v="NA"/>
  </r>
  <r>
    <x v="0"/>
    <x v="2"/>
    <s v="Ofaveolata032350"/>
    <m/>
    <n v="1.35430261"/>
    <n v="1.4425021899999999"/>
    <s v="Direct"/>
    <s v="NA"/>
  </r>
  <r>
    <x v="0"/>
    <x v="2"/>
    <s v="Ofaveolata032354"/>
    <m/>
    <n v="3.68690819"/>
    <n v="2.1458697199999999"/>
    <s v="Direct"/>
    <s v="serine-type endopeptidase inhibitor activity"/>
  </r>
  <r>
    <x v="0"/>
    <x v="2"/>
    <s v="Ofaveolata032382"/>
    <m/>
    <n v="6.0995145800000001"/>
    <n v="3.5140226800000001"/>
    <s v="Direct"/>
    <s v="NA"/>
  </r>
  <r>
    <x v="0"/>
    <x v="2"/>
    <s v="Ofaveolata032397"/>
    <m/>
    <n v="-2.1747363000000002"/>
    <n v="-1.8602832"/>
    <s v="Direct"/>
    <s v="NA"/>
  </r>
  <r>
    <x v="0"/>
    <x v="2"/>
    <s v="Ofaveolata032410"/>
    <m/>
    <n v="-2.7883274999999998"/>
    <n v="-1.45878"/>
    <s v="Direct"/>
    <s v="Cysteine-rich with EGF-like"/>
  </r>
  <r>
    <x v="0"/>
    <x v="2"/>
    <s v="Ofaveolata032439"/>
    <m/>
    <n v="-5.0882392999999997"/>
    <n v="-2.4778958000000002"/>
    <s v="Direct"/>
    <s v="NA"/>
  </r>
  <r>
    <x v="0"/>
    <x v="2"/>
    <s v="Ofaveolata032440"/>
    <m/>
    <n v="1.7087940500000001"/>
    <n v="1.62549593"/>
    <s v="Direct"/>
    <s v="NA"/>
  </r>
  <r>
    <x v="0"/>
    <x v="2"/>
    <s v="Ofaveolata032458"/>
    <m/>
    <n v="-3.6424542999999998"/>
    <n v="-4.2233669999999996"/>
    <s v="Direct"/>
    <s v="Belongs to the peptidase M16 family"/>
  </r>
  <r>
    <x v="0"/>
    <x v="2"/>
    <s v="Ofaveolata032460"/>
    <m/>
    <n v="2.3138228500000002"/>
    <n v="2.8161846800000001"/>
    <s v="Direct"/>
    <s v="skeletal muscle satellite cell migration"/>
  </r>
  <r>
    <x v="0"/>
    <x v="2"/>
    <s v="Ofaveolata032464"/>
    <m/>
    <n v="1.01524155"/>
    <n v="1.0722674000000001"/>
    <s v="Direct"/>
    <s v="Belongs to the small GTPase superfamily. Rho family"/>
  </r>
  <r>
    <x v="0"/>
    <x v="2"/>
    <s v="Ofaveolata032467"/>
    <m/>
    <n v="-5.8132910999999998"/>
    <n v="-5.2546103000000004"/>
    <s v="Direct"/>
    <s v="purine-rich negative regulatory element binding"/>
  </r>
  <r>
    <x v="0"/>
    <x v="2"/>
    <s v="Ofaveolata032470"/>
    <m/>
    <n v="-3.8988307"/>
    <n v="-2.2056680000000002"/>
    <s v="Direct"/>
    <s v="purine-rich negative regulatory element binding"/>
  </r>
  <r>
    <x v="0"/>
    <x v="2"/>
    <s v="Ofaveolata032471"/>
    <m/>
    <n v="-1.9287977000000001"/>
    <n v="-1.5911413999999999"/>
    <s v="Direct"/>
    <s v="purine-rich negative regulatory element binding"/>
  </r>
  <r>
    <x v="0"/>
    <x v="2"/>
    <s v="Ofaveolata032474"/>
    <m/>
    <n v="-5.4889245999999998"/>
    <n v="-4.6488271000000001"/>
    <s v="Direct"/>
    <s v="NA"/>
  </r>
  <r>
    <x v="0"/>
    <x v="2"/>
    <s v="Ofaveolata032483"/>
    <m/>
    <n v="1.33367609"/>
    <n v="1.8544034199999999"/>
    <s v="Direct"/>
    <s v="RNA dependent RNA polymerase"/>
  </r>
  <r>
    <x v="0"/>
    <x v="2"/>
    <s v="Ofaveolata032487"/>
    <m/>
    <n v="-4.0335339000000001"/>
    <n v="-3.2406207999999999"/>
    <s v="Direct"/>
    <s v="acyl-CoA dehydrogenase family member 9"/>
  </r>
  <r>
    <x v="0"/>
    <x v="2"/>
    <s v="Ofaveolata032490"/>
    <m/>
    <n v="-1.4608017"/>
    <n v="-2.3580149000000001"/>
    <s v="Direct"/>
    <s v="NA"/>
  </r>
  <r>
    <x v="0"/>
    <x v="2"/>
    <s v="Ofaveolata032495"/>
    <m/>
    <n v="1.4979880999999999"/>
    <n v="1.9440864600000001"/>
    <s v="Direct"/>
    <s v="NA"/>
  </r>
  <r>
    <x v="0"/>
    <x v="2"/>
    <s v="Ofaveolata032519"/>
    <m/>
    <n v="-11.075507999999999"/>
    <n v="-4.2621279999999997"/>
    <s v="Direct"/>
    <s v="NA"/>
  </r>
  <r>
    <x v="0"/>
    <x v="2"/>
    <s v="Ofaveolata032540"/>
    <m/>
    <n v="2.3581747800000001"/>
    <n v="1.49718007"/>
    <s v="Direct"/>
    <s v="NA"/>
  </r>
  <r>
    <x v="0"/>
    <x v="2"/>
    <s v="Ofaveolata032563"/>
    <m/>
    <n v="1.54531437"/>
    <n v="1.27278329"/>
    <s v="Direct"/>
    <s v="Beta-lactamase"/>
  </r>
  <r>
    <x v="0"/>
    <x v="2"/>
    <s v="Ofaveolata032621"/>
    <m/>
    <n v="1.28423892"/>
    <n v="1.80295655"/>
    <s v="Direct"/>
    <s v="C-type lectin (CTL) or carbohydrate-recognition domain (CRD)"/>
  </r>
  <r>
    <x v="0"/>
    <x v="2"/>
    <s v="Ofaveolata032623"/>
    <m/>
    <n v="-3.7974171000000001"/>
    <n v="-5.9332415999999997"/>
    <s v="Direct"/>
    <s v="NA"/>
  </r>
  <r>
    <x v="0"/>
    <x v="2"/>
    <s v="Ofaveolata032647"/>
    <m/>
    <n v="-1.2336023"/>
    <n v="-1.2329912999999999"/>
    <s v="Direct"/>
    <s v="norepinephrine secretion"/>
  </r>
  <r>
    <x v="0"/>
    <x v="2"/>
    <s v="Ofaveolata032657"/>
    <m/>
    <n v="-1.9299852"/>
    <n v="-1.6025841999999999"/>
    <s v="Direct"/>
    <s v="GTP-specific succinyl-CoA synthetase functions in the citric acid cycle (TCA), coupling the hydrolysis of succinyl-CoA to the synthesis of GTP and thus represents the only step of substrate-level phosphorylation in the TCA. The beta subunit provides nucle"/>
  </r>
  <r>
    <x v="0"/>
    <x v="2"/>
    <s v="Ofaveolata032658"/>
    <m/>
    <n v="-4.6984553"/>
    <n v="-4.4174265999999998"/>
    <s v="Direct"/>
    <s v="26s proteasome non-ATPase regulatory subunit"/>
  </r>
  <r>
    <x v="0"/>
    <x v="2"/>
    <s v="Ofaveolata032664"/>
    <m/>
    <n v="-4.3851250999999998"/>
    <n v="-3.5084051000000001"/>
    <s v="Direct"/>
    <s v="N-succinyltransferase activity"/>
  </r>
  <r>
    <x v="0"/>
    <x v="2"/>
    <s v="Ofaveolata032676"/>
    <m/>
    <n v="1.39461865"/>
    <n v="3.0038130299999999"/>
    <s v="Direct"/>
    <s v="box H/ACA snoRNP assembly"/>
  </r>
  <r>
    <x v="0"/>
    <x v="2"/>
    <s v="Ofaveolata032688"/>
    <m/>
    <n v="5.3470957800000001"/>
    <n v="4.1450626000000002"/>
    <s v="Direct"/>
    <s v="Filamin C, gamma"/>
  </r>
  <r>
    <x v="0"/>
    <x v="2"/>
    <s v="Ofaveolata032693"/>
    <m/>
    <n v="1.59109425"/>
    <n v="1.11003282"/>
    <s v="Direct"/>
    <s v="metanephric macula densa development"/>
  </r>
  <r>
    <x v="0"/>
    <x v="2"/>
    <s v="Ofaveolata032702"/>
    <m/>
    <n v="2.3366361100000002"/>
    <n v="1.2717340100000001"/>
    <s v="Direct"/>
    <s v="GTPase activity"/>
  </r>
  <r>
    <x v="0"/>
    <x v="2"/>
    <s v="Ofaveolata032706"/>
    <m/>
    <n v="2.4069133599999999"/>
    <n v="1.1939308799999999"/>
    <s v="Direct"/>
    <s v="NA"/>
  </r>
  <r>
    <x v="0"/>
    <x v="2"/>
    <s v="Ofaveolata032726"/>
    <m/>
    <n v="-2.8951055999999999"/>
    <n v="-1.9239428999999999"/>
    <s v="Direct"/>
    <s v="Belongs to the ATP guanido phosphotransferase family"/>
  </r>
  <r>
    <x v="0"/>
    <x v="2"/>
    <s v="Ofaveolata032734"/>
    <m/>
    <n v="1.09766696"/>
    <n v="3.0024582"/>
    <s v="Direct"/>
    <s v="belongs to the aldehyde dehydrogenase family"/>
  </r>
  <r>
    <x v="0"/>
    <x v="2"/>
    <s v="Ofaveolata032752"/>
    <m/>
    <n v="-3.7129142000000002"/>
    <n v="-2.7858499999999999"/>
    <s v="Direct"/>
    <s v="innate vocalization behavior"/>
  </r>
  <r>
    <x v="0"/>
    <x v="2"/>
    <s v="Ofaveolata032756"/>
    <m/>
    <n v="2.7154288700000002"/>
    <n v="2.1968336800000001"/>
    <s v="Direct"/>
    <s v="positive regulation of cysteine-type endopeptidase activity involved in apoptotic process"/>
  </r>
  <r>
    <x v="0"/>
    <x v="2"/>
    <s v="Ofaveolata032785"/>
    <m/>
    <n v="-1.3385488999999999"/>
    <n v="-3.7109800000000002"/>
    <s v="Direct"/>
    <s v="Glutathione S-transferase mu"/>
  </r>
  <r>
    <x v="0"/>
    <x v="2"/>
    <s v="Ofaveolata032786"/>
    <m/>
    <n v="-1.4025905000000001"/>
    <n v="-1.0590111"/>
    <s v="Direct"/>
    <s v="Protein tyrosine phosphatase, receptor type"/>
  </r>
  <r>
    <x v="0"/>
    <x v="2"/>
    <s v="Ofaveolata032816"/>
    <m/>
    <n v="-4.4959426999999996"/>
    <n v="-3.8425375000000002"/>
    <s v="Direct"/>
    <s v="Required for protein import into peroxisomes"/>
  </r>
  <r>
    <x v="0"/>
    <x v="2"/>
    <s v="Ofaveolata032819"/>
    <m/>
    <n v="-1.5120471"/>
    <n v="-3.8899550000000001"/>
    <s v="Direct"/>
    <s v="NA"/>
  </r>
  <r>
    <x v="0"/>
    <x v="2"/>
    <s v="Ofaveolata032820"/>
    <m/>
    <n v="-5.3323397999999997"/>
    <n v="-3.5140226999999999"/>
    <s v="Direct"/>
    <s v="NA"/>
  </r>
  <r>
    <x v="0"/>
    <x v="2"/>
    <s v="Ofaveolata032821"/>
    <m/>
    <n v="2.0635980799999998"/>
    <n v="3.0194234600000001"/>
    <s v="Direct"/>
    <s v="heat shock"/>
  </r>
  <r>
    <x v="0"/>
    <x v="2"/>
    <s v="Ofaveolata032846"/>
    <m/>
    <n v="1.61587711"/>
    <n v="1.08799705"/>
    <s v="Direct"/>
    <s v="positive regulation of timing of anagen"/>
  </r>
  <r>
    <x v="0"/>
    <x v="2"/>
    <s v="Ofaveolata032852"/>
    <m/>
    <n v="3.0171209700000001"/>
    <n v="3.0696249899999999"/>
    <s v="Direct"/>
    <s v="NA"/>
  </r>
  <r>
    <x v="0"/>
    <x v="2"/>
    <s v="Ofaveolata032858"/>
    <m/>
    <n v="1.81006562"/>
    <n v="2.0786518300000001"/>
    <s v="Direct"/>
    <s v="Homeobox protein OTX2-like"/>
  </r>
  <r>
    <x v="0"/>
    <x v="2"/>
    <s v="Ofaveolata032862"/>
    <m/>
    <n v="3.7391354200000002"/>
    <n v="4.0832629000000003"/>
    <s v="Direct"/>
    <s v="Homeobox protein OTX2-like"/>
  </r>
  <r>
    <x v="0"/>
    <x v="2"/>
    <s v="Ofaveolata032877"/>
    <m/>
    <n v="-4.0655058999999998"/>
    <n v="-5.2239899999999997"/>
    <s v="Direct"/>
    <s v="cysteine-type endopeptidase activity"/>
  </r>
  <r>
    <x v="0"/>
    <x v="2"/>
    <s v="Ofaveolata032878"/>
    <m/>
    <n v="2.05100712"/>
    <n v="1.5946132"/>
    <s v="Direct"/>
    <s v="glucuronosyltransferase activity"/>
  </r>
  <r>
    <x v="0"/>
    <x v="2"/>
    <s v="Ofaveolata032883"/>
    <m/>
    <n v="2.4281584199999999"/>
    <n v="2.07206264"/>
    <s v="Direct"/>
    <s v="NA"/>
  </r>
  <r>
    <x v="0"/>
    <x v="2"/>
    <s v="Ofaveolata032885"/>
    <m/>
    <n v="-2.3336329"/>
    <n v="-1.8517576"/>
    <s v="Direct"/>
    <s v="alpha-1,6-mannosylglycoprotein 6-beta-N-acetylglucosaminyltransferase activity"/>
  </r>
  <r>
    <x v="0"/>
    <x v="2"/>
    <s v="Ofaveolata032887"/>
    <m/>
    <n v="1.4636191000000001"/>
    <n v="1.5196846399999999"/>
    <s v="Direct"/>
    <s v="NA"/>
  </r>
  <r>
    <x v="0"/>
    <x v="2"/>
    <s v="Ofaveolata032888"/>
    <m/>
    <n v="-1.1098862"/>
    <n v="-1.4923819"/>
    <s v="Direct"/>
    <s v="NA"/>
  </r>
  <r>
    <x v="0"/>
    <x v="2"/>
    <s v="Ofaveolata032908"/>
    <m/>
    <n v="-2.4721085"/>
    <n v="-3.6244627999999999"/>
    <s v="Direct"/>
    <s v="nucleotidyltransferase activity"/>
  </r>
  <r>
    <x v="0"/>
    <x v="2"/>
    <s v="Ofaveolata032923"/>
    <m/>
    <n v="-2.0937234"/>
    <n v="-2.0346104999999999"/>
    <s v="Direct"/>
    <s v="homolog subfamily C member 7"/>
  </r>
  <r>
    <x v="0"/>
    <x v="2"/>
    <s v="Ofaveolata032952"/>
    <m/>
    <n v="-7.5127471999999997"/>
    <n v="-5.9332415999999997"/>
    <s v="Direct"/>
    <s v="GPCR-Autoproteolysis INducing (GAIN) domain"/>
  </r>
  <r>
    <x v="0"/>
    <x v="2"/>
    <s v="Ofaveolata032967"/>
    <m/>
    <n v="3.9698499900000002"/>
    <n v="4.3136912299999999"/>
    <s v="Direct"/>
    <s v="Histone-lysine N-methyltransferase"/>
  </r>
  <r>
    <x v="0"/>
    <x v="2"/>
    <s v="Ofaveolata033007"/>
    <m/>
    <n v="-2.5399332000000001"/>
    <n v="-1.6208940999999999"/>
    <s v="Direct"/>
    <s v="MiCRoSpherule Protein 1"/>
  </r>
  <r>
    <x v="0"/>
    <x v="2"/>
    <s v="Ofaveolata033040"/>
    <m/>
    <n v="2.5695755"/>
    <n v="1.9471500799999999"/>
    <s v="Direct"/>
    <s v="basic region leucin zipper"/>
  </r>
  <r>
    <x v="0"/>
    <x v="2"/>
    <s v="Ofaveolata033047"/>
    <m/>
    <n v="-1.9216447999999999"/>
    <n v="-2.1945172999999998"/>
    <s v="Direct"/>
    <s v="oligopeptide transmembrane transporter activity"/>
  </r>
  <r>
    <x v="0"/>
    <x v="2"/>
    <s v="Ofaveolata033061"/>
    <m/>
    <n v="7.8358587699999998"/>
    <n v="5.7468923399999996"/>
    <s v="Direct"/>
    <s v="Belongs to the glycosyl hydrolase 31 family"/>
  </r>
  <r>
    <x v="0"/>
    <x v="2"/>
    <s v="Ofaveolata033075"/>
    <m/>
    <n v="2.49306932"/>
    <n v="1.5238922399999999"/>
    <s v="Direct"/>
    <s v="ribosomal protein S14"/>
  </r>
  <r>
    <x v="0"/>
    <x v="2"/>
    <s v="Ofaveolata033076"/>
    <m/>
    <n v="-4.5320372999999998"/>
    <n v="-7.1757990999999999"/>
    <s v="Direct"/>
    <s v="NA"/>
  </r>
  <r>
    <x v="0"/>
    <x v="2"/>
    <s v="Ofaveolata033108"/>
    <m/>
    <n v="1.5213855000000001"/>
    <n v="1.4864187600000001"/>
    <s v="Direct"/>
    <s v="kynurenine 3-monooxygenase activity"/>
  </r>
  <r>
    <x v="0"/>
    <x v="2"/>
    <s v="Ofaveolata033129"/>
    <m/>
    <n v="-2.0012319000000001"/>
    <n v="-3.221463"/>
    <s v="Direct"/>
    <s v="7S RNA binding"/>
  </r>
  <r>
    <x v="0"/>
    <x v="2"/>
    <s v="Ofaveolata033137"/>
    <m/>
    <n v="-3.6318492999999998"/>
    <n v="-3.0779155999999999"/>
    <s v="Direct"/>
    <s v="5'-3' exoribonuclease activity"/>
  </r>
  <r>
    <x v="0"/>
    <x v="2"/>
    <s v="Ofaveolata033143"/>
    <m/>
    <n v="-1.7542156"/>
    <n v="-2.8156105"/>
    <s v="Direct"/>
    <s v="NA"/>
  </r>
  <r>
    <x v="0"/>
    <x v="2"/>
    <s v="Ofaveolata033144"/>
    <m/>
    <n v="-1.0357067"/>
    <n v="-3.8154029"/>
    <s v="Direct"/>
    <s v="Homeodomain"/>
  </r>
  <r>
    <x v="0"/>
    <x v="2"/>
    <s v="Ofaveolata033164"/>
    <m/>
    <n v="-2.1874547"/>
    <n v="-1.9461963"/>
    <s v="Direct"/>
    <s v="Ubiquitin conjugation factor E4"/>
  </r>
  <r>
    <x v="0"/>
    <x v="2"/>
    <s v="Ofaveolata033174"/>
    <m/>
    <n v="1.6394075299999999"/>
    <n v="1.89216586"/>
    <s v="Direct"/>
    <s v="enzyme subunit 1"/>
  </r>
  <r>
    <x v="0"/>
    <x v="2"/>
    <s v="Ofaveolata033195"/>
    <m/>
    <n v="-5.9037024000000002"/>
    <n v="-9.1628358999999993"/>
    <s v="Direct"/>
    <s v="NA"/>
  </r>
  <r>
    <x v="0"/>
    <x v="2"/>
    <s v="Ofaveolata033196"/>
    <m/>
    <n v="-3.3127464999999998"/>
    <n v="-2.6959466999999999"/>
    <s v="Direct"/>
    <s v="Protein of unknown function (DUF1387)"/>
  </r>
  <r>
    <x v="0"/>
    <x v="2"/>
    <s v="Ofaveolata033216"/>
    <m/>
    <n v="-3.1908310000000002"/>
    <n v="-1.228796"/>
    <s v="Direct"/>
    <s v="unfolded protein binding"/>
  </r>
  <r>
    <x v="0"/>
    <x v="2"/>
    <s v="Ofaveolata033220"/>
    <m/>
    <n v="2.8257446700000002"/>
    <n v="2.4938856399999998"/>
    <s v="Direct"/>
    <s v="CLK4-associating serine arginine rich protein"/>
  </r>
  <r>
    <x v="0"/>
    <x v="2"/>
    <s v="Ofaveolata033246"/>
    <m/>
    <n v="-1.5636190000000001"/>
    <n v="-2.0507260999999999"/>
    <s v="Direct"/>
    <s v="Filamin C, gamma"/>
  </r>
  <r>
    <x v="0"/>
    <x v="2"/>
    <s v="Ofaveolata033269"/>
    <m/>
    <n v="3.8721173900000001"/>
    <n v="4.4018031300000002"/>
    <s v="Direct"/>
    <s v="Protein max isoform X1"/>
  </r>
  <r>
    <x v="0"/>
    <x v="2"/>
    <s v="Ofaveolata033271"/>
    <m/>
    <n v="-6.2835482999999996"/>
    <n v="-9.1903717"/>
    <s v="Direct"/>
    <s v="phosphatase 5"/>
  </r>
  <r>
    <x v="0"/>
    <x v="2"/>
    <s v="Ofaveolata033275"/>
    <m/>
    <n v="-8.4647074"/>
    <n v="-6.4814352"/>
    <s v="Direct"/>
    <s v="NA"/>
  </r>
  <r>
    <x v="0"/>
    <x v="2"/>
    <s v="Ofaveolata033288"/>
    <m/>
    <n v="2.0050647100000001"/>
    <n v="1.3125338499999999"/>
    <s v="Direct"/>
    <s v="NA"/>
  </r>
  <r>
    <x v="0"/>
    <x v="2"/>
    <s v="Ofaveolata033299"/>
    <m/>
    <n v="3.6284274399999998"/>
    <n v="1.56748135"/>
    <s v="Direct"/>
    <s v="SPARC related modular calcium binding 2"/>
  </r>
  <r>
    <x v="0"/>
    <x v="2"/>
    <s v="Ofaveolata033300"/>
    <m/>
    <n v="8.04845437"/>
    <n v="5.9383392400000004"/>
    <s v="Direct"/>
    <s v="transcription by RNA polymerase II"/>
  </r>
  <r>
    <x v="0"/>
    <x v="2"/>
    <s v="Ofaveolata033340"/>
    <m/>
    <n v="2.0660853299999999"/>
    <n v="1.88159272"/>
    <s v="Direct"/>
    <s v="metal ion binding"/>
  </r>
  <r>
    <x v="0"/>
    <x v="2"/>
    <s v="Ofaveolata033342"/>
    <m/>
    <n v="-10.037022"/>
    <n v="-9.2366831999999999"/>
    <s v="Direct"/>
    <s v="NA"/>
  </r>
  <r>
    <x v="0"/>
    <x v="2"/>
    <s v="Ofaveolata033347"/>
    <m/>
    <n v="-2.0802524999999998"/>
    <n v="-1.6935916"/>
    <s v="Direct"/>
    <s v="heterogeneous nuclear ribonucleoprotein"/>
  </r>
  <r>
    <x v="0"/>
    <x v="2"/>
    <s v="Ofaveolata033421"/>
    <m/>
    <n v="2.2627175300000002"/>
    <n v="2.5198629100000001"/>
    <s v="Direct"/>
    <s v="NA"/>
  </r>
  <r>
    <x v="0"/>
    <x v="2"/>
    <s v="Ofaveolata033460"/>
    <m/>
    <n v="1.4688281299999999"/>
    <n v="1.42333585"/>
    <s v="Direct"/>
    <s v="EF-hand domain pair"/>
  </r>
  <r>
    <x v="0"/>
    <x v="2"/>
    <s v="Ofaveolata033462"/>
    <m/>
    <n v="1.56689122"/>
    <n v="1.4424972"/>
    <s v="Direct"/>
    <s v="transmembrane receptor protein serine/threonine kinase activity"/>
  </r>
  <r>
    <x v="0"/>
    <x v="2"/>
    <s v="Ofaveolata033479"/>
    <m/>
    <n v="1.4925040300000001"/>
    <n v="1.5980343299999999"/>
    <s v="Direct"/>
    <s v="nucleic acid binding"/>
  </r>
  <r>
    <x v="0"/>
    <x v="2"/>
    <s v="Ofaveolata033491"/>
    <m/>
    <n v="1.86766348"/>
    <n v="1.86154771"/>
    <s v="Direct"/>
    <s v="phosphatase, non-receptor type"/>
  </r>
  <r>
    <x v="0"/>
    <x v="2"/>
    <s v="Ofaveolata033506"/>
    <m/>
    <n v="1.5033583800000001"/>
    <n v="1.2139304399999999"/>
    <s v="Direct"/>
    <s v="NA"/>
  </r>
  <r>
    <x v="0"/>
    <x v="2"/>
    <s v="Ofaveolata033515"/>
    <m/>
    <n v="1.0315660200000001"/>
    <n v="3.09370206"/>
    <s v="Direct"/>
    <s v="hypochlorous acid biosynthetic process"/>
  </r>
  <r>
    <x v="0"/>
    <x v="2"/>
    <s v="Ofaveolata033520"/>
    <m/>
    <n v="2.9955752200000001"/>
    <n v="1.2298669099999999"/>
    <s v="Direct"/>
    <s v="ATP binding"/>
  </r>
  <r>
    <x v="0"/>
    <x v="2"/>
    <s v="Ofaveolata033530"/>
    <m/>
    <n v="1.01207402"/>
    <n v="1.2265077"/>
    <s v="Direct"/>
    <s v="NA"/>
  </r>
  <r>
    <x v="0"/>
    <x v="2"/>
    <s v="Ofaveolata033534"/>
    <m/>
    <n v="-2.5087180999999998"/>
    <n v="-3.5666144000000002"/>
    <s v="Direct"/>
    <s v="Belongs to the ATP guanido phosphotransferase family"/>
  </r>
  <r>
    <x v="0"/>
    <x v="2"/>
    <s v="Ofaveolata033565"/>
    <m/>
    <n v="-2.3299634"/>
    <n v="-1.2842884000000001"/>
    <s v="Direct"/>
    <s v="NA"/>
  </r>
  <r>
    <x v="0"/>
    <x v="2"/>
    <s v="Ofaveolata033567"/>
    <m/>
    <n v="-7.8850864999999999"/>
    <n v="-6.4279428999999997"/>
    <s v="Direct"/>
    <s v="NA"/>
  </r>
  <r>
    <x v="0"/>
    <x v="2"/>
    <s v="Ofaveolata033575"/>
    <m/>
    <n v="-1.6357774"/>
    <n v="-1.8457553"/>
    <s v="Direct"/>
    <s v="cytoplasmic translation"/>
  </r>
  <r>
    <x v="0"/>
    <x v="2"/>
    <s v="Ofaveolata033591"/>
    <m/>
    <n v="-2.6306264000000001"/>
    <n v="-1.3344202999999999"/>
    <s v="Direct"/>
    <s v="NA"/>
  </r>
  <r>
    <x v="0"/>
    <x v="2"/>
    <s v="Ofaveolata033601"/>
    <m/>
    <n v="-1.3788221000000001"/>
    <n v="-1.3183910999999999"/>
    <s v="Direct"/>
    <s v="NA"/>
  </r>
  <r>
    <x v="0"/>
    <x v="2"/>
    <s v="Ofaveolata033644"/>
    <m/>
    <n v="-1.7418053"/>
    <n v="-1.0569056999999999"/>
    <s v="Direct"/>
    <s v="NA"/>
  </r>
  <r>
    <x v="0"/>
    <x v="2"/>
    <s v="Ofaveolata033647"/>
    <m/>
    <n v="-3.6739025999999999"/>
    <n v="-4.2121724"/>
    <s v="Direct"/>
    <s v="NA"/>
  </r>
  <r>
    <x v="0"/>
    <x v="2"/>
    <s v="Ofaveolata033671"/>
    <m/>
    <n v="-3.5400835000000002"/>
    <n v="-3.3946182"/>
    <s v="Direct"/>
    <s v="sensory perception of sound"/>
  </r>
  <r>
    <x v="0"/>
    <x v="2"/>
    <s v="Ofaveolata033672"/>
    <m/>
    <n v="-1.0204533"/>
    <n v="-1.7699575000000001"/>
    <s v="Direct"/>
    <s v="family, member B"/>
  </r>
  <r>
    <x v="0"/>
    <x v="2"/>
    <s v="Ofaveolata033678"/>
    <m/>
    <n v="-8.4721302999999999"/>
    <n v="-4.5633267000000002"/>
    <s v="Direct"/>
    <s v="NA"/>
  </r>
  <r>
    <x v="0"/>
    <x v="2"/>
    <s v="Ofaveolata033690"/>
    <m/>
    <n v="-2.6688657999999998"/>
    <n v="-1.7548592000000001"/>
    <s v="Direct"/>
    <s v="NA"/>
  </r>
  <r>
    <x v="0"/>
    <x v="2"/>
    <s v="Ofaveolata033692"/>
    <m/>
    <n v="-3.657521"/>
    <n v="-1.8438148999999999"/>
    <s v="Direct"/>
    <s v="NA"/>
  </r>
  <r>
    <x v="0"/>
    <x v="2"/>
    <s v="Ofaveolata033693"/>
    <m/>
    <n v="2.9564675"/>
    <n v="2.7685712499999999"/>
    <s v="Direct"/>
    <s v="NA"/>
  </r>
  <r>
    <x v="0"/>
    <x v="2"/>
    <s v="Ofaveolata033694"/>
    <m/>
    <n v="1.4807783299999999"/>
    <n v="1.4043321600000001"/>
    <s v="Direct"/>
    <s v="methyltransferase activity"/>
  </r>
  <r>
    <x v="0"/>
    <x v="2"/>
    <s v="Ofaveolata033695"/>
    <m/>
    <n v="-2.5301241999999999"/>
    <n v="-3.8684794"/>
    <s v="Direct"/>
    <s v="NA"/>
  </r>
  <r>
    <x v="0"/>
    <x v="2"/>
    <s v="Ofaveolata033697"/>
    <m/>
    <n v="-1.7218254"/>
    <n v="-1.6802238"/>
    <s v="Direct"/>
    <s v="polypeptide"/>
  </r>
  <r>
    <x v="0"/>
    <x v="2"/>
    <s v="Ofaveolata033723"/>
    <m/>
    <n v="-8.0762654999999999"/>
    <n v="-4.3588814999999999"/>
    <s v="Direct"/>
    <s v="DNA-binding transcription factor activity"/>
  </r>
  <r>
    <x v="0"/>
    <x v="2"/>
    <s v="Ofaveolata033724"/>
    <m/>
    <n v="3.6152099999999998"/>
    <n v="1.8371079400000001"/>
    <s v="Direct"/>
    <s v="NA"/>
  </r>
  <r>
    <x v="0"/>
    <x v="2"/>
    <s v="Ofaveolata033728"/>
    <m/>
    <n v="-2.4736392"/>
    <n v="-1.7143113999999999"/>
    <s v="Direct"/>
    <s v="mesenchymal stem cell proliferation"/>
  </r>
  <r>
    <x v="0"/>
    <x v="2"/>
    <s v="Ofaveolata033764"/>
    <m/>
    <n v="2.4466241700000002"/>
    <n v="2.64701546"/>
    <s v="Direct"/>
    <s v="procollagen-proline 4-dioxygenase activity"/>
  </r>
  <r>
    <x v="0"/>
    <x v="2"/>
    <s v="Ofaveolata033780"/>
    <m/>
    <n v="3.0781992300000001"/>
    <n v="3.4943908499999998"/>
    <s v="Direct"/>
    <s v="NA"/>
  </r>
  <r>
    <x v="0"/>
    <x v="2"/>
    <s v="Ofaveolata033784"/>
    <m/>
    <n v="-1.0210051"/>
    <n v="-1.3954588999999999"/>
    <s v="Direct"/>
    <s v="Solute carrier family 35, member G1"/>
  </r>
  <r>
    <x v="0"/>
    <x v="2"/>
    <s v="Ofaveolata033791"/>
    <m/>
    <n v="1.4746948799999999"/>
    <n v="1.17515882"/>
    <s v="Direct"/>
    <s v="spectrin, beta"/>
  </r>
  <r>
    <x v="0"/>
    <x v="2"/>
    <s v="Ofaveolata033799"/>
    <m/>
    <n v="-1.5976755"/>
    <n v="-1.2906222000000001"/>
    <s v="Direct"/>
    <s v="Von Willebrand factor A"/>
  </r>
  <r>
    <x v="0"/>
    <x v="2"/>
    <s v="Ofaveolata033801"/>
    <m/>
    <n v="-1.3874852"/>
    <n v="-1.3187704"/>
    <s v="Direct"/>
    <s v="deacylase"/>
  </r>
  <r>
    <x v="0"/>
    <x v="2"/>
    <s v="Ofaveolata033812"/>
    <m/>
    <n v="-3.7475516"/>
    <n v="-2.9421978000000002"/>
    <s v="Direct"/>
    <s v="NA"/>
  </r>
  <r>
    <x v="0"/>
    <x v="2"/>
    <s v="Ofaveolata033816"/>
    <m/>
    <n v="-3.9437809000000001"/>
    <n v="-3.7180453"/>
    <s v="Direct"/>
    <s v="histidine N-acetyltransferase activity"/>
  </r>
  <r>
    <x v="0"/>
    <x v="2"/>
    <s v="Ofaveolata033892"/>
    <m/>
    <n v="1.2571024200000001"/>
    <n v="1.38397891"/>
    <s v="Direct"/>
    <s v="NA"/>
  </r>
  <r>
    <x v="0"/>
    <x v="2"/>
    <s v="Ofaveolata033898"/>
    <m/>
    <n v="-1.2095387"/>
    <n v="-1.6729012999999999"/>
    <s v="Direct"/>
    <s v="NA"/>
  </r>
  <r>
    <x v="0"/>
    <x v="2"/>
    <s v="Ofaveolata033899"/>
    <m/>
    <n v="-2.1118397"/>
    <n v="-1.1887534"/>
    <s v="Direct"/>
    <s v="NA"/>
  </r>
  <r>
    <x v="0"/>
    <x v="2"/>
    <s v="Ofaveolata033904"/>
    <m/>
    <n v="1.0016533999999999"/>
    <n v="1.4541841"/>
    <s v="Direct"/>
    <s v="molybdenum cofactor"/>
  </r>
  <r>
    <x v="0"/>
    <x v="2"/>
    <s v="Ofaveolata033931"/>
    <m/>
    <n v="-2.9160533000000002"/>
    <n v="-3.3430768999999998"/>
    <s v="Direct"/>
    <s v="NA"/>
  </r>
  <r>
    <x v="0"/>
    <x v="2"/>
    <s v="Ofaveolata033962"/>
    <m/>
    <n v="-1.0900947000000001"/>
    <n v="-2.1349743000000001"/>
    <s v="Direct"/>
    <s v="Cyclin-dependent kinase-like 1"/>
  </r>
  <r>
    <x v="0"/>
    <x v="2"/>
    <s v="Ofaveolata034016"/>
    <m/>
    <n v="-2.6374094000000001"/>
    <n v="-1.5134947000000001"/>
    <s v="Direct"/>
    <s v="NA"/>
  </r>
  <r>
    <x v="0"/>
    <x v="2"/>
    <s v="Ofaveolata034018"/>
    <m/>
    <n v="-2.8815219999999999"/>
    <n v="-1.8523472999999999"/>
    <s v="Direct"/>
    <s v="NA"/>
  </r>
  <r>
    <x v="0"/>
    <x v="2"/>
    <s v="Ofaveolata034019"/>
    <m/>
    <n v="-2.8105329000000001"/>
    <n v="-1.2110082"/>
    <s v="Direct"/>
    <s v="NA"/>
  </r>
  <r>
    <x v="0"/>
    <x v="2"/>
    <s v="Ofaveolata034020"/>
    <m/>
    <n v="-7.3384612999999996"/>
    <n v="-7.6024593999999999"/>
    <s v="Direct"/>
    <s v="NA"/>
  </r>
  <r>
    <x v="0"/>
    <x v="2"/>
    <s v="Ofaveolata034023"/>
    <m/>
    <n v="1.53868374"/>
    <n v="1.43403846"/>
    <s v="Direct"/>
    <s v="NA"/>
  </r>
  <r>
    <x v="0"/>
    <x v="2"/>
    <s v="Ofaveolata034028"/>
    <m/>
    <n v="3.23325263"/>
    <n v="3.1514753899999999"/>
    <s v="Direct"/>
    <s v="protein kinase activity"/>
  </r>
  <r>
    <x v="0"/>
    <x v="2"/>
    <s v="Ofaveolata034031"/>
    <m/>
    <n v="-7.3020952000000001"/>
    <n v="-6.3002044000000001"/>
    <s v="Direct"/>
    <s v="protein N-linked glycosylation via asparagine"/>
  </r>
  <r>
    <x v="0"/>
    <x v="2"/>
    <s v="Ofaveolata034032"/>
    <m/>
    <n v="1.2227816300000001"/>
    <n v="1.0468508599999999"/>
    <s v="Direct"/>
    <s v="Mab-21"/>
  </r>
  <r>
    <x v="0"/>
    <x v="2"/>
    <s v="Ofaveolata034039"/>
    <m/>
    <n v="2.19888035"/>
    <n v="1.74110751"/>
    <s v="Direct"/>
    <s v="NA"/>
  </r>
  <r>
    <x v="0"/>
    <x v="2"/>
    <s v="Ofaveolata034052"/>
    <m/>
    <n v="-1.9088181"/>
    <n v="-4.5481502999999996"/>
    <s v="Direct"/>
    <s v="myelination"/>
  </r>
  <r>
    <x v="0"/>
    <x v="2"/>
    <s v="Ofaveolata034086"/>
    <m/>
    <n v="-2.2078807999999999"/>
    <n v="-1.6866308999999999"/>
    <s v="Direct"/>
    <s v="sn-glycerol-3-phosphate:ubiquinone-8 oxidoreductase activity"/>
  </r>
  <r>
    <x v="0"/>
    <x v="2"/>
    <s v="Ofaveolata034088"/>
    <m/>
    <n v="-2.0865963999999999"/>
    <n v="-2.2909866000000001"/>
    <s v="Direct"/>
    <s v="NA"/>
  </r>
  <r>
    <x v="0"/>
    <x v="2"/>
    <s v="Ofaveolata034095"/>
    <m/>
    <n v="2.4676921699999999"/>
    <n v="2.1634651800000002"/>
    <s v="Direct"/>
    <s v="NA"/>
  </r>
  <r>
    <x v="0"/>
    <x v="2"/>
    <s v="Ofaveolata034108"/>
    <m/>
    <n v="-1.5554992999999999"/>
    <n v="-2.5352621000000002"/>
    <s v="Direct"/>
    <s v="phosphatidylethanolamine catabolic process"/>
  </r>
  <r>
    <x v="0"/>
    <x v="2"/>
    <s v="Ofaveolata034112"/>
    <m/>
    <n v="2.4210727099999998"/>
    <n v="1.1722273400000001"/>
    <s v="Direct"/>
    <s v="NA"/>
  </r>
  <r>
    <x v="0"/>
    <x v="2"/>
    <s v="Ofaveolata034136"/>
    <m/>
    <n v="-1.5947016000000001"/>
    <n v="-2.699408"/>
    <s v="Direct"/>
    <s v="NA"/>
  </r>
  <r>
    <x v="0"/>
    <x v="2"/>
    <s v="Ofaveolata034153"/>
    <m/>
    <n v="-2.2738345"/>
    <n v="-3.9635571999999999"/>
    <s v="Direct"/>
    <s v="NA"/>
  </r>
  <r>
    <x v="0"/>
    <x v="2"/>
    <s v="Ofaveolata034168"/>
    <m/>
    <n v="-2.4036439999999999"/>
    <n v="-1.8790826"/>
    <s v="Direct"/>
    <s v="Specifically deglycosylates the denatured form of N- linked glycoproteins in the cytoplasm and assists their proteasome-mediated degradation. Cleaves the beta-aspartyl- glucosamine (GlcNAc) of the glycan and the amide side chain of Asn, converting Asn to "/>
  </r>
  <r>
    <x v="0"/>
    <x v="2"/>
    <s v="Ofaveolata034170"/>
    <m/>
    <n v="-3.6950902999999999"/>
    <n v="-5.604501"/>
    <s v="Direct"/>
    <s v="NADP-retinol dehydrogenase activity"/>
  </r>
  <r>
    <x v="0"/>
    <x v="2"/>
    <s v="Ofaveolata034183"/>
    <m/>
    <n v="-2.5027686"/>
    <n v="-1.4000334000000001"/>
    <s v="Direct"/>
    <s v="Neurotransmitter-gated ion-channel ligand binding domain"/>
  </r>
  <r>
    <x v="0"/>
    <x v="2"/>
    <s v="Ofaveolata034202"/>
    <m/>
    <n v="-5.5787579000000003"/>
    <n v="-3.8608321000000001"/>
    <s v="Direct"/>
    <s v="ATPase activity"/>
  </r>
  <r>
    <x v="0"/>
    <x v="2"/>
    <s v="Ofaveolata034216"/>
    <m/>
    <n v="2.4988172400000002"/>
    <n v="2.0720448199999999"/>
    <s v="Direct"/>
    <s v="homolog subfamily C member 13"/>
  </r>
  <r>
    <x v="0"/>
    <x v="2"/>
    <s v="Ofaveolata034240"/>
    <m/>
    <n v="-2.5218571999999999"/>
    <n v="-2.0730767000000001"/>
    <s v="Direct"/>
    <s v="negative regulation of phosphatase activity"/>
  </r>
  <r>
    <x v="0"/>
    <x v="2"/>
    <s v="Ofaveolata034244"/>
    <m/>
    <n v="-11.701999000000001"/>
    <n v="-9.9973877000000009"/>
    <s v="Direct"/>
    <s v="ATPase activity, coupled to transmembrane movement of substances"/>
  </r>
  <r>
    <x v="0"/>
    <x v="2"/>
    <s v="Ofaveolata034255"/>
    <m/>
    <n v="-1.681511"/>
    <n v="-1.3842515"/>
    <s v="Direct"/>
    <s v="NA"/>
  </r>
  <r>
    <x v="0"/>
    <x v="2"/>
    <s v="Ofaveolata034259"/>
    <m/>
    <n v="1.2242727"/>
    <n v="1.35624488"/>
    <s v="Direct"/>
    <s v="Belongs to the MAGUK family"/>
  </r>
  <r>
    <x v="0"/>
    <x v="2"/>
    <s v="Ofaveolata034287"/>
    <m/>
    <n v="1.7658727700000001"/>
    <n v="1.3240425499999999"/>
    <s v="Direct"/>
    <s v="Cholesterol desaturase daf-36-like"/>
  </r>
  <r>
    <x v="0"/>
    <x v="2"/>
    <s v="Ofaveolata034290"/>
    <m/>
    <n v="-1.7784823999999999"/>
    <n v="-1.5189691000000001"/>
    <s v="Direct"/>
    <s v="signal peptide processing"/>
  </r>
  <r>
    <x v="0"/>
    <x v="2"/>
    <s v="Ofaveolata034291"/>
    <m/>
    <n v="-3.90842"/>
    <n v="-3.5659296"/>
    <s v="Direct"/>
    <s v="translation activator activity"/>
  </r>
  <r>
    <x v="0"/>
    <x v="2"/>
    <s v="Ofaveolata034292"/>
    <m/>
    <n v="-3.5507335000000002"/>
    <n v="-3.6978740000000001"/>
    <s v="Direct"/>
    <s v="regulation of acid-sensing ion channel activity"/>
  </r>
  <r>
    <x v="0"/>
    <x v="2"/>
    <s v="Ofaveolata034303"/>
    <m/>
    <n v="-2.1678598999999998"/>
    <n v="-1.5932875"/>
    <s v="Direct"/>
    <s v="NA"/>
  </r>
  <r>
    <x v="0"/>
    <x v="2"/>
    <s v="Ofaveolata034304"/>
    <m/>
    <n v="-1.6550965"/>
    <n v="-1.0290789"/>
    <s v="Direct"/>
    <s v="NA"/>
  </r>
  <r>
    <x v="0"/>
    <x v="2"/>
    <s v="Ofaveolata034310"/>
    <m/>
    <n v="5.2537681599999999"/>
    <n v="6.94947026"/>
    <s v="Direct"/>
    <s v="Homeodomain"/>
  </r>
  <r>
    <x v="0"/>
    <x v="2"/>
    <s v="Ofaveolata034312"/>
    <m/>
    <n v="1.87869522"/>
    <n v="3.5067168199999998"/>
    <s v="Direct"/>
    <s v="Homeodomain"/>
  </r>
  <r>
    <x v="0"/>
    <x v="2"/>
    <s v="Ofaveolata034315"/>
    <m/>
    <n v="-2.5890539000000001"/>
    <n v="-3.2999315"/>
    <s v="Direct"/>
    <s v="Arp2/3 complex-mediated actin nucleation"/>
  </r>
  <r>
    <x v="0"/>
    <x v="2"/>
    <s v="Ofaveolata034323"/>
    <m/>
    <n v="-1.0908528"/>
    <n v="-1.1892123999999999"/>
    <s v="Direct"/>
    <s v="NA"/>
  </r>
  <r>
    <x v="0"/>
    <x v="2"/>
    <s v="Ofaveolata034346"/>
    <m/>
    <n v="-3.3898087000000001"/>
    <n v="-1.9603313"/>
    <s v="Direct"/>
    <s v="mitochondrial fusion"/>
  </r>
  <r>
    <x v="0"/>
    <x v="2"/>
    <s v="Ofaveolata034368"/>
    <m/>
    <n v="-1.7658727999999999"/>
    <n v="-1.5907292"/>
    <s v="Direct"/>
    <s v="threonine-type endopeptidase activity"/>
  </r>
  <r>
    <x v="0"/>
    <x v="2"/>
    <s v="Ofaveolata034382"/>
    <m/>
    <n v="1.7806906499999999"/>
    <n v="2.31299191"/>
    <s v="Direct"/>
    <s v="protein polyglutamylation"/>
  </r>
  <r>
    <x v="0"/>
    <x v="2"/>
    <s v="Ofaveolata034385"/>
    <m/>
    <n v="-1.3673297"/>
    <n v="-1.9384892"/>
    <s v="Direct"/>
    <s v="medium-chain-acyl-CoA dehydrogenase activity"/>
  </r>
  <r>
    <x v="0"/>
    <x v="2"/>
    <s v="Ofaveolata034386"/>
    <m/>
    <n v="-5.4984925999999996"/>
    <n v="-4.5003406999999997"/>
    <s v="Direct"/>
    <s v="Component of the BLOC-1 complex, a complex that is required for normal biogenesis of lysosome-related organelles (LRO), such as platelet dense granules and melanosomes. In concert with the AP-3 complex, the BLOC-1 complex is required to target membrane pr"/>
  </r>
  <r>
    <x v="0"/>
    <x v="2"/>
    <s v="Ofaveolata034398"/>
    <m/>
    <n v="3.6262196200000001"/>
    <n v="2.9004387500000002"/>
    <s v="Direct"/>
    <s v="NA"/>
  </r>
  <r>
    <x v="0"/>
    <x v="2"/>
    <s v="Ofaveolata034414"/>
    <m/>
    <n v="-2.6497674"/>
    <n v="-2.1776049999999998"/>
    <s v="Direct"/>
    <s v="DNA binding"/>
  </r>
  <r>
    <x v="0"/>
    <x v="2"/>
    <s v="Ofaveolata034416"/>
    <m/>
    <n v="-1.8122954"/>
    <n v="-1.2172155"/>
    <s v="Direct"/>
    <s v="structural constituent of ribosome"/>
  </r>
  <r>
    <x v="0"/>
    <x v="2"/>
    <s v="Ofaveolata034655"/>
    <m/>
    <n v="4.6606291899999999"/>
    <n v="2.66864093"/>
    <s v="Direct"/>
    <s v="NA"/>
  </r>
  <r>
    <x v="0"/>
    <x v="2"/>
    <s v="Ofaveolata034671"/>
    <m/>
    <n v="1.0406926299999999"/>
    <n v="1.0149331699999999"/>
    <s v="Direct"/>
    <s v="NA"/>
  </r>
  <r>
    <x v="0"/>
    <x v="2"/>
    <s v="Ofaveolata034673"/>
    <m/>
    <n v="-1.5642301000000001"/>
    <n v="-1.5248174000000001"/>
    <s v="Direct"/>
    <s v="NA"/>
  </r>
  <r>
    <x v="0"/>
    <x v="2"/>
    <s v="Ofaveolata034736"/>
    <m/>
    <n v="1.4850921100000001"/>
    <n v="2.2315247399999998"/>
    <s v="Direct"/>
    <s v="multicellular organism development"/>
  </r>
  <r>
    <x v="0"/>
    <x v="2"/>
    <s v="Ofaveolata034740"/>
    <m/>
    <n v="1.46940761"/>
    <n v="1.00010186"/>
    <s v="Direct"/>
    <s v="NA"/>
  </r>
  <r>
    <x v="0"/>
    <x v="2"/>
    <s v="Ofaveolata034751"/>
    <m/>
    <n v="-1.0559886000000001"/>
    <n v="-1.6421730999999999"/>
    <s v="Direct"/>
    <s v="NA"/>
  </r>
  <r>
    <x v="0"/>
    <x v="2"/>
    <s v="Ofaveolata034772"/>
    <m/>
    <n v="-2.5002841"/>
    <n v="-2.2811640999999998"/>
    <s v="Direct"/>
    <s v="protein K33-linked ubiquitination"/>
  </r>
  <r>
    <x v="0"/>
    <x v="2"/>
    <s v="Ofaveolata034773"/>
    <m/>
    <n v="2.65526274"/>
    <n v="1.3982726400000001"/>
    <s v="Direct"/>
    <s v="NA"/>
  </r>
  <r>
    <x v="0"/>
    <x v="2"/>
    <s v="Ofaveolata034780"/>
    <m/>
    <n v="-5.2004900000000003"/>
    <n v="-4.4548053999999997"/>
    <s v="Direct"/>
    <s v="zinc finger CCCH-type containing"/>
  </r>
  <r>
    <x v="0"/>
    <x v="2"/>
    <s v="Ofaveolata034810"/>
    <m/>
    <n v="-4.3567855"/>
    <n v="-6.4067518000000003"/>
    <s v="Direct"/>
    <s v="NA"/>
  </r>
  <r>
    <x v="0"/>
    <x v="2"/>
    <s v="Ofaveolata034812"/>
    <m/>
    <n v="-3.3392195999999998"/>
    <n v="-3.3255335000000001"/>
    <s v="Direct"/>
    <s v="arachidonic acid secretion"/>
  </r>
  <r>
    <x v="0"/>
    <x v="2"/>
    <s v="Ofaveolata034821"/>
    <m/>
    <n v="3.93845701"/>
    <n v="3.92113705"/>
    <s v="Direct"/>
    <s v="NA"/>
  </r>
  <r>
    <x v="0"/>
    <x v="2"/>
    <s v="Ofaveolata034830"/>
    <m/>
    <n v="-1.862382"/>
    <n v="-1.8026788"/>
    <s v="Direct"/>
    <s v="mesenchymal-epithelial cell signaling involved in prostate gland development"/>
  </r>
  <r>
    <x v="0"/>
    <x v="2"/>
    <s v="Ofaveolata034835"/>
    <m/>
    <n v="-3.9405182999999999"/>
    <n v="-4.2521323999999998"/>
    <s v="Direct"/>
    <s v="mesenchymal-epithelial cell signaling involved in prostate gland development"/>
  </r>
  <r>
    <x v="0"/>
    <x v="2"/>
    <s v="Ofaveolata034838"/>
    <m/>
    <n v="-1.1894543"/>
    <n v="-1.0835718999999999"/>
    <s v="Direct"/>
    <s v="chitin binding"/>
  </r>
  <r>
    <x v="0"/>
    <x v="2"/>
    <s v="Ofaveolata034847"/>
    <m/>
    <n v="1.3207864300000001"/>
    <n v="2.4709540400000001"/>
    <s v="Direct"/>
    <s v="NA"/>
  </r>
  <r>
    <x v="0"/>
    <x v="2"/>
    <s v="Ofaveolata034857"/>
    <m/>
    <n v="-1.5668911999999999"/>
    <n v="-1.6336195"/>
    <s v="Direct"/>
    <s v="hydrolase activity, acting on ester bonds"/>
  </r>
  <r>
    <x v="0"/>
    <x v="2"/>
    <s v="Ofaveolata034861"/>
    <m/>
    <n v="2.09455452"/>
    <n v="1.47663992"/>
    <s v="Direct"/>
    <s v="NA"/>
  </r>
  <r>
    <x v="0"/>
    <x v="2"/>
    <s v="Ofaveolata034866"/>
    <m/>
    <n v="1.6970651400000001"/>
    <n v="1.02898318"/>
    <s v="Direct"/>
    <s v="K02A2.6-like"/>
  </r>
  <r>
    <x v="0"/>
    <x v="2"/>
    <s v="Ofaveolata034884"/>
    <m/>
    <n v="2.0772746299999998"/>
    <n v="2.2683727999999999"/>
    <s v="Direct"/>
    <s v="regulation of mitotic cell cycle"/>
  </r>
  <r>
    <x v="0"/>
    <x v="2"/>
    <s v="Ofaveolata034900"/>
    <m/>
    <n v="2.2566084599999998"/>
    <n v="1.7549473799999999"/>
    <s v="Direct"/>
    <s v="ubiquitin protein ligase binding"/>
  </r>
  <r>
    <x v="0"/>
    <x v="2"/>
    <s v="Ofaveolata034914"/>
    <m/>
    <n v="1.71450573"/>
    <n v="1.0386246100000001"/>
    <s v="Direct"/>
    <s v="K02A2.6-like"/>
  </r>
  <r>
    <x v="0"/>
    <x v="2"/>
    <s v="Ofaveolata034929"/>
    <m/>
    <n v="1.49828293"/>
    <n v="1.46794322"/>
    <s v="Direct"/>
    <s v="NA"/>
  </r>
  <r>
    <x v="0"/>
    <x v="2"/>
    <s v="Ofaveolata034948"/>
    <m/>
    <n v="1.5800142399999999"/>
    <n v="1.08727839"/>
    <s v="Direct"/>
    <s v="ubiquitin protein ligase binding"/>
  </r>
  <r>
    <x v="0"/>
    <x v="2"/>
    <s v="Ofaveolata034957"/>
    <m/>
    <n v="-2.6374094000000001"/>
    <n v="-2.1885561"/>
    <s v="Direct"/>
    <s v="NA"/>
  </r>
  <r>
    <x v="0"/>
    <x v="2"/>
    <s v="Ofaveolata034960"/>
    <m/>
    <n v="1.18494535"/>
    <n v="1.1344630899999999"/>
    <s v="Direct"/>
    <s v="NA"/>
  </r>
  <r>
    <x v="0"/>
    <x v="2"/>
    <s v="Ofaveolata034974"/>
    <m/>
    <n v="-1.6033101000000001"/>
    <n v="-1.3086996"/>
    <s v="Direct"/>
    <s v="RNA pseudouridylate synthase"/>
  </r>
  <r>
    <x v="0"/>
    <x v="2"/>
    <s v="Ofaveolata034992"/>
    <m/>
    <n v="-3.4946801999999999"/>
    <n v="-2.0173112999999998"/>
    <s v="Direct"/>
    <s v="Collagen triple helix"/>
  </r>
  <r>
    <x v="0"/>
    <x v="2"/>
    <s v="Ofaveolata034995"/>
    <m/>
    <n v="-1.8611613"/>
    <n v="-1.40584"/>
    <s v="Direct"/>
    <s v="Collagen triple helix"/>
  </r>
  <r>
    <x v="0"/>
    <x v="2"/>
    <s v="Ofaveolata034996"/>
    <m/>
    <n v="-1.550934"/>
    <n v="-2.4595020999999999"/>
    <s v="Direct"/>
    <s v="NA"/>
  </r>
  <r>
    <x v="0"/>
    <x v="2"/>
    <s v="Ofaveolata035018"/>
    <m/>
    <n v="2.0893191500000001"/>
    <n v="2.0408776999999998"/>
    <s v="Direct"/>
    <s v="NA"/>
  </r>
  <r>
    <x v="0"/>
    <x v="2"/>
    <s v="Ofaveolata035042"/>
    <m/>
    <n v="-8.1493011000000006"/>
    <n v="-6.6839490000000001"/>
    <s v="Direct"/>
    <s v="NA"/>
  </r>
  <r>
    <x v="0"/>
    <x v="2"/>
    <s v="Ofaveolata035048"/>
    <m/>
    <n v="-3.0160593000000002"/>
    <n v="-1.8822901999999999"/>
    <s v="Direct"/>
    <s v="NA"/>
  </r>
  <r>
    <x v="0"/>
    <x v="2"/>
    <s v="Ofaveolata035064"/>
    <m/>
    <n v="1.79051801"/>
    <n v="1.2274437499999999"/>
    <s v="Direct"/>
    <s v="NA"/>
  </r>
  <r>
    <x v="0"/>
    <x v="2"/>
    <s v="Ofaveolata035073"/>
    <m/>
    <n v="1.1206940700000001"/>
    <n v="1.7234409399999999"/>
    <s v="Direct"/>
    <s v="regulation of mitotic cell cycle"/>
  </r>
  <r>
    <x v="0"/>
    <x v="2"/>
    <s v="Ofaveolata035074"/>
    <m/>
    <n v="2.6145014600000001"/>
    <n v="4.3235361899999996"/>
    <s v="Direct"/>
    <s v="NA"/>
  </r>
  <r>
    <x v="0"/>
    <x v="2"/>
    <s v="Ofaveolata035079"/>
    <m/>
    <n v="3.88444235"/>
    <n v="3.38646892"/>
    <s v="Direct"/>
    <s v="NA"/>
  </r>
  <r>
    <x v="0"/>
    <x v="2"/>
    <s v="Ofaveolata035121"/>
    <m/>
    <n v="-9.7235800999999995"/>
    <n v="-6.5020761"/>
    <s v="Direct"/>
    <s v="7 transmembrane receptor (rhodopsin family)"/>
  </r>
  <r>
    <x v="0"/>
    <x v="2"/>
    <s v="Ofaveolata035148"/>
    <m/>
    <n v="-2.0014368999999999"/>
    <n v="-2.2127219"/>
    <s v="Direct"/>
    <s v="NA"/>
  </r>
  <r>
    <x v="0"/>
    <x v="2"/>
    <s v="Ofaveolata035157"/>
    <m/>
    <n v="4.34586454"/>
    <n v="1.6298914099999999"/>
    <s v="Direct"/>
    <s v="NA"/>
  </r>
  <r>
    <x v="0"/>
    <x v="2"/>
    <s v="Ofaveolata035160"/>
    <m/>
    <n v="1.61451656"/>
    <n v="1.0388153099999999"/>
    <s v="Direct"/>
    <s v="regulation of mitotic cell cycle"/>
  </r>
  <r>
    <x v="0"/>
    <x v="2"/>
    <s v="Ofaveolata035221"/>
    <m/>
    <n v="1.5141545700000001"/>
    <n v="1.7515202400000001"/>
    <s v="Direct"/>
    <s v="NA"/>
  </r>
  <r>
    <x v="0"/>
    <x v="2"/>
    <s v="Ofaveolata035248"/>
    <m/>
    <n v="-1.989554"/>
    <n v="-1.5823273"/>
    <s v="Direct"/>
    <s v="semaphorin receptor binding"/>
  </r>
  <r>
    <x v="0"/>
    <x v="2"/>
    <s v="Ofaveolata035255"/>
    <m/>
    <n v="2.1225491299999999"/>
    <n v="1.5425196800000001"/>
    <s v="Direct"/>
    <s v="NA"/>
  </r>
  <r>
    <x v="0"/>
    <x v="2"/>
    <s v="Ofaveolata035261"/>
    <m/>
    <n v="7.9422813200000002"/>
    <n v="4.4290616900000002"/>
    <s v="Direct"/>
    <s v="NA"/>
  </r>
  <r>
    <x v="0"/>
    <x v="2"/>
    <s v="Ofaveolata035272"/>
    <m/>
    <n v="-1.9660918000000001"/>
    <n v="-2.2601358999999999"/>
    <s v="Direct"/>
    <s v="sulfuric ester hydrolase activity"/>
  </r>
  <r>
    <x v="0"/>
    <x v="2"/>
    <s v="Ofaveolata035306"/>
    <m/>
    <n v="1.8991071399999999"/>
    <n v="2.2209528700000001"/>
    <s v="Direct"/>
    <s v="NA"/>
  </r>
  <r>
    <x v="0"/>
    <x v="2"/>
    <s v="Ofaveolata035314"/>
    <m/>
    <n v="2.9466980700000001"/>
    <n v="1.4325813599999999"/>
    <s v="Direct"/>
    <s v="NA"/>
  </r>
  <r>
    <x v="0"/>
    <x v="2"/>
    <s v="Ofaveolata035376"/>
    <m/>
    <n v="1.6262039800000001"/>
    <n v="1.61210995"/>
    <s v="Direct"/>
    <s v="NA"/>
  </r>
  <r>
    <x v="0"/>
    <x v="2"/>
    <s v="Ofaveolata035422"/>
    <m/>
    <n v="1.7650507900000001"/>
    <n v="3.2019303200000002"/>
    <s v="Direct"/>
    <s v="NA"/>
  </r>
  <r>
    <x v="0"/>
    <x v="2"/>
    <s v="Ofaveolata035482"/>
    <m/>
    <n v="-1.1671073999999999"/>
    <n v="-1.1906737999999999"/>
    <s v="Direct"/>
    <s v="NA"/>
  </r>
  <r>
    <x v="0"/>
    <x v="2"/>
    <s v="Ofaveolata035496"/>
    <m/>
    <n v="1.4526023699999999"/>
    <n v="1.5980343299999999"/>
    <s v="Direct"/>
    <s v="K02A2.6-like"/>
  </r>
  <r>
    <x v="0"/>
    <x v="2"/>
    <s v="Ofaveolata035508"/>
    <m/>
    <n v="1.61168592"/>
    <n v="1.5381067799999999"/>
    <s v="Direct"/>
    <s v="NA"/>
  </r>
  <r>
    <x v="0"/>
    <x v="2"/>
    <s v="Ofaveolata035542"/>
    <m/>
    <n v="1.5199400000000001"/>
    <n v="1.4425021899999999"/>
    <s v="Direct"/>
    <s v="NA"/>
  </r>
  <r>
    <x v="0"/>
    <x v="2"/>
    <s v="Ofaveolata035554"/>
    <m/>
    <n v="-1.4460618999999999"/>
    <n v="-1.2254118000000001"/>
    <s v="Direct"/>
    <s v="Kelch-like protein 17"/>
  </r>
  <r>
    <x v="0"/>
    <x v="2"/>
    <s v="Ofaveolata035563"/>
    <m/>
    <n v="3.1544156299999999"/>
    <n v="2.20667598"/>
    <s v="Direct"/>
    <s v="NA"/>
  </r>
  <r>
    <x v="0"/>
    <x v="2"/>
    <s v="Ofaveolata035574"/>
    <m/>
    <n v="-5.5160412000000001"/>
    <n v="-1.0822909999999999"/>
    <s v="Direct"/>
    <s v="NA"/>
  </r>
  <r>
    <x v="0"/>
    <x v="2"/>
    <s v="Ofaveolata035625"/>
    <m/>
    <n v="1.7549318599999999"/>
    <n v="1.11580155"/>
    <s v="Direct"/>
    <s v="NA"/>
  </r>
  <r>
    <x v="0"/>
    <x v="2"/>
    <s v="Ofaveolata035629"/>
    <m/>
    <n v="3.21258686"/>
    <n v="1.9802610300000001"/>
    <s v="Direct"/>
    <s v="osmolarity-sensing cation channel activity"/>
  </r>
  <r>
    <x v="0"/>
    <x v="2"/>
    <s v="Ofaveolata035634"/>
    <m/>
    <n v="-4.0335339000000001"/>
    <n v="-2.7710477999999998"/>
    <s v="Direct"/>
    <s v="serine-type endopeptidase activity"/>
  </r>
  <r>
    <x v="0"/>
    <x v="2"/>
    <s v="Ofaveolata035638"/>
    <m/>
    <n v="-14.422558"/>
    <n v="-8.8337398"/>
    <s v="Direct"/>
    <s v="serine-type endopeptidase activity"/>
  </r>
  <r>
    <x v="0"/>
    <x v="2"/>
    <s v="Ofaveolata035701"/>
    <m/>
    <n v="1.2568003800000001"/>
    <n v="1.4414051000000001"/>
    <s v="Direct"/>
    <s v="NA"/>
  </r>
  <r>
    <x v="0"/>
    <x v="2"/>
    <s v="Ofaveolata035706"/>
    <m/>
    <n v="-5.1027094000000002"/>
    <n v="-4.0276889999999996"/>
    <s v="Direct"/>
    <s v="NA"/>
  </r>
  <r>
    <x v="0"/>
    <x v="2"/>
    <s v="Ofaveolata035707"/>
    <m/>
    <n v="1.62295013"/>
    <n v="2.2507733000000001"/>
    <s v="Direct"/>
    <s v="endopeptidase inhibitor activity"/>
  </r>
  <r>
    <x v="0"/>
    <x v="2"/>
    <s v="Ofaveolata035717"/>
    <m/>
    <n v="-2.0171866000000001"/>
    <n v="-2.7227877999999999"/>
    <s v="Direct"/>
    <s v="NA"/>
  </r>
  <r>
    <x v="0"/>
    <x v="2"/>
    <s v="Ofaveolata035720"/>
    <m/>
    <n v="-1.1002190000000001"/>
    <n v="-1.0386245999999999"/>
    <s v="Direct"/>
    <s v="NA"/>
  </r>
  <r>
    <x v="0"/>
    <x v="2"/>
    <s v="Ofaveolata035744"/>
    <m/>
    <n v="-3.6774263999999999"/>
    <n v="-1.874101"/>
    <s v="Direct"/>
    <s v="Domain of unknown function (DUF4419)"/>
  </r>
  <r>
    <x v="0"/>
    <x v="2"/>
    <s v="Ofaveolata035745"/>
    <m/>
    <n v="-1.4113325999999999"/>
    <n v="-1.1820889999999999"/>
    <s v="Direct"/>
    <s v="Domain of unknown function (DUF4419)"/>
  </r>
  <r>
    <x v="0"/>
    <x v="2"/>
    <s v="Ofaveolata035756"/>
    <m/>
    <n v="4.4068334499999997"/>
    <n v="2.3153038100000001"/>
    <s v="Direct"/>
    <s v="NA"/>
  </r>
  <r>
    <x v="0"/>
    <x v="2"/>
    <s v="Ofaveolata035788"/>
    <m/>
    <n v="2.4444598399999999"/>
    <n v="2.35801485"/>
    <s v="Direct"/>
    <s v="NA"/>
  </r>
  <r>
    <x v="0"/>
    <x v="2"/>
    <s v="Ofaveolata035792"/>
    <m/>
    <n v="-1.3846779"/>
    <n v="-1.2650486000000001"/>
    <s v="Direct"/>
    <s v="Belongs to the small heat shock protein (HSP20) family"/>
  </r>
  <r>
    <x v="0"/>
    <x v="2"/>
    <s v="Ofaveolata035793"/>
    <m/>
    <n v="-3.0770099000000002"/>
    <n v="-2.2346251000000001"/>
    <s v="Direct"/>
    <s v="Belongs to the small heat shock protein (HSP20) family"/>
  </r>
  <r>
    <x v="0"/>
    <x v="2"/>
    <s v="Ofaveolata035803"/>
    <m/>
    <n v="1.5917177199999999"/>
    <n v="1.4203377500000001"/>
    <s v="Direct"/>
    <s v="NA"/>
  </r>
  <r>
    <x v="0"/>
    <x v="2"/>
    <s v="Ofaveolata035823"/>
    <m/>
    <n v="2.6951270200000002"/>
    <n v="1.10432318"/>
    <s v="Direct"/>
    <s v="NA"/>
  </r>
  <r>
    <x v="0"/>
    <x v="2"/>
    <s v="Ofaveolata035842"/>
    <m/>
    <n v="5.40478565"/>
    <n v="7.53080338"/>
    <s v="Direct"/>
    <s v="NA"/>
  </r>
  <r>
    <x v="0"/>
    <x v="2"/>
    <s v="Ofaveolata035848"/>
    <m/>
    <n v="2.5784941300000002"/>
    <n v="2.4992375600000001"/>
    <s v="Direct"/>
    <s v="NA"/>
  </r>
  <r>
    <x v="0"/>
    <x v="2"/>
    <s v="Ofaveolata035874"/>
    <m/>
    <n v="2.0754229099999999"/>
    <n v="1.40346708"/>
    <s v="Direct"/>
    <s v="N-acetyl-alpha-D-glucosaminyl L-malate synthase"/>
  </r>
  <r>
    <x v="0"/>
    <x v="2"/>
    <s v="Ofaveolata035928"/>
    <m/>
    <n v="1.92710202"/>
    <n v="1.6584925800000001"/>
    <s v="Direct"/>
    <s v="NA"/>
  </r>
  <r>
    <x v="0"/>
    <x v="2"/>
    <s v="Ofaveolata035953"/>
    <m/>
    <n v="1.41208986"/>
    <n v="1.08522907"/>
    <s v="Direct"/>
    <s v="Reverse transcriptase (RNA-dependent DNA polymerase)"/>
  </r>
  <r>
    <x v="0"/>
    <x v="2"/>
    <s v="Ofaveolata035954"/>
    <m/>
    <n v="1.6602007599999999"/>
    <n v="1.0225684399999999"/>
    <s v="Direct"/>
    <s v="NA"/>
  </r>
  <r>
    <x v="0"/>
    <x v="2"/>
    <s v="Ofaveolata035984"/>
    <m/>
    <n v="-2.8858594000000002"/>
    <n v="-3.9135599000000001"/>
    <s v="Direct"/>
    <s v="NA"/>
  </r>
  <r>
    <x v="0"/>
    <x v="2"/>
    <s v="Ofaveolata036008"/>
    <m/>
    <n v="-15.329632"/>
    <n v="-11.706538"/>
    <s v="Direct"/>
    <s v="NA"/>
  </r>
  <r>
    <x v="0"/>
    <x v="2"/>
    <s v="Ofaveolata036034"/>
    <m/>
    <n v="-1.2985507999999999"/>
    <n v="-1.3350884000000001"/>
    <s v="Direct"/>
    <s v="distal tubule morphogenesis"/>
  </r>
  <r>
    <x v="0"/>
    <x v="2"/>
    <s v="Ofaveolata036087"/>
    <m/>
    <n v="-3.0895209000000001"/>
    <n v="-5.8646132"/>
    <s v="Direct"/>
    <s v="Transferase activity, transferring acyl groups other than amino-acyl groups"/>
  </r>
  <r>
    <x v="0"/>
    <x v="2"/>
    <s v="Ofaveolata036100"/>
    <m/>
    <n v="-1.4903919999999999"/>
    <n v="-1.19815"/>
    <s v="Direct"/>
    <s v="NA"/>
  </r>
  <r>
    <x v="0"/>
    <x v="2"/>
    <s v="Ofaveolata036102"/>
    <m/>
    <n v="-3.1573229999999999"/>
    <n v="-1.5135898999999999"/>
    <s v="Direct"/>
    <s v="Belongs to the helicase family. RecQ subfamily"/>
  </r>
  <r>
    <x v="0"/>
    <x v="2"/>
    <s v="Ofaveolata036124"/>
    <m/>
    <n v="4.7223039199999999"/>
    <n v="3.5969456800000001"/>
    <s v="Direct"/>
    <s v="NA"/>
  </r>
  <r>
    <x v="0"/>
    <x v="2"/>
    <s v="Ofaveolata036135"/>
    <m/>
    <n v="5.3102717999999998"/>
    <n v="4.3338209799999996"/>
    <s v="Direct"/>
    <s v="NA"/>
  </r>
  <r>
    <x v="0"/>
    <x v="2"/>
    <s v="Ofaveolata036159"/>
    <m/>
    <n v="1.3792095200000001"/>
    <n v="2.0967516399999999"/>
    <s v="Direct"/>
    <s v="NA"/>
  </r>
  <r>
    <x v="0"/>
    <x v="2"/>
    <s v="Ofaveolata036170"/>
    <m/>
    <n v="2.0343419599999999"/>
    <n v="1.2194553400000001"/>
    <s v="Direct"/>
    <s v="NA"/>
  </r>
  <r>
    <x v="0"/>
    <x v="2"/>
    <s v="Ofaveolata036180"/>
    <m/>
    <n v="-2.7506292000000001"/>
    <n v="-1.8876081"/>
    <s v="Direct"/>
    <s v="NA"/>
  </r>
  <r>
    <x v="0"/>
    <x v="2"/>
    <s v="Ofaveolata036201"/>
    <m/>
    <n v="-1.9443439"/>
    <n v="-1.0023377"/>
    <s v="Direct"/>
    <s v="transporter activity"/>
  </r>
  <r>
    <x v="0"/>
    <x v="2"/>
    <s v="Ofaveolata036204"/>
    <m/>
    <n v="-2.6971905999999999"/>
    <n v="-4.8389566999999998"/>
    <s v="Direct"/>
    <s v="serine-type endopeptidase inhibitor activity"/>
  </r>
  <r>
    <x v="0"/>
    <x v="2"/>
    <s v="Ofaveolata036205"/>
    <m/>
    <n v="-2.5425838000000001"/>
    <n v="-2.2021283"/>
    <s v="Direct"/>
    <s v="serine-type endopeptidase inhibitor activity"/>
  </r>
  <r>
    <x v="0"/>
    <x v="2"/>
    <s v="Ofaveolata036250"/>
    <m/>
    <n v="1.4694359299999999"/>
    <n v="2.8882400000000001"/>
    <s v="Direct"/>
    <s v="NA"/>
  </r>
  <r>
    <x v="0"/>
    <x v="2"/>
    <s v="Ofaveolata036256"/>
    <m/>
    <n v="2.19888035"/>
    <n v="3.4582710200000002"/>
    <s v="Direct"/>
    <s v="Belongs to the helicase family"/>
  </r>
  <r>
    <x v="0"/>
    <x v="2"/>
    <s v="Ofaveolata036274"/>
    <m/>
    <n v="3.04089528"/>
    <n v="3.7886390099999998"/>
    <s v="Direct"/>
    <s v="NA"/>
  </r>
  <r>
    <x v="0"/>
    <x v="2"/>
    <s v="Ofaveolata036340"/>
    <m/>
    <n v="-2.4085062000000002"/>
    <n v="-1.4123272"/>
    <s v="Direct"/>
    <s v="protein modification by small protein conjugation"/>
  </r>
  <r>
    <x v="0"/>
    <x v="2"/>
    <s v="Ofaveolata036380"/>
    <m/>
    <n v="1.49393322"/>
    <n v="1.2952946700000001"/>
    <s v="Direct"/>
    <s v="NA"/>
  </r>
  <r>
    <x v="0"/>
    <x v="2"/>
    <s v="Ofaveolata036383"/>
    <m/>
    <n v="2.9814844699999998"/>
    <n v="1.03197132"/>
    <s v="Direct"/>
    <s v="NA"/>
  </r>
  <r>
    <x v="0"/>
    <x v="2"/>
    <s v="Ofaveolata036436"/>
    <m/>
    <n v="2.8422061900000002"/>
    <n v="2.6268767300000002"/>
    <s v="Direct"/>
    <s v="Reverse transcriptase (RNA-dependent DNA polymerase)"/>
  </r>
  <r>
    <x v="0"/>
    <x v="2"/>
    <s v="Ofaveolata036452"/>
    <m/>
    <n v="3.9270122700000001"/>
    <n v="1.98653298"/>
    <s v="Direct"/>
    <s v="NA"/>
  </r>
  <r>
    <x v="0"/>
    <x v="2"/>
    <s v="Ofaveolata036465"/>
    <m/>
    <n v="-2.3567605"/>
    <n v="-2.9406466"/>
    <s v="Direct"/>
    <s v="meiotic spindle elongation"/>
  </r>
  <r>
    <x v="0"/>
    <x v="2"/>
    <s v="Ofaveolata036483"/>
    <m/>
    <n v="1.6849190700000001"/>
    <n v="1.07590878"/>
    <s v="Direct"/>
    <s v="NA"/>
  </r>
  <r>
    <x v="0"/>
    <x v="2"/>
    <s v="Ofaveolata036553"/>
    <m/>
    <n v="-4.8271569999999997"/>
    <n v="-3.7461161000000001"/>
    <s v="Direct"/>
    <s v="NA"/>
  </r>
  <r>
    <x v="0"/>
    <x v="2"/>
    <s v="Ofaveolata036568"/>
    <m/>
    <n v="-4.4043400000000004"/>
    <n v="-2.4313579999999999"/>
    <s v="Direct"/>
    <s v="NA"/>
  </r>
  <r>
    <x v="0"/>
    <x v="2"/>
    <s v="Ofaveolata036569"/>
    <m/>
    <n v="-1.7619062000000001"/>
    <n v="-5.8612412999999997"/>
    <s v="Direct"/>
    <s v="Belongs to the glycosyl hydrolase 18 family"/>
  </r>
  <r>
    <x v="1"/>
    <x v="0"/>
    <s v="Ssiderea000142"/>
    <n v="1.7522056699999999"/>
    <n v="4.9836017899999998"/>
    <m/>
    <s v="Direct"/>
    <s v="myosin VI binding"/>
  </r>
  <r>
    <x v="1"/>
    <x v="0"/>
    <s v="Ssiderea000160"/>
    <n v="1.2452235300000001"/>
    <n v="2.9117812500000002"/>
    <m/>
    <s v="Direct"/>
    <s v="Mitochondrial membrane ATP synthase (F(1)F(0) ATP synthase or Complex V) produces ATP from ADP in the presence of a proton gradient across the membrane which is generated by electron transport complexes of the respiratory chain. F-type ATPases consist of "/>
  </r>
  <r>
    <x v="1"/>
    <x v="0"/>
    <s v="Ssiderea001415"/>
    <n v="1.67060835"/>
    <n v="1.39891648"/>
    <m/>
    <s v="Direct"/>
    <s v="NA"/>
  </r>
  <r>
    <x v="1"/>
    <x v="0"/>
    <s v="Ssiderea001921"/>
    <n v="1.32573356"/>
    <n v="4.54842206"/>
    <m/>
    <s v="Direct"/>
    <s v="axonal fasciculation"/>
  </r>
  <r>
    <x v="1"/>
    <x v="0"/>
    <s v="Ssiderea002156"/>
    <n v="1.1112109299999999"/>
    <n v="3.5645628399999998"/>
    <m/>
    <s v="Direct"/>
    <s v="NA"/>
  </r>
  <r>
    <x v="1"/>
    <x v="0"/>
    <s v="Ssiderea002627"/>
    <n v="-1.9587758"/>
    <n v="-2.1903760999999999"/>
    <m/>
    <s v="Direct"/>
    <s v="NA"/>
  </r>
  <r>
    <x v="1"/>
    <x v="0"/>
    <s v="Ssiderea003026"/>
    <n v="1.1570445499999999"/>
    <n v="1.11019157"/>
    <m/>
    <s v="Direct"/>
    <s v="collagen"/>
  </r>
  <r>
    <x v="1"/>
    <x v="0"/>
    <s v="Ssiderea003526"/>
    <n v="1.3069108"/>
    <n v="-1.3179270000000001"/>
    <m/>
    <s v="Inverse"/>
    <s v="NA"/>
  </r>
  <r>
    <x v="1"/>
    <x v="0"/>
    <s v="Ssiderea003783"/>
    <n v="1.5177126299999999"/>
    <n v="1.4583266500000001"/>
    <m/>
    <s v="Direct"/>
    <s v="ATP binding"/>
  </r>
  <r>
    <x v="1"/>
    <x v="0"/>
    <s v="Ssiderea004149"/>
    <n v="1.64820465"/>
    <n v="1.6663838900000001"/>
    <m/>
    <s v="Direct"/>
    <s v="protein folding"/>
  </r>
  <r>
    <x v="1"/>
    <x v="0"/>
    <s v="Ssiderea004285"/>
    <n v="1.3888347400000001"/>
    <n v="4.1788427800000001"/>
    <m/>
    <s v="Direct"/>
    <s v="Serine peptidase inhibitor, Kunitz type, 2"/>
  </r>
  <r>
    <x v="1"/>
    <x v="0"/>
    <s v="Ssiderea004288"/>
    <n v="2.8132454299999998"/>
    <n v="1.79746417"/>
    <m/>
    <s v="Direct"/>
    <s v="NA"/>
  </r>
  <r>
    <x v="1"/>
    <x v="0"/>
    <s v="Ssiderea004864"/>
    <n v="-1.5987704"/>
    <n v="2.87379249"/>
    <m/>
    <s v="Inverse"/>
    <s v="NA"/>
  </r>
  <r>
    <x v="1"/>
    <x v="0"/>
    <s v="Ssiderea004908"/>
    <n v="1.27892728"/>
    <n v="1.4267743500000001"/>
    <m/>
    <s v="Direct"/>
    <s v="Belongs to the enoyl-CoA hydratase isomerase family"/>
  </r>
  <r>
    <x v="1"/>
    <x v="0"/>
    <s v="Ssiderea005345"/>
    <n v="1.0539083199999999"/>
    <n v="1.4741827300000001"/>
    <m/>
    <s v="Direct"/>
    <s v="NA"/>
  </r>
  <r>
    <x v="1"/>
    <x v="0"/>
    <s v="Ssiderea005375"/>
    <n v="1.1695463800000001"/>
    <n v="7.1339989299999997"/>
    <m/>
    <s v="Direct"/>
    <s v="NA"/>
  </r>
  <r>
    <x v="1"/>
    <x v="0"/>
    <s v="Ssiderea005376"/>
    <n v="1.2193882199999999"/>
    <n v="11.016871800000001"/>
    <m/>
    <s v="Direct"/>
    <s v="NA"/>
  </r>
  <r>
    <x v="1"/>
    <x v="0"/>
    <s v="Ssiderea005967"/>
    <n v="1.1155167800000001"/>
    <n v="3.14940636"/>
    <m/>
    <s v="Direct"/>
    <s v="D-serine biosynthetic process"/>
  </r>
  <r>
    <x v="1"/>
    <x v="0"/>
    <s v="Ssiderea006336"/>
    <n v="1.08867647"/>
    <n v="1.5879291799999999"/>
    <m/>
    <s v="Direct"/>
    <s v="NA"/>
  </r>
  <r>
    <x v="1"/>
    <x v="0"/>
    <s v="Ssiderea006406"/>
    <n v="5.7648508400000003"/>
    <n v="1.0833665299999999"/>
    <m/>
    <s v="Direct"/>
    <s v="NA"/>
  </r>
  <r>
    <x v="1"/>
    <x v="0"/>
    <s v="Ssiderea006435"/>
    <n v="1.2205707100000001"/>
    <n v="-2.4750716000000001"/>
    <m/>
    <s v="Inverse"/>
    <s v="structural constituent of ribosome"/>
  </r>
  <r>
    <x v="1"/>
    <x v="0"/>
    <s v="Ssiderea006441"/>
    <n v="1.1016018400000001"/>
    <n v="1.9592054800000001"/>
    <m/>
    <s v="Direct"/>
    <s v="gamete generation"/>
  </r>
  <r>
    <x v="1"/>
    <x v="0"/>
    <s v="Ssiderea006779"/>
    <n v="1.4572205600000001"/>
    <n v="3.3556338499999998"/>
    <m/>
    <s v="Direct"/>
    <s v="N-acetyltransferase 16"/>
  </r>
  <r>
    <x v="1"/>
    <x v="0"/>
    <s v="Ssiderea006928"/>
    <n v="1.64053608"/>
    <n v="1.2378308"/>
    <m/>
    <s v="Direct"/>
    <s v="NA"/>
  </r>
  <r>
    <x v="1"/>
    <x v="0"/>
    <s v="Ssiderea006932"/>
    <n v="1.64053608"/>
    <n v="2.0278952000000001"/>
    <m/>
    <s v="Direct"/>
    <s v="NA"/>
  </r>
  <r>
    <x v="1"/>
    <x v="0"/>
    <s v="Ssiderea007662"/>
    <n v="1.4832801499999999"/>
    <n v="1.2552334999999999"/>
    <m/>
    <s v="Direct"/>
    <s v="NA"/>
  </r>
  <r>
    <x v="1"/>
    <x v="0"/>
    <s v="Ssiderea007918"/>
    <n v="-1.1957035"/>
    <n v="-1.8299791000000001"/>
    <m/>
    <s v="Direct"/>
    <s v="medium-chain fatty acid-CoA ligase activity"/>
  </r>
  <r>
    <x v="1"/>
    <x v="0"/>
    <s v="Ssiderea007939"/>
    <n v="1.09386779"/>
    <n v="-1.1569566"/>
    <m/>
    <s v="Inverse"/>
    <s v="structural constituent of ribosome"/>
  </r>
  <r>
    <x v="1"/>
    <x v="0"/>
    <s v="Ssiderea008293"/>
    <n v="1.0744647700000001"/>
    <n v="5.4484435800000002"/>
    <m/>
    <s v="Direct"/>
    <s v="UPF0728 protein C10orf53 homolog"/>
  </r>
  <r>
    <x v="1"/>
    <x v="0"/>
    <s v="Ssiderea009538"/>
    <n v="1.0088047899999999"/>
    <n v="6.2537997000000001"/>
    <m/>
    <s v="Direct"/>
    <s v="Histone h2b"/>
  </r>
  <r>
    <x v="1"/>
    <x v="0"/>
    <s v="Ssiderea009999"/>
    <n v="1.9971376300000001"/>
    <n v="-102.03176000000001"/>
    <m/>
    <s v="Inverse"/>
    <s v="Acid trehalase-like"/>
  </r>
  <r>
    <x v="1"/>
    <x v="0"/>
    <s v="Ssiderea010040"/>
    <n v="1.0481929400000001"/>
    <n v="5.4812363299999998"/>
    <m/>
    <s v="Direct"/>
    <s v="NAD/NADP octopine/nopaline dehydrogenase, alpha-helical domain"/>
  </r>
  <r>
    <x v="1"/>
    <x v="0"/>
    <s v="Ssiderea010197"/>
    <n v="1.0030707299999999"/>
    <n v="1.60143338"/>
    <m/>
    <s v="Direct"/>
    <s v="Connector enhancer of kinase suppressor of ras"/>
  </r>
  <r>
    <x v="1"/>
    <x v="0"/>
    <s v="Ssiderea010376"/>
    <n v="1.03931306"/>
    <n v="2.3210654700000002"/>
    <m/>
    <s v="Direct"/>
    <s v="homogentisate 1,2-dioxygenase activity"/>
  </r>
  <r>
    <x v="1"/>
    <x v="0"/>
    <s v="Ssiderea010433"/>
    <n v="1.24233785"/>
    <n v="1.93817887"/>
    <m/>
    <s v="Direct"/>
    <s v="Chromosome 11 open reading frame 65"/>
  </r>
  <r>
    <x v="1"/>
    <x v="0"/>
    <s v="Ssiderea010852"/>
    <n v="1.13212132"/>
    <n v="1.1547328100000001"/>
    <m/>
    <s v="Direct"/>
    <s v="respiratory system process"/>
  </r>
  <r>
    <x v="1"/>
    <x v="0"/>
    <s v="Ssiderea011174"/>
    <n v="3.5357075199999999"/>
    <n v="1.4888713200000001"/>
    <m/>
    <s v="Direct"/>
    <s v="serine-type endopeptidase inhibitor activity"/>
  </r>
  <r>
    <x v="1"/>
    <x v="0"/>
    <s v="Ssiderea011646"/>
    <n v="1.03254757"/>
    <n v="10.9031193"/>
    <m/>
    <s v="Direct"/>
    <s v="Scavenger receptor Cys-rich"/>
  </r>
  <r>
    <x v="1"/>
    <x v="0"/>
    <s v="Ssiderea012121"/>
    <n v="1.27562229"/>
    <n v="1.5426320899999999"/>
    <m/>
    <s v="Direct"/>
    <s v="Lipoxygenase homology"/>
  </r>
  <r>
    <x v="1"/>
    <x v="0"/>
    <s v="Ssiderea012122"/>
    <n v="3.2722061199999999"/>
    <n v="2.92864097"/>
    <m/>
    <s v="Direct"/>
    <s v="Lipoxygenase homology"/>
  </r>
  <r>
    <x v="1"/>
    <x v="0"/>
    <s v="Ssiderea012146"/>
    <n v="1.33362399"/>
    <n v="4.4870612699999999"/>
    <m/>
    <s v="Direct"/>
    <s v="Ubiquitin-like modifier"/>
  </r>
  <r>
    <x v="1"/>
    <x v="0"/>
    <s v="Ssiderea012241"/>
    <n v="1.2679007"/>
    <n v="1.6752047999999999"/>
    <m/>
    <s v="Direct"/>
    <s v="cytoskeletal anchoring at plasma membrane"/>
  </r>
  <r>
    <x v="1"/>
    <x v="0"/>
    <s v="Ssiderea013295"/>
    <n v="1.1517859699999999"/>
    <n v="3.0789868"/>
    <m/>
    <s v="Direct"/>
    <s v="positive regulation of skeletal muscle acetylcholine-gated channel clustering"/>
  </r>
  <r>
    <x v="1"/>
    <x v="0"/>
    <s v="Ssiderea013350"/>
    <n v="1.08867647"/>
    <n v="2.8111674600000001"/>
    <m/>
    <s v="Direct"/>
    <s v="NA"/>
  </r>
  <r>
    <x v="1"/>
    <x v="0"/>
    <s v="Ssiderea013425"/>
    <n v="1.2690814800000001"/>
    <n v="4.3258736999999998"/>
    <m/>
    <s v="Direct"/>
    <s v="Sulfide quinone"/>
  </r>
  <r>
    <x v="1"/>
    <x v="0"/>
    <s v="Ssiderea013701"/>
    <n v="1.0430862599999999"/>
    <n v="1.78259002"/>
    <m/>
    <s v="Direct"/>
    <s v="hematopoietic cell-specific Lyn substrate 1"/>
  </r>
  <r>
    <x v="1"/>
    <x v="0"/>
    <s v="Ssiderea014540"/>
    <n v="1.17323139"/>
    <n v="-5.0927901999999996"/>
    <m/>
    <s v="Inverse"/>
    <s v="RNA-binding protein Musashi homolog"/>
  </r>
  <r>
    <x v="1"/>
    <x v="0"/>
    <s v="Ssiderea014567"/>
    <n v="-1.9403938000000001"/>
    <n v="-1.8208085000000001"/>
    <m/>
    <s v="Direct"/>
    <s v="Paired box protein 7"/>
  </r>
  <r>
    <x v="1"/>
    <x v="0"/>
    <s v="Ssiderea014817"/>
    <n v="1.15682391"/>
    <n v="1.3706138800000001"/>
    <m/>
    <s v="Direct"/>
    <s v="o-methyltransferase"/>
  </r>
  <r>
    <x v="1"/>
    <x v="0"/>
    <s v="Ssiderea014838"/>
    <n v="1.2784472099999999"/>
    <n v="16.344738599999999"/>
    <m/>
    <s v="Direct"/>
    <s v="regulation of endoplasmic reticulum stress-induced intrinsic apoptotic signaling pathway"/>
  </r>
  <r>
    <x v="1"/>
    <x v="0"/>
    <s v="Ssiderea014953"/>
    <n v="1.03274881"/>
    <n v="1.2823228099999999"/>
    <m/>
    <s v="Direct"/>
    <s v="NA"/>
  </r>
  <r>
    <x v="1"/>
    <x v="0"/>
    <s v="Ssiderea015151"/>
    <n v="1.1287037799999999"/>
    <n v="-2.3964352999999998"/>
    <m/>
    <s v="Inverse"/>
    <s v="serine arginine-rich splicing factor"/>
  </r>
  <r>
    <x v="1"/>
    <x v="0"/>
    <s v="Ssiderea015272"/>
    <n v="1.46781206"/>
    <n v="-1.0826849000000001"/>
    <m/>
    <s v="Inverse"/>
    <s v="protein-cysteine S-acyltransferase activity"/>
  </r>
  <r>
    <x v="1"/>
    <x v="0"/>
    <s v="Ssiderea015294"/>
    <n v="1.0381205099999999"/>
    <n v="1.8461040399999999"/>
    <m/>
    <s v="Direct"/>
    <s v="Cytochrome c oxidase subunit"/>
  </r>
  <r>
    <x v="1"/>
    <x v="0"/>
    <s v="Ssiderea015499"/>
    <n v="1.25640576"/>
    <n v="1.13970561"/>
    <m/>
    <s v="Direct"/>
    <s v="Tissue factor pathway inhibitor"/>
  </r>
  <r>
    <x v="1"/>
    <x v="0"/>
    <s v="Ssiderea015602"/>
    <n v="1.31255294"/>
    <n v="-2.406399"/>
    <m/>
    <s v="Inverse"/>
    <s v="translational elongation"/>
  </r>
  <r>
    <x v="1"/>
    <x v="0"/>
    <s v="Ssiderea015794"/>
    <n v="1.0195482199999999"/>
    <n v="1.3422497600000001"/>
    <m/>
    <s v="Direct"/>
    <s v="NA"/>
  </r>
  <r>
    <x v="1"/>
    <x v="0"/>
    <s v="Ssiderea015872"/>
    <n v="2.0163131500000002"/>
    <n v="2.2957640700000002"/>
    <m/>
    <s v="Direct"/>
    <s v="structural constituent of cuticle"/>
  </r>
  <r>
    <x v="1"/>
    <x v="0"/>
    <s v="Ssiderea016649"/>
    <n v="1.33660008"/>
    <n v="1.1343714899999999"/>
    <m/>
    <s v="Direct"/>
    <s v="Belongs to the tropomyosin family"/>
  </r>
  <r>
    <x v="1"/>
    <x v="0"/>
    <s v="Ssiderea017473"/>
    <n v="1.1924639800000001"/>
    <n v="1.81198448"/>
    <m/>
    <s v="Direct"/>
    <s v="NA"/>
  </r>
  <r>
    <x v="1"/>
    <x v="0"/>
    <s v="Ssiderea018987"/>
    <n v="-1.6061143"/>
    <n v="-2.3761456999999999"/>
    <m/>
    <s v="Direct"/>
    <s v="negative regulation of triglyceride biosynthetic process"/>
  </r>
  <r>
    <x v="1"/>
    <x v="0"/>
    <s v="Ssiderea019309"/>
    <n v="1.21814289"/>
    <n v="4.3350114800000004"/>
    <m/>
    <s v="Direct"/>
    <s v="Universal stress protein family"/>
  </r>
  <r>
    <x v="1"/>
    <x v="0"/>
    <s v="Ssiderea019357"/>
    <n v="1.0314647299999999"/>
    <n v="3.0632496100000002"/>
    <m/>
    <s v="Direct"/>
    <s v="NA"/>
  </r>
  <r>
    <x v="1"/>
    <x v="0"/>
    <s v="Ssiderea019828"/>
    <n v="1.14362403"/>
    <n v="1.5341511400000001"/>
    <m/>
    <s v="Direct"/>
    <s v="Mucin 4, cell surface associated"/>
  </r>
  <r>
    <x v="1"/>
    <x v="0"/>
    <s v="Ssiderea019931"/>
    <n v="2.4106819599999998"/>
    <n v="2.0866047399999998"/>
    <m/>
    <s v="Direct"/>
    <s v="Lipoxygenase homology 2 (beta barrel) domain"/>
  </r>
  <r>
    <x v="1"/>
    <x v="0"/>
    <s v="Ssiderea019944"/>
    <n v="5.4343140600000002"/>
    <n v="3.8645866299999998"/>
    <m/>
    <s v="Direct"/>
    <s v="NA"/>
  </r>
  <r>
    <x v="1"/>
    <x v="0"/>
    <s v="Ssiderea019945"/>
    <n v="2.6657633399999998"/>
    <n v="1.3260152599999999"/>
    <m/>
    <s v="Direct"/>
    <s v="NA"/>
  </r>
  <r>
    <x v="1"/>
    <x v="0"/>
    <s v="Ssiderea020286"/>
    <n v="1.5205623500000001"/>
    <n v="10.7956203"/>
    <m/>
    <s v="Direct"/>
    <s v="6-O-sulfation enzyme which catalyzes the transfer of sulfate from 3'-phosphoadenosine 5'-phosphosulfate (PAPS) to position 6 of the N-sulfoglucosamine residue (GlcNS) of heparan sulfate"/>
  </r>
  <r>
    <x v="1"/>
    <x v="0"/>
    <s v="Ssiderea020323"/>
    <n v="1.33062294"/>
    <n v="1.94498868"/>
    <m/>
    <s v="Direct"/>
    <s v="Hemicentin 1"/>
  </r>
  <r>
    <x v="1"/>
    <x v="0"/>
    <s v="Ssiderea020402"/>
    <n v="1.22743957"/>
    <n v="9.2661251799999995"/>
    <m/>
    <s v="Direct"/>
    <s v="NA"/>
  </r>
  <r>
    <x v="1"/>
    <x v="0"/>
    <s v="Ssiderea021340"/>
    <n v="1.4031628899999999"/>
    <n v="1.44270649"/>
    <m/>
    <s v="Direct"/>
    <s v="Ectoine synthase"/>
  </r>
  <r>
    <x v="1"/>
    <x v="0"/>
    <s v="Ssiderea021485"/>
    <n v="1.30580545"/>
    <n v="1.5248508300000001"/>
    <m/>
    <s v="Direct"/>
    <s v="Reverse transcriptase (RNA-dependent DNA polymerase)"/>
  </r>
  <r>
    <x v="1"/>
    <x v="0"/>
    <s v="Ssiderea021669"/>
    <n v="3.7215504099999999"/>
    <n v="4.7548245700000003"/>
    <m/>
    <s v="Direct"/>
    <s v="N-acetyl-beta-glucosaminyl-glycoprotein 4-beta-N-acetylgalactosaminyltransferase activity"/>
  </r>
  <r>
    <x v="1"/>
    <x v="0"/>
    <s v="Ssiderea021959"/>
    <n v="-1.2198798"/>
    <n v="-3.7263128999999999"/>
    <m/>
    <s v="Direct"/>
    <s v="PX domain"/>
  </r>
  <r>
    <x v="1"/>
    <x v="0"/>
    <s v="Ssiderea022757"/>
    <n v="1.6918055400000001"/>
    <n v="1.39795246"/>
    <m/>
    <s v="Direct"/>
    <s v="NA"/>
  </r>
  <r>
    <x v="1"/>
    <x v="0"/>
    <s v="Ssiderea022799"/>
    <n v="1.64053608"/>
    <n v="1.9181018700000001"/>
    <m/>
    <s v="Direct"/>
    <s v="unfolded protein binding"/>
  </r>
  <r>
    <x v="1"/>
    <x v="0"/>
    <s v="Ssiderea022819"/>
    <n v="1.5403856199999999"/>
    <n v="1.4964817399999999"/>
    <m/>
    <s v="Direct"/>
    <s v="NA"/>
  </r>
  <r>
    <x v="1"/>
    <x v="0"/>
    <s v="Ssiderea023224"/>
    <n v="1.0513215499999999"/>
    <n v="2.7662144299999998"/>
    <m/>
    <s v="Direct"/>
    <s v="Ankyrin repeat"/>
  </r>
  <r>
    <x v="1"/>
    <x v="0"/>
    <s v="Ssiderea023266"/>
    <n v="-1.7828108"/>
    <n v="-1.3525079"/>
    <m/>
    <s v="Direct"/>
    <s v="NA"/>
  </r>
  <r>
    <x v="1"/>
    <x v="0"/>
    <s v="Ssiderea023369"/>
    <n v="1.0195482199999999"/>
    <n v="-2.600231"/>
    <m/>
    <s v="Inverse"/>
    <s v="L-lactate"/>
  </r>
  <r>
    <x v="1"/>
    <x v="0"/>
    <s v="Ssiderea023513"/>
    <n v="1.45967482"/>
    <n v="-1.8423056"/>
    <m/>
    <s v="Inverse"/>
    <s v="Calcium channel, voltage-dependent, alpha 2 delta subunit 1a"/>
  </r>
  <r>
    <x v="1"/>
    <x v="0"/>
    <s v="Ssiderea024655"/>
    <n v="1.3625895800000001"/>
    <n v="1.8392366"/>
    <m/>
    <s v="Direct"/>
    <s v="Belongs to the peptidase S1 family"/>
  </r>
  <r>
    <x v="1"/>
    <x v="0"/>
    <s v="Ssiderea024892"/>
    <n v="1.2324735600000001"/>
    <n v="1.7765622700000001"/>
    <m/>
    <s v="Direct"/>
    <s v="NA"/>
  </r>
  <r>
    <x v="1"/>
    <x v="0"/>
    <s v="Ssiderea024962"/>
    <n v="1.31509287"/>
    <n v="2.5277334300000001"/>
    <m/>
    <s v="Direct"/>
    <s v="NA"/>
  </r>
  <r>
    <x v="1"/>
    <x v="0"/>
    <s v="Ssiderea025748"/>
    <n v="1.0572678900000001"/>
    <n v="-3.9203358000000001"/>
    <m/>
    <s v="Inverse"/>
    <s v="NA"/>
  </r>
  <r>
    <x v="1"/>
    <x v="0"/>
    <s v="Ssiderea026196"/>
    <n v="1.6842255100000001"/>
    <n v="1.3395321"/>
    <m/>
    <s v="Direct"/>
    <s v="posttranslational protein targeting to membrane, translocation"/>
  </r>
  <r>
    <x v="1"/>
    <x v="0"/>
    <s v="Ssiderea027144"/>
    <n v="2.4452860799999998"/>
    <n v="2.9962910200000001"/>
    <m/>
    <s v="Direct"/>
    <s v="Selenium-binding protein 1"/>
  </r>
  <r>
    <x v="1"/>
    <x v="0"/>
    <s v="Ssiderea028122"/>
    <n v="1.08867647"/>
    <n v="-2.9324389000000002"/>
    <m/>
    <s v="Inverse"/>
    <s v="NA"/>
  </r>
  <r>
    <x v="1"/>
    <x v="0"/>
    <s v="Ssiderea028350"/>
    <n v="1.23680425"/>
    <n v="-1.4286700999999999"/>
    <m/>
    <s v="Inverse"/>
    <s v="NA"/>
  </r>
  <r>
    <x v="1"/>
    <x v="0"/>
    <s v="Ssiderea028433"/>
    <n v="1.01702866"/>
    <n v="2.1661296999999999"/>
    <m/>
    <s v="Direct"/>
    <s v="histone H2A K63-linked ubiquitination"/>
  </r>
  <r>
    <x v="1"/>
    <x v="0"/>
    <s v="Ssiderea029010"/>
    <n v="3.3195253500000002"/>
    <n v="3.09164298"/>
    <m/>
    <s v="Direct"/>
    <s v="NA"/>
  </r>
  <r>
    <x v="1"/>
    <x v="0"/>
    <s v="Ssiderea029467"/>
    <n v="2.3920437099999998"/>
    <n v="1.35651239"/>
    <m/>
    <s v="Direct"/>
    <s v="calcium ion binding"/>
  </r>
  <r>
    <x v="1"/>
    <x v="0"/>
    <s v="Ssiderea029508"/>
    <n v="1.00207237"/>
    <n v="1.1609920199999999"/>
    <m/>
    <s v="Direct"/>
    <s v="podosome assembly"/>
  </r>
  <r>
    <x v="1"/>
    <x v="0"/>
    <s v="Ssiderea029552"/>
    <n v="1.1419424899999999"/>
    <n v="5.4893763399999997"/>
    <m/>
    <s v="Direct"/>
    <s v="Histidine phosphatase superfamily (branch 2)"/>
  </r>
  <r>
    <x v="1"/>
    <x v="0"/>
    <s v="Ssiderea029802"/>
    <n v="1.15682391"/>
    <n v="1.04988755"/>
    <m/>
    <s v="Direct"/>
    <s v="Family with sequence similarity 184, A and B"/>
  </r>
  <r>
    <x v="1"/>
    <x v="0"/>
    <s v="Ssiderea029805"/>
    <n v="3.12664125"/>
    <n v="5.6044748999999996"/>
    <m/>
    <s v="Direct"/>
    <s v="NA"/>
  </r>
  <r>
    <x v="1"/>
    <x v="0"/>
    <s v="Ssiderea029846"/>
    <n v="1.02466122"/>
    <n v="2.8178960100000001"/>
    <m/>
    <s v="Direct"/>
    <s v="Cupin-like domain"/>
  </r>
  <r>
    <x v="1"/>
    <x v="0"/>
    <s v="Ssiderea030049"/>
    <n v="1.0799631700000001"/>
    <n v="-18.977264000000002"/>
    <m/>
    <s v="Inverse"/>
    <s v="Initiation factor 5a"/>
  </r>
  <r>
    <x v="1"/>
    <x v="0"/>
    <s v="Ssiderea030069"/>
    <n v="1.12697757"/>
    <n v="2.0881954999999999"/>
    <m/>
    <s v="Direct"/>
    <s v="phosphopyruvate hydratase activity"/>
  </r>
  <r>
    <x v="1"/>
    <x v="0"/>
    <s v="Ssiderea030383"/>
    <n v="1.09386779"/>
    <n v="-1.0706544"/>
    <m/>
    <s v="Inverse"/>
    <s v="NA"/>
  </r>
  <r>
    <x v="1"/>
    <x v="0"/>
    <s v="Ssiderea031430"/>
    <n v="-1.6341988000000001"/>
    <n v="-2.8776177000000001"/>
    <m/>
    <s v="Direct"/>
    <s v="NA"/>
  </r>
  <r>
    <x v="1"/>
    <x v="0"/>
    <s v="Ssiderea031482"/>
    <n v="1.0056645799999999"/>
    <n v="1.7573682399999999"/>
    <m/>
    <s v="Direct"/>
    <s v="It is involved in the biological process described with"/>
  </r>
  <r>
    <x v="1"/>
    <x v="0"/>
    <s v="Ssiderea031598"/>
    <n v="4.6398010000000003"/>
    <n v="13.439522800000001"/>
    <m/>
    <s v="Direct"/>
    <s v="Egl-9 family hypoxia-inducible factor"/>
  </r>
  <r>
    <x v="1"/>
    <x v="0"/>
    <s v="Ssiderea031617"/>
    <n v="1.1005289"/>
    <n v="-2.4099151999999999"/>
    <m/>
    <s v="Inverse"/>
    <s v="WAP four-disulfide core domain"/>
  </r>
  <r>
    <x v="1"/>
    <x v="0"/>
    <s v="Ssiderea032615"/>
    <n v="1.64053608"/>
    <n v="3.4498791199999999"/>
    <m/>
    <s v="Direct"/>
    <s v="NA"/>
  </r>
  <r>
    <x v="1"/>
    <x v="0"/>
    <s v="Ssiderea032873"/>
    <n v="1.64820465"/>
    <n v="1.16115119"/>
    <m/>
    <s v="Direct"/>
    <s v="NA"/>
  </r>
  <r>
    <x v="1"/>
    <x v="0"/>
    <s v="Ssiderea033307"/>
    <n v="1.0498551599999999"/>
    <n v="-1.1425372"/>
    <m/>
    <s v="Inverse"/>
    <s v="Protein prenyltransferase activity. It is involved in the biological process described with protein prenylation"/>
  </r>
  <r>
    <x v="1"/>
    <x v="0"/>
    <s v="Ssiderea033479"/>
    <n v="1.00076079"/>
    <n v="5.2101058800000004"/>
    <m/>
    <s v="Direct"/>
    <s v="NA"/>
  </r>
  <r>
    <x v="1"/>
    <x v="0"/>
    <s v="Ssiderea033487"/>
    <n v="1.89178622"/>
    <n v="4.2668566400000003"/>
    <m/>
    <s v="Direct"/>
    <s v="NA"/>
  </r>
  <r>
    <x v="1"/>
    <x v="0"/>
    <s v="Ssiderea033625"/>
    <n v="2.5650978900000001"/>
    <n v="1.9186501899999999"/>
    <m/>
    <s v="Direct"/>
    <s v="NA"/>
  </r>
  <r>
    <x v="1"/>
    <x v="0"/>
    <s v="Ssiderea033626"/>
    <n v="1.4064598100000001"/>
    <n v="1.4888713200000001"/>
    <m/>
    <s v="Direct"/>
    <s v="NA"/>
  </r>
  <r>
    <x v="1"/>
    <x v="0"/>
    <s v="Ssiderea033647"/>
    <n v="1.2913954999999999"/>
    <n v="2.2997277399999998"/>
    <m/>
    <s v="Direct"/>
    <s v="NA"/>
  </r>
  <r>
    <x v="1"/>
    <x v="0"/>
    <s v="Ssiderea033671"/>
    <n v="9.8410977800000001"/>
    <n v="11.228177199999999"/>
    <m/>
    <s v="Direct"/>
    <s v="NA"/>
  </r>
  <r>
    <x v="1"/>
    <x v="0"/>
    <s v="Ssiderea033675"/>
    <n v="10.9866036"/>
    <n v="12.0092263"/>
    <m/>
    <s v="Direct"/>
    <s v="NA"/>
  </r>
  <r>
    <x v="1"/>
    <x v="0"/>
    <s v="Ssiderea033678"/>
    <n v="4.5485664400000001"/>
    <n v="2.8322729999999998"/>
    <m/>
    <s v="Direct"/>
    <s v="NA"/>
  </r>
  <r>
    <x v="1"/>
    <x v="0"/>
    <s v="Ssiderea033816"/>
    <n v="1.6637454"/>
    <n v="1.87102839"/>
    <m/>
    <s v="Direct"/>
    <s v="carbohydrate binding"/>
  </r>
  <r>
    <x v="1"/>
    <x v="0"/>
    <s v="Ssiderea033884"/>
    <n v="1.7627116300000001"/>
    <n v="3.0216344500000001"/>
    <m/>
    <s v="Direct"/>
    <s v="NA"/>
  </r>
  <r>
    <x v="1"/>
    <x v="0"/>
    <s v="Ssiderea034174"/>
    <n v="1.0807453300000001"/>
    <n v="1.2042697499999999"/>
    <m/>
    <s v="Direct"/>
    <s v="collagen"/>
  </r>
  <r>
    <x v="1"/>
    <x v="0"/>
    <s v="Ssiderea034786"/>
    <n v="1.18481645"/>
    <n v="2.8185402399999999"/>
    <m/>
    <s v="Direct"/>
    <s v="Filamin C, gamma"/>
  </r>
  <r>
    <x v="1"/>
    <x v="0"/>
    <s v="Ssiderea034936"/>
    <n v="-1.2205706999999999"/>
    <n v="-3.0783700999999999"/>
    <m/>
    <s v="Direct"/>
    <s v="Cell adhesion molecule"/>
  </r>
  <r>
    <x v="1"/>
    <x v="0"/>
    <s v="Ssiderea035505"/>
    <n v="1.21388472"/>
    <n v="2.3344818900000002"/>
    <m/>
    <s v="Direct"/>
    <s v="NA"/>
  </r>
  <r>
    <x v="1"/>
    <x v="0"/>
    <s v="Ssiderea035890"/>
    <n v="1.31509287"/>
    <n v="1.5027451999999999"/>
    <m/>
    <s v="Direct"/>
    <s v="NA"/>
  </r>
  <r>
    <x v="1"/>
    <x v="0"/>
    <s v="Ssiderea036714"/>
    <n v="3.2728305"/>
    <n v="3.37889018"/>
    <m/>
    <s v="Direct"/>
    <s v="NA"/>
  </r>
  <r>
    <x v="1"/>
    <x v="0"/>
    <s v="Ssiderea036834"/>
    <n v="1.64820465"/>
    <n v="4.7262262599999998"/>
    <m/>
    <s v="Direct"/>
    <s v="NA"/>
  </r>
  <r>
    <x v="1"/>
    <x v="0"/>
    <s v="Ssiderea037540"/>
    <n v="3.1439376000000001"/>
    <n v="1.9320198"/>
    <m/>
    <s v="Direct"/>
    <s v="Common central domain of tyrosinase"/>
  </r>
  <r>
    <x v="1"/>
    <x v="0"/>
    <s v="Ssiderea037541"/>
    <n v="6.1646299500000001"/>
    <n v="2.1975483200000001"/>
    <m/>
    <s v="Direct"/>
    <s v="serine-type endopeptidase inhibitor activity"/>
  </r>
  <r>
    <x v="1"/>
    <x v="0"/>
    <s v="Ssiderea037729"/>
    <n v="1.24255951"/>
    <n v="2.7627841200000001"/>
    <m/>
    <s v="Direct"/>
    <s v="quinone binding"/>
  </r>
  <r>
    <x v="1"/>
    <x v="0"/>
    <s v="Ssiderea037981"/>
    <n v="1.0149207099999999"/>
    <n v="1.3727483199999999"/>
    <m/>
    <s v="Direct"/>
    <s v="positive regulation of neuron projection development"/>
  </r>
  <r>
    <x v="1"/>
    <x v="0"/>
    <s v="Ssiderea038150"/>
    <n v="1.92626747"/>
    <n v="1.21653897"/>
    <m/>
    <s v="Direct"/>
    <s v="NA"/>
  </r>
  <r>
    <x v="1"/>
    <x v="0"/>
    <s v="Ssiderea038200"/>
    <n v="1.10727748"/>
    <n v="1.6771986299999999"/>
    <m/>
    <s v="Direct"/>
    <s v="Carboxylesterase family"/>
  </r>
  <r>
    <x v="1"/>
    <x v="0"/>
    <s v="Ssiderea038345"/>
    <n v="1.4963589900000001"/>
    <n v="3.12004993"/>
    <m/>
    <s v="Direct"/>
    <s v="Belongs to the TRAFAC class myosin-kinesin ATPase superfamily. Myosin family"/>
  </r>
  <r>
    <x v="1"/>
    <x v="0"/>
    <s v="Ssiderea038430"/>
    <n v="1.3625895800000001"/>
    <n v="2.56151748"/>
    <m/>
    <s v="Direct"/>
    <s v="structural constituent of cuticle"/>
  </r>
  <r>
    <x v="1"/>
    <x v="0"/>
    <s v="Ssiderea038439"/>
    <n v="1.64820465"/>
    <n v="4.8125358900000004"/>
    <m/>
    <s v="Direct"/>
    <s v="NA"/>
  </r>
  <r>
    <x v="1"/>
    <x v="0"/>
    <s v="Ssiderea038569"/>
    <n v="3.3708811700000001"/>
    <n v="2.7311530500000001"/>
    <m/>
    <s v="Direct"/>
    <s v="NA"/>
  </r>
  <r>
    <x v="1"/>
    <x v="0"/>
    <s v="Ssiderea038585"/>
    <n v="1.31509287"/>
    <n v="2.3520538700000002"/>
    <m/>
    <s v="Direct"/>
    <s v="NA"/>
  </r>
  <r>
    <x v="1"/>
    <x v="0"/>
    <s v="Ssiderea038691"/>
    <n v="1.13529499"/>
    <n v="2.7018541200000001"/>
    <m/>
    <s v="Direct"/>
    <s v="NA"/>
  </r>
  <r>
    <x v="1"/>
    <x v="0"/>
    <s v="Ssiderea039136"/>
    <n v="-1.9587758"/>
    <n v="-1.7078111"/>
    <m/>
    <s v="Direct"/>
    <s v="Mucin 4, cell surface associated"/>
  </r>
  <r>
    <x v="1"/>
    <x v="0"/>
    <s v="Ssiderea039263"/>
    <n v="1.6593037500000001"/>
    <n v="1.0746188000000001"/>
    <m/>
    <s v="Direct"/>
    <s v="Fibrillar collagens C-terminal domain"/>
  </r>
  <r>
    <x v="1"/>
    <x v="0"/>
    <s v="Ssiderea039355"/>
    <n v="1.8834079100000001"/>
    <n v="-1.2082265000000001"/>
    <m/>
    <s v="Inverse"/>
    <s v="60s ribosomal protein"/>
  </r>
  <r>
    <x v="1"/>
    <x v="0"/>
    <s v="Ssiderea039384"/>
    <n v="1.68379272"/>
    <n v="3.2867876599999999"/>
    <m/>
    <s v="Direct"/>
    <s v="NA"/>
  </r>
  <r>
    <x v="1"/>
    <x v="0"/>
    <s v="Ssiderea040225"/>
    <n v="1.00681891"/>
    <n v="-3.3501143999999998"/>
    <m/>
    <s v="Inverse"/>
    <s v="supervillin"/>
  </r>
  <r>
    <x v="1"/>
    <x v="0"/>
    <s v="Ssiderea040273"/>
    <n v="-1.0149207"/>
    <n v="-1.7842528"/>
    <m/>
    <s v="Direct"/>
    <s v="heterogeneous nuclear ribonucleoprotein"/>
  </r>
  <r>
    <x v="1"/>
    <x v="0"/>
    <s v="Ssiderea040656"/>
    <n v="1.0242743999999999"/>
    <n v="1.84667099"/>
    <m/>
    <s v="Direct"/>
    <s v="NA"/>
  </r>
  <r>
    <x v="1"/>
    <x v="0"/>
    <s v="Ssiderea041776"/>
    <n v="-1.2941459"/>
    <n v="-1.8261404000000001"/>
    <m/>
    <s v="Direct"/>
    <s v="Guanine nucleotide exchange factor for Ras-like small GTPases"/>
  </r>
  <r>
    <x v="1"/>
    <x v="0"/>
    <s v="Ssiderea042128"/>
    <n v="1.4068614500000001"/>
    <n v="1.5101600900000001"/>
    <m/>
    <s v="Direct"/>
    <s v="Myosin, light"/>
  </r>
  <r>
    <x v="1"/>
    <x v="0"/>
    <s v="Ssiderea042178"/>
    <n v="1.2913954999999999"/>
    <n v="1.6752047999999999"/>
    <m/>
    <s v="Direct"/>
    <s v="NA"/>
  </r>
  <r>
    <x v="1"/>
    <x v="0"/>
    <s v="Ssiderea042330"/>
    <n v="-1.0381205"/>
    <n v="-8.7179164"/>
    <m/>
    <s v="Direct"/>
    <s v="Sterol-sensing domain of SREBP cleavage-activation"/>
  </r>
  <r>
    <x v="1"/>
    <x v="0"/>
    <s v="Ssiderea042504"/>
    <n v="1.4595134400000001"/>
    <n v="1.2991021300000001"/>
    <m/>
    <s v="Direct"/>
    <s v="metal-dependent hydrolase with the TIM-barrel fold"/>
  </r>
  <r>
    <x v="1"/>
    <x v="0"/>
    <s v="Ssiderea042652"/>
    <n v="-1.0050384999999999"/>
    <n v="1.0870381899999999"/>
    <m/>
    <s v="Inverse"/>
    <s v="betaine-homocysteine S-methyltransferase activity"/>
  </r>
  <r>
    <x v="1"/>
    <x v="0"/>
    <s v="Ssiderea042819"/>
    <n v="2.0187827500000002"/>
    <n v="3.4049171999999999"/>
    <m/>
    <s v="Direct"/>
    <s v="NA"/>
  </r>
  <r>
    <x v="1"/>
    <x v="0"/>
    <s v="Ssiderea044659"/>
    <n v="1.6232497400000001"/>
    <n v="1.6577182800000001"/>
    <m/>
    <s v="Direct"/>
    <s v="Malate dehydrogenase"/>
  </r>
  <r>
    <x v="1"/>
    <x v="0"/>
    <s v="Ssiderea044678"/>
    <n v="-2.7201409999999999"/>
    <n v="-7.5484952999999999"/>
    <m/>
    <s v="Direct"/>
    <s v="annexin A6"/>
  </r>
  <r>
    <x v="1"/>
    <x v="0"/>
    <s v="Ssiderea044860"/>
    <n v="1.29493049"/>
    <n v="1.31802832"/>
    <m/>
    <s v="Direct"/>
    <s v="Ndr family"/>
  </r>
  <r>
    <x v="1"/>
    <x v="0"/>
    <s v="Ssiderea045223"/>
    <n v="2.35266529"/>
    <n v="3.6073185200000002"/>
    <m/>
    <s v="Direct"/>
    <s v="ephrin receptor binding"/>
  </r>
  <r>
    <x v="1"/>
    <x v="0"/>
    <s v="Ssiderea045236"/>
    <n v="1.57435002"/>
    <n v="2.9308396499999998"/>
    <m/>
    <s v="Direct"/>
    <s v="NA"/>
  </r>
  <r>
    <x v="1"/>
    <x v="0"/>
    <s v="Ssiderea045901"/>
    <n v="1.0771981900000001"/>
    <n v="1.0643857400000001"/>
    <m/>
    <s v="Direct"/>
    <s v="benzodiazepine receptor binding"/>
  </r>
  <r>
    <x v="1"/>
    <x v="0"/>
    <s v="Ssiderea046072"/>
    <n v="1.15719891"/>
    <n v="1.1315354900000001"/>
    <m/>
    <s v="Direct"/>
    <s v="acetyltransferase activator activity"/>
  </r>
  <r>
    <x v="1"/>
    <x v="0"/>
    <s v="Ssiderea047239"/>
    <n v="1.07879763"/>
    <n v="3.1685894999999999"/>
    <m/>
    <s v="Direct"/>
    <s v="brca1 gene 1"/>
  </r>
  <r>
    <x v="1"/>
    <x v="0"/>
    <s v="Ssiderea047625"/>
    <n v="1.40406717"/>
    <n v="-1.1397056000000001"/>
    <m/>
    <s v="Inverse"/>
    <s v="ribosomal protein"/>
  </r>
  <r>
    <x v="1"/>
    <x v="0"/>
    <s v="Ssiderea047859"/>
    <n v="-1.2792271"/>
    <n v="-3.001728"/>
    <m/>
    <s v="Direct"/>
    <s v="Belongs to the peptidase M10A family"/>
  </r>
  <r>
    <x v="1"/>
    <x v="0"/>
    <s v="Ssiderea048360"/>
    <n v="6.1646299500000001"/>
    <n v="8.4227492399999999"/>
    <m/>
    <s v="Direct"/>
    <s v="Serpentine type 7TM GPCR chemoreceptor Srx"/>
  </r>
  <r>
    <x v="1"/>
    <x v="0"/>
    <s v="Ssiderea048486"/>
    <n v="1.0347069099999999"/>
    <n v="2.1981066199999999"/>
    <m/>
    <s v="Direct"/>
    <s v="NA"/>
  </r>
  <r>
    <x v="1"/>
    <x v="0"/>
    <s v="Ssiderea049169"/>
    <n v="1.07879763"/>
    <n v="-1.7186322000000001"/>
    <m/>
    <s v="Inverse"/>
    <s v="translation"/>
  </r>
  <r>
    <x v="1"/>
    <x v="0"/>
    <s v="Ssiderea049437"/>
    <n v="4.6163805499999997"/>
    <n v="5.87131267"/>
    <m/>
    <s v="Direct"/>
    <s v="NA"/>
  </r>
  <r>
    <x v="1"/>
    <x v="0"/>
    <s v="Ssiderea050054"/>
    <n v="1.15682391"/>
    <n v="7.99267124"/>
    <m/>
    <s v="Direct"/>
    <s v="Macrophage migration inhibitory"/>
  </r>
  <r>
    <x v="1"/>
    <x v="0"/>
    <s v="Ssiderea050946"/>
    <n v="1.58912122"/>
    <n v="1.24656751"/>
    <m/>
    <s v="Direct"/>
    <s v="NA"/>
  </r>
  <r>
    <x v="1"/>
    <x v="0"/>
    <s v="Ssiderea050947"/>
    <n v="2.8765767000000002"/>
    <n v="6.8848763499999999"/>
    <m/>
    <s v="Direct"/>
    <s v="NA"/>
  </r>
  <r>
    <x v="1"/>
    <x v="0"/>
    <s v="Ssiderea051123"/>
    <n v="1.70171962"/>
    <n v="1.2066506400000001"/>
    <m/>
    <s v="Direct"/>
    <s v="7SK snRNA binding"/>
  </r>
  <r>
    <x v="1"/>
    <x v="0"/>
    <s v="Ssiderea051176"/>
    <n v="1.09386779"/>
    <n v="4.1854313300000001"/>
    <m/>
    <s v="Direct"/>
    <s v="Ubiquitin-2 like Rad60 SUMO-like"/>
  </r>
  <r>
    <x v="1"/>
    <x v="0"/>
    <s v="Ssiderea051243"/>
    <n v="2.49302373"/>
    <n v="1.73770578"/>
    <m/>
    <s v="Direct"/>
    <s v="NA"/>
  </r>
  <r>
    <x v="1"/>
    <x v="0"/>
    <s v="Ssiderea051443"/>
    <n v="1.07205949"/>
    <n v="-1.2198038"/>
    <m/>
    <s v="Inverse"/>
    <s v="ribosomal large subunit assembly"/>
  </r>
  <r>
    <x v="1"/>
    <x v="0"/>
    <s v="Ssiderea051574"/>
    <n v="1.08209423"/>
    <n v="1.3395321"/>
    <m/>
    <s v="Direct"/>
    <s v="Secreted frizzled-related protein"/>
  </r>
  <r>
    <x v="1"/>
    <x v="0"/>
    <s v="Ssiderea051703"/>
    <n v="1.27308785"/>
    <n v="2.9916871600000001"/>
    <m/>
    <s v="Direct"/>
    <s v="Glutathione S-transferase, C-terminal domain"/>
  </r>
  <r>
    <x v="1"/>
    <x v="0"/>
    <s v="Ssiderea051704"/>
    <n v="2.3463181299999998"/>
    <n v="5.6046958800000004"/>
    <m/>
    <s v="Direct"/>
    <s v="Glutathione S-transferase, C-terminal domain"/>
  </r>
  <r>
    <x v="1"/>
    <x v="0"/>
    <s v="Ssiderea051780"/>
    <n v="-1.8615272"/>
    <n v="-7.1668802999999999"/>
    <m/>
    <s v="Direct"/>
    <s v="NA"/>
  </r>
  <r>
    <x v="1"/>
    <x v="0"/>
    <s v="Ssiderea051895"/>
    <n v="1.25238893"/>
    <n v="3.1817161999999999"/>
    <m/>
    <s v="Direct"/>
    <s v="[heparan sulfate]-glucosamine N-sulfotransferase activity"/>
  </r>
  <r>
    <x v="1"/>
    <x v="0"/>
    <s v="Ssiderea052005"/>
    <n v="1.08867647"/>
    <n v="2.8119184100000001"/>
    <m/>
    <s v="Direct"/>
    <s v="GTP-specific succinyl-CoA synthetase functions in the citric acid cycle (TCA), coupling the hydrolysis of succinyl-CoA to the synthesis of GTP and thus represents the only step of substrate-level phosphorylation in the TCA. The beta subunit provides nucle"/>
  </r>
  <r>
    <x v="1"/>
    <x v="0"/>
    <s v="Ssiderea052054"/>
    <n v="1.0381205099999999"/>
    <n v="2.1766210799999999"/>
    <m/>
    <s v="Direct"/>
    <s v="Carboxypeptidase"/>
  </r>
  <r>
    <x v="1"/>
    <x v="0"/>
    <s v="Ssiderea052229"/>
    <n v="1.40049479"/>
    <n v="8.4163946099999993"/>
    <m/>
    <s v="Direct"/>
    <s v="NA"/>
  </r>
  <r>
    <x v="1"/>
    <x v="0"/>
    <s v="Ssiderea052394"/>
    <n v="4.4506834900000003"/>
    <n v="2.6335064400000001"/>
    <m/>
    <s v="Direct"/>
    <s v="NA"/>
  </r>
  <r>
    <x v="1"/>
    <x v="0"/>
    <s v="Ssiderea052473"/>
    <n v="1.2193882199999999"/>
    <n v="5.3595283"/>
    <m/>
    <s v="Direct"/>
    <s v="Cupin-like domain"/>
  </r>
  <r>
    <x v="1"/>
    <x v="0"/>
    <s v="Ssiderea052887"/>
    <n v="1.0765200699999999"/>
    <n v="2.0588776900000001"/>
    <m/>
    <s v="Direct"/>
    <s v="electron transfer activity"/>
  </r>
  <r>
    <x v="1"/>
    <x v="0"/>
    <s v="Ssiderea053049"/>
    <n v="1.3276384299999999"/>
    <n v="1.68452201"/>
    <m/>
    <s v="Direct"/>
    <s v="adherens junction organization"/>
  </r>
  <r>
    <x v="1"/>
    <x v="0"/>
    <s v="Ssiderea053777"/>
    <n v="1.2660968500000001"/>
    <n v="3.01214147"/>
    <m/>
    <s v="Direct"/>
    <s v="actin monomer binding"/>
  </r>
  <r>
    <x v="1"/>
    <x v="0"/>
    <s v="Ssiderea053828"/>
    <n v="1.0047513299999999"/>
    <n v="14.598974399999999"/>
    <m/>
    <s v="Direct"/>
    <s v="NA"/>
  </r>
  <r>
    <x v="1"/>
    <x v="0"/>
    <s v="Ssiderea054350"/>
    <n v="1.2193882199999999"/>
    <n v="-3.7352626999999998"/>
    <m/>
    <s v="Inverse"/>
    <s v="Transferrin"/>
  </r>
  <r>
    <x v="1"/>
    <x v="0"/>
    <s v="Ssiderea054485"/>
    <n v="2.2508727199999998"/>
    <n v="-5.9266889999999997"/>
    <m/>
    <s v="Inverse"/>
    <s v="Solute carrier family 12"/>
  </r>
  <r>
    <x v="1"/>
    <x v="0"/>
    <s v="Ssiderea054517"/>
    <n v="1.6058093099999999"/>
    <n v="8.7807228100000003"/>
    <m/>
    <s v="Direct"/>
    <s v="Universal stress protein family"/>
  </r>
  <r>
    <x v="1"/>
    <x v="0"/>
    <s v="Ssiderea054861"/>
    <n v="-1.2784472"/>
    <n v="-8.6213777999999994"/>
    <m/>
    <s v="Direct"/>
    <s v="NA"/>
  </r>
  <r>
    <x v="1"/>
    <x v="0"/>
    <s v="Ssiderea054862"/>
    <n v="-1.3607354"/>
    <n v="-12.678008999999999"/>
    <m/>
    <s v="Direct"/>
    <s v="NA"/>
  </r>
  <r>
    <x v="1"/>
    <x v="0"/>
    <s v="Ssiderea055226"/>
    <n v="1.2784472099999999"/>
    <n v="1.66871127"/>
    <m/>
    <s v="Direct"/>
    <s v="glucuronosyltransferase activity"/>
  </r>
  <r>
    <x v="1"/>
    <x v="0"/>
    <s v="Ssiderea055233"/>
    <n v="1.8378983900000001"/>
    <n v="8.3685025"/>
    <m/>
    <s v="Direct"/>
    <s v="glucuronosyltransferase activity"/>
  </r>
  <r>
    <x v="1"/>
    <x v="0"/>
    <s v="Ssiderea055265"/>
    <n v="1.8615271900000001"/>
    <n v="7.25627683"/>
    <m/>
    <s v="Direct"/>
    <s v="NA"/>
  </r>
  <r>
    <x v="1"/>
    <x v="0"/>
    <s v="Ssiderea058819"/>
    <n v="5.77734682"/>
    <n v="2.6868210600000002"/>
    <m/>
    <s v="Direct"/>
    <s v="NA"/>
  </r>
  <r>
    <x v="1"/>
    <x v="0"/>
    <s v="Ssiderea059107"/>
    <n v="-1.0704254"/>
    <n v="-1.1362798999999999"/>
    <m/>
    <s v="Direct"/>
    <s v="plexin domain-containing protein"/>
  </r>
  <r>
    <x v="1"/>
    <x v="0"/>
    <s v="Ssiderea60367"/>
    <n v="2.02401213"/>
    <n v="3.6442302400000002"/>
    <m/>
    <s v="Direct"/>
    <s v="serine-type endopeptidase activity"/>
  </r>
  <r>
    <x v="1"/>
    <x v="0"/>
    <s v="Ssiderea60478"/>
    <n v="-1.5108604999999999"/>
    <n v="-1.0427093999999999"/>
    <m/>
    <s v="Direct"/>
    <s v="NA"/>
  </r>
  <r>
    <x v="1"/>
    <x v="0"/>
    <s v="Ssiderea60508"/>
    <n v="1.15727585"/>
    <n v="1.4888713200000001"/>
    <m/>
    <s v="Direct"/>
    <s v="NA"/>
  </r>
  <r>
    <x v="1"/>
    <x v="0"/>
    <s v="Ssiderea60633"/>
    <n v="1.29493049"/>
    <n v="1.11019157"/>
    <m/>
    <s v="Direct"/>
    <s v="NA"/>
  </r>
  <r>
    <x v="1"/>
    <x v="0"/>
    <s v="Ssiderea62250"/>
    <n v="1.33607297"/>
    <n v="4.2065245100000004"/>
    <m/>
    <s v="Direct"/>
    <s v="tumor necrosis factor"/>
  </r>
  <r>
    <x v="1"/>
    <x v="0"/>
    <s v="Ssiderea62342"/>
    <n v="4.7842951999999999"/>
    <n v="6.4876611899999999"/>
    <m/>
    <s v="Direct"/>
    <s v="NA"/>
  </r>
  <r>
    <x v="1"/>
    <x v="0"/>
    <s v="Ssiderea62687"/>
    <n v="1.04715443"/>
    <n v="2.4244434899999998"/>
    <m/>
    <s v="Direct"/>
    <s v="molting cycle, collagen and cuticulin-based cuticle"/>
  </r>
  <r>
    <x v="1"/>
    <x v="0"/>
    <s v="Ssiderea62892"/>
    <n v="1.05599881"/>
    <n v="1.02458129"/>
    <m/>
    <s v="Direct"/>
    <s v="NA"/>
  </r>
  <r>
    <x v="1"/>
    <x v="1"/>
    <s v="Ssiderea000142"/>
    <n v="1.7522056699999999"/>
    <m/>
    <n v="2.3708370699999999"/>
    <s v="Direct"/>
    <s v="myosin VI binding"/>
  </r>
  <r>
    <x v="1"/>
    <x v="1"/>
    <s v="Ssiderea000160"/>
    <n v="1.2452235300000001"/>
    <m/>
    <n v="2.05873982"/>
    <s v="Direct"/>
    <s v="Mitochondrial membrane ATP synthase (F(1)F(0) ATP synthase or Complex V) produces ATP from ADP in the presence of a proton gradient across the membrane which is generated by electron transport complexes of the respiratory chain. F-type ATPases consist of "/>
  </r>
  <r>
    <x v="1"/>
    <x v="1"/>
    <s v="Ssiderea000534"/>
    <n v="1.1859069"/>
    <m/>
    <n v="-1.0051444"/>
    <s v="Inverse"/>
    <s v="ribosomal protein"/>
  </r>
  <r>
    <x v="1"/>
    <x v="1"/>
    <s v="Ssiderea000695"/>
    <n v="1.5397961099999999"/>
    <m/>
    <n v="4.4972337099999997"/>
    <s v="Direct"/>
    <s v="NA"/>
  </r>
  <r>
    <x v="1"/>
    <x v="1"/>
    <s v="Ssiderea000744"/>
    <n v="6.1646299500000001"/>
    <m/>
    <n v="1.9749037199999999"/>
    <s v="Direct"/>
    <s v="NA"/>
  </r>
  <r>
    <x v="1"/>
    <x v="1"/>
    <s v="Ssiderea001415"/>
    <n v="1.67060835"/>
    <m/>
    <n v="2.5265857999999999"/>
    <s v="Direct"/>
    <s v="NA"/>
  </r>
  <r>
    <x v="1"/>
    <x v="1"/>
    <s v="Ssiderea001633"/>
    <n v="1.01286221"/>
    <m/>
    <n v="-2.5076499000000001"/>
    <s v="Inverse"/>
    <s v="protein folding in endoplasmic reticulum"/>
  </r>
  <r>
    <x v="1"/>
    <x v="1"/>
    <s v="Ssiderea001921"/>
    <n v="1.32573356"/>
    <m/>
    <n v="5.3829510999999997"/>
    <s v="Direct"/>
    <s v="axonal fasciculation"/>
  </r>
  <r>
    <x v="1"/>
    <x v="1"/>
    <s v="Ssiderea002122"/>
    <n v="1.0784042700000001"/>
    <m/>
    <n v="-1.57579"/>
    <s v="Inverse"/>
    <s v="rRNA binding"/>
  </r>
  <r>
    <x v="1"/>
    <x v="1"/>
    <s v="Ssiderea002156"/>
    <n v="1.1112109299999999"/>
    <m/>
    <n v="3.3947625100000001"/>
    <s v="Direct"/>
    <s v="NA"/>
  </r>
  <r>
    <x v="1"/>
    <x v="1"/>
    <s v="Ssiderea002178"/>
    <n v="-5.6401345999999997"/>
    <m/>
    <n v="-1.3685020999999999"/>
    <s v="Direct"/>
    <s v="erythroblast transformation specific domain"/>
  </r>
  <r>
    <x v="1"/>
    <x v="1"/>
    <s v="Ssiderea002627"/>
    <n v="-1.9587758"/>
    <m/>
    <n v="-1.3239483999999999"/>
    <s v="Direct"/>
    <s v="NA"/>
  </r>
  <r>
    <x v="1"/>
    <x v="1"/>
    <s v="Ssiderea003480"/>
    <n v="2.0426789699999999"/>
    <m/>
    <n v="1.76035443"/>
    <s v="Direct"/>
    <s v="NA"/>
  </r>
  <r>
    <x v="1"/>
    <x v="1"/>
    <s v="Ssiderea003482"/>
    <n v="1.78281076"/>
    <m/>
    <n v="1.78292155"/>
    <s v="Direct"/>
    <s v="Tropomyosin"/>
  </r>
  <r>
    <x v="1"/>
    <x v="1"/>
    <s v="Ssiderea003526"/>
    <n v="1.3069108"/>
    <m/>
    <n v="-1.0366390000000001"/>
    <s v="Inverse"/>
    <s v="NA"/>
  </r>
  <r>
    <x v="1"/>
    <x v="1"/>
    <s v="Ssiderea003783"/>
    <n v="1.5177126299999999"/>
    <m/>
    <n v="1.978942"/>
    <s v="Direct"/>
    <s v="ATP binding"/>
  </r>
  <r>
    <x v="1"/>
    <x v="1"/>
    <s v="Ssiderea004149"/>
    <n v="1.64820465"/>
    <m/>
    <n v="1.80673156"/>
    <s v="Direct"/>
    <s v="protein folding"/>
  </r>
  <r>
    <x v="1"/>
    <x v="1"/>
    <s v="Ssiderea004285"/>
    <n v="1.3888347400000001"/>
    <m/>
    <n v="3.6164189499999999"/>
    <s v="Direct"/>
    <s v="Serine peptidase inhibitor, Kunitz type, 2"/>
  </r>
  <r>
    <x v="1"/>
    <x v="1"/>
    <s v="Ssiderea004288"/>
    <n v="2.8132454299999998"/>
    <m/>
    <n v="1.8890097299999999"/>
    <s v="Direct"/>
    <s v="NA"/>
  </r>
  <r>
    <x v="1"/>
    <x v="1"/>
    <s v="Ssiderea004374"/>
    <n v="1.2692207200000001"/>
    <m/>
    <n v="1.1082088400000001"/>
    <s v="Direct"/>
    <s v="neurotrophin TRKA receptor binding"/>
  </r>
  <r>
    <x v="1"/>
    <x v="1"/>
    <s v="Ssiderea004457"/>
    <n v="2.5724129499999999"/>
    <m/>
    <n v="1.6437596299999999"/>
    <s v="Direct"/>
    <s v="detection of mechanical stimulus"/>
  </r>
  <r>
    <x v="1"/>
    <x v="1"/>
    <s v="Ssiderea005345"/>
    <n v="1.0539083199999999"/>
    <m/>
    <n v="2.1896956099999998"/>
    <s v="Direct"/>
    <s v="NA"/>
  </r>
  <r>
    <x v="1"/>
    <x v="1"/>
    <s v="Ssiderea005375"/>
    <n v="1.1695463800000001"/>
    <m/>
    <n v="9.4405262600000004"/>
    <s v="Direct"/>
    <s v="NA"/>
  </r>
  <r>
    <x v="1"/>
    <x v="1"/>
    <s v="Ssiderea005376"/>
    <n v="1.2193882199999999"/>
    <m/>
    <n v="17.830170800000001"/>
    <s v="Direct"/>
    <s v="NA"/>
  </r>
  <r>
    <x v="1"/>
    <x v="1"/>
    <s v="Ssiderea005439"/>
    <n v="2.3777213800000001"/>
    <m/>
    <n v="1.6722450600000001"/>
    <s v="Direct"/>
    <s v="Ras association (RalGDS/AF-6) domain"/>
  </r>
  <r>
    <x v="1"/>
    <x v="1"/>
    <s v="Ssiderea005967"/>
    <n v="1.1155167800000001"/>
    <m/>
    <n v="1.0849184199999999"/>
    <s v="Direct"/>
    <s v="D-serine biosynthetic process"/>
  </r>
  <r>
    <x v="1"/>
    <x v="1"/>
    <s v="Ssiderea006334"/>
    <n v="1.31255294"/>
    <m/>
    <n v="1.04601451"/>
    <s v="Direct"/>
    <s v="Calcium ion binding. It is involved in the biological process described with cell adhesion"/>
  </r>
  <r>
    <x v="1"/>
    <x v="1"/>
    <s v="Ssiderea006406"/>
    <n v="5.7648508400000003"/>
    <m/>
    <n v="1.0273283900000001"/>
    <s v="Direct"/>
    <s v="NA"/>
  </r>
  <r>
    <x v="1"/>
    <x v="1"/>
    <s v="Ssiderea006435"/>
    <n v="1.2205707100000001"/>
    <m/>
    <n v="-3.4482434"/>
    <s v="Inverse"/>
    <s v="structural constituent of ribosome"/>
  </r>
  <r>
    <x v="1"/>
    <x v="1"/>
    <s v="Ssiderea006441"/>
    <n v="1.1016018400000001"/>
    <m/>
    <n v="2.8990497300000002"/>
    <s v="Direct"/>
    <s v="gamete generation"/>
  </r>
  <r>
    <x v="1"/>
    <x v="1"/>
    <s v="Ssiderea006599"/>
    <n v="1.7473904499999999"/>
    <m/>
    <n v="1.1109686999999999"/>
    <s v="Direct"/>
    <s v="supervillin"/>
  </r>
  <r>
    <x v="1"/>
    <x v="1"/>
    <s v="Ssiderea006779"/>
    <n v="1.4572205600000001"/>
    <m/>
    <n v="2.0387504500000002"/>
    <s v="Direct"/>
    <s v="N-acetyltransferase 16"/>
  </r>
  <r>
    <x v="1"/>
    <x v="1"/>
    <s v="Ssiderea006856"/>
    <n v="1.0904842100000001"/>
    <m/>
    <n v="1.3455037000000001"/>
    <s v="Direct"/>
    <s v="NA"/>
  </r>
  <r>
    <x v="1"/>
    <x v="1"/>
    <s v="Ssiderea006928"/>
    <n v="1.64053608"/>
    <m/>
    <n v="1.79534214"/>
    <s v="Direct"/>
    <s v="NA"/>
  </r>
  <r>
    <x v="1"/>
    <x v="1"/>
    <s v="Ssiderea006929"/>
    <n v="1.2480539399999999"/>
    <m/>
    <n v="1.30093334"/>
    <s v="Direct"/>
    <s v="NA"/>
  </r>
  <r>
    <x v="1"/>
    <x v="1"/>
    <s v="Ssiderea006932"/>
    <n v="1.64053608"/>
    <m/>
    <n v="1.6835492700000001"/>
    <s v="Direct"/>
    <s v="NA"/>
  </r>
  <r>
    <x v="1"/>
    <x v="1"/>
    <s v="Ssiderea007939"/>
    <n v="1.09386779"/>
    <m/>
    <n v="-2.3645752999999998"/>
    <s v="Inverse"/>
    <s v="structural constituent of ribosome"/>
  </r>
  <r>
    <x v="1"/>
    <x v="1"/>
    <s v="Ssiderea008049"/>
    <n v="1.40406717"/>
    <m/>
    <n v="1.19476669"/>
    <s v="Direct"/>
    <s v="Family with sequence similarity 188, member B"/>
  </r>
  <r>
    <x v="1"/>
    <x v="1"/>
    <s v="Ssiderea008293"/>
    <n v="1.0744647700000001"/>
    <m/>
    <n v="3.56308874"/>
    <s v="Direct"/>
    <s v="UPF0728 protein C10orf53 homolog"/>
  </r>
  <r>
    <x v="1"/>
    <x v="1"/>
    <s v="Ssiderea008900"/>
    <n v="1.57972051"/>
    <m/>
    <n v="-1.2842534999999999"/>
    <s v="Inverse"/>
    <s v="Belongs to the universal ribosomal protein uL5 family"/>
  </r>
  <r>
    <x v="1"/>
    <x v="1"/>
    <s v="Ssiderea009047"/>
    <n v="1.46776376"/>
    <m/>
    <n v="2.9203749600000002"/>
    <s v="Direct"/>
    <s v="Coagulation factor 5/8 C-terminal domain, discoidin domain"/>
  </r>
  <r>
    <x v="1"/>
    <x v="1"/>
    <s v="Ssiderea009116"/>
    <n v="1.67484967"/>
    <m/>
    <n v="-1.8685773000000001"/>
    <s v="Inverse"/>
    <s v="Lipocalin-like domain"/>
  </r>
  <r>
    <x v="1"/>
    <x v="1"/>
    <s v="Ssiderea009538"/>
    <n v="1.0088047899999999"/>
    <m/>
    <n v="4.4916399399999998"/>
    <s v="Direct"/>
    <s v="Histone h2b"/>
  </r>
  <r>
    <x v="1"/>
    <x v="1"/>
    <s v="Ssiderea009898"/>
    <n v="1.08724796"/>
    <m/>
    <n v="-1.0460400000000001"/>
    <s v="Inverse"/>
    <s v="Papain family cysteine protease"/>
  </r>
  <r>
    <x v="1"/>
    <x v="1"/>
    <s v="Ssiderea009999"/>
    <n v="1.9971376300000001"/>
    <m/>
    <n v="-109.86731"/>
    <s v="Inverse"/>
    <s v="Acid trehalase-like"/>
  </r>
  <r>
    <x v="1"/>
    <x v="1"/>
    <s v="Ssiderea010003"/>
    <n v="1.98756289"/>
    <m/>
    <n v="1.0274945"/>
    <s v="Direct"/>
    <s v="NA"/>
  </r>
  <r>
    <x v="1"/>
    <x v="1"/>
    <s v="Ssiderea010040"/>
    <n v="1.0481929400000001"/>
    <m/>
    <n v="6.3243289300000001"/>
    <s v="Direct"/>
    <s v="NAD/NADP octopine/nopaline dehydrogenase, alpha-helical domain"/>
  </r>
  <r>
    <x v="1"/>
    <x v="1"/>
    <s v="Ssiderea010197"/>
    <n v="1.0030707299999999"/>
    <m/>
    <n v="3.67355483"/>
    <s v="Direct"/>
    <s v="Connector enhancer of kinase suppressor of ras"/>
  </r>
  <r>
    <x v="1"/>
    <x v="1"/>
    <s v="Ssiderea010376"/>
    <n v="1.03931306"/>
    <m/>
    <n v="1.8299234799999999"/>
    <s v="Direct"/>
    <s v="homogentisate 1,2-dioxygenase activity"/>
  </r>
  <r>
    <x v="1"/>
    <x v="1"/>
    <s v="Ssiderea010957"/>
    <n v="1.1929676"/>
    <m/>
    <n v="-1.606101"/>
    <s v="Inverse"/>
    <s v="ribosomal protein"/>
  </r>
  <r>
    <x v="1"/>
    <x v="1"/>
    <s v="Ssiderea011174"/>
    <n v="3.5357075199999999"/>
    <m/>
    <n v="3.5444852400000002"/>
    <s v="Direct"/>
    <s v="serine-type endopeptidase inhibitor activity"/>
  </r>
  <r>
    <x v="1"/>
    <x v="1"/>
    <s v="Ssiderea011572"/>
    <n v="1.4888151700000001"/>
    <m/>
    <n v="1.40909935"/>
    <s v="Direct"/>
    <s v="NA"/>
  </r>
  <r>
    <x v="1"/>
    <x v="1"/>
    <s v="Ssiderea011577"/>
    <n v="1.3145652800000001"/>
    <m/>
    <n v="1.4897781299999999"/>
    <s v="Direct"/>
    <s v="NA"/>
  </r>
  <r>
    <x v="1"/>
    <x v="1"/>
    <s v="Ssiderea011646"/>
    <n v="1.03254757"/>
    <m/>
    <n v="11.777503599999999"/>
    <s v="Direct"/>
    <s v="Scavenger receptor Cys-rich"/>
  </r>
  <r>
    <x v="1"/>
    <x v="1"/>
    <s v="Ssiderea011989"/>
    <n v="-1.2193882"/>
    <m/>
    <n v="-1.0215752"/>
    <s v="Direct"/>
    <s v="mRNA processing"/>
  </r>
  <r>
    <x v="1"/>
    <x v="1"/>
    <s v="Ssiderea012117"/>
    <n v="3.12664125"/>
    <m/>
    <n v="1.27206409"/>
    <s v="Direct"/>
    <s v="Sushi, von Willebrand factor type A, EGF and pentraxin domain-containing protein 1-like"/>
  </r>
  <r>
    <x v="1"/>
    <x v="1"/>
    <s v="Ssiderea012121"/>
    <n v="1.27562229"/>
    <m/>
    <n v="1.8879718599999999"/>
    <s v="Direct"/>
    <s v="Lipoxygenase homology"/>
  </r>
  <r>
    <x v="1"/>
    <x v="1"/>
    <s v="Ssiderea012122"/>
    <n v="3.2722061199999999"/>
    <m/>
    <n v="3.0585851499999999"/>
    <s v="Direct"/>
    <s v="Lipoxygenase homology"/>
  </r>
  <r>
    <x v="1"/>
    <x v="1"/>
    <s v="Ssiderea012146"/>
    <n v="1.33362399"/>
    <m/>
    <n v="3.88025507"/>
    <s v="Direct"/>
    <s v="Ubiquitin-like modifier"/>
  </r>
  <r>
    <x v="1"/>
    <x v="1"/>
    <s v="Ssiderea012241"/>
    <n v="1.2679007"/>
    <m/>
    <n v="3.1907296399999998"/>
    <s v="Direct"/>
    <s v="cytoskeletal anchoring at plasma membrane"/>
  </r>
  <r>
    <x v="1"/>
    <x v="1"/>
    <s v="Ssiderea012793"/>
    <n v="1.0968898899999999"/>
    <m/>
    <n v="-1.6522935000000001"/>
    <s v="Inverse"/>
    <s v="positive regulation of Golgi to plasma membrane protein transport"/>
  </r>
  <r>
    <x v="1"/>
    <x v="1"/>
    <s v="Ssiderea013116"/>
    <n v="1.5532327100000001"/>
    <m/>
    <n v="1.8897039200000001"/>
    <s v="Direct"/>
    <s v="Belongs to the peptidase S1 family"/>
  </r>
  <r>
    <x v="1"/>
    <x v="1"/>
    <s v="Ssiderea013120"/>
    <n v="2.6508131700000002"/>
    <m/>
    <n v="1.26702117"/>
    <s v="Direct"/>
    <s v="serine-type endopeptidase activity"/>
  </r>
  <r>
    <x v="1"/>
    <x v="1"/>
    <s v="Ssiderea013295"/>
    <n v="1.1517859699999999"/>
    <m/>
    <n v="2.5967800900000002"/>
    <s v="Direct"/>
    <s v="positive regulation of skeletal muscle acetylcholine-gated channel clustering"/>
  </r>
  <r>
    <x v="1"/>
    <x v="1"/>
    <s v="Ssiderea013350"/>
    <n v="1.08867647"/>
    <m/>
    <n v="3.4066542499999999"/>
    <s v="Direct"/>
    <s v="NA"/>
  </r>
  <r>
    <x v="1"/>
    <x v="1"/>
    <s v="Ssiderea013425"/>
    <n v="1.2690814800000001"/>
    <m/>
    <n v="3.7331735400000001"/>
    <s v="Direct"/>
    <s v="Sulfide quinone"/>
  </r>
  <r>
    <x v="1"/>
    <x v="1"/>
    <s v="Ssiderea013701"/>
    <n v="1.0430862599999999"/>
    <m/>
    <n v="2.8614752999999999"/>
    <s v="Direct"/>
    <s v="hematopoietic cell-specific Lyn substrate 1"/>
  </r>
  <r>
    <x v="1"/>
    <x v="1"/>
    <s v="Ssiderea013791"/>
    <n v="1.1843860500000001"/>
    <m/>
    <n v="-1.6325700000000001"/>
    <s v="Inverse"/>
    <s v="regulation of mitotic cell cycle"/>
  </r>
  <r>
    <x v="1"/>
    <x v="1"/>
    <s v="Ssiderea014521"/>
    <n v="3.2228757799999999"/>
    <m/>
    <n v="2.2444722100000001"/>
    <s v="Direct"/>
    <s v="NA"/>
  </r>
  <r>
    <x v="1"/>
    <x v="1"/>
    <s v="Ssiderea014540"/>
    <n v="1.17323139"/>
    <m/>
    <n v="-5.4200745000000001"/>
    <s v="Inverse"/>
    <s v="RNA-binding protein Musashi homolog"/>
  </r>
  <r>
    <x v="1"/>
    <x v="1"/>
    <s v="Ssiderea014556"/>
    <n v="-1.7818559"/>
    <m/>
    <n v="-2.4189177000000002"/>
    <s v="Direct"/>
    <s v="Paired box 3"/>
  </r>
  <r>
    <x v="1"/>
    <x v="1"/>
    <s v="Ssiderea014817"/>
    <n v="1.15682391"/>
    <m/>
    <n v="2.23616496"/>
    <s v="Direct"/>
    <s v="o-methyltransferase"/>
  </r>
  <r>
    <x v="1"/>
    <x v="1"/>
    <s v="Ssiderea014838"/>
    <n v="1.2784472099999999"/>
    <m/>
    <n v="14.6434598"/>
    <s v="Direct"/>
    <s v="regulation of endoplasmic reticulum stress-induced intrinsic apoptotic signaling pathway"/>
  </r>
  <r>
    <x v="1"/>
    <x v="1"/>
    <s v="Ssiderea014953"/>
    <n v="1.03274881"/>
    <m/>
    <n v="3.56308874"/>
    <s v="Direct"/>
    <s v="NA"/>
  </r>
  <r>
    <x v="1"/>
    <x v="1"/>
    <s v="Ssiderea015074"/>
    <n v="-1.3385383"/>
    <m/>
    <n v="-1.2647656"/>
    <s v="Direct"/>
    <s v="peptidase inhibitor activity"/>
  </r>
  <r>
    <x v="1"/>
    <x v="1"/>
    <s v="Ssiderea015151"/>
    <n v="1.1287037799999999"/>
    <m/>
    <n v="-2.4545808"/>
    <s v="Inverse"/>
    <s v="serine arginine-rich splicing factor"/>
  </r>
  <r>
    <x v="1"/>
    <x v="1"/>
    <s v="Ssiderea015272"/>
    <n v="1.46781206"/>
    <m/>
    <n v="-2.5925550999999998"/>
    <s v="Inverse"/>
    <s v="protein-cysteine S-acyltransferase activity"/>
  </r>
  <r>
    <x v="1"/>
    <x v="1"/>
    <s v="Ssiderea015527"/>
    <n v="-1.0938677999999999"/>
    <m/>
    <n v="-1.0761411000000001"/>
    <s v="Direct"/>
    <s v="NA"/>
  </r>
  <r>
    <x v="1"/>
    <x v="1"/>
    <s v="Ssiderea015602"/>
    <n v="1.31255294"/>
    <m/>
    <n v="-3.3125594999999999"/>
    <s v="Inverse"/>
    <s v="translational elongation"/>
  </r>
  <r>
    <x v="1"/>
    <x v="1"/>
    <s v="Ssiderea015872"/>
    <n v="2.0163131500000002"/>
    <m/>
    <n v="4.6928096300000002"/>
    <s v="Direct"/>
    <s v="structural constituent of cuticle"/>
  </r>
  <r>
    <x v="1"/>
    <x v="1"/>
    <s v="Ssiderea016156"/>
    <n v="1.0205387100000001"/>
    <m/>
    <n v="-1.2532114000000001"/>
    <s v="Inverse"/>
    <s v="Belongs to the eukaryotic ribosomal protein eS4 family"/>
  </r>
  <r>
    <x v="1"/>
    <x v="1"/>
    <s v="Ssiderea016380"/>
    <n v="1.1155167800000001"/>
    <m/>
    <n v="-1.1720195"/>
    <s v="Inverse"/>
    <s v="ligase 1"/>
  </r>
  <r>
    <x v="1"/>
    <x v="1"/>
    <s v="Ssiderea016649"/>
    <n v="1.33660008"/>
    <m/>
    <n v="1.7488159000000001"/>
    <s v="Direct"/>
    <s v="Belongs to the tropomyosin family"/>
  </r>
  <r>
    <x v="1"/>
    <x v="1"/>
    <s v="Ssiderea017473"/>
    <n v="1.1924639800000001"/>
    <m/>
    <n v="1.13567201"/>
    <s v="Direct"/>
    <s v="NA"/>
  </r>
  <r>
    <x v="1"/>
    <x v="1"/>
    <s v="Ssiderea018648"/>
    <n v="1.2784472099999999"/>
    <m/>
    <n v="-1.7603544"/>
    <s v="Inverse"/>
    <s v="ribosomal small subunit assembly"/>
  </r>
  <r>
    <x v="1"/>
    <x v="1"/>
    <s v="Ssiderea018681"/>
    <n v="1.33062294"/>
    <m/>
    <n v="1.06543619"/>
    <s v="Direct"/>
    <s v="oxidoreductase activity, oxidizing metal ions, oxygen as acceptor"/>
  </r>
  <r>
    <x v="1"/>
    <x v="1"/>
    <s v="Ssiderea018826"/>
    <n v="1.13638919"/>
    <m/>
    <n v="1.06115794"/>
    <s v="Direct"/>
    <s v="Wax ester synthase-like Acyl-CoA acyltransferase domain"/>
  </r>
  <r>
    <x v="1"/>
    <x v="1"/>
    <s v="Ssiderea018987"/>
    <n v="-1.6061143"/>
    <m/>
    <n v="-2.8233503999999998"/>
    <s v="Direct"/>
    <s v="negative regulation of triglyceride biosynthetic process"/>
  </r>
  <r>
    <x v="1"/>
    <x v="1"/>
    <s v="Ssiderea019064"/>
    <n v="1.0617814299999999"/>
    <m/>
    <n v="-2.1498884999999999"/>
    <s v="Inverse"/>
    <s v="long-chain-acyl-CoA dehydrogenase activity"/>
  </r>
  <r>
    <x v="1"/>
    <x v="1"/>
    <s v="Ssiderea019309"/>
    <n v="1.21814289"/>
    <m/>
    <n v="4.9887077599999996"/>
    <s v="Direct"/>
    <s v="Universal stress protein family"/>
  </r>
  <r>
    <x v="1"/>
    <x v="1"/>
    <s v="Ssiderea019357"/>
    <n v="1.0314647299999999"/>
    <m/>
    <n v="1.28546114"/>
    <s v="Direct"/>
    <s v="NA"/>
  </r>
  <r>
    <x v="1"/>
    <x v="1"/>
    <s v="Ssiderea019445"/>
    <n v="1.0905153700000001"/>
    <m/>
    <n v="-1.0789074000000001"/>
    <s v="Inverse"/>
    <s v="structural constituent of ribosome"/>
  </r>
  <r>
    <x v="1"/>
    <x v="1"/>
    <s v="Ssiderea019828"/>
    <n v="1.14362403"/>
    <m/>
    <n v="2.95995411"/>
    <s v="Direct"/>
    <s v="Mucin 4, cell surface associated"/>
  </r>
  <r>
    <x v="1"/>
    <x v="1"/>
    <s v="Ssiderea019931"/>
    <n v="2.4106819599999998"/>
    <m/>
    <n v="4.4790012800000003"/>
    <s v="Direct"/>
    <s v="Lipoxygenase homology 2 (beta barrel) domain"/>
  </r>
  <r>
    <x v="1"/>
    <x v="1"/>
    <s v="Ssiderea019944"/>
    <n v="5.4343140600000002"/>
    <m/>
    <n v="6.17320739"/>
    <s v="Direct"/>
    <s v="NA"/>
  </r>
  <r>
    <x v="1"/>
    <x v="1"/>
    <s v="Ssiderea019945"/>
    <n v="2.6657633399999998"/>
    <m/>
    <n v="1.4756666000000001"/>
    <s v="Direct"/>
    <s v="NA"/>
  </r>
  <r>
    <x v="1"/>
    <x v="1"/>
    <s v="Ssiderea020286"/>
    <n v="1.5205623500000001"/>
    <m/>
    <n v="10.6697293"/>
    <s v="Direct"/>
    <s v="6-O-sulfation enzyme which catalyzes the transfer of sulfate from 3'-phosphoadenosine 5'-phosphosulfate (PAPS) to position 6 of the N-sulfoglucosamine residue (GlcNS) of heparan sulfate"/>
  </r>
  <r>
    <x v="1"/>
    <x v="1"/>
    <s v="Ssiderea020323"/>
    <n v="1.33062294"/>
    <m/>
    <n v="1.00081789"/>
    <s v="Direct"/>
    <s v="Hemicentin 1"/>
  </r>
  <r>
    <x v="1"/>
    <x v="1"/>
    <s v="Ssiderea020402"/>
    <n v="1.22743957"/>
    <m/>
    <n v="9.4405262600000004"/>
    <s v="Direct"/>
    <s v="NA"/>
  </r>
  <r>
    <x v="1"/>
    <x v="1"/>
    <s v="Ssiderea021340"/>
    <n v="1.4031628899999999"/>
    <m/>
    <n v="1.1414898899999999"/>
    <s v="Direct"/>
    <s v="Ectoine synthase"/>
  </r>
  <r>
    <x v="1"/>
    <x v="1"/>
    <s v="Ssiderea021669"/>
    <n v="3.7215504099999999"/>
    <m/>
    <n v="2.8233503799999999"/>
    <s v="Direct"/>
    <s v="N-acetyl-beta-glucosaminyl-glycoprotein 4-beta-N-acetylgalactosaminyltransferase activity"/>
  </r>
  <r>
    <x v="1"/>
    <x v="1"/>
    <s v="Ssiderea021959"/>
    <n v="-1.2198798"/>
    <m/>
    <n v="-2.6435759000000001"/>
    <s v="Direct"/>
    <s v="PX domain"/>
  </r>
  <r>
    <x v="1"/>
    <x v="1"/>
    <s v="Ssiderea022100"/>
    <n v="1.5130316100000001"/>
    <m/>
    <n v="1.67784277"/>
    <s v="Direct"/>
    <s v="Failed axon connections homolog"/>
  </r>
  <r>
    <x v="1"/>
    <x v="1"/>
    <s v="Ssiderea022140"/>
    <n v="1.4017134"/>
    <m/>
    <n v="-2.5416680999999999"/>
    <s v="Inverse"/>
    <s v="Phosphoethanolamine"/>
  </r>
  <r>
    <x v="1"/>
    <x v="1"/>
    <s v="Ssiderea022757"/>
    <n v="1.6918055400000001"/>
    <m/>
    <n v="1.4260600400000001"/>
    <s v="Direct"/>
    <s v="NA"/>
  </r>
  <r>
    <x v="1"/>
    <x v="1"/>
    <s v="Ssiderea022819"/>
    <n v="1.5403856199999999"/>
    <m/>
    <n v="1.58624885"/>
    <s v="Direct"/>
    <s v="NA"/>
  </r>
  <r>
    <x v="1"/>
    <x v="1"/>
    <s v="Ssiderea022859"/>
    <n v="-1.1253572999999999"/>
    <m/>
    <n v="-1.0668876"/>
    <s v="Direct"/>
    <s v="DBH-like monooxygenase protein 1"/>
  </r>
  <r>
    <x v="1"/>
    <x v="1"/>
    <s v="Ssiderea023224"/>
    <n v="1.0513215499999999"/>
    <m/>
    <n v="1.6337658900000001"/>
    <s v="Direct"/>
    <s v="Ankyrin repeat"/>
  </r>
  <r>
    <x v="1"/>
    <x v="1"/>
    <s v="Ssiderea023266"/>
    <n v="-1.7828108"/>
    <m/>
    <n v="-1.1492336000000001"/>
    <s v="Direct"/>
    <s v="NA"/>
  </r>
  <r>
    <x v="1"/>
    <x v="1"/>
    <s v="Ssiderea023369"/>
    <n v="1.0195482199999999"/>
    <m/>
    <n v="-3.1322500999999998"/>
    <s v="Inverse"/>
    <s v="L-lactate"/>
  </r>
  <r>
    <x v="1"/>
    <x v="1"/>
    <s v="Ssiderea023516"/>
    <n v="1.0381205099999999"/>
    <m/>
    <n v="-2.7747027000000002"/>
    <s v="Inverse"/>
    <s v="ATP:ADP antiporter activity"/>
  </r>
  <r>
    <x v="1"/>
    <x v="1"/>
    <s v="Ssiderea024010"/>
    <n v="1.3276384299999999"/>
    <m/>
    <n v="1.0091282699999999"/>
    <s v="Direct"/>
    <s v="FK506 binding protein 15"/>
  </r>
  <r>
    <x v="1"/>
    <x v="1"/>
    <s v="Ssiderea024256"/>
    <n v="1.25925625"/>
    <m/>
    <n v="1.46991655"/>
    <s v="Direct"/>
    <s v="NA"/>
  </r>
  <r>
    <x v="1"/>
    <x v="1"/>
    <s v="Ssiderea024655"/>
    <n v="1.3625895800000001"/>
    <m/>
    <n v="1.80673156"/>
    <s v="Direct"/>
    <s v="Belongs to the peptidase S1 family"/>
  </r>
  <r>
    <x v="1"/>
    <x v="1"/>
    <s v="Ssiderea024883"/>
    <n v="1.0056645799999999"/>
    <m/>
    <n v="1.4703738399999999"/>
    <s v="Direct"/>
    <s v="serine-type endopeptidase activity"/>
  </r>
  <r>
    <x v="1"/>
    <x v="1"/>
    <s v="Ssiderea024892"/>
    <n v="1.2324735600000001"/>
    <m/>
    <n v="1.1378352"/>
    <s v="Direct"/>
    <s v="NA"/>
  </r>
  <r>
    <x v="1"/>
    <x v="1"/>
    <s v="Ssiderea024962"/>
    <n v="1.31509287"/>
    <m/>
    <n v="2.11393078"/>
    <s v="Direct"/>
    <s v="NA"/>
  </r>
  <r>
    <x v="1"/>
    <x v="1"/>
    <s v="Ssiderea025748"/>
    <n v="1.0572678900000001"/>
    <m/>
    <n v="-3.7687214999999998"/>
    <s v="Inverse"/>
    <s v="NA"/>
  </r>
  <r>
    <x v="1"/>
    <x v="1"/>
    <s v="Ssiderea025865"/>
    <n v="1.0617814299999999"/>
    <m/>
    <n v="1.2221444800000001"/>
    <s v="Direct"/>
    <s v="NA"/>
  </r>
  <r>
    <x v="1"/>
    <x v="1"/>
    <s v="Ssiderea026263"/>
    <n v="1.627883"/>
    <m/>
    <n v="1.1111757499999999"/>
    <s v="Direct"/>
    <s v="NA"/>
  </r>
  <r>
    <x v="1"/>
    <x v="1"/>
    <s v="Ssiderea027144"/>
    <n v="2.4452860799999998"/>
    <m/>
    <n v="3.1325977800000002"/>
    <s v="Direct"/>
    <s v="Selenium-binding protein 1"/>
  </r>
  <r>
    <x v="1"/>
    <x v="1"/>
    <s v="Ssiderea028103"/>
    <n v="1.1005289"/>
    <m/>
    <n v="-1.8247177999999999"/>
    <s v="Inverse"/>
    <s v="Protein phosphatase 1, regulatory subunit"/>
  </r>
  <r>
    <x v="1"/>
    <x v="1"/>
    <s v="Ssiderea028122"/>
    <n v="1.08867647"/>
    <m/>
    <n v="-3.9006596"/>
    <s v="Inverse"/>
    <s v="NA"/>
  </r>
  <r>
    <x v="1"/>
    <x v="1"/>
    <s v="Ssiderea028433"/>
    <n v="1.01702866"/>
    <m/>
    <n v="5.11934281"/>
    <s v="Direct"/>
    <s v="histone H2A K63-linked ubiquitination"/>
  </r>
  <r>
    <x v="1"/>
    <x v="1"/>
    <s v="Ssiderea028561"/>
    <n v="-2.2906232000000002"/>
    <m/>
    <n v="-1.9974278999999999"/>
    <s v="Direct"/>
    <s v="thioesterase binding"/>
  </r>
  <r>
    <x v="1"/>
    <x v="1"/>
    <s v="Ssiderea029010"/>
    <n v="3.3195253500000002"/>
    <m/>
    <n v="4.9928076099999998"/>
    <s v="Direct"/>
    <s v="NA"/>
  </r>
  <r>
    <x v="1"/>
    <x v="1"/>
    <s v="Ssiderea029508"/>
    <n v="1.00207237"/>
    <m/>
    <n v="1.6079279500000001"/>
    <s v="Direct"/>
    <s v="podosome assembly"/>
  </r>
  <r>
    <x v="1"/>
    <x v="1"/>
    <s v="Ssiderea029552"/>
    <n v="1.1419424899999999"/>
    <m/>
    <n v="7.5922895300000004"/>
    <s v="Direct"/>
    <s v="Histidine phosphatase superfamily (branch 2)"/>
  </r>
  <r>
    <x v="1"/>
    <x v="1"/>
    <s v="Ssiderea029805"/>
    <n v="3.12664125"/>
    <m/>
    <n v="5.1671777499999996"/>
    <s v="Direct"/>
    <s v="NA"/>
  </r>
  <r>
    <x v="1"/>
    <x v="1"/>
    <s v="Ssiderea029844"/>
    <n v="1.9587757699999999"/>
    <m/>
    <n v="1.05804258"/>
    <s v="Direct"/>
    <s v="NA"/>
  </r>
  <r>
    <x v="1"/>
    <x v="1"/>
    <s v="Ssiderea029846"/>
    <n v="1.02466122"/>
    <m/>
    <n v="1.9981776899999999"/>
    <s v="Direct"/>
    <s v="Cupin-like domain"/>
  </r>
  <r>
    <x v="1"/>
    <x v="1"/>
    <s v="Ssiderea030049"/>
    <n v="1.0799631700000001"/>
    <m/>
    <n v="-23.040637"/>
    <s v="Inverse"/>
    <s v="Initiation factor 5a"/>
  </r>
  <r>
    <x v="1"/>
    <x v="1"/>
    <s v="Ssiderea030069"/>
    <n v="1.12697757"/>
    <m/>
    <n v="2.29179179"/>
    <s v="Direct"/>
    <s v="phosphopyruvate hydratase activity"/>
  </r>
  <r>
    <x v="1"/>
    <x v="1"/>
    <s v="Ssiderea031430"/>
    <n v="-1.6341988000000001"/>
    <m/>
    <n v="-5.3829510999999997"/>
    <s v="Direct"/>
    <s v="NA"/>
  </r>
  <r>
    <x v="1"/>
    <x v="1"/>
    <s v="Ssiderea031482"/>
    <n v="1.0056645799999999"/>
    <m/>
    <n v="1.80673156"/>
    <s v="Direct"/>
    <s v="It is involved in the biological process described with"/>
  </r>
  <r>
    <x v="1"/>
    <x v="1"/>
    <s v="Ssiderea031598"/>
    <n v="4.6398010000000003"/>
    <m/>
    <n v="22.007008200000001"/>
    <s v="Direct"/>
    <s v="Egl-9 family hypoxia-inducible factor"/>
  </r>
  <r>
    <x v="1"/>
    <x v="1"/>
    <s v="Ssiderea031617"/>
    <n v="1.1005289"/>
    <m/>
    <n v="-2.2816966999999999"/>
    <s v="Inverse"/>
    <s v="WAP four-disulfide core domain"/>
  </r>
  <r>
    <x v="1"/>
    <x v="1"/>
    <s v="Ssiderea032615"/>
    <n v="1.64053608"/>
    <m/>
    <n v="2.7286284900000002"/>
    <s v="Direct"/>
    <s v="NA"/>
  </r>
  <r>
    <x v="1"/>
    <x v="1"/>
    <s v="Ssiderea032746"/>
    <n v="1.8615271900000001"/>
    <m/>
    <n v="3.63432442"/>
    <s v="Direct"/>
    <s v="NA"/>
  </r>
  <r>
    <x v="1"/>
    <x v="1"/>
    <s v="Ssiderea033479"/>
    <n v="1.00076079"/>
    <m/>
    <n v="6.9046397099999997"/>
    <s v="Direct"/>
    <s v="NA"/>
  </r>
  <r>
    <x v="1"/>
    <x v="1"/>
    <s v="Ssiderea033487"/>
    <n v="1.89178622"/>
    <m/>
    <n v="6.2735431400000001"/>
    <s v="Direct"/>
    <s v="NA"/>
  </r>
  <r>
    <x v="1"/>
    <x v="1"/>
    <s v="Ssiderea033625"/>
    <n v="2.5650978900000001"/>
    <m/>
    <n v="3.71699058"/>
    <s v="Direct"/>
    <s v="NA"/>
  </r>
  <r>
    <x v="1"/>
    <x v="1"/>
    <s v="Ssiderea033626"/>
    <n v="1.4064598100000001"/>
    <m/>
    <n v="1.7543920799999999"/>
    <s v="Direct"/>
    <s v="NA"/>
  </r>
  <r>
    <x v="1"/>
    <x v="1"/>
    <s v="Ssiderea033647"/>
    <n v="1.2913954999999999"/>
    <m/>
    <n v="2.2617304499999999"/>
    <s v="Direct"/>
    <s v="NA"/>
  </r>
  <r>
    <x v="1"/>
    <x v="1"/>
    <s v="Ssiderea033671"/>
    <n v="9.8410977800000001"/>
    <m/>
    <n v="11.9160837"/>
    <s v="Direct"/>
    <s v="NA"/>
  </r>
  <r>
    <x v="1"/>
    <x v="1"/>
    <s v="Ssiderea033675"/>
    <n v="10.9866036"/>
    <m/>
    <n v="14.7553904"/>
    <s v="Direct"/>
    <s v="NA"/>
  </r>
  <r>
    <x v="1"/>
    <x v="1"/>
    <s v="Ssiderea033678"/>
    <n v="4.5485664400000001"/>
    <m/>
    <n v="3.3182302300000002"/>
    <s v="Direct"/>
    <s v="NA"/>
  </r>
  <r>
    <x v="1"/>
    <x v="1"/>
    <s v="Ssiderea033884"/>
    <n v="1.7627116300000001"/>
    <m/>
    <n v="2.3642726000000001"/>
    <s v="Direct"/>
    <s v="NA"/>
  </r>
  <r>
    <x v="1"/>
    <x v="1"/>
    <s v="Ssiderea034174"/>
    <n v="1.0807453300000001"/>
    <m/>
    <n v="1.8390778400000001"/>
    <s v="Direct"/>
    <s v="collagen"/>
  </r>
  <r>
    <x v="1"/>
    <x v="1"/>
    <s v="Ssiderea034426"/>
    <n v="1.03067983"/>
    <m/>
    <n v="1.4538575600000001"/>
    <s v="Direct"/>
    <s v="beta-1,3-galactosyl-O-glycosyl-glycoprotein beta-1,6-N-acetylglucosaminyltransferase activity"/>
  </r>
  <r>
    <x v="1"/>
    <x v="1"/>
    <s v="Ssiderea034786"/>
    <n v="1.18481645"/>
    <m/>
    <n v="3.1852265499999999"/>
    <s v="Direct"/>
    <s v="Filamin C, gamma"/>
  </r>
  <r>
    <x v="1"/>
    <x v="1"/>
    <s v="Ssiderea034936"/>
    <n v="-1.2205706999999999"/>
    <m/>
    <n v="-2.8765548999999999"/>
    <s v="Direct"/>
    <s v="Cell adhesion molecule"/>
  </r>
  <r>
    <x v="1"/>
    <x v="1"/>
    <s v="Ssiderea035505"/>
    <n v="1.21388472"/>
    <m/>
    <n v="4.5100409900000002"/>
    <s v="Direct"/>
    <s v="NA"/>
  </r>
  <r>
    <x v="1"/>
    <x v="1"/>
    <s v="Ssiderea035681"/>
    <n v="1.1049239200000001"/>
    <m/>
    <n v="1.41306843"/>
    <s v="Direct"/>
    <s v="Coiled-coil"/>
  </r>
  <r>
    <x v="1"/>
    <x v="1"/>
    <s v="Ssiderea035890"/>
    <n v="1.31509287"/>
    <m/>
    <n v="1.4513752799999999"/>
    <s v="Direct"/>
    <s v="NA"/>
  </r>
  <r>
    <x v="1"/>
    <x v="1"/>
    <s v="Ssiderea036521"/>
    <n v="1.32508588"/>
    <m/>
    <n v="-1.6467624999999999"/>
    <s v="Inverse"/>
    <s v="CDGSH iron sulfur domain 3"/>
  </r>
  <r>
    <x v="1"/>
    <x v="1"/>
    <s v="Ssiderea036714"/>
    <n v="3.2728305"/>
    <m/>
    <n v="3.2095260699999999"/>
    <s v="Direct"/>
    <s v="NA"/>
  </r>
  <r>
    <x v="1"/>
    <x v="1"/>
    <s v="Ssiderea036834"/>
    <n v="1.64820465"/>
    <m/>
    <n v="7.2279739300000001"/>
    <s v="Direct"/>
    <s v="NA"/>
  </r>
  <r>
    <x v="1"/>
    <x v="1"/>
    <s v="Ssiderea037540"/>
    <n v="3.1439376000000001"/>
    <m/>
    <n v="2.9270031599999999"/>
    <s v="Direct"/>
    <s v="Common central domain of tyrosinase"/>
  </r>
  <r>
    <x v="1"/>
    <x v="1"/>
    <s v="Ssiderea037541"/>
    <n v="6.1646299500000001"/>
    <m/>
    <n v="4.0313604999999999"/>
    <s v="Direct"/>
    <s v="serine-type endopeptidase inhibitor activity"/>
  </r>
  <r>
    <x v="1"/>
    <x v="1"/>
    <s v="Ssiderea037627"/>
    <n v="1.1695463800000001"/>
    <m/>
    <n v="1.24745171"/>
    <s v="Direct"/>
    <s v="NA"/>
  </r>
  <r>
    <x v="1"/>
    <x v="1"/>
    <s v="Ssiderea037729"/>
    <n v="1.24255951"/>
    <m/>
    <n v="1.54358704"/>
    <s v="Direct"/>
    <s v="quinone binding"/>
  </r>
  <r>
    <x v="1"/>
    <x v="1"/>
    <s v="Ssiderea038150"/>
    <n v="1.92626747"/>
    <m/>
    <n v="2.3544323500000002"/>
    <s v="Direct"/>
    <s v="NA"/>
  </r>
  <r>
    <x v="1"/>
    <x v="1"/>
    <s v="Ssiderea038345"/>
    <n v="1.4963589900000001"/>
    <m/>
    <n v="4.3057158600000003"/>
    <s v="Direct"/>
    <s v="Belongs to the TRAFAC class myosin-kinesin ATPase superfamily. Myosin family"/>
  </r>
  <r>
    <x v="1"/>
    <x v="1"/>
    <s v="Ssiderea038428"/>
    <n v="1.4068614500000001"/>
    <m/>
    <n v="1.10500485"/>
    <s v="Direct"/>
    <s v="structural constituent of cuticle"/>
  </r>
  <r>
    <x v="1"/>
    <x v="1"/>
    <s v="Ssiderea038430"/>
    <n v="1.3625895800000001"/>
    <m/>
    <n v="3.3488748500000001"/>
    <s v="Direct"/>
    <s v="structural constituent of cuticle"/>
  </r>
  <r>
    <x v="1"/>
    <x v="1"/>
    <s v="Ssiderea038439"/>
    <n v="1.64820465"/>
    <m/>
    <n v="5.1041723899999996"/>
    <s v="Direct"/>
    <s v="NA"/>
  </r>
  <r>
    <x v="1"/>
    <x v="1"/>
    <s v="Ssiderea038569"/>
    <n v="3.3708811700000001"/>
    <m/>
    <n v="3.4013148499999999"/>
    <s v="Direct"/>
    <s v="NA"/>
  </r>
  <r>
    <x v="1"/>
    <x v="1"/>
    <s v="Ssiderea038585"/>
    <n v="1.31509287"/>
    <m/>
    <n v="1.8359055399999999"/>
    <s v="Direct"/>
    <s v="NA"/>
  </r>
  <r>
    <x v="1"/>
    <x v="1"/>
    <s v="Ssiderea038691"/>
    <n v="1.13529499"/>
    <m/>
    <n v="2.9172311199999998"/>
    <s v="Direct"/>
    <s v="NA"/>
  </r>
  <r>
    <x v="1"/>
    <x v="1"/>
    <s v="Ssiderea039123"/>
    <n v="1.24255951"/>
    <m/>
    <n v="-2.3166296000000002"/>
    <s v="Inverse"/>
    <s v="ABRA C-terminal like"/>
  </r>
  <r>
    <x v="1"/>
    <x v="1"/>
    <s v="Ssiderea039136"/>
    <n v="-1.9587758"/>
    <m/>
    <n v="-2.2125319999999999"/>
    <s v="Direct"/>
    <s v="Mucin 4, cell surface associated"/>
  </r>
  <r>
    <x v="1"/>
    <x v="1"/>
    <s v="Ssiderea039263"/>
    <n v="1.6593037500000001"/>
    <m/>
    <n v="1.4227927899999999"/>
    <s v="Direct"/>
    <s v="Fibrillar collagens C-terminal domain"/>
  </r>
  <r>
    <x v="1"/>
    <x v="1"/>
    <s v="Ssiderea039355"/>
    <n v="1.8834079100000001"/>
    <m/>
    <n v="-1.9683101999999999"/>
    <s v="Inverse"/>
    <s v="60s ribosomal protein"/>
  </r>
  <r>
    <x v="1"/>
    <x v="1"/>
    <s v="Ssiderea039384"/>
    <n v="1.68379272"/>
    <m/>
    <n v="3.85912107"/>
    <s v="Direct"/>
    <s v="NA"/>
  </r>
  <r>
    <x v="1"/>
    <x v="1"/>
    <s v="Ssiderea039439"/>
    <n v="1.1905229900000001"/>
    <m/>
    <n v="-1.1358528000000001"/>
    <s v="Inverse"/>
    <s v="Ribosomal protein L14p/L23e"/>
  </r>
  <r>
    <x v="1"/>
    <x v="1"/>
    <s v="Ssiderea040225"/>
    <n v="1.00681891"/>
    <m/>
    <n v="-3.7489433999999999"/>
    <s v="Inverse"/>
    <s v="supervillin"/>
  </r>
  <r>
    <x v="1"/>
    <x v="1"/>
    <s v="Ssiderea041776"/>
    <n v="-1.2941459"/>
    <m/>
    <n v="-2.423921"/>
    <s v="Direct"/>
    <s v="Guanine nucleotide exchange factor for Ras-like small GTPases"/>
  </r>
  <r>
    <x v="1"/>
    <x v="1"/>
    <s v="Ssiderea042178"/>
    <n v="1.2913954999999999"/>
    <m/>
    <n v="1.18619969"/>
    <s v="Direct"/>
    <s v="NA"/>
  </r>
  <r>
    <x v="1"/>
    <x v="1"/>
    <s v="Ssiderea042287"/>
    <n v="1.04906707"/>
    <m/>
    <n v="-1.7270705"/>
    <s v="Inverse"/>
    <s v="structural constituent of ribosome"/>
  </r>
  <r>
    <x v="1"/>
    <x v="1"/>
    <s v="Ssiderea042306"/>
    <n v="2.1599676099999998"/>
    <m/>
    <n v="1.5105555399999999"/>
    <s v="Direct"/>
    <s v="NA"/>
  </r>
  <r>
    <x v="1"/>
    <x v="1"/>
    <s v="Ssiderea042330"/>
    <n v="-1.0381205"/>
    <m/>
    <n v="-8.1037371"/>
    <s v="Direct"/>
    <s v="Sterol-sensing domain of SREBP cleavage-activation"/>
  </r>
  <r>
    <x v="1"/>
    <x v="1"/>
    <s v="Ssiderea042819"/>
    <n v="2.0187827500000002"/>
    <m/>
    <n v="3.3413206400000002"/>
    <s v="Direct"/>
    <s v="NA"/>
  </r>
  <r>
    <x v="1"/>
    <x v="1"/>
    <s v="Ssiderea043587"/>
    <n v="1.0104951499999999"/>
    <m/>
    <n v="-1.1280762"/>
    <s v="Inverse"/>
    <s v="cathepsin Z"/>
  </r>
  <r>
    <x v="1"/>
    <x v="1"/>
    <s v="Ssiderea044110"/>
    <n v="1.4064598100000001"/>
    <m/>
    <n v="1.4513566200000001"/>
    <s v="Direct"/>
    <s v="NA"/>
  </r>
  <r>
    <x v="1"/>
    <x v="1"/>
    <s v="Ssiderea044659"/>
    <n v="1.6232497400000001"/>
    <m/>
    <n v="2.0130599899999999"/>
    <s v="Direct"/>
    <s v="Malate dehydrogenase"/>
  </r>
  <r>
    <x v="1"/>
    <x v="1"/>
    <s v="Ssiderea044678"/>
    <n v="-2.7201409999999999"/>
    <m/>
    <n v="-9.9334933999999997"/>
    <s v="Direct"/>
    <s v="annexin A6"/>
  </r>
  <r>
    <x v="1"/>
    <x v="1"/>
    <s v="Ssiderea044860"/>
    <n v="1.29493049"/>
    <m/>
    <n v="1.3938386599999999"/>
    <s v="Direct"/>
    <s v="Ndr family"/>
  </r>
  <r>
    <x v="1"/>
    <x v="1"/>
    <s v="Ssiderea045223"/>
    <n v="2.35266529"/>
    <m/>
    <n v="2.2854254699999998"/>
    <s v="Direct"/>
    <s v="ephrin receptor binding"/>
  </r>
  <r>
    <x v="1"/>
    <x v="1"/>
    <s v="Ssiderea045236"/>
    <n v="1.57435002"/>
    <m/>
    <n v="1.9411704000000001"/>
    <s v="Direct"/>
    <s v="NA"/>
  </r>
  <r>
    <x v="1"/>
    <x v="1"/>
    <s v="Ssiderea045284"/>
    <n v="3.15759824"/>
    <m/>
    <n v="1.2532113600000001"/>
    <s v="Direct"/>
    <s v="It is involved in the biological process described with signal transduction"/>
  </r>
  <r>
    <x v="1"/>
    <x v="1"/>
    <s v="Ssiderea045336"/>
    <n v="1.1007774100000001"/>
    <m/>
    <n v="-1.124457"/>
    <s v="Inverse"/>
    <s v="BIR domain binding"/>
  </r>
  <r>
    <x v="1"/>
    <x v="1"/>
    <s v="Ssiderea045901"/>
    <n v="1.0771981900000001"/>
    <m/>
    <n v="2.3270571699999998"/>
    <s v="Direct"/>
    <s v="benzodiazepine receptor binding"/>
  </r>
  <r>
    <x v="1"/>
    <x v="1"/>
    <s v="Ssiderea045954"/>
    <n v="3.1017544799999999"/>
    <m/>
    <n v="-2.0992522999999998"/>
    <s v="Inverse"/>
    <s v="RAS protein activator like 1 (GAP1 like)"/>
  </r>
  <r>
    <x v="1"/>
    <x v="1"/>
    <s v="Ssiderea046030"/>
    <n v="1.0162445099999999"/>
    <m/>
    <n v="1.8908160700000001"/>
    <s v="Direct"/>
    <s v="activation of NF-kappaB-inducing kinase activity"/>
  </r>
  <r>
    <x v="1"/>
    <x v="1"/>
    <s v="Ssiderea046072"/>
    <n v="1.15719891"/>
    <m/>
    <n v="4.4272286999999997"/>
    <s v="Direct"/>
    <s v="acetyltransferase activator activity"/>
  </r>
  <r>
    <x v="1"/>
    <x v="1"/>
    <s v="Ssiderea046941"/>
    <n v="1.17889719"/>
    <m/>
    <n v="1.7936016299999999"/>
    <s v="Direct"/>
    <s v="Electron transfer flavoprotein subunit"/>
  </r>
  <r>
    <x v="1"/>
    <x v="1"/>
    <s v="Ssiderea047239"/>
    <n v="1.07879763"/>
    <m/>
    <n v="3.3141016400000001"/>
    <s v="Direct"/>
    <s v="brca1 gene 1"/>
  </r>
  <r>
    <x v="1"/>
    <x v="1"/>
    <s v="Ssiderea047459"/>
    <n v="1.2193882199999999"/>
    <m/>
    <n v="-1.5336521999999999"/>
    <s v="Inverse"/>
    <s v="pre-mRNA cleavage required for polyadenylation"/>
  </r>
  <r>
    <x v="1"/>
    <x v="1"/>
    <s v="Ssiderea047625"/>
    <n v="1.40406717"/>
    <m/>
    <n v="-1.3765923"/>
    <s v="Inverse"/>
    <s v="ribosomal protein"/>
  </r>
  <r>
    <x v="1"/>
    <x v="1"/>
    <s v="Ssiderea047668"/>
    <n v="1.2684128400000001"/>
    <m/>
    <n v="-1.1294295999999999"/>
    <s v="Inverse"/>
    <s v="structural constituent of ribosome"/>
  </r>
  <r>
    <x v="1"/>
    <x v="1"/>
    <s v="Ssiderea047859"/>
    <n v="-1.2792271"/>
    <m/>
    <n v="-4.1434898000000002"/>
    <s v="Direct"/>
    <s v="Belongs to the peptidase M10A family"/>
  </r>
  <r>
    <x v="1"/>
    <x v="1"/>
    <s v="Ssiderea048360"/>
    <n v="6.1646299500000001"/>
    <m/>
    <n v="7.2882224899999999"/>
    <s v="Direct"/>
    <s v="Serpentine type 7TM GPCR chemoreceptor Srx"/>
  </r>
  <r>
    <x v="1"/>
    <x v="1"/>
    <s v="Ssiderea048480"/>
    <n v="1.15682391"/>
    <m/>
    <n v="-1.5413616000000001"/>
    <s v="Inverse"/>
    <s v="trafficking protein particle complex"/>
  </r>
  <r>
    <x v="1"/>
    <x v="1"/>
    <s v="Ssiderea048486"/>
    <n v="1.0347069099999999"/>
    <m/>
    <n v="2.54166815"/>
    <s v="Direct"/>
    <s v="NA"/>
  </r>
  <r>
    <x v="1"/>
    <x v="1"/>
    <s v="Ssiderea048558"/>
    <n v="1.7408273400000001"/>
    <m/>
    <n v="1.05547016"/>
    <s v="Direct"/>
    <s v="metalloendopeptidase activity"/>
  </r>
  <r>
    <x v="1"/>
    <x v="1"/>
    <s v="Ssiderea048635"/>
    <n v="2.8042296900000001"/>
    <m/>
    <n v="1.03450296"/>
    <s v="Direct"/>
    <s v="NA"/>
  </r>
  <r>
    <x v="1"/>
    <x v="1"/>
    <s v="Ssiderea048697"/>
    <n v="1.0137672799999999"/>
    <m/>
    <n v="1.4260600400000001"/>
    <s v="Direct"/>
    <s v="NA"/>
  </r>
  <r>
    <x v="1"/>
    <x v="1"/>
    <s v="Ssiderea049169"/>
    <n v="1.07879763"/>
    <m/>
    <n v="-2.5780370000000001"/>
    <s v="Inverse"/>
    <s v="translation"/>
  </r>
  <r>
    <x v="1"/>
    <x v="1"/>
    <s v="Ssiderea049437"/>
    <n v="4.6163805499999997"/>
    <m/>
    <n v="7.2919749899999999"/>
    <s v="Direct"/>
    <s v="NA"/>
  </r>
  <r>
    <x v="1"/>
    <x v="1"/>
    <s v="Ssiderea050054"/>
    <n v="1.15682391"/>
    <m/>
    <n v="7.8052210500000001"/>
    <s v="Direct"/>
    <s v="Macrophage migration inhibitory"/>
  </r>
  <r>
    <x v="1"/>
    <x v="1"/>
    <s v="Ssiderea050946"/>
    <n v="1.58912122"/>
    <m/>
    <n v="1.08915363"/>
    <s v="Direct"/>
    <s v="NA"/>
  </r>
  <r>
    <x v="1"/>
    <x v="1"/>
    <s v="Ssiderea050947"/>
    <n v="2.8765767000000002"/>
    <m/>
    <n v="5.6384310600000003"/>
    <s v="Direct"/>
    <s v="NA"/>
  </r>
  <r>
    <x v="1"/>
    <x v="1"/>
    <s v="Ssiderea051123"/>
    <n v="1.70171962"/>
    <m/>
    <n v="2.0032860299999999"/>
    <s v="Direct"/>
    <s v="7SK snRNA binding"/>
  </r>
  <r>
    <x v="1"/>
    <x v="1"/>
    <s v="Ssiderea051176"/>
    <n v="1.09386779"/>
    <m/>
    <n v="2.7846240400000002"/>
    <s v="Direct"/>
    <s v="Ubiquitin-2 like Rad60 SUMO-like"/>
  </r>
  <r>
    <x v="1"/>
    <x v="1"/>
    <s v="Ssiderea051243"/>
    <n v="2.49302373"/>
    <m/>
    <n v="2.2795601300000001"/>
    <s v="Direct"/>
    <s v="NA"/>
  </r>
  <r>
    <x v="1"/>
    <x v="1"/>
    <s v="Ssiderea051315"/>
    <n v="1.6187676799999999"/>
    <m/>
    <n v="1.03161451"/>
    <s v="Direct"/>
    <s v="collagen"/>
  </r>
  <r>
    <x v="1"/>
    <x v="1"/>
    <s v="Ssiderea051443"/>
    <n v="1.07205949"/>
    <m/>
    <n v="-2.2816966999999999"/>
    <s v="Inverse"/>
    <s v="ribosomal large subunit assembly"/>
  </r>
  <r>
    <x v="1"/>
    <x v="1"/>
    <s v="Ssiderea051574"/>
    <n v="1.08209423"/>
    <m/>
    <n v="1.69421825"/>
    <s v="Direct"/>
    <s v="Secreted frizzled-related protein"/>
  </r>
  <r>
    <x v="1"/>
    <x v="1"/>
    <s v="Ssiderea051703"/>
    <n v="1.27308785"/>
    <m/>
    <n v="4.1134751500000002"/>
    <s v="Direct"/>
    <s v="Glutathione S-transferase, C-terminal domain"/>
  </r>
  <r>
    <x v="1"/>
    <x v="1"/>
    <s v="Ssiderea051704"/>
    <n v="2.3463181299999998"/>
    <m/>
    <n v="6.69262479"/>
    <s v="Direct"/>
    <s v="Glutathione S-transferase, C-terminal domain"/>
  </r>
  <r>
    <x v="1"/>
    <x v="1"/>
    <s v="Ssiderea051780"/>
    <n v="-1.8615272"/>
    <m/>
    <n v="-8.1402608999999995"/>
    <s v="Direct"/>
    <s v="NA"/>
  </r>
  <r>
    <x v="1"/>
    <x v="1"/>
    <s v="Ssiderea051895"/>
    <n v="1.25238893"/>
    <m/>
    <n v="2.1044654199999999"/>
    <s v="Direct"/>
    <s v="[heparan sulfate]-glucosamine N-sulfotransferase activity"/>
  </r>
  <r>
    <x v="1"/>
    <x v="1"/>
    <s v="Ssiderea052005"/>
    <n v="1.08867647"/>
    <m/>
    <n v="1.6079761299999999"/>
    <s v="Direct"/>
    <s v="GTP-specific succinyl-CoA synthetase functions in the citric acid cycle (TCA), coupling the hydrolysis of succinyl-CoA to the synthesis of GTP and thus represents the only step of substrate-level phosphorylation in the TCA. The beta subunit provides nucle"/>
  </r>
  <r>
    <x v="1"/>
    <x v="1"/>
    <s v="Ssiderea052054"/>
    <n v="1.0381205099999999"/>
    <m/>
    <n v="2.54371977"/>
    <s v="Direct"/>
    <s v="Carboxypeptidase"/>
  </r>
  <r>
    <x v="1"/>
    <x v="1"/>
    <s v="Ssiderea052229"/>
    <n v="1.40049479"/>
    <m/>
    <n v="5.4200744700000003"/>
    <s v="Direct"/>
    <s v="NA"/>
  </r>
  <r>
    <x v="1"/>
    <x v="1"/>
    <s v="Ssiderea052394"/>
    <n v="4.4506834900000003"/>
    <m/>
    <n v="2.2364829099999999"/>
    <s v="Direct"/>
    <s v="NA"/>
  </r>
  <r>
    <x v="1"/>
    <x v="1"/>
    <s v="Ssiderea052401"/>
    <n v="1.26923488"/>
    <m/>
    <n v="1.45534447"/>
    <s v="Direct"/>
    <s v="Leber congenital amaurosis 5"/>
  </r>
  <r>
    <x v="1"/>
    <x v="1"/>
    <s v="Ssiderea052473"/>
    <n v="1.2193882199999999"/>
    <m/>
    <n v="4.6365871600000004"/>
    <s v="Direct"/>
    <s v="Cupin-like domain"/>
  </r>
  <r>
    <x v="1"/>
    <x v="1"/>
    <s v="Ssiderea052995"/>
    <n v="1.0905879199999999"/>
    <m/>
    <n v="-1.1330929000000001"/>
    <s v="Inverse"/>
    <s v="Far upstream element-binding protein"/>
  </r>
  <r>
    <x v="1"/>
    <x v="1"/>
    <s v="Ssiderea053049"/>
    <n v="1.3276384299999999"/>
    <m/>
    <n v="1.9691198400000001"/>
    <s v="Direct"/>
    <s v="adherens junction organization"/>
  </r>
  <r>
    <x v="1"/>
    <x v="1"/>
    <s v="Ssiderea053083"/>
    <n v="1.4075690000000001"/>
    <m/>
    <n v="2.9504592600000001"/>
    <s v="Direct"/>
    <s v="NA"/>
  </r>
  <r>
    <x v="1"/>
    <x v="1"/>
    <s v="Ssiderea053777"/>
    <n v="1.2660968500000001"/>
    <m/>
    <n v="3.2338555200000001"/>
    <s v="Direct"/>
    <s v="actin monomer binding"/>
  </r>
  <r>
    <x v="1"/>
    <x v="1"/>
    <s v="Ssiderea053828"/>
    <n v="1.0047513299999999"/>
    <m/>
    <n v="21.278112799999999"/>
    <s v="Direct"/>
    <s v="NA"/>
  </r>
  <r>
    <x v="1"/>
    <x v="1"/>
    <s v="Ssiderea053894"/>
    <n v="1.27892728"/>
    <m/>
    <n v="1.0445921199999999"/>
    <s v="Direct"/>
    <s v="GTPase activator activity"/>
  </r>
  <r>
    <x v="1"/>
    <x v="1"/>
    <s v="Ssiderea054006"/>
    <n v="1.5034747900000001"/>
    <m/>
    <n v="1.38328893"/>
    <s v="Direct"/>
    <s v="dynein heavy chain binding"/>
  </r>
  <r>
    <x v="1"/>
    <x v="1"/>
    <s v="Ssiderea054350"/>
    <n v="1.2193882199999999"/>
    <m/>
    <n v="-1.9242699000000001"/>
    <s v="Inverse"/>
    <s v="Transferrin"/>
  </r>
  <r>
    <x v="1"/>
    <x v="1"/>
    <s v="Ssiderea054485"/>
    <n v="2.2508727199999998"/>
    <m/>
    <n v="-5.1151681"/>
    <s v="Inverse"/>
    <s v="Solute carrier family 12"/>
  </r>
  <r>
    <x v="1"/>
    <x v="1"/>
    <s v="Ssiderea054517"/>
    <n v="1.6058093099999999"/>
    <m/>
    <n v="10.794172"/>
    <s v="Direct"/>
    <s v="Universal stress protein family"/>
  </r>
  <r>
    <x v="1"/>
    <x v="1"/>
    <s v="Ssiderea054560"/>
    <n v="1.07879763"/>
    <m/>
    <n v="-2.0866794999999998"/>
    <s v="Inverse"/>
    <s v="non-membrane spanning protein tyrosine phosphatase activity"/>
  </r>
  <r>
    <x v="1"/>
    <x v="1"/>
    <s v="Ssiderea054641"/>
    <n v="-1.2784472"/>
    <m/>
    <n v="-2.8900453000000002"/>
    <s v="Direct"/>
    <s v="NA"/>
  </r>
  <r>
    <x v="1"/>
    <x v="1"/>
    <s v="Ssiderea054861"/>
    <n v="-1.2784472"/>
    <m/>
    <n v="-9.1480160000000001"/>
    <s v="Direct"/>
    <s v="NA"/>
  </r>
  <r>
    <x v="1"/>
    <x v="1"/>
    <s v="Ssiderea054862"/>
    <n v="-1.3607354"/>
    <m/>
    <n v="-11.595077"/>
    <s v="Direct"/>
    <s v="NA"/>
  </r>
  <r>
    <x v="1"/>
    <x v="1"/>
    <s v="Ssiderea055226"/>
    <n v="1.2784472099999999"/>
    <m/>
    <n v="2.8924873999999998"/>
    <s v="Direct"/>
    <s v="glucuronosyltransferase activity"/>
  </r>
  <r>
    <x v="1"/>
    <x v="1"/>
    <s v="Ssiderea055233"/>
    <n v="1.8378983900000001"/>
    <m/>
    <n v="9.7562971800000007"/>
    <s v="Direct"/>
    <s v="glucuronosyltransferase activity"/>
  </r>
  <r>
    <x v="1"/>
    <x v="1"/>
    <s v="Ssiderea055265"/>
    <n v="1.8615271900000001"/>
    <m/>
    <n v="13.103262900000001"/>
    <s v="Direct"/>
    <s v="NA"/>
  </r>
  <r>
    <x v="1"/>
    <x v="1"/>
    <s v="Ssiderea055365"/>
    <n v="1.87128334"/>
    <m/>
    <n v="2.40568245"/>
    <s v="Direct"/>
    <s v="NA"/>
  </r>
  <r>
    <x v="1"/>
    <x v="1"/>
    <s v="Ssiderea057432"/>
    <n v="1.4064598100000001"/>
    <m/>
    <n v="1.8293778300000001"/>
    <s v="Direct"/>
    <s v="chloride channel activity"/>
  </r>
  <r>
    <x v="1"/>
    <x v="1"/>
    <s v="Ssiderea057857"/>
    <n v="1.64053608"/>
    <m/>
    <n v="1.1276771699999999"/>
    <s v="Direct"/>
    <s v="negative regulation of phosphatase activity"/>
  </r>
  <r>
    <x v="1"/>
    <x v="1"/>
    <s v="Ssiderea058218"/>
    <n v="1.4683302600000001"/>
    <m/>
    <n v="-1.3369332"/>
    <s v="Inverse"/>
    <s v="cytochrome C oxidase"/>
  </r>
  <r>
    <x v="1"/>
    <x v="1"/>
    <s v="Ssiderea058819"/>
    <n v="5.77734682"/>
    <m/>
    <n v="5.2309587500000001"/>
    <s v="Direct"/>
    <s v="NA"/>
  </r>
  <r>
    <x v="1"/>
    <x v="1"/>
    <s v="Ssiderea059107"/>
    <n v="-1.0704254"/>
    <m/>
    <n v="-1.1350289"/>
    <s v="Direct"/>
    <s v="plexin domain-containing protein"/>
  </r>
  <r>
    <x v="1"/>
    <x v="1"/>
    <s v="Ssiderea60367"/>
    <n v="2.02401213"/>
    <m/>
    <n v="4.5784134500000002"/>
    <s v="Direct"/>
    <s v="serine-type endopeptidase activity"/>
  </r>
  <r>
    <x v="1"/>
    <x v="1"/>
    <s v="Ssiderea60368"/>
    <n v="1.0572678900000001"/>
    <m/>
    <n v="1.2952245"/>
    <s v="Direct"/>
    <s v="metalloendopeptidase activity"/>
  </r>
  <r>
    <x v="1"/>
    <x v="1"/>
    <s v="Ssiderea60478"/>
    <n v="-1.5108604999999999"/>
    <m/>
    <n v="-3.8945180000000001"/>
    <s v="Direct"/>
    <s v="NA"/>
  </r>
  <r>
    <x v="1"/>
    <x v="1"/>
    <s v="Ssiderea60508"/>
    <n v="1.15727585"/>
    <m/>
    <n v="2.3394773500000001"/>
    <s v="Direct"/>
    <s v="NA"/>
  </r>
  <r>
    <x v="1"/>
    <x v="1"/>
    <s v="Ssiderea60633"/>
    <n v="1.29493049"/>
    <m/>
    <n v="1.3726554099999999"/>
    <s v="Direct"/>
    <s v="NA"/>
  </r>
  <r>
    <x v="1"/>
    <x v="1"/>
    <s v="Ssiderea62250"/>
    <n v="1.33607297"/>
    <m/>
    <n v="5.7394730799999998"/>
    <s v="Direct"/>
    <s v="tumor necrosis factor"/>
  </r>
  <r>
    <x v="1"/>
    <x v="1"/>
    <s v="Ssiderea62342"/>
    <n v="4.7842951999999999"/>
    <m/>
    <n v="10.1335009"/>
    <s v="Direct"/>
    <s v="NA"/>
  </r>
  <r>
    <x v="1"/>
    <x v="2"/>
    <s v="Ssiderea000008"/>
    <m/>
    <n v="-2.5594370999999998"/>
    <n v="-2.1026066000000001"/>
    <s v="Direct"/>
    <s v="Fibronectin type 3 domain"/>
  </r>
  <r>
    <x v="1"/>
    <x v="2"/>
    <s v="Ssiderea000033"/>
    <m/>
    <n v="1.74987958"/>
    <n v="3.3913903900000002"/>
    <s v="Direct"/>
    <s v="NA"/>
  </r>
  <r>
    <x v="1"/>
    <x v="2"/>
    <s v="Ssiderea000112"/>
    <m/>
    <n v="-2.9073858000000001"/>
    <n v="-4.1824303"/>
    <s v="Direct"/>
    <s v="FMN transmembrane transporter activity"/>
  </r>
  <r>
    <x v="1"/>
    <x v="2"/>
    <s v="Ssiderea000138"/>
    <m/>
    <n v="1.79726477"/>
    <n v="3.46341908"/>
    <s v="Direct"/>
    <s v="Luc7-like protein 3"/>
  </r>
  <r>
    <x v="1"/>
    <x v="2"/>
    <s v="Ssiderea000139"/>
    <m/>
    <n v="2.4887062100000001"/>
    <n v="2.34091819"/>
    <s v="Direct"/>
    <s v="NA"/>
  </r>
  <r>
    <x v="1"/>
    <x v="2"/>
    <s v="Ssiderea000142"/>
    <m/>
    <n v="4.9836017899999998"/>
    <n v="2.3708370699999999"/>
    <s v="Direct"/>
    <s v="myosin VI binding"/>
  </r>
  <r>
    <x v="1"/>
    <x v="2"/>
    <s v="Ssiderea000160"/>
    <m/>
    <n v="2.9117812500000002"/>
    <n v="2.05873982"/>
    <s v="Direct"/>
    <s v="Mitochondrial membrane ATP synthase (F(1)F(0) ATP synthase or Complex V) produces ATP from ADP in the presence of a proton gradient across the membrane which is generated by electron transport complexes of the respiratory chain. F-type ATPases consist of "/>
  </r>
  <r>
    <x v="1"/>
    <x v="2"/>
    <s v="Ssiderea000169"/>
    <m/>
    <n v="-1.7209574999999999"/>
    <n v="-2.0671259000000002"/>
    <s v="Direct"/>
    <s v="ribosomal large subunit assembly"/>
  </r>
  <r>
    <x v="1"/>
    <x v="2"/>
    <s v="Ssiderea000196"/>
    <m/>
    <n v="-1.3016702"/>
    <n v="-2.1403433000000001"/>
    <s v="Direct"/>
    <s v="N,N-dimethylaniline monooxygenase activity"/>
  </r>
  <r>
    <x v="1"/>
    <x v="2"/>
    <s v="Ssiderea000378"/>
    <m/>
    <n v="1.2042697499999999"/>
    <n v="1.11339568"/>
    <s v="Direct"/>
    <s v="actin filament severing"/>
  </r>
  <r>
    <x v="1"/>
    <x v="2"/>
    <s v="Ssiderea000427"/>
    <m/>
    <n v="3.0225879500000001"/>
    <n v="3.6998841499999999"/>
    <s v="Direct"/>
    <s v="NA"/>
  </r>
  <r>
    <x v="1"/>
    <x v="2"/>
    <s v="Ssiderea000447"/>
    <m/>
    <n v="-2.7453082000000002"/>
    <n v="-2.9548378999999998"/>
    <s v="Direct"/>
    <s v="thyroid hormone transmembrane transporter activity"/>
  </r>
  <r>
    <x v="1"/>
    <x v="2"/>
    <s v="Ssiderea000550"/>
    <m/>
    <n v="-14.399245000000001"/>
    <n v="-9.2704845999999996"/>
    <s v="Direct"/>
    <s v="ammonium transmembrane transporter activity"/>
  </r>
  <r>
    <x v="1"/>
    <x v="2"/>
    <s v="Ssiderea000611"/>
    <m/>
    <n v="2.5715584800000002"/>
    <n v="3.70659765"/>
    <s v="Direct"/>
    <s v="V-myc avian myelocytomatosis viral oncogene homolog"/>
  </r>
  <r>
    <x v="1"/>
    <x v="2"/>
    <s v="Ssiderea000692"/>
    <m/>
    <n v="1.1414479099999999"/>
    <n v="1.3917518200000001"/>
    <s v="Direct"/>
    <s v="Neuronal acetylcholine receptor subunit"/>
  </r>
  <r>
    <x v="1"/>
    <x v="2"/>
    <s v="Ssiderea000706"/>
    <m/>
    <n v="-2.2514113"/>
    <n v="-2.0922025999999998"/>
    <s v="Direct"/>
    <s v="N-acetyl-beta-glucosaminyl-glycoprotein 4-beta-N-acetylgalactosaminyltransferase activity"/>
  </r>
  <r>
    <x v="1"/>
    <x v="2"/>
    <s v="Ssiderea000775"/>
    <m/>
    <n v="7.9289545199999996"/>
    <n v="9.7545456399999999"/>
    <s v="Direct"/>
    <s v="Coagulation factor 5/8 C-terminal domain, discoidin domain"/>
  </r>
  <r>
    <x v="1"/>
    <x v="2"/>
    <s v="Ssiderea000796"/>
    <m/>
    <n v="2.3938763600000001"/>
    <n v="1.8508500000000001"/>
    <s v="Direct"/>
    <s v="lipoprotein receptor-related protein"/>
  </r>
  <r>
    <x v="1"/>
    <x v="2"/>
    <s v="Ssiderea000806"/>
    <m/>
    <n v="4.0557365799999996"/>
    <n v="2.6632948600000002"/>
    <s v="Direct"/>
    <s v="Ankyrin repeats (many copies)"/>
  </r>
  <r>
    <x v="1"/>
    <x v="2"/>
    <s v="Ssiderea000834"/>
    <m/>
    <n v="1.3023741499999999"/>
    <n v="1.2675711999999999"/>
    <s v="Direct"/>
    <s v="NA"/>
  </r>
  <r>
    <x v="1"/>
    <x v="2"/>
    <s v="Ssiderea000852"/>
    <m/>
    <n v="4.3258736999999998"/>
    <n v="5.2220306299999999"/>
    <s v="Direct"/>
    <s v="Domain with 2 conserved Trp (W) residues"/>
  </r>
  <r>
    <x v="1"/>
    <x v="2"/>
    <s v="Ssiderea000936"/>
    <m/>
    <n v="1.41559473"/>
    <n v="1.3480654999999999"/>
    <s v="Direct"/>
    <s v="Coagulation factor 5/8 C-terminal domain, discoidin domain"/>
  </r>
  <r>
    <x v="1"/>
    <x v="2"/>
    <s v="Ssiderea001073"/>
    <m/>
    <n v="-2.3245282"/>
    <n v="-1.8395044"/>
    <s v="Direct"/>
    <s v="phosphatidylserine biosynthetic process"/>
  </r>
  <r>
    <x v="1"/>
    <x v="2"/>
    <s v="Ssiderea001076"/>
    <m/>
    <n v="1.2216389599999999"/>
    <n v="2.5282136300000002"/>
    <s v="Direct"/>
    <s v="NA"/>
  </r>
  <r>
    <x v="1"/>
    <x v="2"/>
    <s v="Ssiderea001172"/>
    <m/>
    <n v="-2.0286024"/>
    <n v="-1.9326000999999999"/>
    <s v="Direct"/>
    <s v="fibroblast growth factor-activated receptor activity"/>
  </r>
  <r>
    <x v="1"/>
    <x v="2"/>
    <s v="Ssiderea001207"/>
    <m/>
    <n v="-2.4295350999999998"/>
    <n v="-3.2668618"/>
    <s v="Direct"/>
    <s v="NA"/>
  </r>
  <r>
    <x v="1"/>
    <x v="2"/>
    <s v="Ssiderea001248"/>
    <m/>
    <n v="-1.1744961"/>
    <n v="-1.2612311"/>
    <s v="Direct"/>
    <s v="NA"/>
  </r>
  <r>
    <x v="1"/>
    <x v="2"/>
    <s v="Ssiderea001272"/>
    <m/>
    <n v="-2.1297405999999999"/>
    <n v="-1.0266925"/>
    <s v="Direct"/>
    <s v="Myotubularin protein"/>
  </r>
  <r>
    <x v="1"/>
    <x v="2"/>
    <s v="Ssiderea001351"/>
    <m/>
    <n v="-1.4173028999999999"/>
    <n v="-2.1002116000000002"/>
    <s v="Direct"/>
    <s v="NA"/>
  </r>
  <r>
    <x v="1"/>
    <x v="2"/>
    <s v="Ssiderea001369"/>
    <m/>
    <n v="6.3690696500000001"/>
    <n v="5.8272161599999999"/>
    <s v="Direct"/>
    <s v="calcium ion binding"/>
  </r>
  <r>
    <x v="1"/>
    <x v="2"/>
    <s v="Ssiderea001370"/>
    <m/>
    <n v="39.724664199999999"/>
    <n v="39.2362903"/>
    <s v="Direct"/>
    <s v="Calcium ion binding"/>
  </r>
  <r>
    <x v="1"/>
    <x v="2"/>
    <s v="Ssiderea001380"/>
    <m/>
    <n v="-1.4267742999999999"/>
    <n v="-2.1890206000000001"/>
    <s v="Direct"/>
    <s v="Activating molecule in BECN1-regulated autophagy protein"/>
  </r>
  <r>
    <x v="1"/>
    <x v="2"/>
    <s v="Ssiderea001392"/>
    <m/>
    <n v="-1.1011229"/>
    <n v="-1.0937479999999999"/>
    <s v="Direct"/>
    <s v="Catalyzes the first and rate-limiting reaction of the four that constitute the long-chain fatty acids elongation cycle. This endoplasmic reticulum-bound enzymatic process, allows the addition of 2 carbons to the chain of long- and very long-chain fatty ac"/>
  </r>
  <r>
    <x v="1"/>
    <x v="2"/>
    <s v="Ssiderea001393"/>
    <m/>
    <n v="-6.9768796999999996"/>
    <n v="-6.8623241000000004"/>
    <s v="Direct"/>
    <s v="GNS1/SUR4 family"/>
  </r>
  <r>
    <x v="1"/>
    <x v="2"/>
    <s v="Ssiderea001415"/>
    <m/>
    <n v="1.39891648"/>
    <n v="2.5265857999999999"/>
    <s v="Direct"/>
    <s v="NA"/>
  </r>
  <r>
    <x v="1"/>
    <x v="2"/>
    <s v="Ssiderea001426"/>
    <m/>
    <n v="-25.630765"/>
    <n v="-23.515083000000001"/>
    <s v="Direct"/>
    <s v="adiponectin receptor"/>
  </r>
  <r>
    <x v="1"/>
    <x v="2"/>
    <s v="Ssiderea001431"/>
    <m/>
    <n v="-2.8528424000000001"/>
    <n v="-2.1466428999999998"/>
    <s v="Direct"/>
    <s v="maturation of 5.8S rRNA"/>
  </r>
  <r>
    <x v="1"/>
    <x v="2"/>
    <s v="Ssiderea001510"/>
    <m/>
    <n v="1.6908331999999999"/>
    <n v="1.77084113"/>
    <s v="Direct"/>
    <s v="calcium ion binding"/>
  </r>
  <r>
    <x v="1"/>
    <x v="2"/>
    <s v="Ssiderea001517"/>
    <m/>
    <n v="1.49583065"/>
    <n v="1.1027681300000001"/>
    <s v="Direct"/>
    <s v="Signal peptide, CUB and EGF-like domain-containing protein 3"/>
  </r>
  <r>
    <x v="1"/>
    <x v="2"/>
    <s v="Ssiderea001545"/>
    <m/>
    <n v="1.7219343199999999"/>
    <n v="2.0449879700000002"/>
    <s v="Direct"/>
    <s v="NA"/>
  </r>
  <r>
    <x v="1"/>
    <x v="2"/>
    <s v="Ssiderea001546"/>
    <m/>
    <n v="1.1130258200000001"/>
    <n v="1.7301555200000001"/>
    <s v="Direct"/>
    <s v="NA"/>
  </r>
  <r>
    <x v="1"/>
    <x v="2"/>
    <s v="Ssiderea001555"/>
    <m/>
    <n v="1.13970561"/>
    <n v="1.94267469"/>
    <s v="Direct"/>
    <s v="NA"/>
  </r>
  <r>
    <x v="1"/>
    <x v="2"/>
    <s v="Ssiderea001603"/>
    <m/>
    <n v="-3.0362724999999999"/>
    <n v="-3.8177335999999999"/>
    <s v="Direct"/>
    <s v="NA"/>
  </r>
  <r>
    <x v="1"/>
    <x v="2"/>
    <s v="Ssiderea001630"/>
    <m/>
    <n v="1.4065894299999999"/>
    <n v="1.13836563"/>
    <s v="Direct"/>
    <s v="protein ubiquitination"/>
  </r>
  <r>
    <x v="1"/>
    <x v="2"/>
    <s v="Ssiderea001634"/>
    <m/>
    <n v="1.1466803299999999"/>
    <n v="2.5387599000000001"/>
    <s v="Direct"/>
    <s v="Cat eye syndrome"/>
  </r>
  <r>
    <x v="1"/>
    <x v="2"/>
    <s v="Ssiderea001655"/>
    <m/>
    <n v="-1.1398458"/>
    <n v="-1.5989831000000001"/>
    <s v="Direct"/>
    <s v="heat stable protein 1"/>
  </r>
  <r>
    <x v="1"/>
    <x v="2"/>
    <s v="Ssiderea001676"/>
    <m/>
    <n v="-4.1665181999999996"/>
    <n v="-3.7830556"/>
    <s v="Direct"/>
    <s v="NA"/>
  </r>
  <r>
    <x v="1"/>
    <x v="2"/>
    <s v="Ssiderea001677"/>
    <m/>
    <n v="-1.1917835999999999"/>
    <n v="-3.0050444999999999"/>
    <s v="Direct"/>
    <s v="Belongs to the class I-like SAM-binding methyltransferase superfamily. Protein arginine N- methyltransferase family"/>
  </r>
  <r>
    <x v="1"/>
    <x v="2"/>
    <s v="Ssiderea001704"/>
    <m/>
    <n v="-2.4214962"/>
    <n v="-4.3026235000000002"/>
    <s v="Direct"/>
    <s v="calcium ion binding"/>
  </r>
  <r>
    <x v="1"/>
    <x v="2"/>
    <s v="Ssiderea001751"/>
    <m/>
    <n v="-1.8011752000000001"/>
    <n v="-4.0545663000000003"/>
    <s v="Direct"/>
    <s v="cell-matrix adhesion"/>
  </r>
  <r>
    <x v="1"/>
    <x v="2"/>
    <s v="Ssiderea001793"/>
    <m/>
    <n v="-1.0667089999999999"/>
    <n v="-1.1662366"/>
    <s v="Direct"/>
    <s v="regulation of transcription from RNA polymerase II promoter in response to UV-induced DNA damage"/>
  </r>
  <r>
    <x v="1"/>
    <x v="2"/>
    <s v="Ssiderea001813"/>
    <m/>
    <n v="-5.6753730999999998"/>
    <n v="-4.4790013000000002"/>
    <s v="Direct"/>
    <s v="Transcriptional regulator, Out at first"/>
  </r>
  <r>
    <x v="1"/>
    <x v="2"/>
    <s v="Ssiderea001814"/>
    <m/>
    <n v="-1.0650324"/>
    <n v="-2.6073800999999999"/>
    <s v="Direct"/>
    <s v="Belongs to the metallo-dependent hydrolases superfamily. Adenosine and AMP deaminases family"/>
  </r>
  <r>
    <x v="1"/>
    <x v="2"/>
    <s v="Ssiderea001864"/>
    <m/>
    <n v="1.69927816"/>
    <n v="1.5841046400000001"/>
    <s v="Direct"/>
    <s v="NA"/>
  </r>
  <r>
    <x v="1"/>
    <x v="2"/>
    <s v="Ssiderea001867"/>
    <m/>
    <n v="1.14038901"/>
    <n v="1.38164891"/>
    <s v="Direct"/>
    <s v="NA"/>
  </r>
  <r>
    <x v="1"/>
    <x v="2"/>
    <s v="Ssiderea001877"/>
    <m/>
    <n v="2.4107662300000001"/>
    <n v="4.3145968699999999"/>
    <s v="Direct"/>
    <s v="NA"/>
  </r>
  <r>
    <x v="1"/>
    <x v="2"/>
    <s v="Ssiderea001882"/>
    <m/>
    <n v="-1.1641224999999999"/>
    <n v="-1.6584885"/>
    <s v="Direct"/>
    <s v="alpha-(1-&gt;3)-fucosyltransferase activity"/>
  </r>
  <r>
    <x v="1"/>
    <x v="2"/>
    <s v="Ssiderea001897"/>
    <m/>
    <n v="-3.0047038000000001"/>
    <n v="-2.4976870999999998"/>
    <s v="Direct"/>
    <s v="protein ubiquitination"/>
  </r>
  <r>
    <x v="1"/>
    <x v="2"/>
    <s v="Ssiderea001921"/>
    <m/>
    <n v="4.54842206"/>
    <n v="5.3829510999999997"/>
    <s v="Direct"/>
    <s v="axonal fasciculation"/>
  </r>
  <r>
    <x v="1"/>
    <x v="2"/>
    <s v="Ssiderea001936"/>
    <m/>
    <n v="-2.0621325000000001"/>
    <n v="-4.7188454000000002"/>
    <s v="Direct"/>
    <s v="oxidation-reduction process"/>
  </r>
  <r>
    <x v="1"/>
    <x v="2"/>
    <s v="Ssiderea001946"/>
    <m/>
    <n v="-8.7242674999999998"/>
    <n v="-7.5082963999999999"/>
    <s v="Direct"/>
    <s v="Coiled-coil domain containing 84"/>
  </r>
  <r>
    <x v="1"/>
    <x v="2"/>
    <s v="Ssiderea001947"/>
    <m/>
    <n v="-1.3798523"/>
    <n v="-1.1511159"/>
    <s v="Direct"/>
    <s v="positive regulation of transcription from RNA polymerase II promoter by glucose"/>
  </r>
  <r>
    <x v="1"/>
    <x v="2"/>
    <s v="Ssiderea001951"/>
    <m/>
    <n v="3.83119655"/>
    <n v="2.6452263"/>
    <s v="Direct"/>
    <s v="Macin"/>
  </r>
  <r>
    <x v="1"/>
    <x v="2"/>
    <s v="Ssiderea001965"/>
    <m/>
    <n v="1.90325403"/>
    <n v="1.5701535200000001"/>
    <s v="Direct"/>
    <s v="NA"/>
  </r>
  <r>
    <x v="1"/>
    <x v="2"/>
    <s v="Ssiderea001975"/>
    <m/>
    <n v="3.4574809100000001"/>
    <n v="2.3908572100000001"/>
    <s v="Direct"/>
    <s v="Belongs to the PDGF VEGF growth factor family"/>
  </r>
  <r>
    <x v="1"/>
    <x v="2"/>
    <s v="Ssiderea001977"/>
    <m/>
    <n v="-5.8601986000000004"/>
    <n v="-2.7881014999999998"/>
    <s v="Direct"/>
    <s v="NA"/>
  </r>
  <r>
    <x v="1"/>
    <x v="2"/>
    <s v="Ssiderea002008"/>
    <m/>
    <n v="1.8841333899999999"/>
    <n v="1.55409464"/>
    <s v="Direct"/>
    <s v="NA"/>
  </r>
  <r>
    <x v="1"/>
    <x v="2"/>
    <s v="Ssiderea002072"/>
    <m/>
    <n v="-1.0982215"/>
    <n v="-1.3154839"/>
    <s v="Direct"/>
    <s v="proteasome regulatory particle assembly"/>
  </r>
  <r>
    <x v="1"/>
    <x v="2"/>
    <s v="Ssiderea002156"/>
    <m/>
    <n v="3.5645628399999998"/>
    <n v="3.3947625100000001"/>
    <s v="Direct"/>
    <s v="NA"/>
  </r>
  <r>
    <x v="1"/>
    <x v="2"/>
    <s v="Ssiderea002160"/>
    <m/>
    <n v="3.9632330499999999"/>
    <n v="4.6423478999999999"/>
    <s v="Direct"/>
    <s v="CybS, succinate dehydrogenase cytochrome B small subunit"/>
  </r>
  <r>
    <x v="1"/>
    <x v="2"/>
    <s v="Ssiderea002163"/>
    <m/>
    <n v="-1.2460689"/>
    <n v="-1.8786153999999999"/>
    <s v="Direct"/>
    <s v="C-terminal of Roc, COR, domain"/>
  </r>
  <r>
    <x v="1"/>
    <x v="2"/>
    <s v="Ssiderea002237"/>
    <m/>
    <n v="-1.0212574000000001"/>
    <n v="-1.5840284"/>
    <s v="Direct"/>
    <s v="Zona pellucida (ZP) domain"/>
  </r>
  <r>
    <x v="1"/>
    <x v="2"/>
    <s v="Ssiderea002247"/>
    <m/>
    <n v="1.8917124700000001"/>
    <n v="2.5751911999999999"/>
    <s v="Direct"/>
    <s v="Transcription mediator complex subunit Med12"/>
  </r>
  <r>
    <x v="1"/>
    <x v="2"/>
    <s v="Ssiderea002315"/>
    <m/>
    <n v="-2.6958828000000001"/>
    <n v="-4.5110723000000004"/>
    <s v="Direct"/>
    <s v="NA"/>
  </r>
  <r>
    <x v="1"/>
    <x v="2"/>
    <s v="Ssiderea002340"/>
    <m/>
    <n v="1.13689032"/>
    <n v="1.1133892400000001"/>
    <s v="Direct"/>
    <s v="fibroblast growth factor-activated receptor activity"/>
  </r>
  <r>
    <x v="1"/>
    <x v="2"/>
    <s v="Ssiderea002627"/>
    <m/>
    <n v="-2.1903760999999999"/>
    <n v="-1.3239483999999999"/>
    <s v="Direct"/>
    <s v="NA"/>
  </r>
  <r>
    <x v="1"/>
    <x v="2"/>
    <s v="Ssiderea002777"/>
    <m/>
    <n v="1.1466803299999999"/>
    <n v="1.0098093100000001"/>
    <s v="Direct"/>
    <s v="NA"/>
  </r>
  <r>
    <x v="1"/>
    <x v="2"/>
    <s v="Ssiderea002847"/>
    <m/>
    <n v="-2.600231"/>
    <n v="-2.0144844000000002"/>
    <s v="Direct"/>
    <s v="beta-galactosidase activity"/>
  </r>
  <r>
    <x v="1"/>
    <x v="2"/>
    <s v="Ssiderea002858"/>
    <m/>
    <n v="1.09604027"/>
    <n v="2.9073156099999999"/>
    <s v="Direct"/>
    <s v="NA"/>
  </r>
  <r>
    <x v="1"/>
    <x v="2"/>
    <s v="Ssiderea002863"/>
    <m/>
    <n v="1.4423447300000001"/>
    <n v="3.3100717999999998"/>
    <s v="Direct"/>
    <s v="NA"/>
  </r>
  <r>
    <x v="1"/>
    <x v="2"/>
    <s v="Ssiderea002867"/>
    <m/>
    <n v="-2.3100811999999999"/>
    <n v="-4.3184671000000003"/>
    <s v="Direct"/>
    <s v="ATPase activity, coupled to transmembrane movement of substances"/>
  </r>
  <r>
    <x v="1"/>
    <x v="2"/>
    <s v="Ssiderea003023"/>
    <m/>
    <n v="-4.1074044000000001"/>
    <n v="-5.2611477000000004"/>
    <s v="Direct"/>
    <s v="NA"/>
  </r>
  <r>
    <x v="1"/>
    <x v="2"/>
    <s v="Ssiderea003024"/>
    <m/>
    <n v="-3.1315089999999999"/>
    <n v="-1.1131708"/>
    <s v="Direct"/>
    <s v="NA"/>
  </r>
  <r>
    <x v="1"/>
    <x v="2"/>
    <s v="Ssiderea003030"/>
    <m/>
    <n v="-1.6082358999999999"/>
    <n v="-2.3361782999999998"/>
    <s v="Direct"/>
    <s v="PCI domain-containing protein 2"/>
  </r>
  <r>
    <x v="1"/>
    <x v="2"/>
    <s v="Ssiderea003033"/>
    <m/>
    <n v="-1.0994846"/>
    <n v="-2.5280450000000001"/>
    <s v="Direct"/>
    <s v="NACHT domain"/>
  </r>
  <r>
    <x v="1"/>
    <x v="2"/>
    <s v="Ssiderea003039"/>
    <m/>
    <n v="1.8841333899999999"/>
    <n v="1.4600145200000001"/>
    <s v="Direct"/>
    <s v="NA"/>
  </r>
  <r>
    <x v="1"/>
    <x v="2"/>
    <s v="Ssiderea003040"/>
    <m/>
    <n v="2.49190311"/>
    <n v="3.5182258599999998"/>
    <s v="Direct"/>
    <s v="NA"/>
  </r>
  <r>
    <x v="1"/>
    <x v="2"/>
    <s v="Ssiderea003041"/>
    <m/>
    <n v="2.2301611299999999"/>
    <n v="2.20135528"/>
    <s v="Direct"/>
    <s v="NA"/>
  </r>
  <r>
    <x v="1"/>
    <x v="2"/>
    <s v="Ssiderea003043"/>
    <m/>
    <n v="3.56938808"/>
    <n v="2.0116072900000002"/>
    <s v="Direct"/>
    <s v="NA"/>
  </r>
  <r>
    <x v="1"/>
    <x v="2"/>
    <s v="Ssiderea003070"/>
    <m/>
    <n v="1.5639119800000001"/>
    <n v="1.66867656"/>
    <s v="Direct"/>
    <s v="nucleotide binding. It is involved in the biological process described with RNA processing"/>
  </r>
  <r>
    <x v="1"/>
    <x v="2"/>
    <s v="Ssiderea003109"/>
    <m/>
    <n v="-1.0467120000000001"/>
    <n v="-1.1378942999999999"/>
    <s v="Direct"/>
    <s v="thyroid hormone transmembrane transporter activity"/>
  </r>
  <r>
    <x v="1"/>
    <x v="2"/>
    <s v="Ssiderea003135"/>
    <m/>
    <n v="-3.5372094999999999"/>
    <n v="-1.2212505"/>
    <s v="Direct"/>
    <s v="GRIP and coiled-coil"/>
  </r>
  <r>
    <x v="1"/>
    <x v="2"/>
    <s v="Ssiderea003297"/>
    <m/>
    <n v="-3.5017556999999999"/>
    <n v="-5.8640964999999996"/>
    <s v="Direct"/>
    <s v="NA"/>
  </r>
  <r>
    <x v="1"/>
    <x v="2"/>
    <s v="Ssiderea003307"/>
    <m/>
    <n v="1.73770578"/>
    <n v="1.0925122300000001"/>
    <s v="Direct"/>
    <s v="Von Willebrand factor A"/>
  </r>
  <r>
    <x v="1"/>
    <x v="2"/>
    <s v="Ssiderea003316"/>
    <m/>
    <n v="8.0096012699999992"/>
    <n v="8.1819826899999999"/>
    <s v="Direct"/>
    <s v="NA"/>
  </r>
  <r>
    <x v="1"/>
    <x v="2"/>
    <s v="Ssiderea003371"/>
    <m/>
    <n v="2.0608954800000001"/>
    <n v="4.2691829600000002"/>
    <s v="Direct"/>
    <s v="coreceptor activity involved in Wnt signaling pathway, planar cell polarity pathway"/>
  </r>
  <r>
    <x v="1"/>
    <x v="2"/>
    <s v="Ssiderea003501"/>
    <m/>
    <n v="-2.3326530000000001"/>
    <n v="-1.7966766999999999"/>
    <s v="Direct"/>
    <s v="leukocyte migration involved in immune response"/>
  </r>
  <r>
    <x v="1"/>
    <x v="2"/>
    <s v="Ssiderea003510"/>
    <m/>
    <n v="-5.0350843000000003"/>
    <n v="-6.2350108999999998"/>
    <s v="Direct"/>
    <s v="Component of the eukaryotic translation initiation factor 3 (eIF-3) complex, which is involved in protein synthesis and, together with other initiation factors, stimulates binding of mRNA and methionyl-tRNAi to the 40S ribosome"/>
  </r>
  <r>
    <x v="1"/>
    <x v="2"/>
    <s v="Ssiderea003525"/>
    <m/>
    <n v="-1.1815627"/>
    <n v="-2.3814427"/>
    <s v="Direct"/>
    <s v="3-phosphoinositide-dependent protein kinase 1"/>
  </r>
  <r>
    <x v="1"/>
    <x v="2"/>
    <s v="Ssiderea003526"/>
    <m/>
    <n v="-1.3179270000000001"/>
    <n v="-1.0366390000000001"/>
    <s v="Direct"/>
    <s v="NA"/>
  </r>
  <r>
    <x v="1"/>
    <x v="2"/>
    <s v="Ssiderea003534"/>
    <m/>
    <n v="14.9271841"/>
    <n v="13.514062600000001"/>
    <s v="Direct"/>
    <s v="NA"/>
  </r>
  <r>
    <x v="1"/>
    <x v="2"/>
    <s v="Ssiderea003559"/>
    <m/>
    <n v="3.1887722900000002"/>
    <n v="2.3533850599999999"/>
    <s v="Direct"/>
    <s v="NA"/>
  </r>
  <r>
    <x v="1"/>
    <x v="2"/>
    <s v="Ssiderea003591"/>
    <m/>
    <n v="-1.7825899999999999"/>
    <n v="-2.6266729999999998"/>
    <s v="Direct"/>
    <s v="Placenta-specific gene 8 protein-like"/>
  </r>
  <r>
    <x v="1"/>
    <x v="2"/>
    <s v="Ssiderea003608"/>
    <m/>
    <n v="1.90228288"/>
    <n v="4.58679404"/>
    <s v="Direct"/>
    <s v="NA"/>
  </r>
  <r>
    <x v="1"/>
    <x v="2"/>
    <s v="Ssiderea003616"/>
    <m/>
    <n v="-1.7798646"/>
    <n v="-1.2881459"/>
    <s v="Direct"/>
    <s v="pyridoxal-dependent decarboxylase"/>
  </r>
  <r>
    <x v="1"/>
    <x v="2"/>
    <s v="Ssiderea003629"/>
    <m/>
    <n v="1.28450011"/>
    <n v="1.4315937700000001"/>
    <s v="Direct"/>
    <s v="NA"/>
  </r>
  <r>
    <x v="1"/>
    <x v="2"/>
    <s v="Ssiderea003682"/>
    <m/>
    <n v="4.3879392700000004"/>
    <n v="6.8515645999999997"/>
    <s v="Direct"/>
    <s v="ADP-ribosylarginine hydrolase activity"/>
  </r>
  <r>
    <x v="1"/>
    <x v="2"/>
    <s v="Ssiderea003686"/>
    <m/>
    <n v="2.42561238"/>
    <n v="2.0678594800000001"/>
    <s v="Direct"/>
    <s v="NA"/>
  </r>
  <r>
    <x v="1"/>
    <x v="2"/>
    <s v="Ssiderea003692"/>
    <m/>
    <n v="5.2994567699999999"/>
    <n v="2.6872736800000001"/>
    <s v="Direct"/>
    <s v="NA"/>
  </r>
  <r>
    <x v="1"/>
    <x v="2"/>
    <s v="Ssiderea003706"/>
    <m/>
    <n v="1.3395321"/>
    <n v="1.5495918500000001"/>
    <s v="Direct"/>
    <s v="NA"/>
  </r>
  <r>
    <x v="1"/>
    <x v="2"/>
    <s v="Ssiderea003783"/>
    <m/>
    <n v="1.4583266500000001"/>
    <n v="1.978942"/>
    <s v="Direct"/>
    <s v="ATP binding"/>
  </r>
  <r>
    <x v="1"/>
    <x v="2"/>
    <s v="Ssiderea003820"/>
    <m/>
    <n v="-1.2373046999999999"/>
    <n v="-2.7444432000000001"/>
    <s v="Direct"/>
    <s v="N-acetylneuraminate 7-O(or 9-O)-acetyltransferase activity"/>
  </r>
  <r>
    <x v="1"/>
    <x v="2"/>
    <s v="Ssiderea003831"/>
    <m/>
    <n v="1.54968846"/>
    <n v="2.5120508500000001"/>
    <s v="Direct"/>
    <s v="Ubiquitin homologues"/>
  </r>
  <r>
    <x v="1"/>
    <x v="2"/>
    <s v="Ssiderea004109"/>
    <m/>
    <n v="1.1113346900000001"/>
    <n v="1.7905651300000001"/>
    <s v="Direct"/>
    <s v="Rho gtpase activating protein"/>
  </r>
  <r>
    <x v="1"/>
    <x v="2"/>
    <s v="Ssiderea004110"/>
    <m/>
    <n v="1.99417917"/>
    <n v="2.3340710100000002"/>
    <s v="Direct"/>
    <s v="NA"/>
  </r>
  <r>
    <x v="1"/>
    <x v="2"/>
    <s v="Ssiderea004129"/>
    <m/>
    <n v="-1.5886439999999999"/>
    <n v="-1.8597243000000001"/>
    <s v="Direct"/>
    <s v="NA"/>
  </r>
  <r>
    <x v="1"/>
    <x v="2"/>
    <s v="Ssiderea004130"/>
    <m/>
    <n v="-6.8433422000000004"/>
    <n v="-4.1185824999999996"/>
    <s v="Direct"/>
    <s v="NA"/>
  </r>
  <r>
    <x v="1"/>
    <x v="2"/>
    <s v="Ssiderea004149"/>
    <m/>
    <n v="1.6663838900000001"/>
    <n v="1.80673156"/>
    <s v="Direct"/>
    <s v="protein folding"/>
  </r>
  <r>
    <x v="1"/>
    <x v="2"/>
    <s v="Ssiderea004170"/>
    <m/>
    <n v="1.5017233299999999"/>
    <n v="2.2240479500000001"/>
    <s v="Direct"/>
    <s v="zinc ion binding"/>
  </r>
  <r>
    <x v="1"/>
    <x v="2"/>
    <s v="Ssiderea004285"/>
    <m/>
    <n v="4.1788427800000001"/>
    <n v="3.6164189499999999"/>
    <s v="Direct"/>
    <s v="Serine peptidase inhibitor, Kunitz type, 2"/>
  </r>
  <r>
    <x v="1"/>
    <x v="2"/>
    <s v="Ssiderea004288"/>
    <m/>
    <n v="1.79746417"/>
    <n v="1.8890097299999999"/>
    <s v="Direct"/>
    <s v="NA"/>
  </r>
  <r>
    <x v="1"/>
    <x v="2"/>
    <s v="Ssiderea004307"/>
    <m/>
    <n v="-1.3458045000000001"/>
    <n v="-3.31758"/>
    <s v="Direct"/>
    <s v="7 transmembrane receptor (rhodopsin family)"/>
  </r>
  <r>
    <x v="1"/>
    <x v="2"/>
    <s v="Ssiderea004358"/>
    <m/>
    <n v="4.9854804000000001"/>
    <n v="9.6919534899999995"/>
    <s v="Direct"/>
    <s v="Glutamate/Leucine/Phenylalanine/Valine dehydrogenase"/>
  </r>
  <r>
    <x v="1"/>
    <x v="2"/>
    <s v="Ssiderea004387"/>
    <m/>
    <n v="1.47364472"/>
    <n v="1.0267815600000001"/>
    <s v="Direct"/>
    <s v="regulation of canonical Wnt signaling pathway involved in osteoblast differentiation"/>
  </r>
  <r>
    <x v="1"/>
    <x v="2"/>
    <s v="Ssiderea004426"/>
    <m/>
    <n v="-1.3071807"/>
    <n v="-2.2341418000000002"/>
    <s v="Direct"/>
    <s v="ribosomal protein L12"/>
  </r>
  <r>
    <x v="1"/>
    <x v="2"/>
    <s v="Ssiderea004499"/>
    <m/>
    <n v="1.35703095"/>
    <n v="1.33501874"/>
    <s v="Direct"/>
    <s v="Dermatopontin"/>
  </r>
  <r>
    <x v="1"/>
    <x v="2"/>
    <s v="Ssiderea004543"/>
    <m/>
    <n v="-1.9670110000000001"/>
    <n v="-1.1184871999999999"/>
    <s v="Direct"/>
    <s v="alpha-L-fucosidase activity"/>
  </r>
  <r>
    <x v="1"/>
    <x v="2"/>
    <s v="Ssiderea004577"/>
    <m/>
    <n v="-1.3626651000000001"/>
    <n v="-1.7420230999999999"/>
    <s v="Direct"/>
    <s v="phosphomannomutase activity"/>
  </r>
  <r>
    <x v="1"/>
    <x v="2"/>
    <s v="Ssiderea004702"/>
    <m/>
    <n v="1.37676643"/>
    <n v="1.7235596900000001"/>
    <s v="Direct"/>
    <s v="intracellular chloride channel activity"/>
  </r>
  <r>
    <x v="1"/>
    <x v="2"/>
    <s v="Ssiderea004756"/>
    <m/>
    <n v="-3.0808559999999998"/>
    <n v="-8.7206226000000004"/>
    <s v="Direct"/>
    <s v="zinc ion transmembrane transporter activity"/>
  </r>
  <r>
    <x v="1"/>
    <x v="2"/>
    <s v="Ssiderea004823"/>
    <m/>
    <n v="-3.7859433"/>
    <n v="-4.7435581000000004"/>
    <s v="Direct"/>
    <s v="Glycosyl transferases group 1"/>
  </r>
  <r>
    <x v="1"/>
    <x v="2"/>
    <s v="Ssiderea004853"/>
    <m/>
    <n v="-3.2626759000000001"/>
    <n v="-6.1368935000000002"/>
    <s v="Direct"/>
    <s v="glycine biosynthetic process from serine"/>
  </r>
  <r>
    <x v="1"/>
    <x v="2"/>
    <s v="Ssiderea004867"/>
    <m/>
    <n v="-1.7842528"/>
    <n v="-5.8129698999999997"/>
    <s v="Direct"/>
    <s v="cytochrome c oxidase assembly"/>
  </r>
  <r>
    <x v="1"/>
    <x v="2"/>
    <s v="Ssiderea004921"/>
    <m/>
    <n v="2.6253722800000001"/>
    <n v="1.7788367899999999"/>
    <s v="Direct"/>
    <s v="initiation of neural tube closure"/>
  </r>
  <r>
    <x v="1"/>
    <x v="2"/>
    <s v="Ssiderea004954"/>
    <m/>
    <n v="-2.0637731000000001"/>
    <n v="-1.5832586"/>
    <s v="Direct"/>
    <s v="Transferrins are iron binding transport proteins which bind Fe(3 ) ion in association with the binding of an anion, usually bicarbonate"/>
  </r>
  <r>
    <x v="1"/>
    <x v="2"/>
    <s v="Ssiderea004955"/>
    <m/>
    <n v="-2.4314743000000001"/>
    <n v="-3.6656548999999998"/>
    <s v="Direct"/>
    <s v="10-hydroxy-9-(phosphonooxy)octadecanoate phosphatase activity"/>
  </r>
  <r>
    <x v="1"/>
    <x v="2"/>
    <s v="Ssiderea005044"/>
    <m/>
    <n v="-1.5577456999999999"/>
    <n v="-1.24759"/>
    <s v="Direct"/>
    <s v="NA"/>
  </r>
  <r>
    <x v="1"/>
    <x v="2"/>
    <s v="Ssiderea005235"/>
    <m/>
    <n v="-22.165310000000002"/>
    <n v="-23.515083000000001"/>
    <s v="Direct"/>
    <s v="NA"/>
  </r>
  <r>
    <x v="1"/>
    <x v="2"/>
    <s v="Ssiderea005254"/>
    <m/>
    <n v="3.6372386699999999"/>
    <n v="2.2083443200000001"/>
    <s v="Direct"/>
    <s v="Belongs to the 14-3-3 family"/>
  </r>
  <r>
    <x v="1"/>
    <x v="2"/>
    <s v="Ssiderea005256"/>
    <m/>
    <n v="3.0024289099999999"/>
    <n v="1.8390778400000001"/>
    <s v="Direct"/>
    <s v="tyrosine 3-monooxygenase tryptophan 5-monooxygenase activation protein, epsilon"/>
  </r>
  <r>
    <x v="1"/>
    <x v="2"/>
    <s v="Ssiderea005345"/>
    <m/>
    <n v="1.4741827300000001"/>
    <n v="2.1896956099999998"/>
    <s v="Direct"/>
    <s v="NA"/>
  </r>
  <r>
    <x v="1"/>
    <x v="2"/>
    <s v="Ssiderea005375"/>
    <m/>
    <n v="7.1339989299999997"/>
    <n v="9.4405262600000004"/>
    <s v="Direct"/>
    <s v="NA"/>
  </r>
  <r>
    <x v="1"/>
    <x v="2"/>
    <s v="Ssiderea005376"/>
    <m/>
    <n v="11.016871800000001"/>
    <n v="17.830170800000001"/>
    <s v="Direct"/>
    <s v="NA"/>
  </r>
  <r>
    <x v="1"/>
    <x v="2"/>
    <s v="Ssiderea005382"/>
    <m/>
    <n v="-1.0072804"/>
    <n v="-2.1126876999999999"/>
    <s v="Direct"/>
    <s v="mitotic DNA replication preinitiation complex assembly"/>
  </r>
  <r>
    <x v="1"/>
    <x v="2"/>
    <s v="Ssiderea005472"/>
    <m/>
    <n v="-4.1854313000000003"/>
    <n v="-8.6824537999999993"/>
    <s v="Direct"/>
    <s v="protein ubiquitination"/>
  </r>
  <r>
    <x v="1"/>
    <x v="2"/>
    <s v="Ssiderea005614"/>
    <m/>
    <n v="2.2598733599999998"/>
    <n v="1.3300271400000001"/>
    <s v="Direct"/>
    <s v="NA"/>
  </r>
  <r>
    <x v="1"/>
    <x v="2"/>
    <s v="Ssiderea005650"/>
    <m/>
    <n v="1.4962974"/>
    <n v="1.24024661"/>
    <s v="Direct"/>
    <s v="NA"/>
  </r>
  <r>
    <x v="1"/>
    <x v="2"/>
    <s v="Ssiderea005706"/>
    <m/>
    <n v="-1.2872241"/>
    <n v="-2.1527921999999999"/>
    <s v="Direct"/>
    <s v="mRNA export"/>
  </r>
  <r>
    <x v="1"/>
    <x v="2"/>
    <s v="Ssiderea005742"/>
    <m/>
    <n v="-1.0121829"/>
    <n v="-2.2341418000000002"/>
    <s v="Direct"/>
    <s v="intracellular distribution of mitochondria"/>
  </r>
  <r>
    <x v="1"/>
    <x v="2"/>
    <s v="Ssiderea005743"/>
    <m/>
    <n v="-1.2589463000000001"/>
    <n v="-1.7470569"/>
    <s v="Direct"/>
    <s v="NA"/>
  </r>
  <r>
    <x v="1"/>
    <x v="2"/>
    <s v="Ssiderea005744"/>
    <m/>
    <n v="3.4225761800000001"/>
    <n v="1.94029162"/>
    <s v="Direct"/>
    <s v="NA"/>
  </r>
  <r>
    <x v="1"/>
    <x v="2"/>
    <s v="Ssiderea005862"/>
    <m/>
    <n v="-1.0400474"/>
    <n v="-2.2110219"/>
    <s v="Direct"/>
    <s v="Phospholipase B domain containing 2"/>
  </r>
  <r>
    <x v="1"/>
    <x v="2"/>
    <s v="Ssiderea005928"/>
    <m/>
    <n v="1.7798646199999999"/>
    <n v="2.3059641399999999"/>
    <s v="Direct"/>
    <s v="lethal(3)malignant brain tumor-like protein"/>
  </r>
  <r>
    <x v="1"/>
    <x v="2"/>
    <s v="Ssiderea005967"/>
    <m/>
    <n v="3.14940636"/>
    <n v="1.0849184199999999"/>
    <s v="Direct"/>
    <s v="D-serine biosynthetic process"/>
  </r>
  <r>
    <x v="1"/>
    <x v="2"/>
    <s v="Ssiderea006016"/>
    <m/>
    <n v="1.39462698"/>
    <n v="1.27190107"/>
    <s v="Direct"/>
    <s v="Failed axon connections homolog"/>
  </r>
  <r>
    <x v="1"/>
    <x v="2"/>
    <s v="Ssiderea006084"/>
    <m/>
    <n v="2.3634828099999998"/>
    <n v="1.46516311"/>
    <s v="Direct"/>
    <s v="Complement Clr-like EGF-like"/>
  </r>
  <r>
    <x v="1"/>
    <x v="2"/>
    <s v="Ssiderea006109"/>
    <m/>
    <n v="-2.8305864000000001"/>
    <n v="-1.9386436"/>
    <s v="Direct"/>
    <s v="GTPase that associates with pre-60S ribosomal subunits in the nucleolus and is required for their nuclear export and maturation"/>
  </r>
  <r>
    <x v="1"/>
    <x v="2"/>
    <s v="Ssiderea006113"/>
    <m/>
    <n v="1.94116975"/>
    <n v="1.89610762"/>
    <s v="Direct"/>
    <s v="A Receptor for Ubiquitination Targets"/>
  </r>
  <r>
    <x v="1"/>
    <x v="2"/>
    <s v="Ssiderea006133"/>
    <m/>
    <n v="-3.6131310999999999"/>
    <n v="-4.7926004000000004"/>
    <s v="Direct"/>
    <s v="centromere protein"/>
  </r>
  <r>
    <x v="1"/>
    <x v="2"/>
    <s v="Ssiderea006250"/>
    <m/>
    <n v="-8.4411097999999996"/>
    <n v="-7.5591219000000001"/>
    <s v="Direct"/>
    <s v="peroxidase activity"/>
  </r>
  <r>
    <x v="1"/>
    <x v="2"/>
    <s v="Ssiderea006321"/>
    <m/>
    <n v="-1.9976369"/>
    <n v="-2.2736581"/>
    <s v="Direct"/>
    <s v="ribosomal small subunit export from nucleus"/>
  </r>
  <r>
    <x v="1"/>
    <x v="2"/>
    <s v="Ssiderea006332"/>
    <m/>
    <n v="-3.2334049"/>
    <n v="-3.1863024000000002"/>
    <s v="Direct"/>
    <s v="NA"/>
  </r>
  <r>
    <x v="1"/>
    <x v="2"/>
    <s v="Ssiderea006406"/>
    <m/>
    <n v="1.0833665299999999"/>
    <n v="1.0273283900000001"/>
    <s v="Direct"/>
    <s v="NA"/>
  </r>
  <r>
    <x v="1"/>
    <x v="2"/>
    <s v="Ssiderea006425"/>
    <m/>
    <n v="1.86049241"/>
    <n v="2.6424031100000001"/>
    <s v="Direct"/>
    <s v="Glycine rich protein"/>
  </r>
  <r>
    <x v="1"/>
    <x v="2"/>
    <s v="Ssiderea006435"/>
    <m/>
    <n v="-2.4750716000000001"/>
    <n v="-3.4482434"/>
    <s v="Direct"/>
    <s v="structural constituent of ribosome"/>
  </r>
  <r>
    <x v="1"/>
    <x v="2"/>
    <s v="Ssiderea006436"/>
    <m/>
    <n v="-5.2446726000000004"/>
    <n v="-6.0392089000000002"/>
    <s v="Direct"/>
    <s v="Possible membrane-associated motif in LPS-induced tumor necrosis factor alpha factor (LITAF), also known as PIG7, and other animal proteins."/>
  </r>
  <r>
    <x v="1"/>
    <x v="2"/>
    <s v="Ssiderea006441"/>
    <m/>
    <n v="1.9592054800000001"/>
    <n v="2.8990497300000002"/>
    <s v="Direct"/>
    <s v="gamete generation"/>
  </r>
  <r>
    <x v="1"/>
    <x v="2"/>
    <s v="Ssiderea006530"/>
    <m/>
    <n v="-1.2662321999999999"/>
    <n v="-2.1407137999999999"/>
    <s v="Direct"/>
    <s v="NA"/>
  </r>
  <r>
    <x v="1"/>
    <x v="2"/>
    <s v="Ssiderea006541"/>
    <m/>
    <n v="2.1017389199999998"/>
    <n v="2.66744184"/>
    <s v="Direct"/>
    <s v="serine-type endopeptidase inhibitor activity"/>
  </r>
  <r>
    <x v="1"/>
    <x v="2"/>
    <s v="Ssiderea006544"/>
    <m/>
    <n v="-8.6442052"/>
    <n v="-14.498951"/>
    <s v="Direct"/>
    <s v="damaged DNA binding"/>
  </r>
  <r>
    <x v="1"/>
    <x v="2"/>
    <s v="Ssiderea006575"/>
    <m/>
    <n v="2.0094198900000002"/>
    <n v="2.3732365400000002"/>
    <s v="Direct"/>
    <s v="helix loop helix domain"/>
  </r>
  <r>
    <x v="1"/>
    <x v="2"/>
    <s v="Ssiderea006630"/>
    <m/>
    <n v="2.49190311"/>
    <n v="2.1666745199999999"/>
    <s v="Direct"/>
    <s v="G-protein coupled receptor activity"/>
  </r>
  <r>
    <x v="1"/>
    <x v="2"/>
    <s v="Ssiderea006635"/>
    <m/>
    <n v="-1.7008037"/>
    <n v="-1.3578952"/>
    <s v="Direct"/>
    <s v="Beta-lactamase"/>
  </r>
  <r>
    <x v="1"/>
    <x v="2"/>
    <s v="Ssiderea006719"/>
    <m/>
    <n v="-4.2192347999999997"/>
    <n v="-2.3152637"/>
    <s v="Direct"/>
    <s v="regulation of mitotic cell cycle"/>
  </r>
  <r>
    <x v="1"/>
    <x v="2"/>
    <s v="Ssiderea006773"/>
    <m/>
    <n v="1.76773293"/>
    <n v="1.7808452800000001"/>
    <s v="Direct"/>
    <s v="NA"/>
  </r>
  <r>
    <x v="1"/>
    <x v="2"/>
    <s v="Ssiderea006776"/>
    <m/>
    <n v="-4.4600609999999996"/>
    <n v="-3.1237648999999998"/>
    <s v="Direct"/>
    <s v="tyrosinase"/>
  </r>
  <r>
    <x v="1"/>
    <x v="2"/>
    <s v="Ssiderea006779"/>
    <m/>
    <n v="3.3556338499999998"/>
    <n v="2.0387504500000002"/>
    <s v="Direct"/>
    <s v="N-acetyltransferase 16"/>
  </r>
  <r>
    <x v="1"/>
    <x v="2"/>
    <s v="Ssiderea006842"/>
    <m/>
    <n v="-2.7064064000000001"/>
    <n v="-1.8155851000000001"/>
    <s v="Direct"/>
    <s v="1-(5-phosphoribosyl)-5-[(5-phosphoribosylamino)methylideneamino]imidazole-4-carboxamide isomerase activity"/>
  </r>
  <r>
    <x v="1"/>
    <x v="2"/>
    <s v="Ssiderea006845"/>
    <m/>
    <n v="-1.7798646"/>
    <n v="-2.4090264000000001"/>
    <s v="Direct"/>
    <s v="Glutaredoxin"/>
  </r>
  <r>
    <x v="1"/>
    <x v="2"/>
    <s v="Ssiderea006859"/>
    <m/>
    <n v="2.1999507399999998"/>
    <n v="2.66408098"/>
    <s v="Direct"/>
    <s v="NA"/>
  </r>
  <r>
    <x v="1"/>
    <x v="2"/>
    <s v="Ssiderea006928"/>
    <m/>
    <n v="1.2378308"/>
    <n v="1.79534214"/>
    <s v="Direct"/>
    <s v="NA"/>
  </r>
  <r>
    <x v="1"/>
    <x v="2"/>
    <s v="Ssiderea006932"/>
    <m/>
    <n v="2.0278952000000001"/>
    <n v="1.6835492700000001"/>
    <s v="Direct"/>
    <s v="NA"/>
  </r>
  <r>
    <x v="1"/>
    <x v="2"/>
    <s v="Ssiderea007047"/>
    <m/>
    <n v="2.25485837"/>
    <n v="2.7385604899999998"/>
    <s v="Direct"/>
    <s v="Von Willebrand factor A"/>
  </r>
  <r>
    <x v="1"/>
    <x v="2"/>
    <s v="Ssiderea007056"/>
    <m/>
    <n v="1.5289630299999999"/>
    <n v="1.68119116"/>
    <s v="Direct"/>
    <s v="NA"/>
  </r>
  <r>
    <x v="1"/>
    <x v="2"/>
    <s v="Ssiderea007101"/>
    <m/>
    <n v="-1.7534036"/>
    <n v="-3.1800845999999998"/>
    <s v="Direct"/>
    <s v="phosphatidylethanolamine catabolic process"/>
  </r>
  <r>
    <x v="1"/>
    <x v="2"/>
    <s v="Ssiderea007153"/>
    <m/>
    <n v="-1.7074174"/>
    <n v="-2.0130599999999998"/>
    <s v="Direct"/>
    <s v="NA"/>
  </r>
  <r>
    <x v="1"/>
    <x v="2"/>
    <s v="Ssiderea007197"/>
    <m/>
    <n v="-3.0233827999999998"/>
    <n v="-1.7967968999999999"/>
    <s v="Direct"/>
    <s v="SH3 domain binding"/>
  </r>
  <r>
    <x v="1"/>
    <x v="2"/>
    <s v="Ssiderea007230"/>
    <m/>
    <n v="-2.3064186000000002"/>
    <n v="-2.5855324"/>
    <s v="Direct"/>
    <s v="NA"/>
  </r>
  <r>
    <x v="1"/>
    <x v="2"/>
    <s v="Ssiderea007231"/>
    <m/>
    <n v="-5.9661723999999996"/>
    <n v="-5.5863581"/>
    <s v="Direct"/>
    <s v="NA"/>
  </r>
  <r>
    <x v="1"/>
    <x v="2"/>
    <s v="Ssiderea007276"/>
    <m/>
    <n v="-4.3954484000000003"/>
    <n v="-2.3635530999999999"/>
    <s v="Direct"/>
    <s v="NA"/>
  </r>
  <r>
    <x v="1"/>
    <x v="2"/>
    <s v="Ssiderea007305"/>
    <m/>
    <n v="-3.8610769"/>
    <n v="-5.1481580999999998"/>
    <s v="Direct"/>
    <s v="thioredoxin-disulfide reductase activity"/>
  </r>
  <r>
    <x v="1"/>
    <x v="2"/>
    <s v="Ssiderea007562"/>
    <m/>
    <n v="2.0881954999999999"/>
    <n v="2.8654206900000001"/>
    <s v="Direct"/>
    <s v="NA"/>
  </r>
  <r>
    <x v="1"/>
    <x v="2"/>
    <s v="Ssiderea007603"/>
    <m/>
    <n v="2.2997277399999998"/>
    <n v="1.7148783599999999"/>
    <s v="Direct"/>
    <s v="NA"/>
  </r>
  <r>
    <x v="1"/>
    <x v="2"/>
    <s v="Ssiderea007612"/>
    <m/>
    <n v="1.00187743"/>
    <n v="1.6584884799999999"/>
    <s v="Direct"/>
    <s v="calcium ion binding"/>
  </r>
  <r>
    <x v="1"/>
    <x v="2"/>
    <s v="Ssiderea007640"/>
    <m/>
    <n v="-1.0999804"/>
    <n v="-1.3305925000000001"/>
    <s v="Direct"/>
    <s v="NA"/>
  </r>
  <r>
    <x v="1"/>
    <x v="2"/>
    <s v="Ssiderea007706"/>
    <m/>
    <n v="1.7314576399999999"/>
    <n v="2.6660565200000002"/>
    <s v="Direct"/>
    <s v="NA"/>
  </r>
  <r>
    <x v="1"/>
    <x v="2"/>
    <s v="Ssiderea007790"/>
    <m/>
    <n v="7.0586124000000003"/>
    <n v="9.2194339200000002"/>
    <s v="Direct"/>
    <s v="interferon regulatory factor 1"/>
  </r>
  <r>
    <x v="1"/>
    <x v="2"/>
    <s v="Ssiderea007803"/>
    <m/>
    <n v="2.0650233299999998"/>
    <n v="1.0838919"/>
    <s v="Direct"/>
    <s v="NA"/>
  </r>
  <r>
    <x v="1"/>
    <x v="2"/>
    <s v="Ssiderea007939"/>
    <m/>
    <n v="-1.1569566"/>
    <n v="-2.3645752999999998"/>
    <s v="Direct"/>
    <s v="structural constituent of ribosome"/>
  </r>
  <r>
    <x v="1"/>
    <x v="2"/>
    <s v="Ssiderea007941"/>
    <m/>
    <n v="-2.5282748000000002"/>
    <n v="-6.4319566999999997"/>
    <s v="Direct"/>
    <s v="Solute carrier organic anion transporter family, member"/>
  </r>
  <r>
    <x v="1"/>
    <x v="2"/>
    <s v="Ssiderea008293"/>
    <m/>
    <n v="5.4484435800000002"/>
    <n v="3.56308874"/>
    <s v="Direct"/>
    <s v="UPF0728 protein C10orf53 homolog"/>
  </r>
  <r>
    <x v="1"/>
    <x v="2"/>
    <s v="Ssiderea008441"/>
    <m/>
    <n v="1.12792764"/>
    <n v="1.15586667"/>
    <s v="Direct"/>
    <s v="NA"/>
  </r>
  <r>
    <x v="1"/>
    <x v="2"/>
    <s v="Ssiderea008454"/>
    <m/>
    <n v="1.0101595699999999"/>
    <n v="1.1841008500000001"/>
    <s v="Direct"/>
    <s v="NA"/>
  </r>
  <r>
    <x v="1"/>
    <x v="2"/>
    <s v="Ssiderea008484"/>
    <m/>
    <n v="-3.7822285999999998"/>
    <n v="-5.6350344000000003"/>
    <s v="Direct"/>
    <s v="NA"/>
  </r>
  <r>
    <x v="1"/>
    <x v="2"/>
    <s v="Ssiderea008639"/>
    <m/>
    <n v="2.7101561900000002"/>
    <n v="3.5249703800000001"/>
    <s v="Direct"/>
    <s v="NA"/>
  </r>
  <r>
    <x v="1"/>
    <x v="2"/>
    <s v="Ssiderea008645"/>
    <m/>
    <n v="2.8204870299999998"/>
    <n v="1.96080886"/>
    <s v="Direct"/>
    <s v="Common central domain of tyrosinase"/>
  </r>
  <r>
    <x v="1"/>
    <x v="2"/>
    <s v="Ssiderea008734"/>
    <m/>
    <n v="-3.3970698000000001"/>
    <n v="-3.9701187"/>
    <s v="Direct"/>
    <s v="Renalase, FAD-dependent amine oxidase"/>
  </r>
  <r>
    <x v="1"/>
    <x v="2"/>
    <s v="Ssiderea008743"/>
    <m/>
    <n v="1.07036281"/>
    <n v="2.1197741200000002"/>
    <s v="Direct"/>
    <s v="regulation of intraciliary retrograde transport"/>
  </r>
  <r>
    <x v="1"/>
    <x v="2"/>
    <s v="Ssiderea008772"/>
    <m/>
    <n v="-1.8566931"/>
    <n v="-2.1996975000000001"/>
    <s v="Direct"/>
    <s v="protein kinase activator activity"/>
  </r>
  <r>
    <x v="1"/>
    <x v="2"/>
    <s v="Ssiderea008804"/>
    <m/>
    <n v="-1.8892211000000001"/>
    <n v="-1.3629034"/>
    <s v="Direct"/>
    <s v="regulation of mitotic cell cycle"/>
  </r>
  <r>
    <x v="1"/>
    <x v="2"/>
    <s v="Ssiderea008857"/>
    <m/>
    <n v="-1.4403376000000001"/>
    <n v="-1.6930467"/>
    <s v="Direct"/>
    <s v="Tudor domain containing 7"/>
  </r>
  <r>
    <x v="1"/>
    <x v="2"/>
    <s v="Ssiderea008878"/>
    <m/>
    <n v="2.13077308"/>
    <n v="1.1760608800000001"/>
    <s v="Direct"/>
    <s v="NA"/>
  </r>
  <r>
    <x v="1"/>
    <x v="2"/>
    <s v="Ssiderea008884"/>
    <m/>
    <n v="1.7693082899999999"/>
    <n v="3.2073547900000001"/>
    <s v="Direct"/>
    <s v="fibroblast growth factor-activated receptor activity"/>
  </r>
  <r>
    <x v="1"/>
    <x v="2"/>
    <s v="Ssiderea008901"/>
    <m/>
    <n v="-3.5251223"/>
    <n v="-3.8370563999999998"/>
    <s v="Direct"/>
    <s v="phosphatidylserine biosynthetic process"/>
  </r>
  <r>
    <x v="1"/>
    <x v="2"/>
    <s v="Ssiderea008958"/>
    <m/>
    <n v="5.4679438400000002"/>
    <n v="4.2492072700000003"/>
    <s v="Direct"/>
    <s v="Hemicentin-1"/>
  </r>
  <r>
    <x v="1"/>
    <x v="2"/>
    <s v="Ssiderea008959"/>
    <m/>
    <n v="-2.2304134000000002"/>
    <n v="-1.8292908000000001"/>
    <s v="Direct"/>
    <s v="serine-type endopeptidase inhibitor activity"/>
  </r>
  <r>
    <x v="1"/>
    <x v="2"/>
    <s v="Ssiderea009044"/>
    <m/>
    <n v="-1.2172016999999999"/>
    <n v="-2.2494554"/>
    <s v="Direct"/>
    <s v="Apoptosis regulatory protein Siva"/>
  </r>
  <r>
    <x v="1"/>
    <x v="2"/>
    <s v="Ssiderea009085"/>
    <m/>
    <n v="2.99692457"/>
    <n v="2.0900383499999999"/>
    <s v="Direct"/>
    <s v="NA"/>
  </r>
  <r>
    <x v="1"/>
    <x v="2"/>
    <s v="Ssiderea009162"/>
    <m/>
    <n v="2.2118365400000002"/>
    <n v="1.70214759"/>
    <s v="Direct"/>
    <s v="Tumor necrosis factor (ligand) superfamily, member"/>
  </r>
  <r>
    <x v="1"/>
    <x v="2"/>
    <s v="Ssiderea009198"/>
    <m/>
    <n v="3.3676751600000001"/>
    <n v="5.2560142000000001"/>
    <s v="Direct"/>
    <s v="Interleukin-like EMT inducer"/>
  </r>
  <r>
    <x v="1"/>
    <x v="2"/>
    <s v="Ssiderea009243"/>
    <m/>
    <n v="6.2081015400000004"/>
    <n v="3.6898435100000002"/>
    <s v="Direct"/>
    <s v="unfolded protein binding"/>
  </r>
  <r>
    <x v="1"/>
    <x v="2"/>
    <s v="Ssiderea009244"/>
    <m/>
    <n v="-1.2845001"/>
    <n v="-1.1971432"/>
    <s v="Direct"/>
    <s v="RNA splicing, via transesterification reactions with bulged adenosine as nucleophile"/>
  </r>
  <r>
    <x v="1"/>
    <x v="2"/>
    <s v="Ssiderea009270"/>
    <m/>
    <n v="-2.4734365999999999"/>
    <n v="-4.9265984999999999"/>
    <s v="Direct"/>
    <s v="spliceosomal tri-snRNP complex assembly"/>
  </r>
  <r>
    <x v="1"/>
    <x v="2"/>
    <s v="Ssiderea009280"/>
    <m/>
    <n v="1.2384293099999999"/>
    <n v="2.75271234"/>
    <s v="Direct"/>
    <s v="NA"/>
  </r>
  <r>
    <x v="1"/>
    <x v="2"/>
    <s v="Ssiderea009291"/>
    <m/>
    <n v="-2.2150739000000002"/>
    <n v="-2.9085852000000001"/>
    <s v="Direct"/>
    <s v="ectonucleotide pyrophosphatase phosphodiesterase"/>
  </r>
  <r>
    <x v="1"/>
    <x v="2"/>
    <s v="Ssiderea009333"/>
    <m/>
    <n v="-2.0502370000000001"/>
    <n v="-1.4089124"/>
    <s v="Direct"/>
    <s v="Growth factor receptor domain IV"/>
  </r>
  <r>
    <x v="1"/>
    <x v="2"/>
    <s v="Ssiderea009358"/>
    <m/>
    <n v="2.2514112900000001"/>
    <n v="1.33501874"/>
    <s v="Direct"/>
    <s v="signaling receptor binding"/>
  </r>
  <r>
    <x v="1"/>
    <x v="2"/>
    <s v="Ssiderea009426"/>
    <m/>
    <n v="-1.0068636"/>
    <n v="-1.5947388"/>
    <s v="Direct"/>
    <s v="serum response element binding"/>
  </r>
  <r>
    <x v="1"/>
    <x v="2"/>
    <s v="Ssiderea009438"/>
    <m/>
    <n v="-5.4763209000000002"/>
    <n v="-3.8456380000000001"/>
    <s v="Direct"/>
    <s v="7,8-dihydroneopterin 3'-triphosphate biosynthetic process"/>
  </r>
  <r>
    <x v="1"/>
    <x v="2"/>
    <s v="Ssiderea009512"/>
    <m/>
    <n v="2.5891031"/>
    <n v="4.72797059"/>
    <s v="Direct"/>
    <s v="NA"/>
  </r>
  <r>
    <x v="1"/>
    <x v="2"/>
    <s v="Ssiderea009517"/>
    <m/>
    <n v="-1.9832540000000001"/>
    <n v="-1.5336521999999999"/>
    <s v="Direct"/>
    <s v="regulation of T cell differentiation in thymus"/>
  </r>
  <r>
    <x v="1"/>
    <x v="2"/>
    <s v="Ssiderea009538"/>
    <m/>
    <n v="6.2537997000000001"/>
    <n v="4.4916399399999998"/>
    <s v="Direct"/>
    <s v="Histone h2b"/>
  </r>
  <r>
    <x v="1"/>
    <x v="2"/>
    <s v="Ssiderea009541"/>
    <m/>
    <n v="-1.8566931"/>
    <n v="-1.2862648999999999"/>
    <s v="Direct"/>
    <s v="to Saccharomyces cerevisiae PUB1 (YNL016W)"/>
  </r>
  <r>
    <x v="1"/>
    <x v="2"/>
    <s v="Ssiderea009577"/>
    <m/>
    <n v="2.2855039399999999"/>
    <n v="1.45046528"/>
    <s v="Direct"/>
    <s v="NA"/>
  </r>
  <r>
    <x v="1"/>
    <x v="2"/>
    <s v="Ssiderea009584"/>
    <m/>
    <n v="-1.1045261"/>
    <n v="-2.3474461"/>
    <s v="Direct"/>
    <s v="TAF6-like RNA polymerase II, p300 CBP-associated"/>
  </r>
  <r>
    <x v="1"/>
    <x v="2"/>
    <s v="Ssiderea009626"/>
    <m/>
    <n v="1.39587273"/>
    <n v="1.06724945"/>
    <s v="Direct"/>
    <s v="NA"/>
  </r>
  <r>
    <x v="1"/>
    <x v="2"/>
    <s v="Ssiderea009632"/>
    <m/>
    <n v="-1.9626748999999999"/>
    <n v="-3.2482872999999999"/>
    <s v="Direct"/>
    <s v="threonine-type endopeptidase activity"/>
  </r>
  <r>
    <x v="1"/>
    <x v="2"/>
    <s v="Ssiderea009669"/>
    <m/>
    <n v="-2.8075736999999998"/>
    <n v="-1.7094498"/>
    <s v="Direct"/>
    <s v="Arp2/3 complex-mediated actin nucleation"/>
  </r>
  <r>
    <x v="1"/>
    <x v="2"/>
    <s v="Ssiderea009671"/>
    <m/>
    <n v="-3.0010515"/>
    <n v="-2.5322371000000001"/>
    <s v="Direct"/>
    <s v="5-methyltetrahydrofolate--homocysteine methyltransferase"/>
  </r>
  <r>
    <x v="1"/>
    <x v="2"/>
    <s v="Ssiderea009726"/>
    <m/>
    <n v="-1.8527952000000001"/>
    <n v="-1.2716565"/>
    <s v="Direct"/>
    <s v="NA"/>
  </r>
  <r>
    <x v="1"/>
    <x v="2"/>
    <s v="Ssiderea009731"/>
    <m/>
    <n v="-3.0820387999999999"/>
    <n v="-2.8813708"/>
    <s v="Direct"/>
    <s v="NA"/>
  </r>
  <r>
    <x v="1"/>
    <x v="2"/>
    <s v="Ssiderea009733"/>
    <m/>
    <n v="-4.0710186999999998"/>
    <n v="-5.2220306000000001"/>
    <s v="Direct"/>
    <s v="NA"/>
  </r>
  <r>
    <x v="1"/>
    <x v="2"/>
    <s v="Ssiderea009736"/>
    <m/>
    <n v="-1.2476783"/>
    <n v="-2.0293747"/>
    <s v="Direct"/>
    <s v="NA"/>
  </r>
  <r>
    <x v="1"/>
    <x v="2"/>
    <s v="Ssiderea009861"/>
    <m/>
    <n v="2.24158503"/>
    <n v="2.4489942500000002"/>
    <s v="Direct"/>
    <s v="lactoylglutathione lyase activity"/>
  </r>
  <r>
    <x v="1"/>
    <x v="2"/>
    <s v="Ssiderea009968"/>
    <m/>
    <n v="5.5507567900000003"/>
    <n v="7.6638305300000003"/>
    <s v="Direct"/>
    <s v="Carbonic anhydrase"/>
  </r>
  <r>
    <x v="1"/>
    <x v="2"/>
    <s v="Ssiderea009985"/>
    <m/>
    <n v="-2.4031142000000001"/>
    <n v="-4.4243426000000001"/>
    <s v="Direct"/>
    <s v="3'-flap endonuclease activity"/>
  </r>
  <r>
    <x v="1"/>
    <x v="2"/>
    <s v="Ssiderea009999"/>
    <m/>
    <n v="-102.03176000000001"/>
    <n v="-109.86731"/>
    <s v="Direct"/>
    <s v="Acid trehalase-like"/>
  </r>
  <r>
    <x v="1"/>
    <x v="2"/>
    <s v="Ssiderea010040"/>
    <m/>
    <n v="5.4812363299999998"/>
    <n v="6.3243289300000001"/>
    <s v="Direct"/>
    <s v="NAD/NADP octopine/nopaline dehydrogenase, alpha-helical domain"/>
  </r>
  <r>
    <x v="1"/>
    <x v="2"/>
    <s v="Ssiderea010152"/>
    <m/>
    <n v="2.6847601499999998"/>
    <n v="4.69369105"/>
    <s v="Direct"/>
    <s v="PEST proteolytic signal containing nuclear protein"/>
  </r>
  <r>
    <x v="1"/>
    <x v="2"/>
    <s v="Ssiderea010173"/>
    <m/>
    <n v="-1.2475931"/>
    <n v="-1.9452738999999999"/>
    <s v="Direct"/>
    <s v="inositol"/>
  </r>
  <r>
    <x v="1"/>
    <x v="2"/>
    <s v="Ssiderea010197"/>
    <m/>
    <n v="1.60143338"/>
    <n v="3.67355483"/>
    <s v="Direct"/>
    <s v="Connector enhancer of kinase suppressor of ras"/>
  </r>
  <r>
    <x v="1"/>
    <x v="2"/>
    <s v="Ssiderea010219"/>
    <m/>
    <n v="1.8295064400000001"/>
    <n v="4.4099380799999999"/>
    <s v="Direct"/>
    <s v="zinc ion binding"/>
  </r>
  <r>
    <x v="1"/>
    <x v="2"/>
    <s v="Ssiderea010246"/>
    <m/>
    <n v="1.2532212"/>
    <n v="1.32622135"/>
    <s v="Direct"/>
    <s v="zinc ion binding"/>
  </r>
  <r>
    <x v="1"/>
    <x v="2"/>
    <s v="Ssiderea010270"/>
    <m/>
    <n v="1.29663588"/>
    <n v="1.0671682"/>
    <s v="Direct"/>
    <s v="regulation of cell shape"/>
  </r>
  <r>
    <x v="1"/>
    <x v="2"/>
    <s v="Ssiderea010317"/>
    <m/>
    <n v="-1.3454874999999999"/>
    <n v="-2.0025531000000001"/>
    <s v="Direct"/>
    <s v="Aldo/keto reductase family"/>
  </r>
  <r>
    <x v="1"/>
    <x v="2"/>
    <s v="Ssiderea010320"/>
    <m/>
    <n v="2.3326530399999998"/>
    <n v="1.3872359400000001"/>
    <s v="Direct"/>
    <s v="negative regulation of male germ cell proliferation"/>
  </r>
  <r>
    <x v="1"/>
    <x v="2"/>
    <s v="Ssiderea010376"/>
    <m/>
    <n v="2.3210654700000002"/>
    <n v="1.8299234799999999"/>
    <s v="Direct"/>
    <s v="homogentisate 1,2-dioxygenase activity"/>
  </r>
  <r>
    <x v="1"/>
    <x v="2"/>
    <s v="Ssiderea010521"/>
    <m/>
    <n v="1.8651827700000001"/>
    <n v="2.8275656900000001"/>
    <s v="Direct"/>
    <s v="Coagulation factor 5/8 C-terminal domain, discoidin domain"/>
  </r>
  <r>
    <x v="1"/>
    <x v="2"/>
    <s v="Ssiderea010581"/>
    <m/>
    <n v="-2.7663538999999999"/>
    <n v="-1.8247177999999999"/>
    <s v="Direct"/>
    <s v="NA"/>
  </r>
  <r>
    <x v="1"/>
    <x v="2"/>
    <s v="Ssiderea010588"/>
    <m/>
    <n v="-2.0742512"/>
    <n v="-2.2494554"/>
    <s v="Direct"/>
    <s v="osmolarity-sensing cation channel activity"/>
  </r>
  <r>
    <x v="1"/>
    <x v="2"/>
    <s v="Ssiderea010592"/>
    <m/>
    <n v="1.99870546"/>
    <n v="1.1482667600000001"/>
    <s v="Direct"/>
    <s v="activation of NF-kappaB-inducing kinase activity"/>
  </r>
  <r>
    <x v="1"/>
    <x v="2"/>
    <s v="Ssiderea010871"/>
    <m/>
    <n v="-1.4163809000000001"/>
    <n v="-1.3519211"/>
    <s v="Direct"/>
    <s v="CUB and zona pellucida-like domain-containing protein"/>
  </r>
  <r>
    <x v="1"/>
    <x v="2"/>
    <s v="Ssiderea010919"/>
    <m/>
    <n v="1.3524584399999999"/>
    <n v="1.08945107"/>
    <s v="Direct"/>
    <s v="NA"/>
  </r>
  <r>
    <x v="1"/>
    <x v="2"/>
    <s v="Ssiderea010934"/>
    <m/>
    <n v="-1.3301476999999999"/>
    <n v="-1.6092862000000001"/>
    <s v="Direct"/>
    <s v="NA"/>
  </r>
  <r>
    <x v="1"/>
    <x v="2"/>
    <s v="Ssiderea010972"/>
    <m/>
    <n v="-2.6152875999999998"/>
    <n v="-1.7885073"/>
    <s v="Direct"/>
    <s v="temperature-gated cation channel activity"/>
  </r>
  <r>
    <x v="1"/>
    <x v="2"/>
    <s v="Ssiderea011068"/>
    <m/>
    <n v="2.4964741400000001"/>
    <n v="2.38144271"/>
    <s v="Direct"/>
    <s v="NA"/>
  </r>
  <r>
    <x v="1"/>
    <x v="2"/>
    <s v="Ssiderea011069"/>
    <m/>
    <n v="2.6562039799999999"/>
    <n v="2.5596898800000001"/>
    <s v="Direct"/>
    <s v="NA"/>
  </r>
  <r>
    <x v="1"/>
    <x v="2"/>
    <s v="Ssiderea011070"/>
    <m/>
    <n v="3.5170281000000001"/>
    <n v="3.0245932600000001"/>
    <s v="Direct"/>
    <s v="NA"/>
  </r>
  <r>
    <x v="1"/>
    <x v="2"/>
    <s v="Ssiderea011071"/>
    <m/>
    <n v="5.1777338200000003"/>
    <n v="5.8083008300000003"/>
    <s v="Direct"/>
    <s v="NA"/>
  </r>
  <r>
    <x v="1"/>
    <x v="2"/>
    <s v="Ssiderea011072"/>
    <m/>
    <n v="6.0202535099999999"/>
    <n v="6.6042322200000001"/>
    <s v="Direct"/>
    <s v="NA"/>
  </r>
  <r>
    <x v="1"/>
    <x v="2"/>
    <s v="Ssiderea011074"/>
    <m/>
    <n v="4.6971912500000004"/>
    <n v="4.1358100100000001"/>
    <s v="Direct"/>
    <s v="NA"/>
  </r>
  <r>
    <x v="1"/>
    <x v="2"/>
    <s v="Ssiderea011174"/>
    <m/>
    <n v="1.4888713200000001"/>
    <n v="3.5444852400000002"/>
    <s v="Direct"/>
    <s v="serine-type endopeptidase inhibitor activity"/>
  </r>
  <r>
    <x v="1"/>
    <x v="2"/>
    <s v="Ssiderea011327"/>
    <m/>
    <n v="-1.4902576000000001"/>
    <n v="-1.3051069"/>
    <s v="Direct"/>
    <s v="NA"/>
  </r>
  <r>
    <x v="1"/>
    <x v="2"/>
    <s v="Ssiderea011458"/>
    <m/>
    <n v="-1.8377082"/>
    <n v="-1.9976179999999999"/>
    <s v="Direct"/>
    <s v="protein C-terminal methylesterase activity"/>
  </r>
  <r>
    <x v="1"/>
    <x v="2"/>
    <s v="Ssiderea011501"/>
    <m/>
    <n v="1.28722409"/>
    <n v="1.61193981"/>
    <s v="Direct"/>
    <s v="regulation of mitotic cell cycle"/>
  </r>
  <r>
    <x v="1"/>
    <x v="2"/>
    <s v="Ssiderea011574"/>
    <m/>
    <n v="2.0588776900000001"/>
    <n v="1.77091709"/>
    <s v="Direct"/>
    <s v="G-protein coupled receptor activity"/>
  </r>
  <r>
    <x v="1"/>
    <x v="2"/>
    <s v="Ssiderea011579"/>
    <m/>
    <n v="-1.8940895"/>
    <n v="-1.4476386000000001"/>
    <s v="Direct"/>
    <s v="NA"/>
  </r>
  <r>
    <x v="1"/>
    <x v="2"/>
    <s v="Ssiderea011588"/>
    <m/>
    <n v="2.7311530500000001"/>
    <n v="2.4671289199999999"/>
    <s v="Direct"/>
    <s v="NA"/>
  </r>
  <r>
    <x v="1"/>
    <x v="2"/>
    <s v="Ssiderea011609"/>
    <m/>
    <n v="8.7009712199999996"/>
    <n v="4.4492710899999999"/>
    <s v="Direct"/>
    <s v="NA"/>
  </r>
  <r>
    <x v="1"/>
    <x v="2"/>
    <s v="Ssiderea011613"/>
    <m/>
    <n v="-1.8258460000000001"/>
    <n v="-1.0075373999999999"/>
    <s v="Direct"/>
    <s v="Belongs to the class I-like SAM-binding methyltransferase superfamily. RsmB NOP family"/>
  </r>
  <r>
    <x v="1"/>
    <x v="2"/>
    <s v="Ssiderea011628"/>
    <m/>
    <n v="1.13416227"/>
    <n v="1.04298099"/>
    <s v="Direct"/>
    <s v="negative regulation of growth rate"/>
  </r>
  <r>
    <x v="1"/>
    <x v="2"/>
    <s v="Ssiderea011629"/>
    <m/>
    <n v="2.2394103400000001"/>
    <n v="3.6612792199999999"/>
    <s v="Direct"/>
    <s v="Methyltransferase domain"/>
  </r>
  <r>
    <x v="1"/>
    <x v="2"/>
    <s v="Ssiderea011646"/>
    <m/>
    <n v="10.9031193"/>
    <n v="11.777503599999999"/>
    <s v="Direct"/>
    <s v="Scavenger receptor Cys-rich"/>
  </r>
  <r>
    <x v="1"/>
    <x v="2"/>
    <s v="Ssiderea011647"/>
    <m/>
    <n v="12.0092263"/>
    <n v="13.3219429"/>
    <s v="Direct"/>
    <s v="negative regulation of insulin-like growth factor receptor signaling pathway"/>
  </r>
  <r>
    <x v="1"/>
    <x v="2"/>
    <s v="Ssiderea011779"/>
    <m/>
    <n v="-1.1792583999999999"/>
    <n v="-1.9683101999999999"/>
    <s v="Direct"/>
    <s v="Lysosomal Pro-X"/>
  </r>
  <r>
    <x v="1"/>
    <x v="2"/>
    <s v="Ssiderea011860"/>
    <m/>
    <n v="3.4592885400000002"/>
    <n v="2.0577750099999998"/>
    <s v="Direct"/>
    <s v="Glycerophosphoryl diester phosphodiesterase family"/>
  </r>
  <r>
    <x v="1"/>
    <x v="2"/>
    <s v="Ssiderea011870"/>
    <m/>
    <n v="6.4222653999999997"/>
    <n v="8.1402609399999992"/>
    <s v="Direct"/>
    <s v="NA"/>
  </r>
  <r>
    <x v="1"/>
    <x v="2"/>
    <s v="Ssiderea011934"/>
    <m/>
    <n v="-1.5546800999999999"/>
    <n v="-2.3059641000000002"/>
    <s v="Direct"/>
    <s v="NA"/>
  </r>
  <r>
    <x v="1"/>
    <x v="2"/>
    <s v="Ssiderea011971"/>
    <m/>
    <n v="-5.3595283"/>
    <n v="-5.1619115999999998"/>
    <s v="Direct"/>
    <s v="ATP:ADP antiporter activity"/>
  </r>
  <r>
    <x v="1"/>
    <x v="2"/>
    <s v="Ssiderea011980"/>
    <m/>
    <n v="2.2011650500000002"/>
    <n v="1.6337658900000001"/>
    <s v="Direct"/>
    <s v="NA"/>
  </r>
  <r>
    <x v="1"/>
    <x v="2"/>
    <s v="Ssiderea011982"/>
    <m/>
    <n v="2.4085393800000001"/>
    <n v="1.51741272"/>
    <s v="Direct"/>
    <s v="NA"/>
  </r>
  <r>
    <x v="1"/>
    <x v="2"/>
    <s v="Ssiderea011984"/>
    <m/>
    <n v="1.0016873799999999"/>
    <n v="2.13319255"/>
    <s v="Direct"/>
    <s v="NA"/>
  </r>
  <r>
    <x v="1"/>
    <x v="2"/>
    <s v="Ssiderea011990"/>
    <m/>
    <n v="-2.3189283999999999"/>
    <n v="-2.4677874000000002"/>
    <s v="Direct"/>
    <s v="ATP-dependent chromatin remodeling"/>
  </r>
  <r>
    <x v="1"/>
    <x v="2"/>
    <s v="Ssiderea012055"/>
    <m/>
    <n v="-15.113773"/>
    <n v="-17.681491999999999"/>
    <s v="Direct"/>
    <s v="major facilitator superfamily"/>
  </r>
  <r>
    <x v="1"/>
    <x v="2"/>
    <s v="Ssiderea012119"/>
    <m/>
    <n v="2.9914695600000001"/>
    <n v="2.77470265"/>
    <s v="Direct"/>
    <s v="NA"/>
  </r>
  <r>
    <x v="1"/>
    <x v="2"/>
    <s v="Ssiderea012121"/>
    <m/>
    <n v="1.5426320899999999"/>
    <n v="1.8879718599999999"/>
    <s v="Direct"/>
    <s v="Lipoxygenase homology"/>
  </r>
  <r>
    <x v="1"/>
    <x v="2"/>
    <s v="Ssiderea012122"/>
    <m/>
    <n v="2.92864097"/>
    <n v="3.0585851499999999"/>
    <s v="Direct"/>
    <s v="Lipoxygenase homology"/>
  </r>
  <r>
    <x v="1"/>
    <x v="2"/>
    <s v="Ssiderea012146"/>
    <m/>
    <n v="4.4870612699999999"/>
    <n v="3.88025507"/>
    <s v="Direct"/>
    <s v="Ubiquitin-like modifier"/>
  </r>
  <r>
    <x v="1"/>
    <x v="2"/>
    <s v="Ssiderea012168"/>
    <m/>
    <n v="4.0589712499999999"/>
    <n v="2.9556365900000001"/>
    <s v="Direct"/>
    <s v="PAP2 superfamily"/>
  </r>
  <r>
    <x v="1"/>
    <x v="2"/>
    <s v="Ssiderea012169"/>
    <m/>
    <n v="2.6721877200000002"/>
    <n v="1.5038605"/>
    <s v="Direct"/>
    <s v="fibroblast growth factor-activated receptor activity"/>
  </r>
  <r>
    <x v="1"/>
    <x v="2"/>
    <s v="Ssiderea012241"/>
    <m/>
    <n v="1.6752047999999999"/>
    <n v="3.1907296399999998"/>
    <s v="Direct"/>
    <s v="cytoskeletal anchoring at plasma membrane"/>
  </r>
  <r>
    <x v="1"/>
    <x v="2"/>
    <s v="Ssiderea012307"/>
    <m/>
    <n v="-2.9184323000000001"/>
    <n v="-1.6683711999999999"/>
    <s v="Direct"/>
    <s v="fatty acid metabolic process"/>
  </r>
  <r>
    <x v="1"/>
    <x v="2"/>
    <s v="Ssiderea012319"/>
    <m/>
    <n v="1.1748337499999999"/>
    <n v="1.7543920799999999"/>
    <s v="Direct"/>
    <s v="PUB domain"/>
  </r>
  <r>
    <x v="1"/>
    <x v="2"/>
    <s v="Ssiderea012320"/>
    <m/>
    <n v="-1.7588994"/>
    <n v="-2.1530963999999999"/>
    <s v="Direct"/>
    <s v="Nuclear transcription factor, X-box binding-like 1"/>
  </r>
  <r>
    <x v="1"/>
    <x v="2"/>
    <s v="Ssiderea012410"/>
    <m/>
    <n v="-2.1201230999999998"/>
    <n v="-1.8172847999999999"/>
    <s v="Direct"/>
    <s v="ion transport"/>
  </r>
  <r>
    <x v="1"/>
    <x v="2"/>
    <s v="Ssiderea012417"/>
    <m/>
    <n v="-8.4779517999999996"/>
    <n v="-7.7982316000000003"/>
    <s v="Direct"/>
    <s v="Belongs to the AB hydrolase superfamily. Lipase family"/>
  </r>
  <r>
    <x v="1"/>
    <x v="2"/>
    <s v="Ssiderea012442"/>
    <m/>
    <n v="-1.0666032000000001"/>
    <n v="-1.2327973000000001"/>
    <s v="Direct"/>
    <s v="response to cell cycle checkpoint signaling"/>
  </r>
  <r>
    <x v="1"/>
    <x v="2"/>
    <s v="Ssiderea012479"/>
    <m/>
    <n v="-3.7469337"/>
    <n v="-3.1387371000000002"/>
    <s v="Direct"/>
    <s v="NA"/>
  </r>
  <r>
    <x v="1"/>
    <x v="2"/>
    <s v="Ssiderea012567"/>
    <m/>
    <n v="4.4488784800000003"/>
    <n v="4.29733973"/>
    <s v="Direct"/>
    <s v="Fibrinogen-related domains (FReDs)"/>
  </r>
  <r>
    <x v="1"/>
    <x v="2"/>
    <s v="Ssiderea012588"/>
    <m/>
    <n v="-1.9320198"/>
    <n v="-2.2144449000000002"/>
    <s v="Direct"/>
    <s v="NA"/>
  </r>
  <r>
    <x v="1"/>
    <x v="2"/>
    <s v="Ssiderea012661"/>
    <m/>
    <n v="-3.2546751999999999"/>
    <n v="-4.6040742999999997"/>
    <s v="Direct"/>
    <s v="NA"/>
  </r>
  <r>
    <x v="1"/>
    <x v="2"/>
    <s v="Ssiderea012788"/>
    <m/>
    <n v="-4.6632527000000001"/>
    <n v="-7.0778426000000003"/>
    <s v="Direct"/>
    <s v="GDP-L-fucose synthase activity"/>
  </r>
  <r>
    <x v="1"/>
    <x v="2"/>
    <s v="Ssiderea012800"/>
    <m/>
    <n v="-2.7793469000000002"/>
    <n v="-1.663478"/>
    <s v="Direct"/>
    <s v="Catalyzes the reversible phosphorolysis of thymidine. The produced molecules are then utilized as carbon and energy sources or in the rescue of pyrimidine bases for nucleotide synthesis"/>
  </r>
  <r>
    <x v="1"/>
    <x v="2"/>
    <s v="Ssiderea012861"/>
    <m/>
    <n v="1.1466803299999999"/>
    <n v="1.26476561"/>
    <s v="Direct"/>
    <s v="acidic dipeptidase"/>
  </r>
  <r>
    <x v="1"/>
    <x v="2"/>
    <s v="Ssiderea012868"/>
    <m/>
    <n v="-7.1296106000000004"/>
    <n v="-5.0224048999999997"/>
    <s v="Direct"/>
    <s v="NA"/>
  </r>
  <r>
    <x v="1"/>
    <x v="2"/>
    <s v="Ssiderea012874"/>
    <m/>
    <n v="2.7075482800000001"/>
    <n v="5.4913466199999998"/>
    <s v="Direct"/>
    <s v="NA"/>
  </r>
  <r>
    <x v="1"/>
    <x v="2"/>
    <s v="Ssiderea012885"/>
    <m/>
    <n v="-1.3413278"/>
    <n v="-1.8716021"/>
    <s v="Direct"/>
    <s v="NA"/>
  </r>
  <r>
    <x v="1"/>
    <x v="2"/>
    <s v="Ssiderea013000"/>
    <m/>
    <n v="1.44660016"/>
    <n v="1.4451142100000001"/>
    <s v="Direct"/>
    <s v="adenylate cyclase-activating dopamine receptor signaling pathway"/>
  </r>
  <r>
    <x v="1"/>
    <x v="2"/>
    <s v="Ssiderea013001"/>
    <m/>
    <n v="-1.0982215"/>
    <n v="-1.0376373000000001"/>
    <s v="Direct"/>
    <s v="Heat shock 70 kDa protein 14"/>
  </r>
  <r>
    <x v="1"/>
    <x v="2"/>
    <s v="Ssiderea013007"/>
    <m/>
    <n v="-2.4102993000000001"/>
    <n v="-3.5708514"/>
    <s v="Direct"/>
    <s v="lipoprotein receptor-related protein"/>
  </r>
  <r>
    <x v="1"/>
    <x v="2"/>
    <s v="Ssiderea013037"/>
    <m/>
    <n v="1.05655777"/>
    <n v="1.10282357"/>
    <s v="Direct"/>
    <s v="alpha-1,4-glucosidase activity"/>
  </r>
  <r>
    <x v="1"/>
    <x v="2"/>
    <s v="Ssiderea013067"/>
    <m/>
    <n v="10.541785300000001"/>
    <n v="16.650311299999998"/>
    <s v="Direct"/>
    <s v="dihydrofolate reductase activity"/>
  </r>
  <r>
    <x v="1"/>
    <x v="2"/>
    <s v="Ssiderea013109"/>
    <m/>
    <n v="-3.2802639999999998"/>
    <n v="-3.4327022999999999"/>
    <s v="Direct"/>
    <s v="BCCT, betaine/carnitine/choline family transporter"/>
  </r>
  <r>
    <x v="1"/>
    <x v="2"/>
    <s v="Ssiderea013162"/>
    <m/>
    <n v="-2.6170083000000002"/>
    <n v="-2.6179250000000001"/>
    <s v="Direct"/>
    <s v="NA"/>
  </r>
  <r>
    <x v="1"/>
    <x v="2"/>
    <s v="Ssiderea013163"/>
    <m/>
    <n v="-1.7534036"/>
    <n v="-1.7386394000000001"/>
    <s v="Direct"/>
    <s v="NA"/>
  </r>
  <r>
    <x v="1"/>
    <x v="2"/>
    <s v="Ssiderea013180"/>
    <m/>
    <n v="-1.1009476"/>
    <n v="-1.7126034999999999"/>
    <s v="Direct"/>
    <s v="Interleukin enhancer-binding factor 2"/>
  </r>
  <r>
    <x v="1"/>
    <x v="2"/>
    <s v="Ssiderea013236"/>
    <m/>
    <n v="-1.3412550000000001"/>
    <n v="-1.1724251000000001"/>
    <s v="Direct"/>
    <s v="NA"/>
  </r>
  <r>
    <x v="1"/>
    <x v="2"/>
    <s v="Ssiderea013252"/>
    <m/>
    <n v="3.0187839799999998"/>
    <n v="3.8600829999999999"/>
    <s v="Direct"/>
    <s v="NA"/>
  </r>
  <r>
    <x v="1"/>
    <x v="2"/>
    <s v="Ssiderea013295"/>
    <m/>
    <n v="3.0789868"/>
    <n v="2.5967800900000002"/>
    <s v="Direct"/>
    <s v="positive regulation of skeletal muscle acetylcholine-gated channel clustering"/>
  </r>
  <r>
    <x v="1"/>
    <x v="2"/>
    <s v="Ssiderea013350"/>
    <m/>
    <n v="2.8111674600000001"/>
    <n v="3.4066542499999999"/>
    <s v="Direct"/>
    <s v="NA"/>
  </r>
  <r>
    <x v="1"/>
    <x v="2"/>
    <s v="Ssiderea013379"/>
    <m/>
    <n v="-2.3087521"/>
    <n v="-2.6167460999999999"/>
    <s v="Direct"/>
    <s v="NA"/>
  </r>
  <r>
    <x v="1"/>
    <x v="2"/>
    <s v="Ssiderea013393"/>
    <m/>
    <n v="-2.8323703999999998"/>
    <n v="-7.1980677999999996"/>
    <s v="Direct"/>
    <s v="NA"/>
  </r>
  <r>
    <x v="1"/>
    <x v="2"/>
    <s v="Ssiderea013425"/>
    <m/>
    <n v="4.3258736999999998"/>
    <n v="3.7331735400000001"/>
    <s v="Direct"/>
    <s v="Sulfide quinone"/>
  </r>
  <r>
    <x v="1"/>
    <x v="2"/>
    <s v="Ssiderea013476"/>
    <m/>
    <n v="-3.9292440000000002"/>
    <n v="-3.0073177000000002"/>
    <s v="Direct"/>
    <s v="NA"/>
  </r>
  <r>
    <x v="1"/>
    <x v="2"/>
    <s v="Ssiderea013600"/>
    <m/>
    <n v="2.95999984"/>
    <n v="4.6534168100000004"/>
    <s v="Direct"/>
    <s v="Sushi, von Willebrand factor type A, EGF and pentraxin domain containing 1"/>
  </r>
  <r>
    <x v="1"/>
    <x v="2"/>
    <s v="Ssiderea013602"/>
    <m/>
    <n v="1.85644388"/>
    <n v="2.6718590999999998"/>
    <s v="Direct"/>
    <s v="complement activation, classical pathway"/>
  </r>
  <r>
    <x v="1"/>
    <x v="2"/>
    <s v="Ssiderea013624"/>
    <m/>
    <n v="-3.7564603000000001"/>
    <n v="-2.9270089000000001"/>
    <s v="Direct"/>
    <s v="Phospholipase A2, group IB (pancreas)"/>
  </r>
  <r>
    <x v="1"/>
    <x v="2"/>
    <s v="Ssiderea013626"/>
    <m/>
    <n v="-5.1292010000000001"/>
    <n v="-4.2492073000000001"/>
    <s v="Direct"/>
    <s v="Hairy and enhancer of split-related protein helt"/>
  </r>
  <r>
    <x v="1"/>
    <x v="2"/>
    <s v="Ssiderea013642"/>
    <m/>
    <n v="-8.1996862000000004"/>
    <n v="-14.691401000000001"/>
    <s v="Direct"/>
    <s v="Vesicular inhibitory amino acid"/>
  </r>
  <r>
    <x v="1"/>
    <x v="2"/>
    <s v="Ssiderea013669"/>
    <m/>
    <n v="-3.0398988999999998"/>
    <n v="-2.0656661999999999"/>
    <s v="Direct"/>
    <s v="NA"/>
  </r>
  <r>
    <x v="1"/>
    <x v="2"/>
    <s v="Ssiderea013670"/>
    <m/>
    <n v="-1.5589417000000001"/>
    <n v="-1.1415449"/>
    <s v="Direct"/>
    <s v="NA"/>
  </r>
  <r>
    <x v="1"/>
    <x v="2"/>
    <s v="Ssiderea013701"/>
    <m/>
    <n v="1.78259002"/>
    <n v="2.8614752999999999"/>
    <s v="Direct"/>
    <s v="hematopoietic cell-specific Lyn substrate 1"/>
  </r>
  <r>
    <x v="1"/>
    <x v="2"/>
    <s v="Ssiderea013741"/>
    <m/>
    <n v="-1.1063270000000001"/>
    <n v="-1.4662972000000001"/>
    <s v="Direct"/>
    <s v="beta-1,3-galactosyl-O-glycosyl-glycoprotein beta-1,6-N-acetylglucosaminyltransferase activity"/>
  </r>
  <r>
    <x v="1"/>
    <x v="2"/>
    <s v="Ssiderea013742"/>
    <m/>
    <n v="-3.5340327999999999"/>
    <n v="-1.5410980000000001"/>
    <s v="Direct"/>
    <s v="beta-1,3-galactosyl-O-glycosyl-glycoprotein beta-1,6-N-acetylglucosaminyltransferase activity"/>
  </r>
  <r>
    <x v="1"/>
    <x v="2"/>
    <s v="Ssiderea013744"/>
    <m/>
    <n v="1.75434183"/>
    <n v="2.1013205400000001"/>
    <s v="Direct"/>
    <s v="Glucosylceramidase activity. It is involved in the biological process described with sphingolipid metabolic process"/>
  </r>
  <r>
    <x v="1"/>
    <x v="2"/>
    <s v="Ssiderea013748"/>
    <m/>
    <n v="1.1217821699999999"/>
    <n v="2.02150528"/>
    <s v="Direct"/>
    <s v="Glucosylceramidase activity. It is involved in the biological process described with sphingolipid metabolic process"/>
  </r>
  <r>
    <x v="1"/>
    <x v="2"/>
    <s v="Ssiderea013771"/>
    <m/>
    <n v="-3.5167411999999998"/>
    <n v="-1.6508347000000001"/>
    <s v="Direct"/>
    <s v="calcium, potassium:sodium antiporter activity"/>
  </r>
  <r>
    <x v="1"/>
    <x v="2"/>
    <s v="Ssiderea013836"/>
    <m/>
    <n v="3.0017280400000002"/>
    <n v="2.1502416100000001"/>
    <s v="Direct"/>
    <s v="Belongs to the heat shock protein 70 family"/>
  </r>
  <r>
    <x v="1"/>
    <x v="2"/>
    <s v="Ssiderea013837"/>
    <m/>
    <n v="2.6372498200000001"/>
    <n v="2.2121520000000001"/>
    <s v="Direct"/>
    <s v="NA"/>
  </r>
  <r>
    <x v="1"/>
    <x v="2"/>
    <s v="Ssiderea013839"/>
    <m/>
    <n v="5.3002876900000002"/>
    <n v="3.99413771"/>
    <s v="Direct"/>
    <s v="Tumor necrosis factor receptor / nerve growth factor receptor repeats."/>
  </r>
  <r>
    <x v="1"/>
    <x v="2"/>
    <s v="Ssiderea013853"/>
    <m/>
    <n v="-1.53478"/>
    <n v="-1.7820395"/>
    <s v="Direct"/>
    <s v="NA"/>
  </r>
  <r>
    <x v="1"/>
    <x v="2"/>
    <s v="Ssiderea013867"/>
    <m/>
    <n v="-1.7217538999999999"/>
    <n v="-1.2221445"/>
    <s v="Direct"/>
    <s v="CUB and zona pellucida-like domain-containing protein"/>
  </r>
  <r>
    <x v="1"/>
    <x v="2"/>
    <s v="Ssiderea013869"/>
    <m/>
    <n v="-2.0749955"/>
    <n v="-3.1494143000000001"/>
    <s v="Direct"/>
    <s v="CUB and zona pellucida-like domain-containing protein"/>
  </r>
  <r>
    <x v="1"/>
    <x v="2"/>
    <s v="Ssiderea013882"/>
    <m/>
    <n v="1.31209153"/>
    <n v="3.9339204900000002"/>
    <s v="Direct"/>
    <s v="NA"/>
  </r>
  <r>
    <x v="1"/>
    <x v="2"/>
    <s v="Ssiderea013911"/>
    <m/>
    <n v="-3.1295364999999999"/>
    <n v="-2.8657583"/>
    <s v="Direct"/>
    <s v="high mobility group"/>
  </r>
  <r>
    <x v="1"/>
    <x v="2"/>
    <s v="Ssiderea013920"/>
    <m/>
    <n v="-1.9044380000000001"/>
    <n v="-5.0026574999999998"/>
    <s v="Direct"/>
    <s v="prostaglandin-E synthase activity"/>
  </r>
  <r>
    <x v="1"/>
    <x v="2"/>
    <s v="Ssiderea013976"/>
    <m/>
    <n v="-1.3130762"/>
    <n v="-1.8044271000000001"/>
    <s v="Direct"/>
    <s v="NA"/>
  </r>
  <r>
    <x v="1"/>
    <x v="2"/>
    <s v="Ssiderea014096"/>
    <m/>
    <n v="1.3197919499999999"/>
    <n v="2.5506077299999999"/>
    <s v="Direct"/>
    <s v="scavenger receptor activity"/>
  </r>
  <r>
    <x v="1"/>
    <x v="2"/>
    <s v="Ssiderea014224"/>
    <m/>
    <n v="4.7145967500000001"/>
    <n v="3.4795563600000001"/>
    <s v="Direct"/>
    <s v="Belongs to the small heat shock protein (HSP20) family"/>
  </r>
  <r>
    <x v="1"/>
    <x v="2"/>
    <s v="Ssiderea014244"/>
    <m/>
    <n v="1.6376818399999999"/>
    <n v="1.3625260299999999"/>
    <s v="Direct"/>
    <s v="Ganglioside GM2 activator"/>
  </r>
  <r>
    <x v="1"/>
    <x v="2"/>
    <s v="Ssiderea014253"/>
    <m/>
    <n v="-2.8298073000000001"/>
    <n v="-1.1390032000000001"/>
    <s v="Direct"/>
    <s v="Receptor expression-enhancing protein"/>
  </r>
  <r>
    <x v="1"/>
    <x v="2"/>
    <s v="Ssiderea014317"/>
    <m/>
    <n v="-3.5234521000000001"/>
    <n v="-1.5249771000000001"/>
    <s v="Direct"/>
    <s v="Leucine-rich repeat"/>
  </r>
  <r>
    <x v="1"/>
    <x v="2"/>
    <s v="Ssiderea014319"/>
    <m/>
    <n v="2.0636210500000001"/>
    <n v="1.0243781199999999"/>
    <s v="Direct"/>
    <s v="Hemicentin 1"/>
  </r>
  <r>
    <x v="1"/>
    <x v="2"/>
    <s v="Ssiderea014414"/>
    <m/>
    <n v="2.7238397600000002"/>
    <n v="1.30930137"/>
    <s v="Direct"/>
    <s v="negative regulation of synapse assembly"/>
  </r>
  <r>
    <x v="1"/>
    <x v="2"/>
    <s v="Ssiderea014425"/>
    <m/>
    <n v="-1.6039669999999999"/>
    <n v="-2.5796176000000002"/>
    <s v="Direct"/>
    <s v="Non-lysosomal glucosylceramidase that catalyzes the conversion of glucosylceramide to free glucose and ceramide"/>
  </r>
  <r>
    <x v="1"/>
    <x v="2"/>
    <s v="Ssiderea014496"/>
    <m/>
    <n v="-1.2532212"/>
    <n v="-2.0130599999999998"/>
    <s v="Direct"/>
    <s v="UPF0369 protein"/>
  </r>
  <r>
    <x v="1"/>
    <x v="2"/>
    <s v="Ssiderea014502"/>
    <m/>
    <n v="-2.5933196999999999"/>
    <n v="-2.1466428999999998"/>
    <s v="Direct"/>
    <s v="NA"/>
  </r>
  <r>
    <x v="1"/>
    <x v="2"/>
    <s v="Ssiderea014527"/>
    <m/>
    <n v="-1.9958536"/>
    <n v="-1.4164243999999999"/>
    <s v="Direct"/>
    <s v="NA"/>
  </r>
  <r>
    <x v="1"/>
    <x v="2"/>
    <s v="Ssiderea014540"/>
    <m/>
    <n v="-5.0927901999999996"/>
    <n v="-5.4200745000000001"/>
    <s v="Direct"/>
    <s v="RNA-binding protein Musashi homolog"/>
  </r>
  <r>
    <x v="1"/>
    <x v="2"/>
    <s v="Ssiderea014543"/>
    <m/>
    <n v="-3.9600396"/>
    <n v="-3.3079222000000001"/>
    <s v="Direct"/>
    <s v="G kinase anchoring protein 1"/>
  </r>
  <r>
    <x v="1"/>
    <x v="2"/>
    <s v="Ssiderea014562"/>
    <m/>
    <n v="-2.1657304000000002"/>
    <n v="-1.3691888999999999"/>
    <s v="Direct"/>
    <s v="Zinc ion binding"/>
  </r>
  <r>
    <x v="1"/>
    <x v="2"/>
    <s v="Ssiderea014671"/>
    <m/>
    <n v="1.62641353"/>
    <n v="1.0219505900000001"/>
    <s v="Direct"/>
    <s v="negative regulation of neutrophil degranulation"/>
  </r>
  <r>
    <x v="1"/>
    <x v="2"/>
    <s v="Ssiderea014678"/>
    <m/>
    <n v="-3.6178444000000001"/>
    <n v="-5.6350344000000003"/>
    <s v="Direct"/>
    <s v="glycoside hydrolase family 63"/>
  </r>
  <r>
    <x v="1"/>
    <x v="2"/>
    <s v="Ssiderea014681"/>
    <m/>
    <n v="-2.9309951000000001"/>
    <n v="-4.5071135"/>
    <s v="Direct"/>
    <s v="glycoside hydrolase family 63"/>
  </r>
  <r>
    <x v="1"/>
    <x v="2"/>
    <s v="Ssiderea014696"/>
    <m/>
    <n v="1.46411902"/>
    <n v="2.29179179"/>
    <s v="Direct"/>
    <s v="NA"/>
  </r>
  <r>
    <x v="1"/>
    <x v="2"/>
    <s v="Ssiderea014728"/>
    <m/>
    <n v="-1.1545023000000001"/>
    <n v="-2.2226560000000002"/>
    <s v="Direct"/>
    <s v="carbonic anhydrase"/>
  </r>
  <r>
    <x v="1"/>
    <x v="2"/>
    <s v="Ssiderea014806"/>
    <m/>
    <n v="-3.0586294999999999"/>
    <n v="-1.5016394"/>
    <s v="Direct"/>
    <s v="Isocitrate lyase family"/>
  </r>
  <r>
    <x v="1"/>
    <x v="2"/>
    <s v="Ssiderea014813"/>
    <m/>
    <n v="-2.7793469000000002"/>
    <n v="-1.9242699000000001"/>
    <s v="Direct"/>
    <s v="SOR/SNZ family"/>
  </r>
  <r>
    <x v="1"/>
    <x v="2"/>
    <s v="Ssiderea014814"/>
    <m/>
    <n v="-2.9599997999999998"/>
    <n v="-2.8876873999999999"/>
    <s v="Direct"/>
    <s v="SNO glutamine amidotransferase family"/>
  </r>
  <r>
    <x v="1"/>
    <x v="2"/>
    <s v="Ssiderea014817"/>
    <m/>
    <n v="1.3706138800000001"/>
    <n v="2.23616496"/>
    <s v="Direct"/>
    <s v="o-methyltransferase"/>
  </r>
  <r>
    <x v="1"/>
    <x v="2"/>
    <s v="Ssiderea014838"/>
    <m/>
    <n v="16.344738599999999"/>
    <n v="14.6434598"/>
    <s v="Direct"/>
    <s v="regulation of endoplasmic reticulum stress-induced intrinsic apoptotic signaling pathway"/>
  </r>
  <r>
    <x v="1"/>
    <x v="2"/>
    <s v="Ssiderea014943"/>
    <m/>
    <n v="2.3665744700000002"/>
    <n v="1.4538575600000001"/>
    <s v="Direct"/>
    <s v="NA"/>
  </r>
  <r>
    <x v="1"/>
    <x v="2"/>
    <s v="Ssiderea014953"/>
    <m/>
    <n v="1.2823228099999999"/>
    <n v="3.56308874"/>
    <s v="Direct"/>
    <s v="NA"/>
  </r>
  <r>
    <x v="1"/>
    <x v="2"/>
    <s v="Ssiderea014955"/>
    <m/>
    <n v="-2.5778607"/>
    <n v="-3.0572968999999999"/>
    <s v="Direct"/>
    <s v="Belongs to the DEAD box helicase family"/>
  </r>
  <r>
    <x v="1"/>
    <x v="2"/>
    <s v="Ssiderea014986"/>
    <m/>
    <n v="-1.0942430999999999"/>
    <n v="-1.1358528000000001"/>
    <s v="Direct"/>
    <s v="calcium ion transport"/>
  </r>
  <r>
    <x v="1"/>
    <x v="2"/>
    <s v="Ssiderea015061"/>
    <m/>
    <n v="-1.205759"/>
    <n v="-1.3988514999999999"/>
    <s v="Direct"/>
    <s v="peptidase inhibitor activity"/>
  </r>
  <r>
    <x v="1"/>
    <x v="2"/>
    <s v="Ssiderea015100"/>
    <m/>
    <n v="-1.0427983000000001"/>
    <n v="-2.8082381000000001"/>
    <s v="Direct"/>
    <s v="bleomycin hydrolase"/>
  </r>
  <r>
    <x v="1"/>
    <x v="2"/>
    <s v="Ssiderea015104"/>
    <m/>
    <n v="-1.4934765999999999"/>
    <n v="-1.3439426000000001"/>
    <s v="Direct"/>
    <s v="Helix-turn-helix of DDE superfamily endonuclease"/>
  </r>
  <r>
    <x v="1"/>
    <x v="2"/>
    <s v="Ssiderea015105"/>
    <m/>
    <n v="-1.3289621"/>
    <n v="-1.6584885"/>
    <s v="Direct"/>
    <s v="ATP-dependent RNA helicase"/>
  </r>
  <r>
    <x v="1"/>
    <x v="2"/>
    <s v="Ssiderea015144"/>
    <m/>
    <n v="-1.1542439"/>
    <n v="-1.4507781"/>
    <s v="Direct"/>
    <s v="iron-sulfur cluster co-chaperone"/>
  </r>
  <r>
    <x v="1"/>
    <x v="2"/>
    <s v="Ssiderea015146"/>
    <m/>
    <n v="-4.8667824"/>
    <n v="-5.4200745000000001"/>
    <s v="Direct"/>
    <s v="Leucine rich repeat containing 43"/>
  </r>
  <r>
    <x v="1"/>
    <x v="2"/>
    <s v="Ssiderea015150"/>
    <m/>
    <n v="2.42953507"/>
    <n v="3.0253559700000001"/>
    <s v="Direct"/>
    <s v="DNA binding"/>
  </r>
  <r>
    <x v="1"/>
    <x v="2"/>
    <s v="Ssiderea015151"/>
    <m/>
    <n v="-2.3964352999999998"/>
    <n v="-2.4545808"/>
    <s v="Direct"/>
    <s v="serine arginine-rich splicing factor"/>
  </r>
  <r>
    <x v="1"/>
    <x v="2"/>
    <s v="Ssiderea015190"/>
    <m/>
    <n v="-3.6613549999999999"/>
    <n v="-5.4570841000000003"/>
    <s v="Direct"/>
    <s v="tRNA-4-demethylwyosine synthase activity"/>
  </r>
  <r>
    <x v="1"/>
    <x v="2"/>
    <s v="Ssiderea015199"/>
    <m/>
    <n v="-2.1297022000000001"/>
    <n v="-2.2749204000000001"/>
    <s v="Direct"/>
    <s v="DNA repair and recombination protein RAD54B"/>
  </r>
  <r>
    <x v="1"/>
    <x v="2"/>
    <s v="Ssiderea015219"/>
    <m/>
    <n v="-2.4777684999999998"/>
    <n v="-9.8281136999999994"/>
    <s v="Direct"/>
    <s v="phenanthrene-epoxide hydrolase activity"/>
  </r>
  <r>
    <x v="1"/>
    <x v="2"/>
    <s v="Ssiderea015272"/>
    <m/>
    <n v="-1.0826849000000001"/>
    <n v="-2.5925550999999998"/>
    <s v="Direct"/>
    <s v="protein-cysteine S-acyltransferase activity"/>
  </r>
  <r>
    <x v="1"/>
    <x v="2"/>
    <s v="Ssiderea015310"/>
    <m/>
    <n v="-2.7133352999999998"/>
    <n v="-1.6552191999999999"/>
    <s v="Direct"/>
    <s v="Isocitrate lyase family"/>
  </r>
  <r>
    <x v="1"/>
    <x v="2"/>
    <s v="Ssiderea015347"/>
    <m/>
    <n v="-3.8973070000000001"/>
    <n v="-2.0601422999999999"/>
    <s v="Direct"/>
    <s v="LON peptidase N-terminal domain and RING finger"/>
  </r>
  <r>
    <x v="1"/>
    <x v="2"/>
    <s v="Ssiderea015358"/>
    <m/>
    <n v="-2.2404286999999998"/>
    <n v="-1.6455012"/>
    <s v="Direct"/>
    <s v="primary miRNA processing"/>
  </r>
  <r>
    <x v="1"/>
    <x v="2"/>
    <s v="Ssiderea015381"/>
    <m/>
    <n v="-1.9055759000000001"/>
    <n v="-2.6765021"/>
    <s v="Direct"/>
    <s v="ribosomal small subunit export from nucleus"/>
  </r>
  <r>
    <x v="1"/>
    <x v="2"/>
    <s v="Ssiderea015483"/>
    <m/>
    <n v="1.09948461"/>
    <n v="2.1966243699999999"/>
    <s v="Direct"/>
    <s v="NA"/>
  </r>
  <r>
    <x v="1"/>
    <x v="2"/>
    <s v="Ssiderea015490"/>
    <m/>
    <n v="5.6741831300000003"/>
    <n v="4.1818729399999999"/>
    <s v="Direct"/>
    <s v="FG-GAP repeat"/>
  </r>
  <r>
    <x v="1"/>
    <x v="2"/>
    <s v="Ssiderea015507"/>
    <m/>
    <n v="-1.0106149"/>
    <n v="-2.4308817"/>
    <s v="Direct"/>
    <s v="ER-associated misfolded protein catabolic process"/>
  </r>
  <r>
    <x v="1"/>
    <x v="2"/>
    <s v="Ssiderea015543"/>
    <m/>
    <n v="-14.276999999999999"/>
    <n v="-11.480536000000001"/>
    <s v="Direct"/>
    <s v="NA"/>
  </r>
  <r>
    <x v="1"/>
    <x v="2"/>
    <s v="Ssiderea015602"/>
    <m/>
    <n v="-2.406399"/>
    <n v="-3.3125594999999999"/>
    <s v="Direct"/>
    <s v="translational elongation"/>
  </r>
  <r>
    <x v="1"/>
    <x v="2"/>
    <s v="Ssiderea015642"/>
    <m/>
    <n v="6.22143055"/>
    <n v="4.73781316"/>
    <s v="Direct"/>
    <s v="splicing factor, suppressor of white-apricot"/>
  </r>
  <r>
    <x v="1"/>
    <x v="2"/>
    <s v="Ssiderea015768"/>
    <m/>
    <n v="-1.3355486000000001"/>
    <n v="-1.2310371"/>
    <s v="Direct"/>
    <s v="NA"/>
  </r>
  <r>
    <x v="1"/>
    <x v="2"/>
    <s v="Ssiderea015798"/>
    <m/>
    <n v="-3.2582767000000001"/>
    <n v="-2.1629510000000001"/>
    <s v="Direct"/>
    <s v="NA"/>
  </r>
  <r>
    <x v="1"/>
    <x v="2"/>
    <s v="Ssiderea015834"/>
    <m/>
    <n v="1.4816200799999999"/>
    <n v="1.3727108299999999"/>
    <s v="Direct"/>
    <s v="zinc ion binding"/>
  </r>
  <r>
    <x v="1"/>
    <x v="2"/>
    <s v="Ssiderea015838"/>
    <m/>
    <n v="-1.6020224000000001"/>
    <n v="-2.784624"/>
    <s v="Direct"/>
    <s v="Belongs to the universal ribosomal protein uL13 family"/>
  </r>
  <r>
    <x v="1"/>
    <x v="2"/>
    <s v="Ssiderea015841"/>
    <m/>
    <n v="-3.1346056999999998"/>
    <n v="-7.6572506000000002"/>
    <s v="Direct"/>
    <s v="Scaffold protein for the de novo synthesis of iron- sulfur (Fe-S) clusters within mitochondria, which is required for maturation of both mitochondrial and cytoplasmic 2Fe-2S and 4Fe-4S proteins"/>
  </r>
  <r>
    <x v="1"/>
    <x v="2"/>
    <s v="Ssiderea015846"/>
    <m/>
    <n v="-1.2773786"/>
    <n v="-1.2178112999999999"/>
    <s v="Direct"/>
    <s v="zinc ion binding"/>
  </r>
  <r>
    <x v="1"/>
    <x v="2"/>
    <s v="Ssiderea015847"/>
    <m/>
    <n v="-2.2514113"/>
    <n v="-1.2998567999999999"/>
    <s v="Direct"/>
    <s v="zinc ion binding"/>
  </r>
  <r>
    <x v="1"/>
    <x v="2"/>
    <s v="Ssiderea015872"/>
    <m/>
    <n v="2.2957640700000002"/>
    <n v="4.6928096300000002"/>
    <s v="Direct"/>
    <s v="structural constituent of cuticle"/>
  </r>
  <r>
    <x v="1"/>
    <x v="2"/>
    <s v="Ssiderea015911"/>
    <m/>
    <n v="2.93503654"/>
    <n v="1.21567526"/>
    <s v="Direct"/>
    <s v="NA"/>
  </r>
  <r>
    <x v="1"/>
    <x v="2"/>
    <s v="Ssiderea015952"/>
    <m/>
    <n v="2.05452163"/>
    <n v="1.25980436"/>
    <s v="Direct"/>
    <s v="NA"/>
  </r>
  <r>
    <x v="1"/>
    <x v="2"/>
    <s v="Ssiderea016076"/>
    <m/>
    <n v="-2.8749316"/>
    <n v="-2.4867534999999998"/>
    <s v="Direct"/>
    <s v="ATP-dependent RNA helicase"/>
  </r>
  <r>
    <x v="1"/>
    <x v="2"/>
    <s v="Ssiderea016226"/>
    <m/>
    <n v="-1.2668003000000001"/>
    <n v="-2.1242378999999998"/>
    <s v="Direct"/>
    <s v="NA"/>
  </r>
  <r>
    <x v="1"/>
    <x v="2"/>
    <s v="Ssiderea016476"/>
    <m/>
    <n v="-3.3692199999999999"/>
    <n v="-2.1551068999999998"/>
    <s v="Direct"/>
    <s v="NA"/>
  </r>
  <r>
    <x v="1"/>
    <x v="2"/>
    <s v="Ssiderea016484"/>
    <m/>
    <n v="-2.9075074999999999"/>
    <n v="-2.1848573999999998"/>
    <s v="Direct"/>
    <s v="NA"/>
  </r>
  <r>
    <x v="1"/>
    <x v="2"/>
    <s v="Ssiderea016487"/>
    <m/>
    <n v="-2.1903923000000001"/>
    <n v="-5.1242751999999996"/>
    <s v="Direct"/>
    <s v="NA"/>
  </r>
  <r>
    <x v="1"/>
    <x v="2"/>
    <s v="Ssiderea016498"/>
    <m/>
    <n v="-6.9146977999999999"/>
    <n v="-8.2780918000000003"/>
    <s v="Direct"/>
    <s v="NA"/>
  </r>
  <r>
    <x v="1"/>
    <x v="2"/>
    <s v="Ssiderea016577"/>
    <m/>
    <n v="1.62319821"/>
    <n v="3.1242472000000001"/>
    <s v="Direct"/>
    <s v="NADP-retinol dehydrogenase activity"/>
  </r>
  <r>
    <x v="1"/>
    <x v="2"/>
    <s v="Ssiderea016596"/>
    <m/>
    <n v="-2.4970365999999999"/>
    <n v="-1.2462856"/>
    <s v="Direct"/>
    <s v="nucleic acid binding"/>
  </r>
  <r>
    <x v="1"/>
    <x v="2"/>
    <s v="Ssiderea016597"/>
    <m/>
    <n v="-2.3369678999999999"/>
    <n v="-2.0578929000000001"/>
    <s v="Direct"/>
    <s v="granulocyte colony-stimulating factor signaling pathway"/>
  </r>
  <r>
    <x v="1"/>
    <x v="2"/>
    <s v="Ssiderea016649"/>
    <m/>
    <n v="1.1343714899999999"/>
    <n v="1.7488159000000001"/>
    <s v="Direct"/>
    <s v="Belongs to the tropomyosin family"/>
  </r>
  <r>
    <x v="1"/>
    <x v="2"/>
    <s v="Ssiderea016650"/>
    <m/>
    <n v="-1.0376402"/>
    <n v="-1.5721780999999999"/>
    <s v="Direct"/>
    <s v="tyrosyl-tRNA aminoacylation"/>
  </r>
  <r>
    <x v="1"/>
    <x v="2"/>
    <s v="Ssiderea016661"/>
    <m/>
    <n v="-1.7446718999999999"/>
    <n v="-1.1822199"/>
    <s v="Direct"/>
    <s v="Coagulation factor 5/8 C-terminal domain, discoidin domain"/>
  </r>
  <r>
    <x v="1"/>
    <x v="2"/>
    <s v="Ssiderea016668"/>
    <m/>
    <n v="1.0082862100000001"/>
    <n v="1.24306592"/>
    <s v="Direct"/>
    <s v="PB1 domain"/>
  </r>
  <r>
    <x v="1"/>
    <x v="2"/>
    <s v="Ssiderea016699"/>
    <m/>
    <n v="-3.1802475000000001"/>
    <n v="-3.9243964"/>
    <s v="Direct"/>
    <s v="N,N-dimethylaniline monooxygenase activity"/>
  </r>
  <r>
    <x v="1"/>
    <x v="2"/>
    <s v="Ssiderea016715"/>
    <m/>
    <n v="-1.8820627000000001"/>
    <n v="-2.9176744000000001"/>
    <s v="Direct"/>
    <s v="Plasmolipin"/>
  </r>
  <r>
    <x v="1"/>
    <x v="2"/>
    <s v="Ssiderea016776"/>
    <m/>
    <n v="1.5982095300000001"/>
    <n v="1.6952437499999999"/>
    <s v="Direct"/>
    <s v="calcium ion binding"/>
  </r>
  <r>
    <x v="1"/>
    <x v="2"/>
    <s v="Ssiderea016796"/>
    <m/>
    <n v="-2.2122012"/>
    <n v="-2.2917917999999999"/>
    <s v="Direct"/>
    <s v="NA"/>
  </r>
  <r>
    <x v="1"/>
    <x v="2"/>
    <s v="Ssiderea016906"/>
    <m/>
    <n v="-2.6387991"/>
    <n v="-6.3291202000000002"/>
    <s v="Direct"/>
    <s v="Transferase activity, transferring acyl groups other than amino-acyl groups"/>
  </r>
  <r>
    <x v="1"/>
    <x v="2"/>
    <s v="Ssiderea017118"/>
    <m/>
    <n v="-3.6364561000000002"/>
    <n v="-1.9325439"/>
    <s v="Direct"/>
    <s v="phosphatase, non-receptor type"/>
  </r>
  <r>
    <x v="1"/>
    <x v="2"/>
    <s v="Ssiderea017210"/>
    <m/>
    <n v="-1.3395321"/>
    <n v="-1.6092962"/>
    <s v="Direct"/>
    <s v="Belongs to the class I-like SAM-binding methyltransferase superfamily. RsmB NOP family"/>
  </r>
  <r>
    <x v="1"/>
    <x v="2"/>
    <s v="Ssiderea017211"/>
    <m/>
    <n v="-1.3419128"/>
    <n v="-1.0352508"/>
    <s v="Direct"/>
    <s v="Cirrhosis, autosomal recessive 1A (cirhin)"/>
  </r>
  <r>
    <x v="1"/>
    <x v="2"/>
    <s v="Ssiderea017212"/>
    <m/>
    <n v="-3.3713519999999999"/>
    <n v="-1.7878985000000001"/>
    <s v="Direct"/>
    <s v="ATP-dependent RNA helicase"/>
  </r>
  <r>
    <x v="1"/>
    <x v="2"/>
    <s v="Ssiderea017213"/>
    <m/>
    <n v="-1.1003006"/>
    <n v="-1.0998365000000001"/>
    <s v="Direct"/>
    <s v="RNA pseudouridylate synthase"/>
  </r>
  <r>
    <x v="1"/>
    <x v="2"/>
    <s v="Ssiderea017214"/>
    <m/>
    <n v="1.2174552000000001"/>
    <n v="1.31352256"/>
    <s v="Direct"/>
    <s v="iron-sulfur cluster assembly"/>
  </r>
  <r>
    <x v="1"/>
    <x v="2"/>
    <s v="Ssiderea017225"/>
    <m/>
    <n v="-1.8119845000000001"/>
    <n v="-2.9004327999999999"/>
    <s v="Direct"/>
    <s v="intra-S DNA damage checkpoint"/>
  </r>
  <r>
    <x v="1"/>
    <x v="2"/>
    <s v="Ssiderea017362"/>
    <m/>
    <n v="5.5866056799999999"/>
    <n v="3.45703607"/>
    <s v="Direct"/>
    <s v="NA"/>
  </r>
  <r>
    <x v="1"/>
    <x v="2"/>
    <s v="Ssiderea017401"/>
    <m/>
    <n v="2.0648788699999998"/>
    <n v="2.54886861"/>
    <s v="Direct"/>
    <s v="cell redox homeostasis"/>
  </r>
  <r>
    <x v="1"/>
    <x v="2"/>
    <s v="Ssiderea017473"/>
    <m/>
    <n v="1.81198448"/>
    <n v="1.13567201"/>
    <s v="Direct"/>
    <s v="NA"/>
  </r>
  <r>
    <x v="1"/>
    <x v="2"/>
    <s v="Ssiderea017548"/>
    <m/>
    <n v="-1.4228608"/>
    <n v="-3.2443922000000001"/>
    <s v="Direct"/>
    <s v="Universal stress protein family"/>
  </r>
  <r>
    <x v="1"/>
    <x v="2"/>
    <s v="Ssiderea017575"/>
    <m/>
    <n v="1.2272628999999999"/>
    <n v="1.81878593"/>
    <s v="Direct"/>
    <s v="Nidogen 2a (osteonidogen)"/>
  </r>
  <r>
    <x v="1"/>
    <x v="2"/>
    <s v="Ssiderea017630"/>
    <m/>
    <n v="-1.3337953"/>
    <n v="-1.5114748"/>
    <s v="Direct"/>
    <s v="metalloendopeptidase activity"/>
  </r>
  <r>
    <x v="1"/>
    <x v="2"/>
    <s v="Ssiderea017795"/>
    <m/>
    <n v="-2.9758083000000002"/>
    <n v="-1.0627602"/>
    <s v="Direct"/>
    <s v="NA"/>
  </r>
  <r>
    <x v="1"/>
    <x v="2"/>
    <s v="Ssiderea017934"/>
    <m/>
    <n v="1.8451694000000001"/>
    <n v="1.5114747799999999"/>
    <s v="Direct"/>
    <s v="lipoprotein receptor-related protein 2"/>
  </r>
  <r>
    <x v="1"/>
    <x v="2"/>
    <s v="Ssiderea017954"/>
    <m/>
    <n v="4.6336249199999999"/>
    <n v="4.5696714099999998"/>
    <s v="Direct"/>
    <s v="RNA splicing"/>
  </r>
  <r>
    <x v="1"/>
    <x v="2"/>
    <s v="Ssiderea017955"/>
    <m/>
    <n v="-1.6908331999999999"/>
    <n v="-1.3114946999999999"/>
    <s v="Direct"/>
    <s v="Serine palmitoyltransferase, long chain base subunit 1"/>
  </r>
  <r>
    <x v="1"/>
    <x v="2"/>
    <s v="Ssiderea017960"/>
    <m/>
    <n v="-1.0386255"/>
    <n v="-5.3618845999999998"/>
    <s v="Direct"/>
    <s v="glutaryl-CoA dehydrogenase"/>
  </r>
  <r>
    <x v="1"/>
    <x v="2"/>
    <s v="Ssiderea018021"/>
    <m/>
    <n v="2.30475472"/>
    <n v="1.45312379"/>
    <s v="Direct"/>
    <s v="Calcium-binding protein"/>
  </r>
  <r>
    <x v="1"/>
    <x v="2"/>
    <s v="Ssiderea018045"/>
    <m/>
    <n v="-2.0679376999999999"/>
    <n v="-1.5046902"/>
    <s v="Direct"/>
    <s v="selenium binding"/>
  </r>
  <r>
    <x v="1"/>
    <x v="2"/>
    <s v="Ssiderea018064"/>
    <m/>
    <n v="-1.1394579"/>
    <n v="-1.9012667000000001"/>
    <s v="Direct"/>
    <s v="zinc finger"/>
  </r>
  <r>
    <x v="1"/>
    <x v="2"/>
    <s v="Ssiderea018320"/>
    <m/>
    <n v="2.4018799799999999"/>
    <n v="2.0280942799999999"/>
    <s v="Direct"/>
    <s v="Sidekick cell adhesion molecule"/>
  </r>
  <r>
    <x v="1"/>
    <x v="2"/>
    <s v="Ssiderea018325"/>
    <m/>
    <n v="-1.5497764000000001"/>
    <n v="-1.1633818"/>
    <s v="Direct"/>
    <s v="chondroitin 6-sulfotransferase activity"/>
  </r>
  <r>
    <x v="1"/>
    <x v="2"/>
    <s v="Ssiderea018335"/>
    <m/>
    <n v="1.3727483199999999"/>
    <n v="1.6960583499999999"/>
    <s v="Direct"/>
    <s v="NA"/>
  </r>
  <r>
    <x v="1"/>
    <x v="2"/>
    <s v="Ssiderea018481"/>
    <m/>
    <n v="2.0425844799999999"/>
    <n v="1.2383563099999999"/>
    <s v="Direct"/>
    <s v="lathosterol oxidase activity"/>
  </r>
  <r>
    <x v="1"/>
    <x v="2"/>
    <s v="Ssiderea018525"/>
    <m/>
    <n v="-4.7145967999999998"/>
    <n v="-3.8636417999999999"/>
    <s v="Direct"/>
    <s v="box H/ACA snoRNA 3'-end processing"/>
  </r>
  <r>
    <x v="1"/>
    <x v="2"/>
    <s v="Ssiderea018538"/>
    <m/>
    <n v="2.4344726900000002"/>
    <n v="3.77601955"/>
    <s v="Direct"/>
    <s v="NA"/>
  </r>
  <r>
    <x v="1"/>
    <x v="2"/>
    <s v="Ssiderea018542"/>
    <m/>
    <n v="2.2042326000000001"/>
    <n v="1.94983963"/>
    <s v="Direct"/>
    <s v="Leucine Rich repeat"/>
  </r>
  <r>
    <x v="1"/>
    <x v="2"/>
    <s v="Ssiderea018560"/>
    <m/>
    <n v="-2.8185402000000002"/>
    <n v="-1.4083574999999999"/>
    <s v="Direct"/>
    <s v="Rab guanyl-nucleotide exchange factor activity"/>
  </r>
  <r>
    <x v="1"/>
    <x v="2"/>
    <s v="Ssiderea018599"/>
    <m/>
    <n v="-6.5854647999999996"/>
    <n v="-5.5863581"/>
    <s v="Direct"/>
    <s v="Cytidylyltransferase-like"/>
  </r>
  <r>
    <x v="1"/>
    <x v="2"/>
    <s v="Ssiderea018612"/>
    <m/>
    <n v="-4.3468869000000003"/>
    <n v="-2.0130599999999998"/>
    <s v="Direct"/>
    <s v="negative regulation of ectoderm development"/>
  </r>
  <r>
    <x v="1"/>
    <x v="2"/>
    <s v="Ssiderea018632"/>
    <m/>
    <n v="3.8837304700000002"/>
    <n v="5.3782881800000002"/>
    <s v="Direct"/>
    <s v="propionyl-CoA carboxylase activity"/>
  </r>
  <r>
    <x v="1"/>
    <x v="2"/>
    <s v="Ssiderea018682"/>
    <m/>
    <n v="-2.4589517000000001"/>
    <n v="-1.9218491"/>
    <s v="Direct"/>
    <s v="peroxisome membrane targeting sequence binding"/>
  </r>
  <r>
    <x v="1"/>
    <x v="2"/>
    <s v="Ssiderea018699"/>
    <m/>
    <n v="1.2900713800000001"/>
    <n v="1.0937480500000001"/>
    <s v="Direct"/>
    <s v="Gamma-aminobutyric acid type B receptor subunit"/>
  </r>
  <r>
    <x v="1"/>
    <x v="2"/>
    <s v="Ssiderea018808"/>
    <m/>
    <n v="1.9592054800000001"/>
    <n v="2.7430358899999998"/>
    <s v="Direct"/>
    <s v="peroxidase activity"/>
  </r>
  <r>
    <x v="1"/>
    <x v="2"/>
    <s v="Ssiderea018810"/>
    <m/>
    <n v="1.37641415"/>
    <n v="4.9227014200000001"/>
    <s v="Direct"/>
    <s v="Peyer's patch morphogenesis"/>
  </r>
  <r>
    <x v="1"/>
    <x v="2"/>
    <s v="Ssiderea018824"/>
    <m/>
    <n v="-6.0911761999999996"/>
    <n v="-9.4839783999999998"/>
    <s v="Direct"/>
    <s v="Wax ester synthase-like Acyl-CoA acyltransferase domain"/>
  </r>
  <r>
    <x v="1"/>
    <x v="2"/>
    <s v="Ssiderea018825"/>
    <m/>
    <n v="-12.362603"/>
    <n v="-9.6688025"/>
    <s v="Direct"/>
    <s v="Wax ester synthase-like Acyl-CoA acyltransferase domain"/>
  </r>
  <r>
    <x v="1"/>
    <x v="2"/>
    <s v="Ssiderea018875"/>
    <m/>
    <n v="2.7032499900000002"/>
    <n v="2.17215801"/>
    <s v="Direct"/>
    <s v="cell redox homeostasis"/>
  </r>
  <r>
    <x v="1"/>
    <x v="2"/>
    <s v="Ssiderea018985"/>
    <m/>
    <n v="-1.2298349"/>
    <n v="-3.3720178000000001"/>
    <s v="Direct"/>
    <s v="structural constituent of ribosome"/>
  </r>
  <r>
    <x v="1"/>
    <x v="2"/>
    <s v="Ssiderea018987"/>
    <m/>
    <n v="-2.3761456999999999"/>
    <n v="-2.8233503999999998"/>
    <s v="Direct"/>
    <s v="negative regulation of triglyceride biosynthetic process"/>
  </r>
  <r>
    <x v="1"/>
    <x v="2"/>
    <s v="Ssiderea019086"/>
    <m/>
    <n v="2.2461476899999999"/>
    <n v="2.7565912699999999"/>
    <s v="Direct"/>
    <s v="calcium-dependent cysteine-type endopeptidase activity"/>
  </r>
  <r>
    <x v="1"/>
    <x v="2"/>
    <s v="Ssiderea019087"/>
    <m/>
    <n v="-3.1384848999999999"/>
    <n v="-1.5781061000000001"/>
    <s v="Direct"/>
    <s v="calcium-dependent cysteine-type endopeptidase activity"/>
  </r>
  <r>
    <x v="1"/>
    <x v="2"/>
    <s v="Ssiderea019179"/>
    <m/>
    <n v="-2.6686033"/>
    <n v="-1.4767868"/>
    <s v="Direct"/>
    <s v="E3 ubiquitin-protein ligase"/>
  </r>
  <r>
    <x v="1"/>
    <x v="2"/>
    <s v="Ssiderea019309"/>
    <m/>
    <n v="4.3350114800000004"/>
    <n v="4.9887077599999996"/>
    <s v="Direct"/>
    <s v="Universal stress protein family"/>
  </r>
  <r>
    <x v="1"/>
    <x v="2"/>
    <s v="Ssiderea019312"/>
    <m/>
    <n v="-1.0543081000000001"/>
    <n v="-2.9659715000000002"/>
    <s v="Direct"/>
    <s v="heterogeneous nuclear ribonucleoprotein"/>
  </r>
  <r>
    <x v="1"/>
    <x v="2"/>
    <s v="Ssiderea019352"/>
    <m/>
    <n v="2.3087521400000002"/>
    <n v="1.55063985"/>
    <s v="Direct"/>
    <s v="2-amino-3-ketobutyrate coenzyme a ligase"/>
  </r>
  <r>
    <x v="1"/>
    <x v="2"/>
    <s v="Ssiderea019354"/>
    <m/>
    <n v="2.87379249"/>
    <n v="3.5022227400000001"/>
    <s v="Direct"/>
    <s v="protein phosphatase inhibitor activity"/>
  </r>
  <r>
    <x v="1"/>
    <x v="2"/>
    <s v="Ssiderea019357"/>
    <m/>
    <n v="3.0632496100000002"/>
    <n v="1.28546114"/>
    <s v="Direct"/>
    <s v="NA"/>
  </r>
  <r>
    <x v="1"/>
    <x v="2"/>
    <s v="Ssiderea019422"/>
    <m/>
    <n v="5.3455065599999996"/>
    <n v="2.0910757599999998"/>
    <s v="Direct"/>
    <s v="negative regulation of bile acid biosynthetic process"/>
  </r>
  <r>
    <x v="1"/>
    <x v="2"/>
    <s v="Ssiderea019425"/>
    <m/>
    <n v="-1.2363103"/>
    <n v="-2.0698335999999999"/>
    <s v="Direct"/>
    <s v="UDP-N-acetylglucosamine diphosphorylase activity"/>
  </r>
  <r>
    <x v="1"/>
    <x v="2"/>
    <s v="Ssiderea019442"/>
    <m/>
    <n v="-1.0199251"/>
    <n v="-1.7685716"/>
    <s v="Direct"/>
    <s v="phosphatidate cytidylyltransferase activity"/>
  </r>
  <r>
    <x v="1"/>
    <x v="2"/>
    <s v="Ssiderea019516"/>
    <m/>
    <n v="-1.0005138"/>
    <n v="-1.0156875000000001"/>
    <s v="Direct"/>
    <s v="Belongs to the aldehyde dehydrogenase family"/>
  </r>
  <r>
    <x v="1"/>
    <x v="2"/>
    <s v="Ssiderea019676"/>
    <m/>
    <n v="1.8549833499999999"/>
    <n v="2.8029836700000001"/>
    <s v="Direct"/>
    <s v="Persulfide dioxygenase ETHE1"/>
  </r>
  <r>
    <x v="1"/>
    <x v="2"/>
    <s v="Ssiderea019688"/>
    <m/>
    <n v="-4.1461411000000004"/>
    <n v="-2.9815436000000002"/>
    <s v="Direct"/>
    <s v="NA"/>
  </r>
  <r>
    <x v="1"/>
    <x v="2"/>
    <s v="Ssiderea019697"/>
    <m/>
    <n v="4.0860917399999996"/>
    <n v="2.9688463999999999"/>
    <s v="Direct"/>
    <s v="NA"/>
  </r>
  <r>
    <x v="1"/>
    <x v="2"/>
    <s v="Ssiderea019783"/>
    <m/>
    <n v="-12.924184"/>
    <n v="-9.1716622000000001"/>
    <s v="Direct"/>
    <s v="NA"/>
  </r>
  <r>
    <x v="1"/>
    <x v="2"/>
    <s v="Ssiderea019828"/>
    <m/>
    <n v="1.5341511400000001"/>
    <n v="2.95995411"/>
    <s v="Direct"/>
    <s v="Mucin 4, cell surface associated"/>
  </r>
  <r>
    <x v="1"/>
    <x v="2"/>
    <s v="Ssiderea019841"/>
    <m/>
    <n v="-3.5280494"/>
    <n v="-4.3145968999999997"/>
    <s v="Direct"/>
    <s v="NA"/>
  </r>
  <r>
    <x v="1"/>
    <x v="2"/>
    <s v="Ssiderea019899"/>
    <m/>
    <n v="1.7480768200000001"/>
    <n v="1.10861141"/>
    <s v="Direct"/>
    <s v="Nodal homolog"/>
  </r>
  <r>
    <x v="1"/>
    <x v="2"/>
    <s v="Ssiderea019921"/>
    <m/>
    <n v="-6.8433973000000003"/>
    <n v="-5.8640964999999996"/>
    <s v="Direct"/>
    <s v="sequence-specific DNA binding"/>
  </r>
  <r>
    <x v="1"/>
    <x v="2"/>
    <s v="Ssiderea019927"/>
    <m/>
    <n v="-3.3756254999999999"/>
    <n v="-5.6480458000000002"/>
    <s v="Direct"/>
    <s v="L-gulonolactone oxidase-like"/>
  </r>
  <r>
    <x v="1"/>
    <x v="2"/>
    <s v="Ssiderea019931"/>
    <m/>
    <n v="2.0866047399999998"/>
    <n v="4.4790012800000003"/>
    <s v="Direct"/>
    <s v="Lipoxygenase homology 2 (beta barrel) domain"/>
  </r>
  <r>
    <x v="1"/>
    <x v="2"/>
    <s v="Ssiderea019944"/>
    <m/>
    <n v="3.8645866299999998"/>
    <n v="6.17320739"/>
    <s v="Direct"/>
    <s v="NA"/>
  </r>
  <r>
    <x v="1"/>
    <x v="2"/>
    <s v="Ssiderea019945"/>
    <m/>
    <n v="1.3260152599999999"/>
    <n v="1.4756666000000001"/>
    <s v="Direct"/>
    <s v="NA"/>
  </r>
  <r>
    <x v="1"/>
    <x v="2"/>
    <s v="Ssiderea019958"/>
    <m/>
    <n v="-1.4267742999999999"/>
    <n v="-1.2150599"/>
    <s v="Direct"/>
    <s v="NA"/>
  </r>
  <r>
    <x v="1"/>
    <x v="2"/>
    <s v="Ssiderea020087"/>
    <m/>
    <n v="2.4558124000000001"/>
    <n v="2.73289399"/>
    <s v="Direct"/>
    <s v="aldehyde dehydrogenase (NAD) activity"/>
  </r>
  <r>
    <x v="1"/>
    <x v="2"/>
    <s v="Ssiderea020230"/>
    <m/>
    <n v="2.4240167499999998"/>
    <n v="1.56801423"/>
    <s v="Direct"/>
    <s v="intracellular cholesterol transport"/>
  </r>
  <r>
    <x v="1"/>
    <x v="2"/>
    <s v="Ssiderea020249"/>
    <m/>
    <n v="4.2048121800000002"/>
    <n v="2.66038782"/>
    <s v="Direct"/>
    <s v="intracellular cholesterol transport"/>
  </r>
  <r>
    <x v="1"/>
    <x v="2"/>
    <s v="Ssiderea020286"/>
    <m/>
    <n v="10.7956203"/>
    <n v="10.6697293"/>
    <s v="Direct"/>
    <s v="6-O-sulfation enzyme which catalyzes the transfer of sulfate from 3'-phosphoadenosine 5'-phosphosulfate (PAPS) to position 6 of the N-sulfoglucosamine residue (GlcNS) of heparan sulfate"/>
  </r>
  <r>
    <x v="1"/>
    <x v="2"/>
    <s v="Ssiderea020323"/>
    <m/>
    <n v="1.94498868"/>
    <n v="1.00081789"/>
    <s v="Direct"/>
    <s v="Hemicentin 1"/>
  </r>
  <r>
    <x v="1"/>
    <x v="2"/>
    <s v="Ssiderea020402"/>
    <m/>
    <n v="9.2661251799999995"/>
    <n v="9.4405262600000004"/>
    <s v="Direct"/>
    <s v="NA"/>
  </r>
  <r>
    <x v="1"/>
    <x v="2"/>
    <s v="Ssiderea020482"/>
    <m/>
    <n v="2.6582958400000001"/>
    <n v="1.9573249399999999"/>
    <s v="Direct"/>
    <s v="NA"/>
  </r>
  <r>
    <x v="1"/>
    <x v="2"/>
    <s v="Ssiderea020698"/>
    <m/>
    <n v="1.4841080600000001"/>
    <n v="1.87300193"/>
    <s v="Direct"/>
    <s v="Pyridoxal-dependent decarboxylase conserved domain"/>
  </r>
  <r>
    <x v="1"/>
    <x v="2"/>
    <s v="Ssiderea020901"/>
    <m/>
    <n v="-1.9939254"/>
    <n v="-1.1971432"/>
    <s v="Direct"/>
    <s v="Serine threonine-protein kinase"/>
  </r>
  <r>
    <x v="1"/>
    <x v="2"/>
    <s v="Ssiderea020916"/>
    <m/>
    <n v="3.08085604"/>
    <n v="4.8547546800000001"/>
    <s v="Direct"/>
    <s v="abducens nerve formation"/>
  </r>
  <r>
    <x v="1"/>
    <x v="2"/>
    <s v="Ssiderea021167"/>
    <m/>
    <n v="-5.2446726000000004"/>
    <n v="-1.3313465"/>
    <s v="Direct"/>
    <s v="regulation of RNA splicing"/>
  </r>
  <r>
    <x v="1"/>
    <x v="2"/>
    <s v="Ssiderea021170"/>
    <m/>
    <n v="1.4841080600000001"/>
    <n v="1.26531018"/>
    <s v="Direct"/>
    <s v="calcium ion binding"/>
  </r>
  <r>
    <x v="1"/>
    <x v="2"/>
    <s v="Ssiderea021187"/>
    <m/>
    <n v="5.64450129"/>
    <n v="5.3527883100000002"/>
    <s v="Direct"/>
    <s v="NA"/>
  </r>
  <r>
    <x v="1"/>
    <x v="2"/>
    <s v="Ssiderea021201"/>
    <m/>
    <n v="2.4540409300000001"/>
    <n v="3.3677953700000001"/>
    <s v="Direct"/>
    <s v="activation of NF-kappaB-inducing kinase activity"/>
  </r>
  <r>
    <x v="1"/>
    <x v="2"/>
    <s v="Ssiderea021219"/>
    <m/>
    <n v="-1.63913"/>
    <n v="-2.3642726000000001"/>
    <s v="Direct"/>
    <s v="Synaptic vesicle membrane protein VAT-1 homolog"/>
  </r>
  <r>
    <x v="1"/>
    <x v="2"/>
    <s v="Ssiderea021220"/>
    <m/>
    <n v="9.4989865400000006"/>
    <n v="13.3219429"/>
    <s v="Direct"/>
    <s v="Synaptic vesicle membrane protein VAT-1 homolog"/>
  </r>
  <r>
    <x v="1"/>
    <x v="2"/>
    <s v="Ssiderea021241"/>
    <m/>
    <n v="-1.3301476999999999"/>
    <n v="-1.9661955"/>
    <s v="Direct"/>
    <s v="NA"/>
  </r>
  <r>
    <x v="1"/>
    <x v="2"/>
    <s v="Ssiderea021306"/>
    <m/>
    <n v="-1.524888"/>
    <n v="-1.9462333000000001"/>
    <s v="Direct"/>
    <s v="GDP-mannose 4,6-dehydratase activity"/>
  </r>
  <r>
    <x v="1"/>
    <x v="2"/>
    <s v="Ssiderea021315"/>
    <m/>
    <n v="-1.0106149"/>
    <n v="-1.7128570000000001"/>
    <s v="Direct"/>
    <s v="Importin 4"/>
  </r>
  <r>
    <x v="1"/>
    <x v="2"/>
    <s v="Ssiderea021332"/>
    <m/>
    <n v="7.3004946799999999"/>
    <n v="9.0343189600000002"/>
    <s v="Direct"/>
    <s v="saccharopine dehydrogenase (NAD+, L-lysine-forming) activity"/>
  </r>
  <r>
    <x v="1"/>
    <x v="2"/>
    <s v="Ssiderea021340"/>
    <m/>
    <n v="1.44270649"/>
    <n v="1.1414898899999999"/>
    <s v="Direct"/>
    <s v="Ectoine synthase"/>
  </r>
  <r>
    <x v="1"/>
    <x v="2"/>
    <s v="Ssiderea021392"/>
    <m/>
    <n v="-1.8526081999999999"/>
    <n v="-1.2677718"/>
    <s v="Direct"/>
    <s v="transmembrane protein 189"/>
  </r>
  <r>
    <x v="1"/>
    <x v="2"/>
    <s v="Ssiderea021418"/>
    <m/>
    <n v="-1.1366874"/>
    <n v="-1.6522935000000001"/>
    <s v="Direct"/>
    <s v="positive regulation of NLRP3 inflammasome complex assembly"/>
  </r>
  <r>
    <x v="1"/>
    <x v="2"/>
    <s v="Ssiderea021424"/>
    <m/>
    <n v="-3.6368393000000001"/>
    <n v="-3.2443922000000001"/>
    <s v="Direct"/>
    <s v="Fatty acid desaturase"/>
  </r>
  <r>
    <x v="1"/>
    <x v="2"/>
    <s v="Ssiderea021429"/>
    <m/>
    <n v="2.0742511700000001"/>
    <n v="2.1916915399999999"/>
    <s v="Direct"/>
    <s v="metalloendopeptidase activity"/>
  </r>
  <r>
    <x v="1"/>
    <x v="2"/>
    <s v="Ssiderea021445"/>
    <m/>
    <n v="-2.5757914"/>
    <n v="-1.6197341999999999"/>
    <s v="Direct"/>
    <s v="negative regulation of superoxide anion generation"/>
  </r>
  <r>
    <x v="1"/>
    <x v="2"/>
    <s v="Ssiderea021573"/>
    <m/>
    <n v="-1.8311782000000001"/>
    <n v="-1.3202020999999999"/>
    <s v="Direct"/>
    <s v="steroid hormone receptor activity"/>
  </r>
  <r>
    <x v="1"/>
    <x v="2"/>
    <s v="Ssiderea021580"/>
    <m/>
    <n v="1.04042035"/>
    <n v="3.5733934700000001"/>
    <s v="Direct"/>
    <s v="NA"/>
  </r>
  <r>
    <x v="1"/>
    <x v="2"/>
    <s v="Ssiderea021645"/>
    <m/>
    <n v="1.0282049499999999"/>
    <n v="1.2897501499999999"/>
    <s v="Direct"/>
    <s v="suppressor of cytokine signaling"/>
  </r>
  <r>
    <x v="1"/>
    <x v="2"/>
    <s v="Ssiderea021669"/>
    <m/>
    <n v="4.7548245700000003"/>
    <n v="2.8233503799999999"/>
    <s v="Direct"/>
    <s v="N-acetyl-beta-glucosaminyl-glycoprotein 4-beta-N-acetylgalactosaminyltransferase activity"/>
  </r>
  <r>
    <x v="1"/>
    <x v="2"/>
    <s v="Ssiderea021781"/>
    <m/>
    <n v="-1.0121745"/>
    <n v="-1.9620522"/>
    <s v="Direct"/>
    <s v="NA"/>
  </r>
  <r>
    <x v="1"/>
    <x v="2"/>
    <s v="Ssiderea021860"/>
    <m/>
    <n v="3.49384849"/>
    <n v="1.83141888"/>
    <s v="Direct"/>
    <s v="NA"/>
  </r>
  <r>
    <x v="1"/>
    <x v="2"/>
    <s v="Ssiderea021920"/>
    <m/>
    <n v="1.76904277"/>
    <n v="1.73427069"/>
    <s v="Direct"/>
    <s v="NA"/>
  </r>
  <r>
    <x v="1"/>
    <x v="2"/>
    <s v="Ssiderea021959"/>
    <m/>
    <n v="-3.7263128999999999"/>
    <n v="-2.6435759000000001"/>
    <s v="Direct"/>
    <s v="PX domain"/>
  </r>
  <r>
    <x v="1"/>
    <x v="2"/>
    <s v="Ssiderea021975"/>
    <m/>
    <n v="-1.2346655"/>
    <n v="-2.5867868999999999"/>
    <s v="Direct"/>
    <s v="NA"/>
  </r>
  <r>
    <x v="1"/>
    <x v="2"/>
    <s v="Ssiderea021997"/>
    <m/>
    <n v="1.18535262"/>
    <n v="1.3154926899999999"/>
    <s v="Direct"/>
    <s v="NA"/>
  </r>
  <r>
    <x v="1"/>
    <x v="2"/>
    <s v="Ssiderea022036"/>
    <m/>
    <n v="3.2293074499999999"/>
    <n v="6.4181150000000002"/>
    <s v="Direct"/>
    <s v="NA"/>
  </r>
  <r>
    <x v="1"/>
    <x v="2"/>
    <s v="Ssiderea022059"/>
    <m/>
    <n v="3.7004059699999998"/>
    <n v="3.7625817499999998"/>
    <s v="Direct"/>
    <s v="serine-type endopeptidase activity"/>
  </r>
  <r>
    <x v="1"/>
    <x v="2"/>
    <s v="Ssiderea022066"/>
    <m/>
    <n v="-5.2908270999999996"/>
    <n v="-4.2586043"/>
    <s v="Direct"/>
    <s v="octopamine biosynthetic process"/>
  </r>
  <r>
    <x v="1"/>
    <x v="2"/>
    <s v="Ssiderea022080"/>
    <m/>
    <n v="-6.2903630000000001"/>
    <n v="-6.7671177"/>
    <s v="Direct"/>
    <s v="NA"/>
  </r>
  <r>
    <x v="1"/>
    <x v="2"/>
    <s v="Ssiderea022281"/>
    <m/>
    <n v="2.6701099500000001"/>
    <n v="4.31444983"/>
    <s v="Direct"/>
    <s v="zinc ion binding"/>
  </r>
  <r>
    <x v="1"/>
    <x v="2"/>
    <s v="Ssiderea022296"/>
    <m/>
    <n v="2.58421835"/>
    <n v="2.79116885"/>
    <s v="Direct"/>
    <s v="NA"/>
  </r>
  <r>
    <x v="1"/>
    <x v="2"/>
    <s v="Ssiderea022308"/>
    <m/>
    <n v="-1.2424812999999999"/>
    <n v="-1.9675309000000001"/>
    <s v="Direct"/>
    <s v="Enolase family member 4"/>
  </r>
  <r>
    <x v="1"/>
    <x v="2"/>
    <s v="Ssiderea022318"/>
    <m/>
    <n v="1.5196470200000001"/>
    <n v="2.8015173199999999"/>
    <s v="Direct"/>
    <s v="fibroblast growth factor-activated receptor activity"/>
  </r>
  <r>
    <x v="1"/>
    <x v="2"/>
    <s v="Ssiderea022384"/>
    <m/>
    <n v="-1.1473377"/>
    <n v="-1.8340460999999999"/>
    <s v="Direct"/>
    <s v="Green fluorescent protein"/>
  </r>
  <r>
    <x v="1"/>
    <x v="2"/>
    <s v="Ssiderea022529"/>
    <m/>
    <n v="-6.9503383000000003"/>
    <n v="-5.6032890000000002"/>
    <s v="Direct"/>
    <s v="5'-nucleotidase activity"/>
  </r>
  <r>
    <x v="1"/>
    <x v="2"/>
    <s v="Ssiderea022534"/>
    <m/>
    <n v="-2.2850831999999999"/>
    <n v="-1.6952438000000001"/>
    <s v="Direct"/>
    <s v="Solute carrier organic anion transporter family, member"/>
  </r>
  <r>
    <x v="1"/>
    <x v="2"/>
    <s v="Ssiderea022535"/>
    <m/>
    <n v="-1.5652585000000001"/>
    <n v="-1.3557421000000001"/>
    <s v="Direct"/>
    <s v="UDP-glucoronosyl and UDP-glucosyl transferase"/>
  </r>
  <r>
    <x v="1"/>
    <x v="2"/>
    <s v="Ssiderea022547"/>
    <m/>
    <n v="1.0930031899999999"/>
    <n v="1.3271571900000001"/>
    <s v="Direct"/>
    <s v="histamine-induced gastric acid secretion"/>
  </r>
  <r>
    <x v="1"/>
    <x v="2"/>
    <s v="Ssiderea022549"/>
    <m/>
    <n v="2.8305864399999998"/>
    <n v="4.1840008099999997"/>
    <s v="Direct"/>
    <s v="G-protein coupled receptor activity"/>
  </r>
  <r>
    <x v="1"/>
    <x v="2"/>
    <s v="Ssiderea022581"/>
    <m/>
    <n v="-3.9985265999999999"/>
    <n v="-1.6420939999999999"/>
    <s v="Direct"/>
    <s v="NA"/>
  </r>
  <r>
    <x v="1"/>
    <x v="2"/>
    <s v="Ssiderea022757"/>
    <m/>
    <n v="1.39795246"/>
    <n v="1.4260600400000001"/>
    <s v="Direct"/>
    <s v="NA"/>
  </r>
  <r>
    <x v="1"/>
    <x v="2"/>
    <s v="Ssiderea022764"/>
    <m/>
    <n v="-8.6213777999999994"/>
    <n v="-10.3865"/>
    <s v="Direct"/>
    <s v="LON peptidase N-terminal domain and RING finger"/>
  </r>
  <r>
    <x v="1"/>
    <x v="2"/>
    <s v="Ssiderea022819"/>
    <m/>
    <n v="1.4964817399999999"/>
    <n v="1.58624885"/>
    <s v="Direct"/>
    <s v="NA"/>
  </r>
  <r>
    <x v="1"/>
    <x v="2"/>
    <s v="Ssiderea022853"/>
    <m/>
    <n v="1.00051384"/>
    <n v="1.21891452"/>
    <s v="Direct"/>
    <s v="NA"/>
  </r>
  <r>
    <x v="1"/>
    <x v="2"/>
    <s v="Ssiderea022878"/>
    <m/>
    <n v="-1.3661327000000001"/>
    <n v="-2.0074027000000001"/>
    <s v="Direct"/>
    <s v="regulation of neuron migration"/>
  </r>
  <r>
    <x v="1"/>
    <x v="2"/>
    <s v="Ssiderea022879"/>
    <m/>
    <n v="-1.862036"/>
    <n v="-1.0098092999999999"/>
    <s v="Direct"/>
    <s v="fibroblast growth factor-activated receptor activity"/>
  </r>
  <r>
    <x v="1"/>
    <x v="2"/>
    <s v="Ssiderea023011"/>
    <m/>
    <n v="-5.7254278999999997"/>
    <n v="-6.2870232000000001"/>
    <s v="Direct"/>
    <s v="NA"/>
  </r>
  <r>
    <x v="1"/>
    <x v="2"/>
    <s v="Ssiderea023116"/>
    <m/>
    <n v="9.4800458499999998"/>
    <n v="10.7906554"/>
    <s v="Direct"/>
    <s v="NA"/>
  </r>
  <r>
    <x v="1"/>
    <x v="2"/>
    <s v="Ssiderea023118"/>
    <m/>
    <n v="-5.0397593000000001"/>
    <n v="-5.4436967999999997"/>
    <s v="Direct"/>
    <s v="Belongs to the mitochondrial carrier (TC 2.A.29) family"/>
  </r>
  <r>
    <x v="1"/>
    <x v="2"/>
    <s v="Ssiderea023132"/>
    <m/>
    <n v="2.0802467500000001"/>
    <n v="1.7815735100000001"/>
    <s v="Direct"/>
    <s v="NA"/>
  </r>
  <r>
    <x v="1"/>
    <x v="2"/>
    <s v="Ssiderea023224"/>
    <m/>
    <n v="2.7662144299999998"/>
    <n v="1.6337658900000001"/>
    <s v="Direct"/>
    <s v="Ankyrin repeat"/>
  </r>
  <r>
    <x v="1"/>
    <x v="2"/>
    <s v="Ssiderea023225"/>
    <m/>
    <n v="7.5824585799999999"/>
    <n v="6.1217793199999999"/>
    <s v="Direct"/>
    <s v="Chromosome 19 open reading frame 43"/>
  </r>
  <r>
    <x v="1"/>
    <x v="2"/>
    <s v="Ssiderea023266"/>
    <m/>
    <n v="-1.3525079"/>
    <n v="-1.1492336000000001"/>
    <s v="Direct"/>
    <s v="NA"/>
  </r>
  <r>
    <x v="1"/>
    <x v="2"/>
    <s v="Ssiderea023310"/>
    <m/>
    <n v="-13.993631000000001"/>
    <n v="-8.1931221999999995"/>
    <s v="Direct"/>
    <s v="secondary active sulfate transmembrane transporter activity"/>
  </r>
  <r>
    <x v="1"/>
    <x v="2"/>
    <s v="Ssiderea023369"/>
    <m/>
    <n v="-2.600231"/>
    <n v="-3.1322500999999998"/>
    <s v="Direct"/>
    <s v="L-lactate"/>
  </r>
  <r>
    <x v="1"/>
    <x v="2"/>
    <s v="Ssiderea023382"/>
    <m/>
    <n v="6.0718119699999997"/>
    <n v="7.3517337899999999"/>
    <s v="Direct"/>
    <s v="Tumor necrosis factor receptor / nerve growth factor receptor repeats."/>
  </r>
  <r>
    <x v="1"/>
    <x v="2"/>
    <s v="Ssiderea023386"/>
    <m/>
    <n v="1.17947672"/>
    <n v="1.6866122699999999"/>
    <s v="Direct"/>
    <s v="NA"/>
  </r>
  <r>
    <x v="1"/>
    <x v="2"/>
    <s v="Ssiderea023388"/>
    <m/>
    <n v="1.0074317500000001"/>
    <n v="1.3088963"/>
    <s v="Direct"/>
    <s v="NA"/>
  </r>
  <r>
    <x v="1"/>
    <x v="2"/>
    <s v="Ssiderea023401"/>
    <m/>
    <n v="2.7209865600000001"/>
    <n v="3.4482434199999998"/>
    <s v="Direct"/>
    <s v="Tumor necrosis factor receptor / nerve growth factor receptor repeats."/>
  </r>
  <r>
    <x v="1"/>
    <x v="2"/>
    <s v="Ssiderea023406"/>
    <m/>
    <n v="2.8874729399999999"/>
    <n v="2.7286585900000002"/>
    <s v="Direct"/>
    <s v="Tumor necrosis factor receptor / nerve growth factor receptor repeats."/>
  </r>
  <r>
    <x v="1"/>
    <x v="2"/>
    <s v="Ssiderea023413"/>
    <m/>
    <n v="3.6029698400000001"/>
    <n v="4.6365871600000004"/>
    <s v="Direct"/>
    <s v="NA"/>
  </r>
  <r>
    <x v="1"/>
    <x v="2"/>
    <s v="Ssiderea023422"/>
    <m/>
    <n v="2.4865736300000001"/>
    <n v="4.0156474400000004"/>
    <s v="Direct"/>
    <s v="NA"/>
  </r>
  <r>
    <x v="1"/>
    <x v="2"/>
    <s v="Ssiderea023426"/>
    <m/>
    <n v="1.4888713200000001"/>
    <n v="2.1346090000000002"/>
    <s v="Direct"/>
    <s v="NA"/>
  </r>
  <r>
    <x v="1"/>
    <x v="2"/>
    <s v="Ssiderea023429"/>
    <m/>
    <n v="2.7904761300000001"/>
    <n v="2.27374163"/>
    <s v="Direct"/>
    <s v="NA"/>
  </r>
  <r>
    <x v="1"/>
    <x v="2"/>
    <s v="Ssiderea023473"/>
    <m/>
    <n v="-4.4541401"/>
    <n v="-5.5863581"/>
    <s v="Direct"/>
    <s v="histidyl-tRNA aminoacylation"/>
  </r>
  <r>
    <x v="1"/>
    <x v="2"/>
    <s v="Ssiderea023541"/>
    <m/>
    <n v="-1.4757157999999999"/>
    <n v="-1.3237159000000001"/>
    <s v="Direct"/>
    <s v="Catalyzes the radical-mediated insertion of two sulfur atoms into the C-6 and C-8 positions of the octanoyl moiety bound to the lipoyl domains of lipoate-dependent enzymes, thereby converting the octanoylated domains into lipoylated derivatives"/>
  </r>
  <r>
    <x v="1"/>
    <x v="2"/>
    <s v="Ssiderea023552"/>
    <m/>
    <n v="2.51041011"/>
    <n v="3.22765038"/>
    <s v="Direct"/>
    <s v="suppression of tumorigenicity 13 (colon carcinoma) (Hsp70 interacting protein)"/>
  </r>
  <r>
    <x v="1"/>
    <x v="2"/>
    <s v="Ssiderea023606"/>
    <m/>
    <n v="9.1915626499999998"/>
    <n v="1.96619553"/>
    <s v="Direct"/>
    <s v="NA"/>
  </r>
  <r>
    <x v="1"/>
    <x v="2"/>
    <s v="Ssiderea023769"/>
    <m/>
    <n v="-6.1458671999999996"/>
    <n v="-7.0947329000000003"/>
    <s v="Direct"/>
    <s v="NA"/>
  </r>
  <r>
    <x v="1"/>
    <x v="2"/>
    <s v="Ssiderea023785"/>
    <m/>
    <n v="1.2387473099999999"/>
    <n v="1.2621609199999999"/>
    <s v="Direct"/>
    <s v="regulation of mitotic cell cycle"/>
  </r>
  <r>
    <x v="1"/>
    <x v="2"/>
    <s v="Ssiderea023788"/>
    <m/>
    <n v="1.1291303399999999"/>
    <n v="1.3287258399999999"/>
    <s v="Direct"/>
    <s v="scavenger receptor activity"/>
  </r>
  <r>
    <x v="1"/>
    <x v="2"/>
    <s v="Ssiderea023814"/>
    <m/>
    <n v="-1.4638525"/>
    <n v="-1.3409949999999999"/>
    <s v="Direct"/>
    <s v="endoplasmic reticulum stress-induced pre-emptive quality control"/>
  </r>
  <r>
    <x v="1"/>
    <x v="2"/>
    <s v="Ssiderea023882"/>
    <m/>
    <n v="2.2877503799999999"/>
    <n v="4.03551459"/>
    <s v="Direct"/>
    <s v="PFAM Alcohol dehydrogenase zinc-binding domain protein"/>
  </r>
  <r>
    <x v="1"/>
    <x v="2"/>
    <s v="Ssiderea023883"/>
    <m/>
    <n v="6.6863314599999999"/>
    <n v="8.64375231"/>
    <s v="Direct"/>
    <s v="PFAM Alcohol dehydrogenase zinc-binding domain protein"/>
  </r>
  <r>
    <x v="1"/>
    <x v="2"/>
    <s v="Ssiderea023893"/>
    <m/>
    <n v="1.7219343199999999"/>
    <n v="1.18078529"/>
    <s v="Direct"/>
    <s v="Collagen type XI alpha 1"/>
  </r>
  <r>
    <x v="1"/>
    <x v="2"/>
    <s v="Ssiderea023919"/>
    <m/>
    <n v="-3.2179606999999999"/>
    <n v="-4.7115074000000003"/>
    <s v="Direct"/>
    <s v="cellular zinc ion homeostasis"/>
  </r>
  <r>
    <x v="1"/>
    <x v="2"/>
    <s v="Ssiderea024050"/>
    <m/>
    <n v="-2.4777684999999998"/>
    <n v="-2.1262219999999998"/>
    <s v="Direct"/>
    <s v="NA"/>
  </r>
  <r>
    <x v="1"/>
    <x v="2"/>
    <s v="Ssiderea024052"/>
    <m/>
    <n v="-1.9723659"/>
    <n v="-1.2906758"/>
    <s v="Direct"/>
    <s v="NA"/>
  </r>
  <r>
    <x v="1"/>
    <x v="2"/>
    <s v="Ssiderea024073"/>
    <m/>
    <n v="-1.2081666"/>
    <n v="-1.606101"/>
    <s v="Direct"/>
    <s v="NA"/>
  </r>
  <r>
    <x v="1"/>
    <x v="2"/>
    <s v="Ssiderea024105"/>
    <m/>
    <n v="-1.4964816999999999"/>
    <n v="-3.1528879999999999"/>
    <s v="Direct"/>
    <s v="spectrin binding"/>
  </r>
  <r>
    <x v="1"/>
    <x v="2"/>
    <s v="Ssiderea024123"/>
    <m/>
    <n v="5.8762582400000003"/>
    <n v="3.8707373299999999"/>
    <s v="Direct"/>
    <s v="NA"/>
  </r>
  <r>
    <x v="1"/>
    <x v="2"/>
    <s v="Ssiderea024129"/>
    <m/>
    <n v="-1.2251809"/>
    <n v="-3.5010229000000002"/>
    <s v="Direct"/>
    <s v="Belongs to the sodium solute symporter (SSF) (TC 2.A.21) family"/>
  </r>
  <r>
    <x v="1"/>
    <x v="2"/>
    <s v="Ssiderea024139"/>
    <m/>
    <n v="-4.5301223000000004"/>
    <n v="-4.9777250999999998"/>
    <s v="Direct"/>
    <s v="negative regulation of transcription elongation from RNA polymerase II promoter"/>
  </r>
  <r>
    <x v="1"/>
    <x v="2"/>
    <s v="Ssiderea024198"/>
    <m/>
    <n v="-1.8078665"/>
    <n v="-3.7263543000000001"/>
    <s v="Direct"/>
    <s v="metal ion binding"/>
  </r>
  <r>
    <x v="1"/>
    <x v="2"/>
    <s v="Ssiderea024230"/>
    <m/>
    <n v="-1.3519445000000001"/>
    <n v="-1.3712875"/>
    <s v="Direct"/>
    <s v="NA"/>
  </r>
  <r>
    <x v="1"/>
    <x v="2"/>
    <s v="Ssiderea024272"/>
    <m/>
    <n v="-1.5258297999999999"/>
    <n v="-1.4499636"/>
    <s v="Direct"/>
    <s v="NA"/>
  </r>
  <r>
    <x v="1"/>
    <x v="2"/>
    <s v="Ssiderea024275"/>
    <m/>
    <n v="-10.35422"/>
    <n v="-23.040637"/>
    <s v="Direct"/>
    <s v="NA"/>
  </r>
  <r>
    <x v="1"/>
    <x v="2"/>
    <s v="Ssiderea024276"/>
    <m/>
    <n v="-23.867408999999999"/>
    <n v="-52.118259999999999"/>
    <s v="Direct"/>
    <s v="SOUL heme-binding protein"/>
  </r>
  <r>
    <x v="1"/>
    <x v="2"/>
    <s v="Ssiderea024314"/>
    <m/>
    <n v="2.4622132300000001"/>
    <n v="4.6365871600000004"/>
    <s v="Direct"/>
    <s v="NA"/>
  </r>
  <r>
    <x v="1"/>
    <x v="2"/>
    <s v="Ssiderea024393"/>
    <m/>
    <n v="1.8943505899999999"/>
    <n v="3.51136216"/>
    <s v="Direct"/>
    <s v="NA"/>
  </r>
  <r>
    <x v="1"/>
    <x v="2"/>
    <s v="Ssiderea024427"/>
    <m/>
    <n v="-1.7319711"/>
    <n v="-1.2577588"/>
    <s v="Direct"/>
    <s v="NA"/>
  </r>
  <r>
    <x v="1"/>
    <x v="2"/>
    <s v="Ssiderea024553"/>
    <m/>
    <n v="-7.6295603999999999"/>
    <n v="-5.2937386999999996"/>
    <s v="Direct"/>
    <s v="NA"/>
  </r>
  <r>
    <x v="1"/>
    <x v="2"/>
    <s v="Ssiderea024612"/>
    <m/>
    <n v="4.7222165900000004"/>
    <n v="5.2922716400000001"/>
    <s v="Direct"/>
    <s v="Cytochrome P450, family"/>
  </r>
  <r>
    <x v="1"/>
    <x v="2"/>
    <s v="Ssiderea024655"/>
    <m/>
    <n v="1.8392366"/>
    <n v="1.80673156"/>
    <s v="Direct"/>
    <s v="Belongs to the peptidase S1 family"/>
  </r>
  <r>
    <x v="1"/>
    <x v="2"/>
    <s v="Ssiderea024675"/>
    <m/>
    <n v="1.7758897"/>
    <n v="2.4965719399999999"/>
    <s v="Direct"/>
    <s v="NA"/>
  </r>
  <r>
    <x v="1"/>
    <x v="2"/>
    <s v="Ssiderea024708"/>
    <m/>
    <n v="1.6857476600000001"/>
    <n v="1.5074527499999999"/>
    <s v="Direct"/>
    <s v="NA"/>
  </r>
  <r>
    <x v="1"/>
    <x v="2"/>
    <s v="Ssiderea024711"/>
    <m/>
    <n v="-1.3268158999999999"/>
    <n v="-2.8036859999999999"/>
    <s v="Direct"/>
    <s v="NA"/>
  </r>
  <r>
    <x v="1"/>
    <x v="2"/>
    <s v="Ssiderea024746"/>
    <m/>
    <n v="-1.6319288999999999"/>
    <n v="-1.2811523"/>
    <s v="Direct"/>
    <s v="NA"/>
  </r>
  <r>
    <x v="1"/>
    <x v="2"/>
    <s v="Ssiderea024816"/>
    <m/>
    <n v="2.2457252699999999"/>
    <n v="2.67359049"/>
    <s v="Direct"/>
    <s v="Cupin-like domain"/>
  </r>
  <r>
    <x v="1"/>
    <x v="2"/>
    <s v="Ssiderea024825"/>
    <m/>
    <n v="-2.6385420000000002"/>
    <n v="-2.4778726"/>
    <s v="Direct"/>
    <s v="intein-mediated protein splicing"/>
  </r>
  <r>
    <x v="1"/>
    <x v="2"/>
    <s v="Ssiderea024892"/>
    <m/>
    <n v="1.7765622700000001"/>
    <n v="1.1378352"/>
    <s v="Direct"/>
    <s v="NA"/>
  </r>
  <r>
    <x v="1"/>
    <x v="2"/>
    <s v="Ssiderea024906"/>
    <m/>
    <n v="2.1297406200000002"/>
    <n v="1.73845089"/>
    <s v="Direct"/>
    <s v="Galactose binding lectin domain"/>
  </r>
  <r>
    <x v="1"/>
    <x v="2"/>
    <s v="Ssiderea024910"/>
    <m/>
    <n v="2.6741499200000001"/>
    <n v="2.2300647900000001"/>
    <s v="Direct"/>
    <s v="NA"/>
  </r>
  <r>
    <x v="1"/>
    <x v="2"/>
    <s v="Ssiderea024962"/>
    <m/>
    <n v="2.5277334300000001"/>
    <n v="2.11393078"/>
    <s v="Direct"/>
    <s v="NA"/>
  </r>
  <r>
    <x v="1"/>
    <x v="2"/>
    <s v="Ssiderea024974"/>
    <m/>
    <n v="1.90228288"/>
    <n v="1.78292155"/>
    <s v="Direct"/>
    <s v="cytoskeletal anchoring at plasma membrane"/>
  </r>
  <r>
    <x v="1"/>
    <x v="2"/>
    <s v="Ssiderea025027"/>
    <m/>
    <n v="3.4656389700000001"/>
    <n v="3.5708513700000002"/>
    <s v="Direct"/>
    <s v="NA"/>
  </r>
  <r>
    <x v="1"/>
    <x v="2"/>
    <s v="Ssiderea025037"/>
    <m/>
    <n v="-5.5178528"/>
    <n v="-7.4259259000000002"/>
    <s v="Direct"/>
    <s v="Catalyzes the ferrous insertion into protoporphyrin IX"/>
  </r>
  <r>
    <x v="1"/>
    <x v="2"/>
    <s v="Ssiderea025047"/>
    <m/>
    <n v="1.44904981"/>
    <n v="1.83495637"/>
    <s v="Direct"/>
    <s v="serine-type endopeptidase activity"/>
  </r>
  <r>
    <x v="1"/>
    <x v="2"/>
    <s v="Ssiderea025053"/>
    <m/>
    <n v="-2.4994071"/>
    <n v="-1.7543921"/>
    <s v="Direct"/>
    <s v="NA"/>
  </r>
  <r>
    <x v="1"/>
    <x v="2"/>
    <s v="Ssiderea025089"/>
    <m/>
    <n v="4.67790865"/>
    <n v="4.8898291900000004"/>
    <s v="Direct"/>
    <s v="NmrA-like family"/>
  </r>
  <r>
    <x v="1"/>
    <x v="2"/>
    <s v="Ssiderea025135"/>
    <m/>
    <n v="1.2908373"/>
    <n v="2.2517717899999998"/>
    <s v="Direct"/>
    <s v="negative regulation of protein export from nucleus"/>
  </r>
  <r>
    <x v="1"/>
    <x v="2"/>
    <s v="Ssiderea025177"/>
    <m/>
    <n v="-1.577445"/>
    <n v="-2.0798201000000001"/>
    <s v="Direct"/>
    <s v="ankyrin repeat"/>
  </r>
  <r>
    <x v="1"/>
    <x v="2"/>
    <s v="Ssiderea025312"/>
    <m/>
    <n v="-1.7261522"/>
    <n v="-1.2037495"/>
    <s v="Direct"/>
    <s v="Transient receptor potential cation channel, subfamily A, member"/>
  </r>
  <r>
    <x v="1"/>
    <x v="2"/>
    <s v="Ssiderea025320"/>
    <m/>
    <n v="4.8502195199999996"/>
    <n v="3.5728630400000001"/>
    <s v="Direct"/>
    <s v="Calreticulin"/>
  </r>
  <r>
    <x v="1"/>
    <x v="2"/>
    <s v="Ssiderea025342"/>
    <m/>
    <n v="-3.4133216000000002"/>
    <n v="-3.1149404999999999"/>
    <s v="Direct"/>
    <s v="NA"/>
  </r>
  <r>
    <x v="1"/>
    <x v="2"/>
    <s v="Ssiderea025360"/>
    <m/>
    <n v="2.9075075300000002"/>
    <n v="4.1307950900000003"/>
    <s v="Direct"/>
    <s v="NA"/>
  </r>
  <r>
    <x v="1"/>
    <x v="2"/>
    <s v="Ssiderea025440"/>
    <m/>
    <n v="-1.5886439999999999"/>
    <n v="-2.6249768000000002"/>
    <s v="Direct"/>
    <s v="ubiquitin-like protein-specific protease activity"/>
  </r>
  <r>
    <x v="1"/>
    <x v="2"/>
    <s v="Ssiderea025556"/>
    <m/>
    <n v="-1.8651827999999999"/>
    <n v="-1.4192796999999999"/>
    <s v="Direct"/>
    <s v="NA"/>
  </r>
  <r>
    <x v="1"/>
    <x v="2"/>
    <s v="Ssiderea025567"/>
    <m/>
    <n v="-2.4865735999999998"/>
    <n v="-2.3642726000000001"/>
    <s v="Direct"/>
    <s v="NA"/>
  </r>
  <r>
    <x v="1"/>
    <x v="2"/>
    <s v="Ssiderea025653"/>
    <m/>
    <n v="3.54335041"/>
    <n v="5.4692741500000004"/>
    <s v="Direct"/>
    <s v="NA"/>
  </r>
  <r>
    <x v="1"/>
    <x v="2"/>
    <s v="Ssiderea025748"/>
    <m/>
    <n v="-3.9203358000000001"/>
    <n v="-3.7687214999999998"/>
    <s v="Direct"/>
    <s v="NA"/>
  </r>
  <r>
    <x v="1"/>
    <x v="2"/>
    <s v="Ssiderea025806"/>
    <m/>
    <n v="1.2152858799999999"/>
    <n v="1.56595712"/>
    <s v="Direct"/>
    <s v="negative regulation of insulin receptor signaling pathway"/>
  </r>
  <r>
    <x v="1"/>
    <x v="2"/>
    <s v="Ssiderea025926"/>
    <m/>
    <n v="-1.9202286"/>
    <n v="-1.8890096999999999"/>
    <s v="Direct"/>
    <s v="Ubiquitin exists either covalently attached to another protein, or free (unanchored). When covalently bound, it is conjugated to target proteins via an isopeptide bond either as a monomer (monoubiquitin), a polymer linked via different Lys residues of the"/>
  </r>
  <r>
    <x v="1"/>
    <x v="2"/>
    <s v="Ssiderea025958"/>
    <m/>
    <n v="-1.4333803000000001"/>
    <n v="-1.9632242"/>
    <s v="Direct"/>
    <s v="Ubiquitin-2 like Rad60 SUMO-like"/>
  </r>
  <r>
    <x v="1"/>
    <x v="2"/>
    <s v="Ssiderea025984"/>
    <m/>
    <n v="-9.796735"/>
    <n v="-13.729329999999999"/>
    <s v="Direct"/>
    <s v="5'-3' exoribonuclease activity"/>
  </r>
  <r>
    <x v="1"/>
    <x v="2"/>
    <s v="Ssiderea025986"/>
    <m/>
    <n v="4.0815494399999999"/>
    <n v="2.4489942500000002"/>
    <s v="Direct"/>
    <s v="negative regulation of epithelial cell proliferation"/>
  </r>
  <r>
    <x v="1"/>
    <x v="2"/>
    <s v="Ssiderea026168"/>
    <m/>
    <n v="4.0860917399999996"/>
    <n v="4.4056196999999999"/>
    <s v="Direct"/>
    <s v="NA"/>
  </r>
  <r>
    <x v="1"/>
    <x v="2"/>
    <s v="Ssiderea026169"/>
    <m/>
    <n v="1.93827733"/>
    <n v="1.87788271"/>
    <s v="Direct"/>
    <s v="NA"/>
  </r>
  <r>
    <x v="1"/>
    <x v="2"/>
    <s v="Ssiderea026208"/>
    <m/>
    <n v="1.7324386899999999"/>
    <n v="1.0754030800000001"/>
    <s v="Direct"/>
    <s v="NA"/>
  </r>
  <r>
    <x v="1"/>
    <x v="2"/>
    <s v="Ssiderea026252"/>
    <m/>
    <n v="-1.7204195"/>
    <n v="-2.1756068000000002"/>
    <s v="Direct"/>
    <s v="riboflavin transmembrane transporter activity"/>
  </r>
  <r>
    <x v="1"/>
    <x v="2"/>
    <s v="Ssiderea026266"/>
    <m/>
    <n v="-1.63781"/>
    <n v="-1.4819552"/>
    <s v="Direct"/>
    <s v="chromatin organization"/>
  </r>
  <r>
    <x v="1"/>
    <x v="2"/>
    <s v="Ssiderea026267"/>
    <m/>
    <n v="-1.6719364000000001"/>
    <n v="-3.7737121"/>
    <s v="Direct"/>
    <s v="negative regulation of nuclease activity"/>
  </r>
  <r>
    <x v="1"/>
    <x v="2"/>
    <s v="Ssiderea026314"/>
    <m/>
    <n v="1.3727483199999999"/>
    <n v="2.5230603299999999"/>
    <s v="Direct"/>
    <s v="belongs to the actin family"/>
  </r>
  <r>
    <x v="1"/>
    <x v="2"/>
    <s v="Ssiderea026316"/>
    <m/>
    <n v="1.31310591"/>
    <n v="2.4735338200000001"/>
    <s v="Direct"/>
    <s v="NA"/>
  </r>
  <r>
    <x v="1"/>
    <x v="2"/>
    <s v="Ssiderea026397"/>
    <m/>
    <n v="1.1773389299999999"/>
    <n v="1.21891452"/>
    <s v="Direct"/>
    <s v="organic anion transmembrane transporter activity"/>
  </r>
  <r>
    <x v="1"/>
    <x v="2"/>
    <s v="Ssiderea026461"/>
    <m/>
    <n v="-1.0317855"/>
    <n v="-2.0656661999999999"/>
    <s v="Direct"/>
    <s v="homolog subfamily C member 7"/>
  </r>
  <r>
    <x v="1"/>
    <x v="2"/>
    <s v="Ssiderea026574"/>
    <m/>
    <n v="-1.5898768000000001"/>
    <n v="-1.6379329"/>
    <s v="Direct"/>
    <s v="7S RNA binding"/>
  </r>
  <r>
    <x v="1"/>
    <x v="2"/>
    <s v="Ssiderea026681"/>
    <m/>
    <n v="1.17779323"/>
    <n v="1.1415448800000001"/>
    <s v="Direct"/>
    <s v="C-type lectin (CTL) or carbohydrate-recognition domain (CRD)"/>
  </r>
  <r>
    <x v="1"/>
    <x v="2"/>
    <s v="Ssiderea026694"/>
    <m/>
    <n v="3.2546751999999999"/>
    <n v="3.2671660600000001"/>
    <s v="Direct"/>
    <s v="C-type lectin (CTL) or carbohydrate-recognition domain (CRD)"/>
  </r>
  <r>
    <x v="1"/>
    <x v="2"/>
    <s v="Ssiderea026702"/>
    <m/>
    <n v="-7.0937218"/>
    <n v="-2.7323727999999998"/>
    <s v="Direct"/>
    <s v="C-type lectin (CTL) or carbohydrate-recognition domain (CRD)"/>
  </r>
  <r>
    <x v="1"/>
    <x v="2"/>
    <s v="Ssiderea026709"/>
    <m/>
    <n v="2.6917260500000002"/>
    <n v="3.6832147800000001"/>
    <s v="Direct"/>
    <s v="C-type lectin (CTL) or carbohydrate-recognition domain (CRD)"/>
  </r>
  <r>
    <x v="1"/>
    <x v="2"/>
    <s v="Ssiderea026735"/>
    <m/>
    <n v="-1.0018773999999999"/>
    <n v="-2.5992917000000002"/>
    <s v="Direct"/>
    <s v="Ferric-chelate reductase"/>
  </r>
  <r>
    <x v="1"/>
    <x v="2"/>
    <s v="Ssiderea026757"/>
    <m/>
    <n v="-2.7466417999999999"/>
    <n v="-5.9670662999999999"/>
    <s v="Direct"/>
    <s v="BCCT, betaine/carnitine/choline family transporter"/>
  </r>
  <r>
    <x v="1"/>
    <x v="2"/>
    <s v="Ssiderea026761"/>
    <m/>
    <n v="1.9756973200000001"/>
    <n v="1.13569019"/>
    <s v="Direct"/>
    <s v="NA"/>
  </r>
  <r>
    <x v="1"/>
    <x v="2"/>
    <s v="Ssiderea026768"/>
    <m/>
    <n v="-1.0767537"/>
    <n v="-2.5407636999999998"/>
    <s v="Direct"/>
    <s v="sedoheptulose-7-phosphate:D-glyceraldehyde-3-phosphate glyceronetransferase activity"/>
  </r>
  <r>
    <x v="1"/>
    <x v="2"/>
    <s v="Ssiderea026791"/>
    <m/>
    <n v="-1.9006685999999999"/>
    <n v="-3.7887053000000002"/>
    <s v="Direct"/>
    <s v="mRNA transport"/>
  </r>
  <r>
    <x v="1"/>
    <x v="2"/>
    <s v="Ssiderea026942"/>
    <m/>
    <n v="1.7873789"/>
    <n v="1.6285844300000001"/>
    <s v="Direct"/>
    <s v="von Willebrand factor (vWF) type A domain"/>
  </r>
  <r>
    <x v="1"/>
    <x v="2"/>
    <s v="Ssiderea026962"/>
    <m/>
    <n v="-7.6201034999999999"/>
    <n v="-13.243069999999999"/>
    <s v="Direct"/>
    <s v="adenosine kinase activity"/>
  </r>
  <r>
    <x v="1"/>
    <x v="2"/>
    <s v="Ssiderea026971"/>
    <m/>
    <n v="-1.7314575999999999"/>
    <n v="-1.2157943"/>
    <s v="Direct"/>
    <s v="regulation of phosphoprotein phosphatase activity"/>
  </r>
  <r>
    <x v="1"/>
    <x v="2"/>
    <s v="Ssiderea027077"/>
    <m/>
    <n v="9.2996145000000006"/>
    <n v="4.70755722"/>
    <s v="Direct"/>
    <s v="NA"/>
  </r>
  <r>
    <x v="1"/>
    <x v="2"/>
    <s v="Ssiderea027103"/>
    <m/>
    <n v="1.4757158100000001"/>
    <n v="1.5201197"/>
    <s v="Direct"/>
    <s v="calcium-dependent phospholipid binding"/>
  </r>
  <r>
    <x v="1"/>
    <x v="2"/>
    <s v="Ssiderea027135"/>
    <m/>
    <n v="-8.0895860000000006"/>
    <n v="-6.8506385999999999"/>
    <s v="Direct"/>
    <s v="Catalyzes the three sequential steps of the methylation pathway of phosphatidylcholine biosynthesis, the SAM-dependent methylation of phosphatidylethanolamine (PE) to phosphatidylmonomethylethanolamine (PMME), PMME to phosphatidyldimethylethanolamine (PDM"/>
  </r>
  <r>
    <x v="1"/>
    <x v="2"/>
    <s v="Ssiderea027144"/>
    <m/>
    <n v="2.9962910200000001"/>
    <n v="3.1325977800000002"/>
    <s v="Direct"/>
    <s v="Selenium-binding protein 1"/>
  </r>
  <r>
    <x v="1"/>
    <x v="2"/>
    <s v="Ssiderea027151"/>
    <m/>
    <n v="-1.8626056"/>
    <n v="-1.7027802000000001"/>
    <s v="Direct"/>
    <s v="NA"/>
  </r>
  <r>
    <x v="1"/>
    <x v="2"/>
    <s v="Ssiderea027251"/>
    <m/>
    <n v="1.90228288"/>
    <n v="1.03867887"/>
    <s v="Direct"/>
    <s v="Belongs to the peptidase M10A family"/>
  </r>
  <r>
    <x v="1"/>
    <x v="2"/>
    <s v="Ssiderea027372"/>
    <m/>
    <n v="1.09785628"/>
    <n v="1.30237446"/>
    <s v="Direct"/>
    <s v="Tnf receptor-associated factor 2"/>
  </r>
  <r>
    <x v="1"/>
    <x v="2"/>
    <s v="Ssiderea027516"/>
    <m/>
    <n v="1.7204194799999999"/>
    <n v="1.56595712"/>
    <s v="Direct"/>
    <s v="RING-like zinc finger"/>
  </r>
  <r>
    <x v="1"/>
    <x v="2"/>
    <s v="Ssiderea027537"/>
    <m/>
    <n v="-1.5504560999999999"/>
    <n v="-3.2266682000000002"/>
    <s v="Direct"/>
    <s v="Catalyzes conversion of folates to polyglutamate derivatives allowing concentration of folate compounds in the cell and the intracellular retention of these cofactors, which are important substrates for most of the folate-dependent enzymes that are involv"/>
  </r>
  <r>
    <x v="1"/>
    <x v="2"/>
    <s v="Ssiderea027541"/>
    <m/>
    <n v="-14.298185"/>
    <n v="-22.301555"/>
    <s v="Direct"/>
    <s v="negative regulation of glucocorticoid receptor signaling pathway"/>
  </r>
  <r>
    <x v="1"/>
    <x v="2"/>
    <s v="Ssiderea027596"/>
    <m/>
    <n v="2.8585372599999999"/>
    <n v="2.6551792399999998"/>
    <s v="Direct"/>
    <s v="NA"/>
  </r>
  <r>
    <x v="1"/>
    <x v="2"/>
    <s v="Ssiderea027757"/>
    <m/>
    <n v="-5.3006001999999999"/>
    <n v="-5.2309587000000004"/>
    <s v="Direct"/>
    <s v="Double-stranded RNA binding motif"/>
  </r>
  <r>
    <x v="1"/>
    <x v="2"/>
    <s v="Ssiderea027758"/>
    <m/>
    <n v="-3.5556234"/>
    <n v="-2.3642726000000001"/>
    <s v="Direct"/>
    <s v="NA"/>
  </r>
  <r>
    <x v="1"/>
    <x v="2"/>
    <s v="Ssiderea027760"/>
    <m/>
    <n v="-4.8373688000000001"/>
    <n v="-2.0011329999999998"/>
    <s v="Direct"/>
    <s v="Receptor L domain"/>
  </r>
  <r>
    <x v="1"/>
    <x v="2"/>
    <s v="Ssiderea027808"/>
    <m/>
    <n v="8.6213777599999997"/>
    <n v="7.9938418599999999"/>
    <s v="Direct"/>
    <s v="PPIases accelerate the folding of proteins. It catalyzes the cis-trans isomerization of proline imidic peptide bonds in oligopeptides"/>
  </r>
  <r>
    <x v="1"/>
    <x v="2"/>
    <s v="Ssiderea027809"/>
    <m/>
    <n v="-8.5645387999999993"/>
    <n v="-10.264139999999999"/>
    <s v="Direct"/>
    <s v="PPIases accelerate the folding of proteins. It catalyzes the cis-trans isomerization of proline imidic peptide bonds in oligopeptides"/>
  </r>
  <r>
    <x v="1"/>
    <x v="2"/>
    <s v="Ssiderea027875"/>
    <m/>
    <n v="4.53498614"/>
    <n v="1.9150866200000001"/>
    <s v="Direct"/>
    <s v="Enabled homolog"/>
  </r>
  <r>
    <x v="1"/>
    <x v="2"/>
    <s v="Ssiderea027950"/>
    <m/>
    <n v="-2.1618369999999998"/>
    <n v="-1.1581379999999999"/>
    <s v="Direct"/>
    <s v="NA"/>
  </r>
  <r>
    <x v="1"/>
    <x v="2"/>
    <s v="Ssiderea027951"/>
    <m/>
    <n v="-2.6125715"/>
    <n v="-1.4491050999999999"/>
    <s v="Direct"/>
    <s v="heme binding"/>
  </r>
  <r>
    <x v="1"/>
    <x v="2"/>
    <s v="Ssiderea027966"/>
    <m/>
    <n v="2.53972855"/>
    <n v="1.9386396100000001"/>
    <s v="Direct"/>
    <s v="tumor necrosis factor (ligand) superfamily, member"/>
  </r>
  <r>
    <x v="1"/>
    <x v="2"/>
    <s v="Ssiderea028069"/>
    <m/>
    <n v="6.2537997000000001"/>
    <n v="5.7725692200000003"/>
    <s v="Direct"/>
    <s v="NA"/>
  </r>
  <r>
    <x v="1"/>
    <x v="2"/>
    <s v="Ssiderea028122"/>
    <m/>
    <n v="-2.9324389000000002"/>
    <n v="-3.9006596"/>
    <s v="Direct"/>
    <s v="NA"/>
  </r>
  <r>
    <x v="1"/>
    <x v="2"/>
    <s v="Ssiderea028142"/>
    <m/>
    <n v="-1.7185508"/>
    <n v="-1.8778827"/>
    <s v="Direct"/>
    <s v="rRNA-processing protein FCF1"/>
  </r>
  <r>
    <x v="1"/>
    <x v="2"/>
    <s v="Ssiderea028273"/>
    <m/>
    <n v="1.28275921"/>
    <n v="1.7732165799999999"/>
    <s v="Direct"/>
    <s v="hypochlorous acid biosynthetic process"/>
  </r>
  <r>
    <x v="1"/>
    <x v="2"/>
    <s v="Ssiderea028340"/>
    <m/>
    <n v="-1.7524903999999999"/>
    <n v="-2.7067494999999999"/>
    <s v="Direct"/>
    <s v="positive regulation of phosphorylation of RNA polymerase II C-terminal domain serine 2 residues"/>
  </r>
  <r>
    <x v="1"/>
    <x v="2"/>
    <s v="Ssiderea028362"/>
    <m/>
    <n v="-1.7368479999999999"/>
    <n v="-2.0671259000000002"/>
    <s v="Direct"/>
    <s v="WD repeat-containing protein 26"/>
  </r>
  <r>
    <x v="1"/>
    <x v="2"/>
    <s v="Ssiderea028433"/>
    <m/>
    <n v="2.1661296999999999"/>
    <n v="5.11934281"/>
    <s v="Direct"/>
    <s v="histone H2A K63-linked ubiquitination"/>
  </r>
  <r>
    <x v="1"/>
    <x v="2"/>
    <s v="Ssiderea028556"/>
    <m/>
    <n v="-2.0031883000000001"/>
    <n v="-1.5947252999999999"/>
    <s v="Direct"/>
    <s v="thioesterase binding"/>
  </r>
  <r>
    <x v="1"/>
    <x v="2"/>
    <s v="Ssiderea028731"/>
    <m/>
    <n v="-2.6901367999999999"/>
    <n v="-2.4545808"/>
    <s v="Direct"/>
    <s v="methylenetetrahydrofolate reductase (NAD(P)H) activity"/>
  </r>
  <r>
    <x v="1"/>
    <x v="2"/>
    <s v="Ssiderea029010"/>
    <m/>
    <n v="3.09164298"/>
    <n v="4.9928076099999998"/>
    <s v="Direct"/>
    <s v="NA"/>
  </r>
  <r>
    <x v="1"/>
    <x v="2"/>
    <s v="Ssiderea029118"/>
    <m/>
    <n v="-1.0041119000000001"/>
    <n v="-1.2221445"/>
    <s v="Direct"/>
    <s v="5'-3' exonuclease activity"/>
  </r>
  <r>
    <x v="1"/>
    <x v="2"/>
    <s v="Ssiderea029149"/>
    <m/>
    <n v="-1.4815853000000001"/>
    <n v="-2.7429779999999999"/>
    <s v="Direct"/>
    <s v="tetracycline transmembrane transporter activity"/>
  </r>
  <r>
    <x v="1"/>
    <x v="2"/>
    <s v="Ssiderea029169"/>
    <m/>
    <n v="4.4256791299999998"/>
    <n v="2.3655032600000001"/>
    <s v="Direct"/>
    <s v="serine-type endopeptidase activity"/>
  </r>
  <r>
    <x v="1"/>
    <x v="2"/>
    <s v="Ssiderea029220"/>
    <m/>
    <n v="-1.3612769"/>
    <n v="-2.2159570999999998"/>
    <s v="Direct"/>
    <s v="nuclear receptor transcription coactivator activity"/>
  </r>
  <r>
    <x v="1"/>
    <x v="2"/>
    <s v="Ssiderea029278"/>
    <m/>
    <n v="5.2742457099999998"/>
    <n v="2.46132792"/>
    <s v="Direct"/>
    <s v="NA"/>
  </r>
  <r>
    <x v="1"/>
    <x v="2"/>
    <s v="Ssiderea029316"/>
    <m/>
    <n v="4.1788427800000001"/>
    <n v="4.7506129000000001"/>
    <s v="Direct"/>
    <s v="protein polyubiquitination"/>
  </r>
  <r>
    <x v="1"/>
    <x v="2"/>
    <s v="Ssiderea029360"/>
    <m/>
    <n v="-2.7540423999999999"/>
    <n v="-2.0130599999999998"/>
    <s v="Direct"/>
    <s v="positive regulation of epithelial to mesenchymal transition"/>
  </r>
  <r>
    <x v="1"/>
    <x v="2"/>
    <s v="Ssiderea029361"/>
    <m/>
    <n v="-2.6819950000000001"/>
    <n v="-1.1703109"/>
    <s v="Direct"/>
    <s v="positive regulation of epithelial to mesenchymal transition"/>
  </r>
  <r>
    <x v="1"/>
    <x v="2"/>
    <s v="Ssiderea029402"/>
    <m/>
    <n v="-1.2465675000000001"/>
    <n v="-1.1020175999999999"/>
    <s v="Direct"/>
    <s v="plasma membrane repair"/>
  </r>
  <r>
    <x v="1"/>
    <x v="2"/>
    <s v="Ssiderea029404"/>
    <m/>
    <n v="-1.4736446999999999"/>
    <n v="-1.7438720000000001"/>
    <s v="Direct"/>
    <s v="plasma membrane repair"/>
  </r>
  <r>
    <x v="1"/>
    <x v="2"/>
    <s v="Ssiderea029477"/>
    <m/>
    <n v="-2.0278952000000001"/>
    <n v="-3.7999234999999998"/>
    <s v="Direct"/>
    <s v="negative regulation of hematopoietic stem cell differentiation"/>
  </r>
  <r>
    <x v="1"/>
    <x v="2"/>
    <s v="Ssiderea029508"/>
    <m/>
    <n v="1.1609920199999999"/>
    <n v="1.6079279500000001"/>
    <s v="Direct"/>
    <s v="podosome assembly"/>
  </r>
  <r>
    <x v="1"/>
    <x v="2"/>
    <s v="Ssiderea029551"/>
    <m/>
    <n v="1.24248132"/>
    <n v="2.6194747"/>
    <s v="Direct"/>
    <s v="NA"/>
  </r>
  <r>
    <x v="1"/>
    <x v="2"/>
    <s v="Ssiderea029552"/>
    <m/>
    <n v="5.4893763399999997"/>
    <n v="7.5922895300000004"/>
    <s v="Direct"/>
    <s v="Histidine phosphatase superfamily (branch 2)"/>
  </r>
  <r>
    <x v="1"/>
    <x v="2"/>
    <s v="Ssiderea029563"/>
    <m/>
    <n v="-6.7433328000000001"/>
    <n v="-9.6371833000000002"/>
    <s v="Direct"/>
    <s v="glucokinase activity"/>
  </r>
  <r>
    <x v="1"/>
    <x v="2"/>
    <s v="Ssiderea029588"/>
    <m/>
    <n v="-2.7238397999999999"/>
    <n v="-1.1378352"/>
    <s v="Direct"/>
    <s v="DNA binding"/>
  </r>
  <r>
    <x v="1"/>
    <x v="2"/>
    <s v="Ssiderea029648"/>
    <m/>
    <n v="1.93079903"/>
    <n v="1.55358606"/>
    <s v="Direct"/>
    <s v="NA"/>
  </r>
  <r>
    <x v="1"/>
    <x v="2"/>
    <s v="Ssiderea029708"/>
    <m/>
    <n v="3.5018199600000002"/>
    <n v="3.7489615500000002"/>
    <s v="Direct"/>
    <s v="Sequence-specific DNA binding. It is involved in the biological process described with regulation of transcription, DNA-templated"/>
  </r>
  <r>
    <x v="1"/>
    <x v="2"/>
    <s v="Ssiderea029805"/>
    <m/>
    <n v="5.6044748999999996"/>
    <n v="5.1671777499999996"/>
    <s v="Direct"/>
    <s v="NA"/>
  </r>
  <r>
    <x v="1"/>
    <x v="2"/>
    <s v="Ssiderea029809"/>
    <m/>
    <n v="2.4140220299999999"/>
    <n v="2.06552917"/>
    <s v="Direct"/>
    <s v="ephrin receptor activity"/>
  </r>
  <r>
    <x v="1"/>
    <x v="2"/>
    <s v="Ssiderea029811"/>
    <m/>
    <n v="-2.6562039999999998"/>
    <n v="-5.0996516999999999"/>
    <s v="Direct"/>
    <s v="unfolded protein binding"/>
  </r>
  <r>
    <x v="1"/>
    <x v="2"/>
    <s v="Ssiderea029846"/>
    <m/>
    <n v="2.8178960100000001"/>
    <n v="1.9981776899999999"/>
    <s v="Direct"/>
    <s v="Cupin-like domain"/>
  </r>
  <r>
    <x v="1"/>
    <x v="2"/>
    <s v="Ssiderea029881"/>
    <m/>
    <n v="1.2076361799999999"/>
    <n v="1.2455210999999999"/>
    <s v="Direct"/>
    <s v="tumor protein"/>
  </r>
  <r>
    <x v="1"/>
    <x v="2"/>
    <s v="Ssiderea029933"/>
    <m/>
    <n v="1.3683153100000001"/>
    <n v="1.8206420299999999"/>
    <s v="Direct"/>
    <s v="NA"/>
  </r>
  <r>
    <x v="1"/>
    <x v="2"/>
    <s v="Ssiderea029956"/>
    <m/>
    <n v="-1.0650324"/>
    <n v="-4.3495254000000001"/>
    <s v="Direct"/>
    <s v="organic anion transmembrane transporter activity"/>
  </r>
  <r>
    <x v="1"/>
    <x v="2"/>
    <s v="Ssiderea029957"/>
    <m/>
    <n v="1.49921959"/>
    <n v="1.4089124399999999"/>
    <s v="Direct"/>
    <s v="NA"/>
  </r>
  <r>
    <x v="1"/>
    <x v="2"/>
    <s v="Ssiderea030001"/>
    <m/>
    <n v="-1.3112645999999999"/>
    <n v="-1.2718109"/>
    <s v="Direct"/>
    <s v="Galactosyltransferase"/>
  </r>
  <r>
    <x v="1"/>
    <x v="2"/>
    <s v="Ssiderea030049"/>
    <m/>
    <n v="-18.977264000000002"/>
    <n v="-23.040637"/>
    <s v="Direct"/>
    <s v="Initiation factor 5a"/>
  </r>
  <r>
    <x v="1"/>
    <x v="2"/>
    <s v="Ssiderea030069"/>
    <m/>
    <n v="2.0881954999999999"/>
    <n v="2.29179179"/>
    <s v="Direct"/>
    <s v="phosphopyruvate hydratase activity"/>
  </r>
  <r>
    <x v="1"/>
    <x v="2"/>
    <s v="Ssiderea030127"/>
    <m/>
    <n v="-2.1326101999999998"/>
    <n v="-1.4130883000000001"/>
    <s v="Direct"/>
    <s v="Ubiquitin carboxyl-terminal hydrolase 48"/>
  </r>
  <r>
    <x v="1"/>
    <x v="2"/>
    <s v="Ssiderea030143"/>
    <m/>
    <n v="2.1899933100000002"/>
    <n v="2.1262220200000002"/>
    <s v="Direct"/>
    <s v="NA"/>
  </r>
  <r>
    <x v="1"/>
    <x v="2"/>
    <s v="Ssiderea030239"/>
    <m/>
    <n v="1.6493713000000001"/>
    <n v="1.9411704000000001"/>
    <s v="Direct"/>
    <s v="NA"/>
  </r>
  <r>
    <x v="1"/>
    <x v="2"/>
    <s v="Ssiderea030261"/>
    <m/>
    <n v="2.17390902"/>
    <n v="3.3163653599999998"/>
    <s v="Direct"/>
    <s v="NA"/>
  </r>
  <r>
    <x v="1"/>
    <x v="2"/>
    <s v="Ssiderea030302"/>
    <m/>
    <n v="-1.3244176000000001"/>
    <n v="-3.0027398000000001"/>
    <s v="Direct"/>
    <s v="Folate receptor family"/>
  </r>
  <r>
    <x v="1"/>
    <x v="2"/>
    <s v="Ssiderea030387"/>
    <m/>
    <n v="1.06064577"/>
    <n v="1.1545330600000001"/>
    <s v="Direct"/>
    <s v="protein polyubiquitination"/>
  </r>
  <r>
    <x v="1"/>
    <x v="2"/>
    <s v="Ssiderea030391"/>
    <m/>
    <n v="-1.563912"/>
    <n v="-3.3284672"/>
    <s v="Direct"/>
    <s v="Metalloendopeptidase activity. It is involved in the biological process described with proteolysis"/>
  </r>
  <r>
    <x v="1"/>
    <x v="2"/>
    <s v="Ssiderea030492"/>
    <m/>
    <n v="4.8169110899999996"/>
    <n v="3.1528880199999998"/>
    <s v="Direct"/>
    <s v="ephrin receptor activity"/>
  </r>
  <r>
    <x v="1"/>
    <x v="2"/>
    <s v="Ssiderea030902"/>
    <m/>
    <n v="-1.4908262999999999"/>
    <n v="-1.8062955999999999"/>
    <s v="Direct"/>
    <s v="oligosaccharide binding"/>
  </r>
  <r>
    <x v="1"/>
    <x v="2"/>
    <s v="Ssiderea031312"/>
    <m/>
    <n v="-2.0238564999999999"/>
    <n v="-3.0922426000000001"/>
    <s v="Direct"/>
    <s v="peroxidase activity"/>
  </r>
  <r>
    <x v="1"/>
    <x v="2"/>
    <s v="Ssiderea031371"/>
    <m/>
    <n v="3.1659109000000001"/>
    <n v="1.89350665"/>
    <s v="Direct"/>
    <s v="Leucine-rich repeat"/>
  </r>
  <r>
    <x v="1"/>
    <x v="2"/>
    <s v="Ssiderea031406"/>
    <m/>
    <n v="1.2384293099999999"/>
    <n v="1.20057345"/>
    <s v="Direct"/>
    <s v="NA"/>
  </r>
  <r>
    <x v="1"/>
    <x v="2"/>
    <s v="Ssiderea031427"/>
    <m/>
    <n v="-5.5942540999999997"/>
    <n v="-5.3004008999999996"/>
    <s v="Direct"/>
    <s v="NA"/>
  </r>
  <r>
    <x v="1"/>
    <x v="2"/>
    <s v="Ssiderea031430"/>
    <m/>
    <n v="-2.8776177000000001"/>
    <n v="-5.3829510999999997"/>
    <s v="Direct"/>
    <s v="NA"/>
  </r>
  <r>
    <x v="1"/>
    <x v="2"/>
    <s v="Ssiderea031474"/>
    <m/>
    <n v="4.2237668199999998"/>
    <n v="3.76553972"/>
    <s v="Direct"/>
    <s v="NA"/>
  </r>
  <r>
    <x v="1"/>
    <x v="2"/>
    <s v="Ssiderea031482"/>
    <m/>
    <n v="1.7573682399999999"/>
    <n v="1.80673156"/>
    <s v="Direct"/>
    <s v="It is involved in the biological process described with"/>
  </r>
  <r>
    <x v="1"/>
    <x v="2"/>
    <s v="Ssiderea031519"/>
    <m/>
    <n v="-1.4975721"/>
    <n v="-2.2240479999999998"/>
    <s v="Direct"/>
    <s v="Src homology 3 domains"/>
  </r>
  <r>
    <x v="1"/>
    <x v="2"/>
    <s v="Ssiderea031598"/>
    <m/>
    <n v="13.439522800000001"/>
    <n v="22.007008200000001"/>
    <s v="Direct"/>
    <s v="Egl-9 family hypoxia-inducible factor"/>
  </r>
  <r>
    <x v="1"/>
    <x v="2"/>
    <s v="Ssiderea031617"/>
    <m/>
    <n v="-2.4099151999999999"/>
    <n v="-2.2816966999999999"/>
    <s v="Direct"/>
    <s v="WAP four-disulfide core domain"/>
  </r>
  <r>
    <x v="1"/>
    <x v="2"/>
    <s v="Ssiderea031825"/>
    <m/>
    <n v="2.00291576"/>
    <n v="1.4539663899999999"/>
    <s v="Direct"/>
    <s v="viral capsid secondary envelopment"/>
  </r>
  <r>
    <x v="1"/>
    <x v="2"/>
    <s v="Ssiderea031835"/>
    <m/>
    <n v="-1.2872241"/>
    <n v="-1.8966653"/>
    <s v="Direct"/>
    <s v="prolyl-tRNA aminoacylation"/>
  </r>
  <r>
    <x v="1"/>
    <x v="2"/>
    <s v="Ssiderea031836"/>
    <m/>
    <n v="-1.0046413000000001"/>
    <n v="-1.1082088000000001"/>
    <s v="Direct"/>
    <s v="NA"/>
  </r>
  <r>
    <x v="1"/>
    <x v="2"/>
    <s v="Ssiderea031857"/>
    <m/>
    <n v="3.7287123200000001"/>
    <n v="4.98359459"/>
    <s v="Direct"/>
    <s v="NA"/>
  </r>
  <r>
    <x v="1"/>
    <x v="2"/>
    <s v="Ssiderea031880"/>
    <m/>
    <n v="-1.6231982"/>
    <n v="-1.0733716"/>
    <s v="Direct"/>
    <s v="YLP motif-containing protein 1"/>
  </r>
  <r>
    <x v="1"/>
    <x v="2"/>
    <s v="Ssiderea031960"/>
    <m/>
    <n v="9.4550382499999994"/>
    <n v="9.7820974799999991"/>
    <s v="Direct"/>
    <s v="myosin light chain kinase activity"/>
  </r>
  <r>
    <x v="1"/>
    <x v="2"/>
    <s v="Ssiderea032140"/>
    <m/>
    <n v="-1.4249598000000001"/>
    <n v="-1.1432095"/>
    <s v="Direct"/>
    <s v="NA"/>
  </r>
  <r>
    <x v="1"/>
    <x v="2"/>
    <s v="Ssiderea032157"/>
    <m/>
    <n v="-1.2823228"/>
    <n v="-1.8928461000000001"/>
    <s v="Direct"/>
    <s v="NA"/>
  </r>
  <r>
    <x v="1"/>
    <x v="2"/>
    <s v="Ssiderea032236"/>
    <m/>
    <n v="-6.1293803000000002"/>
    <n v="-6.3658824000000003"/>
    <s v="Direct"/>
    <s v="NA"/>
  </r>
  <r>
    <x v="1"/>
    <x v="2"/>
    <s v="Ssiderea032248"/>
    <m/>
    <n v="-11.371378999999999"/>
    <n v="-8.6356271000000007"/>
    <s v="Direct"/>
    <s v="steroid hormone receptor activity"/>
  </r>
  <r>
    <x v="1"/>
    <x v="2"/>
    <s v="Ssiderea032249"/>
    <m/>
    <n v="-3.0617849000000001"/>
    <n v="-3.6343244000000001"/>
    <s v="Direct"/>
    <s v="steroid hormone receptor activity"/>
  </r>
  <r>
    <x v="1"/>
    <x v="2"/>
    <s v="Ssiderea032369"/>
    <m/>
    <n v="2.18780515"/>
    <n v="1.9150866200000001"/>
    <s v="Direct"/>
    <s v="system process"/>
  </r>
  <r>
    <x v="1"/>
    <x v="2"/>
    <s v="Ssiderea032529"/>
    <m/>
    <n v="-7.3004946999999998"/>
    <n v="-2.8100065999999999"/>
    <s v="Direct"/>
    <s v="Tumor necrosis factor receptor superfamily member"/>
  </r>
  <r>
    <x v="1"/>
    <x v="2"/>
    <s v="Ssiderea032615"/>
    <m/>
    <n v="3.4498791199999999"/>
    <n v="2.7286284900000002"/>
    <s v="Direct"/>
    <s v="NA"/>
  </r>
  <r>
    <x v="1"/>
    <x v="2"/>
    <s v="Ssiderea032880"/>
    <m/>
    <n v="1.8186036699999999"/>
    <n v="2.8815692799999999"/>
    <s v="Direct"/>
    <s v="aldehyde dehydrogenase (NAD) activity"/>
  </r>
  <r>
    <x v="1"/>
    <x v="2"/>
    <s v="Ssiderea032889"/>
    <m/>
    <n v="2.2684436699999999"/>
    <n v="1.04077435"/>
    <s v="Direct"/>
    <s v="NA"/>
  </r>
  <r>
    <x v="1"/>
    <x v="2"/>
    <s v="Ssiderea032912"/>
    <m/>
    <n v="-5.4065960000000004"/>
    <n v="-7.2305524999999999"/>
    <s v="Direct"/>
    <s v="Elongation factor"/>
  </r>
  <r>
    <x v="1"/>
    <x v="2"/>
    <s v="Ssiderea032941"/>
    <m/>
    <n v="1.75269527"/>
    <n v="1.10795022"/>
    <s v="Direct"/>
    <s v="Failed axon connections homolog"/>
  </r>
  <r>
    <x v="1"/>
    <x v="2"/>
    <s v="Ssiderea033069"/>
    <m/>
    <n v="1.9126437700000001"/>
    <n v="1.5867707200000001"/>
    <s v="Direct"/>
    <s v="Excises uracil residues from the DNA which can arise as a result of misincorporation of dUMP residues by DNA polymerase or due to deamination of cytosine"/>
  </r>
  <r>
    <x v="1"/>
    <x v="2"/>
    <s v="Ssiderea033119"/>
    <m/>
    <n v="1.5602770100000001"/>
    <n v="1.2098175799999999"/>
    <s v="Direct"/>
    <s v="NA"/>
  </r>
  <r>
    <x v="1"/>
    <x v="2"/>
    <s v="Ssiderea033121"/>
    <m/>
    <n v="1.79465846"/>
    <n v="2.1262220200000002"/>
    <s v="Direct"/>
    <s v="NA"/>
  </r>
  <r>
    <x v="1"/>
    <x v="2"/>
    <s v="Ssiderea033133"/>
    <m/>
    <n v="-5.4809429999999999"/>
    <n v="-2.3642726000000001"/>
    <s v="Direct"/>
    <s v="NA"/>
  </r>
  <r>
    <x v="1"/>
    <x v="2"/>
    <s v="Ssiderea033146"/>
    <m/>
    <n v="-2.1661296999999999"/>
    <n v="-1.6081941"/>
    <s v="Direct"/>
    <s v="hematopoietic progenitor cell differentiation"/>
  </r>
  <r>
    <x v="1"/>
    <x v="2"/>
    <s v="Ssiderea033171"/>
    <m/>
    <n v="-2.5778512999999998"/>
    <n v="-1.3258174"/>
    <s v="Direct"/>
    <s v="nuclear-transcribed mRNA catabolic process"/>
  </r>
  <r>
    <x v="1"/>
    <x v="2"/>
    <s v="Ssiderea033173"/>
    <m/>
    <n v="-3.2486033999999999"/>
    <n v="-3.4482434"/>
    <s v="Direct"/>
    <s v="EGF domain"/>
  </r>
  <r>
    <x v="1"/>
    <x v="2"/>
    <s v="Ssiderea033177"/>
    <m/>
    <n v="-1.9860685"/>
    <n v="-1.7422801999999999"/>
    <s v="Direct"/>
    <s v="NA"/>
  </r>
  <r>
    <x v="1"/>
    <x v="2"/>
    <s v="Ssiderea033187"/>
    <m/>
    <n v="-1.0368162000000001"/>
    <n v="-1.8851015"/>
    <s v="Direct"/>
    <s v="ER membrane protein complex subunit"/>
  </r>
  <r>
    <x v="1"/>
    <x v="2"/>
    <s v="Ssiderea033216"/>
    <m/>
    <n v="-1.2940699"/>
    <n v="-2.1932806"/>
    <s v="Direct"/>
    <s v="mitochondrial DNA replication"/>
  </r>
  <r>
    <x v="1"/>
    <x v="2"/>
    <s v="Ssiderea033217"/>
    <m/>
    <n v="-1.3097352"/>
    <n v="-3.6242795000000001"/>
    <s v="Direct"/>
    <s v="Asparaginyl-tRNA synthetase"/>
  </r>
  <r>
    <x v="1"/>
    <x v="2"/>
    <s v="Ssiderea033231"/>
    <m/>
    <n v="-2.9365228999999999"/>
    <n v="-4.1167144000000002"/>
    <s v="Direct"/>
    <s v="MAP kinase activity"/>
  </r>
  <r>
    <x v="1"/>
    <x v="2"/>
    <s v="Ssiderea033246"/>
    <m/>
    <n v="2.3929398100000001"/>
    <n v="1.05804258"/>
    <s v="Direct"/>
    <s v="RNA processing"/>
  </r>
  <r>
    <x v="1"/>
    <x v="2"/>
    <s v="Ssiderea033268"/>
    <m/>
    <n v="-5.6309158000000004"/>
    <n v="-3.5507616"/>
    <s v="Direct"/>
    <s v="NA"/>
  </r>
  <r>
    <x v="1"/>
    <x v="2"/>
    <s v="Ssiderea033368"/>
    <m/>
    <n v="-3.6610314000000002"/>
    <n v="-5.1330926000000003"/>
    <s v="Direct"/>
    <s v="Ceramide synthase"/>
  </r>
  <r>
    <x v="1"/>
    <x v="2"/>
    <s v="Ssiderea033439"/>
    <m/>
    <n v="6.2195095699999996"/>
    <n v="3.4329146100000001"/>
    <s v="Direct"/>
    <s v="neuronal cell adhesion molecule"/>
  </r>
  <r>
    <x v="1"/>
    <x v="2"/>
    <s v="Ssiderea033464"/>
    <m/>
    <n v="-3.6613549999999999"/>
    <n v="-4.6553297000000002"/>
    <s v="Direct"/>
    <s v="sodium-dependent L-ascorbate transmembrane transporter activity"/>
  </r>
  <r>
    <x v="1"/>
    <x v="2"/>
    <s v="Ssiderea033478"/>
    <m/>
    <n v="7.46901701"/>
    <n v="9.2039410400000001"/>
    <s v="Direct"/>
    <s v="Universal stress protein family"/>
  </r>
  <r>
    <x v="1"/>
    <x v="2"/>
    <s v="Ssiderea033479"/>
    <m/>
    <n v="5.2101058800000004"/>
    <n v="6.9046397099999997"/>
    <s v="Direct"/>
    <s v="NA"/>
  </r>
  <r>
    <x v="1"/>
    <x v="2"/>
    <s v="Ssiderea033484"/>
    <m/>
    <n v="1.61502933"/>
    <n v="6.5649333299999997"/>
    <s v="Direct"/>
    <s v="NA"/>
  </r>
  <r>
    <x v="1"/>
    <x v="2"/>
    <s v="Ssiderea033487"/>
    <m/>
    <n v="4.2668566400000003"/>
    <n v="6.2735431400000001"/>
    <s v="Direct"/>
    <s v="NA"/>
  </r>
  <r>
    <x v="1"/>
    <x v="2"/>
    <s v="Ssiderea033489"/>
    <m/>
    <n v="2.5204259699999998"/>
    <n v="3.49009641"/>
    <s v="Direct"/>
    <s v="NA"/>
  </r>
  <r>
    <x v="1"/>
    <x v="2"/>
    <s v="Ssiderea033514"/>
    <m/>
    <n v="-8.8936945999999999"/>
    <n v="-14.691401000000001"/>
    <s v="Direct"/>
    <s v="Sodium-dependent phosphate transport protein"/>
  </r>
  <r>
    <x v="1"/>
    <x v="2"/>
    <s v="Ssiderea033602"/>
    <m/>
    <n v="1.26695428"/>
    <n v="2.1665515599999998"/>
    <s v="Direct"/>
    <s v="beta-galactosidase activity"/>
  </r>
  <r>
    <x v="1"/>
    <x v="2"/>
    <s v="Ssiderea033625"/>
    <m/>
    <n v="1.9186501899999999"/>
    <n v="3.71699058"/>
    <s v="Direct"/>
    <s v="NA"/>
  </r>
  <r>
    <x v="1"/>
    <x v="2"/>
    <s v="Ssiderea033626"/>
    <m/>
    <n v="1.4888713200000001"/>
    <n v="1.7543920799999999"/>
    <s v="Direct"/>
    <s v="NA"/>
  </r>
  <r>
    <x v="1"/>
    <x v="2"/>
    <s v="Ssiderea033647"/>
    <m/>
    <n v="2.2997277399999998"/>
    <n v="2.2617304499999999"/>
    <s v="Direct"/>
    <s v="NA"/>
  </r>
  <r>
    <x v="1"/>
    <x v="2"/>
    <s v="Ssiderea033671"/>
    <m/>
    <n v="11.228177199999999"/>
    <n v="11.9160837"/>
    <s v="Direct"/>
    <s v="NA"/>
  </r>
  <r>
    <x v="1"/>
    <x v="2"/>
    <s v="Ssiderea033675"/>
    <m/>
    <n v="12.0092263"/>
    <n v="14.7553904"/>
    <s v="Direct"/>
    <s v="NA"/>
  </r>
  <r>
    <x v="1"/>
    <x v="2"/>
    <s v="Ssiderea033678"/>
    <m/>
    <n v="2.8322729999999998"/>
    <n v="3.3182302300000002"/>
    <s v="Direct"/>
    <s v="NA"/>
  </r>
  <r>
    <x v="1"/>
    <x v="2"/>
    <s v="Ssiderea033860"/>
    <m/>
    <n v="-1.1542439"/>
    <n v="-1.9620522"/>
    <s v="Direct"/>
    <s v="SWI SNF related, matrix associated, actin dependent regulator of chromatin, subfamily c, member"/>
  </r>
  <r>
    <x v="1"/>
    <x v="2"/>
    <s v="Ssiderea033867"/>
    <m/>
    <n v="3.4686076899999998"/>
    <n v="7.16339901"/>
    <s v="Direct"/>
    <s v="NA"/>
  </r>
  <r>
    <x v="1"/>
    <x v="2"/>
    <s v="Ssiderea033884"/>
    <m/>
    <n v="3.0216344500000001"/>
    <n v="2.3642726000000001"/>
    <s v="Direct"/>
    <s v="NA"/>
  </r>
  <r>
    <x v="1"/>
    <x v="2"/>
    <s v="Ssiderea033969"/>
    <m/>
    <n v="-1.9987055"/>
    <n v="-1.4018010000000001"/>
    <s v="Direct"/>
    <s v="Granulin"/>
  </r>
  <r>
    <x v="1"/>
    <x v="2"/>
    <s v="Ssiderea034011"/>
    <m/>
    <n v="2.1738736099999998"/>
    <n v="1.8502858"/>
    <s v="Direct"/>
    <s v="Pleckstrin homology domain."/>
  </r>
  <r>
    <x v="1"/>
    <x v="2"/>
    <s v="Ssiderea034035"/>
    <m/>
    <n v="-3.4581154000000001"/>
    <n v="-10.961378"/>
    <s v="Direct"/>
    <s v="Iron-binding zinc finger CDGSH type"/>
  </r>
  <r>
    <x v="1"/>
    <x v="2"/>
    <s v="Ssiderea034040"/>
    <m/>
    <n v="-4.8454459999999999"/>
    <n v="-4.5198543000000004"/>
    <s v="Direct"/>
    <s v="scavenger receptor activity"/>
  </r>
  <r>
    <x v="1"/>
    <x v="2"/>
    <s v="Ssiderea034041"/>
    <m/>
    <n v="-1.8119845000000001"/>
    <n v="-4.6976895000000001"/>
    <s v="Direct"/>
    <s v="Melanocortin 4 receptor"/>
  </r>
  <r>
    <x v="1"/>
    <x v="2"/>
    <s v="Ssiderea034084"/>
    <m/>
    <n v="1.0270848800000001"/>
    <n v="1.20771969"/>
    <s v="Direct"/>
    <s v="NACHT domain"/>
  </r>
  <r>
    <x v="1"/>
    <x v="2"/>
    <s v="Ssiderea034094"/>
    <m/>
    <n v="-2.9075074999999999"/>
    <n v="-4.4659528999999996"/>
    <s v="Direct"/>
    <s v="adenyl-nucleotide exchange factor activity"/>
  </r>
  <r>
    <x v="1"/>
    <x v="2"/>
    <s v="Ssiderea034106"/>
    <m/>
    <n v="2.8878401600000001"/>
    <n v="4.6312614999999999"/>
    <s v="Direct"/>
    <s v="NA"/>
  </r>
  <r>
    <x v="1"/>
    <x v="2"/>
    <s v="Ssiderea034143"/>
    <m/>
    <n v="3.11333905"/>
    <n v="1.9564915700000001"/>
    <s v="Direct"/>
    <s v="NA"/>
  </r>
  <r>
    <x v="1"/>
    <x v="2"/>
    <s v="Ssiderea034174"/>
    <m/>
    <n v="1.2042697499999999"/>
    <n v="1.8390778400000001"/>
    <s v="Direct"/>
    <s v="collagen"/>
  </r>
  <r>
    <x v="1"/>
    <x v="2"/>
    <s v="Ssiderea034260"/>
    <m/>
    <n v="2.2049899000000002"/>
    <n v="2.7430358899999998"/>
    <s v="Direct"/>
    <s v="NA"/>
  </r>
  <r>
    <x v="1"/>
    <x v="2"/>
    <s v="Ssiderea034370"/>
    <m/>
    <n v="-2.3890208999999998"/>
    <n v="-1.8195764999999999"/>
    <s v="Direct"/>
    <s v="Sugar transporter"/>
  </r>
  <r>
    <x v="1"/>
    <x v="2"/>
    <s v="Ssiderea034389"/>
    <m/>
    <n v="1.32681593"/>
    <n v="1.1020175800000001"/>
    <s v="Direct"/>
    <s v="NA"/>
  </r>
  <r>
    <x v="1"/>
    <x v="2"/>
    <s v="Ssiderea034395"/>
    <m/>
    <n v="1.2475930900000001"/>
    <n v="2.0671259399999999"/>
    <s v="Direct"/>
    <s v="carbohydrate binding"/>
  </r>
  <r>
    <x v="1"/>
    <x v="2"/>
    <s v="Ssiderea034404"/>
    <m/>
    <n v="1.1006249699999999"/>
    <n v="1.3685020800000001"/>
    <s v="Direct"/>
    <s v="carbohydrate binding"/>
  </r>
  <r>
    <x v="1"/>
    <x v="2"/>
    <s v="Ssiderea034405"/>
    <m/>
    <n v="1.2090028500000001"/>
    <n v="1.16889311"/>
    <s v="Direct"/>
    <s v="carbohydrate binding"/>
  </r>
  <r>
    <x v="1"/>
    <x v="2"/>
    <s v="Ssiderea034409"/>
    <m/>
    <n v="1.1287868999999999"/>
    <n v="1.7798382699999999"/>
    <s v="Direct"/>
    <s v="carbohydrate binding"/>
  </r>
  <r>
    <x v="1"/>
    <x v="2"/>
    <s v="Ssiderea034455"/>
    <m/>
    <n v="-2.4244435000000002"/>
    <n v="-3.1810727000000001"/>
    <s v="Direct"/>
    <s v="NA"/>
  </r>
  <r>
    <x v="1"/>
    <x v="2"/>
    <s v="Ssiderea034482"/>
    <m/>
    <n v="2.7272063000000002"/>
    <n v="1.2093915200000001"/>
    <s v="Direct"/>
    <s v="mannose binding"/>
  </r>
  <r>
    <x v="1"/>
    <x v="2"/>
    <s v="Ssiderea034505"/>
    <m/>
    <n v="3.93958685"/>
    <n v="3.3303308999999999"/>
    <s v="Direct"/>
    <s v="NA"/>
  </r>
  <r>
    <x v="1"/>
    <x v="2"/>
    <s v="Ssiderea034719"/>
    <m/>
    <n v="-2.4759397999999999"/>
    <n v="-1.8023716999999999"/>
    <s v="Direct"/>
    <s v="purine-rich negative regulatory element binding"/>
  </r>
  <r>
    <x v="1"/>
    <x v="2"/>
    <s v="Ssiderea034786"/>
    <m/>
    <n v="2.8185402399999999"/>
    <n v="3.1852265499999999"/>
    <s v="Direct"/>
    <s v="Filamin C, gamma"/>
  </r>
  <r>
    <x v="1"/>
    <x v="2"/>
    <s v="Ssiderea034815"/>
    <m/>
    <n v="-4.2914164000000001"/>
    <n v="-3.7783514"/>
    <s v="Direct"/>
    <s v="medium-chain-acyl-CoA dehydrogenase activity"/>
  </r>
  <r>
    <x v="1"/>
    <x v="2"/>
    <s v="Ssiderea034867"/>
    <m/>
    <n v="3.3143464699999998"/>
    <n v="2.0652331099999999"/>
    <s v="Direct"/>
    <s v="NA"/>
  </r>
  <r>
    <x v="1"/>
    <x v="2"/>
    <s v="Ssiderea034877"/>
    <m/>
    <n v="1.4453441600000001"/>
    <n v="1.65851441"/>
    <s v="Direct"/>
    <s v="Transcriptional regulatory protein LGE1"/>
  </r>
  <r>
    <x v="1"/>
    <x v="2"/>
    <s v="Ssiderea034880"/>
    <m/>
    <n v="-1.0005059999999999"/>
    <n v="-1.9424379000000001"/>
    <s v="Direct"/>
    <s v="Amnionless"/>
  </r>
  <r>
    <x v="1"/>
    <x v="2"/>
    <s v="Ssiderea034936"/>
    <m/>
    <n v="-3.0783700999999999"/>
    <n v="-2.8765548999999999"/>
    <s v="Direct"/>
    <s v="Cell adhesion molecule"/>
  </r>
  <r>
    <x v="1"/>
    <x v="2"/>
    <s v="Ssiderea034950"/>
    <m/>
    <n v="1.0017492400000001"/>
    <n v="1.82471782"/>
    <s v="Direct"/>
    <s v="NA"/>
  </r>
  <r>
    <x v="1"/>
    <x v="2"/>
    <s v="Ssiderea034954"/>
    <m/>
    <n v="1.30833515"/>
    <n v="1.1020175800000001"/>
    <s v="Direct"/>
    <s v="NA"/>
  </r>
  <r>
    <x v="1"/>
    <x v="2"/>
    <s v="Ssiderea034970"/>
    <m/>
    <n v="-1.2283607999999999"/>
    <n v="-1.2783348000000001"/>
    <s v="Direct"/>
    <s v="complement activation, lectin pathway"/>
  </r>
  <r>
    <x v="1"/>
    <x v="2"/>
    <s v="Ssiderea035016"/>
    <m/>
    <n v="1.0551128000000001"/>
    <n v="1.04601451"/>
    <s v="Direct"/>
    <s v="Forkhead associated domain"/>
  </r>
  <r>
    <x v="1"/>
    <x v="2"/>
    <s v="Ssiderea035051"/>
    <m/>
    <n v="1.6582484799999999"/>
    <n v="2.0765412699999999"/>
    <s v="Direct"/>
    <s v="NA"/>
  </r>
  <r>
    <x v="1"/>
    <x v="2"/>
    <s v="Ssiderea035100"/>
    <m/>
    <n v="6.3355356900000004"/>
    <n v="7.4739145599999999"/>
    <s v="Direct"/>
    <s v="serine-type endopeptidase activity"/>
  </r>
  <r>
    <x v="1"/>
    <x v="2"/>
    <s v="Ssiderea035159"/>
    <m/>
    <n v="-2.3369678999999999"/>
    <n v="-1.6337659"/>
    <s v="Direct"/>
    <s v="histone demethylase activity (H3-monomethyl-K4 specific)"/>
  </r>
  <r>
    <x v="1"/>
    <x v="2"/>
    <s v="Ssiderea035170"/>
    <m/>
    <n v="-2.558227"/>
    <n v="-6.5609368000000003"/>
    <s v="Direct"/>
    <s v="2Fe-2S iron-sulfur cluster binding domain"/>
  </r>
  <r>
    <x v="1"/>
    <x v="2"/>
    <s v="Ssiderea035298"/>
    <m/>
    <n v="2.0008393099999999"/>
    <n v="2.6998126899999999"/>
    <s v="Direct"/>
    <s v="Protein tyrosine kinase"/>
  </r>
  <r>
    <x v="1"/>
    <x v="2"/>
    <s v="Ssiderea035306"/>
    <m/>
    <n v="1.9517161000000001"/>
    <n v="1.17628793"/>
    <s v="Direct"/>
    <s v="PTK6 protein tyrosine kinase"/>
  </r>
  <r>
    <x v="1"/>
    <x v="2"/>
    <s v="Ssiderea035374"/>
    <m/>
    <n v="3.66680378"/>
    <n v="3.94319826"/>
    <s v="Direct"/>
    <s v="fibroblast growth factor-activated receptor activity"/>
  </r>
  <r>
    <x v="1"/>
    <x v="2"/>
    <s v="Ssiderea035390"/>
    <m/>
    <n v="1.1047923500000001"/>
    <n v="1.6996148499999999"/>
    <s v="Direct"/>
    <s v="nutrient reservoir activity"/>
  </r>
  <r>
    <x v="1"/>
    <x v="2"/>
    <s v="Ssiderea035401"/>
    <m/>
    <n v="2.5061210799999998"/>
    <n v="1.9073295800000001"/>
    <s v="Direct"/>
    <s v="NA"/>
  </r>
  <r>
    <x v="1"/>
    <x v="2"/>
    <s v="Ssiderea035462"/>
    <m/>
    <n v="1.62837878"/>
    <n v="1.1991302699999999"/>
    <s v="Direct"/>
    <s v="NA"/>
  </r>
  <r>
    <x v="1"/>
    <x v="2"/>
    <s v="Ssiderea035505"/>
    <m/>
    <n v="2.3344818900000002"/>
    <n v="4.5100409900000002"/>
    <s v="Direct"/>
    <s v="NA"/>
  </r>
  <r>
    <x v="1"/>
    <x v="2"/>
    <s v="Ssiderea035529"/>
    <m/>
    <n v="-1.7473844000000001"/>
    <n v="-2.9449193"/>
    <s v="Direct"/>
    <s v="glutamine biosynthetic process"/>
  </r>
  <r>
    <x v="1"/>
    <x v="2"/>
    <s v="Ssiderea035532"/>
    <m/>
    <n v="2.6892970699999998"/>
    <n v="3.3168943299999998"/>
    <s v="Direct"/>
    <s v="glutamine biosynthetic process"/>
  </r>
  <r>
    <x v="1"/>
    <x v="2"/>
    <s v="Ssiderea035545"/>
    <m/>
    <n v="-4.1314590000000004"/>
    <n v="-2.6520598999999998"/>
    <s v="Direct"/>
    <s v="Methyltransferase domain"/>
  </r>
  <r>
    <x v="1"/>
    <x v="2"/>
    <s v="Ssiderea035570"/>
    <m/>
    <n v="-1.1398458"/>
    <n v="-1.8815512999999999"/>
    <s v="Direct"/>
    <s v="Cytochrome P450, family 46, subfamily A, polypeptide"/>
  </r>
  <r>
    <x v="1"/>
    <x v="2"/>
    <s v="Ssiderea035576"/>
    <m/>
    <n v="-1.3357336"/>
    <n v="-2.7073312"/>
    <s v="Direct"/>
    <s v="Cupin-like domain"/>
  </r>
  <r>
    <x v="1"/>
    <x v="2"/>
    <s v="Ssiderea035585"/>
    <m/>
    <n v="-1.0404203999999999"/>
    <n v="-2.4165703000000001"/>
    <s v="Direct"/>
    <s v="respiratory chain complex III assembly"/>
  </r>
  <r>
    <x v="1"/>
    <x v="2"/>
    <s v="Ssiderea035587"/>
    <m/>
    <n v="1.13864071"/>
    <n v="1.03867887"/>
    <s v="Direct"/>
    <s v="HCLS1 binding protein 3"/>
  </r>
  <r>
    <x v="1"/>
    <x v="2"/>
    <s v="Ssiderea035653"/>
    <m/>
    <n v="-1.2997019999999999"/>
    <n v="-2.8233503999999998"/>
    <s v="Direct"/>
    <s v="guanine nucleotide exchange factor 1"/>
  </r>
  <r>
    <x v="1"/>
    <x v="2"/>
    <s v="Ssiderea035673"/>
    <m/>
    <n v="1.2027238099999999"/>
    <n v="1.2297382800000001"/>
    <s v="Direct"/>
    <s v="mitochondrial transport"/>
  </r>
  <r>
    <x v="1"/>
    <x v="2"/>
    <s v="Ssiderea035689"/>
    <m/>
    <n v="1.70642903"/>
    <n v="1.78384331"/>
    <s v="Direct"/>
    <s v="NA"/>
  </r>
  <r>
    <x v="1"/>
    <x v="2"/>
    <s v="Ssiderea035697"/>
    <m/>
    <n v="-1.0822153999999999"/>
    <n v="-1.2091000000000001"/>
    <s v="Direct"/>
    <s v="methylcrotonoyl-Coenzyme A carboxylase 2 (beta)"/>
  </r>
  <r>
    <x v="1"/>
    <x v="2"/>
    <s v="Ssiderea035714"/>
    <m/>
    <n v="2.5891031"/>
    <n v="2.7286585900000002"/>
    <s v="Direct"/>
    <s v="NA"/>
  </r>
  <r>
    <x v="1"/>
    <x v="2"/>
    <s v="Ssiderea035804"/>
    <m/>
    <n v="-1.4261401"/>
    <n v="-3.3011876999999998"/>
    <s v="Direct"/>
    <s v="NA"/>
  </r>
  <r>
    <x v="1"/>
    <x v="2"/>
    <s v="Ssiderea035890"/>
    <m/>
    <n v="1.5027451999999999"/>
    <n v="1.4513752799999999"/>
    <s v="Direct"/>
    <s v="NA"/>
  </r>
  <r>
    <x v="1"/>
    <x v="2"/>
    <s v="Ssiderea035909"/>
    <m/>
    <n v="3.8837304700000002"/>
    <n v="3.3413206400000002"/>
    <s v="Direct"/>
    <s v="NA"/>
  </r>
  <r>
    <x v="1"/>
    <x v="2"/>
    <s v="Ssiderea035911"/>
    <m/>
    <n v="1.16561914"/>
    <n v="1.1488611099999999"/>
    <s v="Direct"/>
    <s v="negative regulation of nuclear-transcribed mRNA catabolic process, nonsense-mediated decay"/>
  </r>
  <r>
    <x v="1"/>
    <x v="2"/>
    <s v="Ssiderea035980"/>
    <m/>
    <n v="-3.0322518999999999"/>
    <n v="-5.5870398000000003"/>
    <s v="Direct"/>
    <s v="NA"/>
  </r>
  <r>
    <x v="1"/>
    <x v="2"/>
    <s v="Ssiderea035987"/>
    <m/>
    <n v="-1.6082358999999999"/>
    <n v="-1.6145882"/>
    <s v="Direct"/>
    <s v="NA"/>
  </r>
  <r>
    <x v="1"/>
    <x v="2"/>
    <s v="Ssiderea035988"/>
    <m/>
    <n v="-2.1226938"/>
    <n v="-1.7798383"/>
    <s v="Direct"/>
    <s v="NA"/>
  </r>
  <r>
    <x v="1"/>
    <x v="2"/>
    <s v="Ssiderea035989"/>
    <m/>
    <n v="2.3077352000000002"/>
    <n v="2.35776488"/>
    <s v="Direct"/>
    <s v="NA"/>
  </r>
  <r>
    <x v="1"/>
    <x v="2"/>
    <s v="Ssiderea035994"/>
    <m/>
    <n v="6.98904836"/>
    <n v="9.1269485499999998"/>
    <s v="Direct"/>
    <s v="NA"/>
  </r>
  <r>
    <x v="1"/>
    <x v="2"/>
    <s v="Ssiderea035995"/>
    <m/>
    <n v="3.2822784"/>
    <n v="3.3837217100000001"/>
    <s v="Direct"/>
    <s v="NA"/>
  </r>
  <r>
    <x v="1"/>
    <x v="2"/>
    <s v="Ssiderea035998"/>
    <m/>
    <n v="4.8169110899999996"/>
    <n v="4.53766625"/>
    <s v="Direct"/>
    <s v="NA"/>
  </r>
  <r>
    <x v="1"/>
    <x v="2"/>
    <s v="Ssiderea036137"/>
    <m/>
    <n v="-1.843548"/>
    <n v="-1.1868405"/>
    <s v="Direct"/>
    <s v="Coagulation factor 5/8 C-terminal domain, discoidin domain"/>
  </r>
  <r>
    <x v="1"/>
    <x v="2"/>
    <s v="Ssiderea036237"/>
    <m/>
    <n v="-2.4051046999999999"/>
    <n v="-2.4699721000000001"/>
    <s v="Direct"/>
    <s v="gamma-aminobutyric acid type B receptor subunit"/>
  </r>
  <r>
    <x v="1"/>
    <x v="2"/>
    <s v="Ssiderea036263"/>
    <m/>
    <n v="1.15809696"/>
    <n v="1.0801264800000001"/>
    <s v="Direct"/>
    <s v="RNA secondary structure unwinding"/>
  </r>
  <r>
    <x v="1"/>
    <x v="2"/>
    <s v="Ssiderea036323"/>
    <m/>
    <n v="-1.8663236999999999"/>
    <n v="-2.6610095"/>
    <s v="Direct"/>
    <s v="proteasome assembly"/>
  </r>
  <r>
    <x v="1"/>
    <x v="2"/>
    <s v="Ssiderea036441"/>
    <m/>
    <n v="3.4292300999999998"/>
    <n v="4.5871864200000001"/>
    <s v="Direct"/>
    <s v="NA"/>
  </r>
  <r>
    <x v="1"/>
    <x v="2"/>
    <s v="Ssiderea036464"/>
    <m/>
    <n v="4.2065245100000004"/>
    <n v="4.5214756100000004"/>
    <s v="Direct"/>
    <s v="Methyltransferase domain"/>
  </r>
  <r>
    <x v="1"/>
    <x v="2"/>
    <s v="Ssiderea036468"/>
    <m/>
    <n v="7.0629907699999999"/>
    <n v="7.93555235"/>
    <s v="Direct"/>
    <s v="Allows the formation of correctly charged Gln-tRNA(Gln) through the transamidation of misacylated Glu-tRNA(Gln) in the mitochondria. The reaction takes place in the presence of glutamine and ATP through an activated gamma-phospho-Glu- tRNA(Gln)"/>
  </r>
  <r>
    <x v="1"/>
    <x v="2"/>
    <s v="Ssiderea036502"/>
    <m/>
    <n v="-1.0191357999999999"/>
    <n v="-3.2443922000000001"/>
    <s v="Direct"/>
    <s v="Methyltransferase domain"/>
  </r>
  <r>
    <x v="1"/>
    <x v="2"/>
    <s v="Ssiderea036562"/>
    <m/>
    <n v="-1.7154305000000001"/>
    <n v="-1.4538576000000001"/>
    <s v="Direct"/>
    <s v="SWI SNF-related matrix-associated actin-dependent regulator of chromatin subfamily A-like protein"/>
  </r>
  <r>
    <x v="1"/>
    <x v="2"/>
    <s v="Ssiderea036682"/>
    <m/>
    <n v="-1.0833664999999999"/>
    <n v="-1.0885309999999999"/>
    <s v="Direct"/>
    <s v="L-glutamate import across plasma membrane"/>
  </r>
  <r>
    <x v="1"/>
    <x v="2"/>
    <s v="Ssiderea036714"/>
    <m/>
    <n v="3.37889018"/>
    <n v="3.2095260699999999"/>
    <s v="Direct"/>
    <s v="NA"/>
  </r>
  <r>
    <x v="1"/>
    <x v="2"/>
    <s v="Ssiderea036716"/>
    <m/>
    <n v="14.8326473"/>
    <n v="16.635204900000002"/>
    <s v="Direct"/>
    <s v="structural constituent of cuticle"/>
  </r>
  <r>
    <x v="1"/>
    <x v="2"/>
    <s v="Ssiderea036721"/>
    <m/>
    <n v="5.0977792900000001"/>
    <n v="6.3673490199999998"/>
    <s v="Direct"/>
    <s v="structural constituent of cuticle"/>
  </r>
  <r>
    <x v="1"/>
    <x v="2"/>
    <s v="Ssiderea036722"/>
    <m/>
    <n v="6.3355356900000004"/>
    <n v="4.9928076099999998"/>
    <s v="Direct"/>
    <s v="von Willebrand factor (vWF) type A domain"/>
  </r>
  <r>
    <x v="1"/>
    <x v="2"/>
    <s v="Ssiderea036731"/>
    <m/>
    <n v="3.3246672099999999"/>
    <n v="3.7120122800000002"/>
    <s v="Direct"/>
    <s v="zinc finger"/>
  </r>
  <r>
    <x v="1"/>
    <x v="2"/>
    <s v="Ssiderea036745"/>
    <m/>
    <n v="-2.0608955"/>
    <n v="-1.3455037000000001"/>
    <s v="Direct"/>
    <s v="NA"/>
  </r>
  <r>
    <x v="1"/>
    <x v="2"/>
    <s v="Ssiderea036778"/>
    <m/>
    <n v="-1.8371043"/>
    <n v="-1.4489301000000001"/>
    <s v="Direct"/>
    <s v="ring finger and CHY zinc finger"/>
  </r>
  <r>
    <x v="1"/>
    <x v="2"/>
    <s v="Ssiderea036834"/>
    <m/>
    <n v="4.7262262599999998"/>
    <n v="7.2279739300000001"/>
    <s v="Direct"/>
    <s v="NA"/>
  </r>
  <r>
    <x v="1"/>
    <x v="2"/>
    <s v="Ssiderea037200"/>
    <m/>
    <n v="1.76142679"/>
    <n v="1.68333037"/>
    <s v="Direct"/>
    <s v="angiotensin II receptor-associated protein"/>
  </r>
  <r>
    <x v="1"/>
    <x v="2"/>
    <s v="Ssiderea037206"/>
    <m/>
    <n v="-2.6943583000000002"/>
    <n v="-1.3885624000000001"/>
    <s v="Direct"/>
    <s v="NA"/>
  </r>
  <r>
    <x v="1"/>
    <x v="2"/>
    <s v="Ssiderea037260"/>
    <m/>
    <n v="-1.6842010999999999"/>
    <n v="-4.8535836000000003"/>
    <s v="Direct"/>
    <s v="NA"/>
  </r>
  <r>
    <x v="1"/>
    <x v="2"/>
    <s v="Ssiderea037339"/>
    <m/>
    <n v="1.9331554900000001"/>
    <n v="2.7830540699999999"/>
    <s v="Direct"/>
    <s v="Astacin (Peptidase family M12A)"/>
  </r>
  <r>
    <x v="1"/>
    <x v="2"/>
    <s v="Ssiderea037533"/>
    <m/>
    <n v="-1.6061572"/>
    <n v="-2.6514093000000001"/>
    <s v="Direct"/>
    <s v="carbohydrate binding"/>
  </r>
  <r>
    <x v="1"/>
    <x v="2"/>
    <s v="Ssiderea037540"/>
    <m/>
    <n v="1.9320198"/>
    <n v="2.9270031599999999"/>
    <s v="Direct"/>
    <s v="Common central domain of tyrosinase"/>
  </r>
  <r>
    <x v="1"/>
    <x v="2"/>
    <s v="Ssiderea037541"/>
    <m/>
    <n v="2.1975483200000001"/>
    <n v="4.0313604999999999"/>
    <s v="Direct"/>
    <s v="serine-type endopeptidase inhibitor activity"/>
  </r>
  <r>
    <x v="1"/>
    <x v="2"/>
    <s v="Ssiderea037555"/>
    <m/>
    <n v="1.3197919499999999"/>
    <n v="1.1042941900000001"/>
    <s v="Direct"/>
    <s v="NA"/>
  </r>
  <r>
    <x v="1"/>
    <x v="2"/>
    <s v="Ssiderea037721"/>
    <m/>
    <n v="9.4048675100000008"/>
    <n v="1.56595712"/>
    <s v="Direct"/>
    <s v="NA"/>
  </r>
  <r>
    <x v="1"/>
    <x v="2"/>
    <s v="Ssiderea037729"/>
    <m/>
    <n v="2.7627841200000001"/>
    <n v="1.54358704"/>
    <s v="Direct"/>
    <s v="quinone binding"/>
  </r>
  <r>
    <x v="1"/>
    <x v="2"/>
    <s v="Ssiderea037741"/>
    <m/>
    <n v="1.8566931499999999"/>
    <n v="2.13827832"/>
    <s v="Direct"/>
    <s v="NA"/>
  </r>
  <r>
    <x v="1"/>
    <x v="2"/>
    <s v="Ssiderea038010"/>
    <m/>
    <n v="2.28593526"/>
    <n v="2.6026568299999999"/>
    <s v="Direct"/>
    <s v="Tnf receptor-associated factor 2"/>
  </r>
  <r>
    <x v="1"/>
    <x v="2"/>
    <s v="Ssiderea038136"/>
    <m/>
    <n v="2.2565288699999999"/>
    <n v="1.6253675700000001"/>
    <s v="Direct"/>
    <s v="coreceptor activity involved in Wnt signaling pathway, planar cell polarity pathway"/>
  </r>
  <r>
    <x v="1"/>
    <x v="2"/>
    <s v="Ssiderea038147"/>
    <m/>
    <n v="-1.5029501000000001"/>
    <n v="-5.6586188999999996"/>
    <s v="Direct"/>
    <s v="Anticodon-binding domain"/>
  </r>
  <r>
    <x v="1"/>
    <x v="2"/>
    <s v="Ssiderea038150"/>
    <m/>
    <n v="1.21653897"/>
    <n v="2.3544323500000002"/>
    <s v="Direct"/>
    <s v="NA"/>
  </r>
  <r>
    <x v="1"/>
    <x v="2"/>
    <s v="Ssiderea038157"/>
    <m/>
    <n v="1.62837878"/>
    <n v="1.3432177300000001"/>
    <s v="Direct"/>
    <s v="regulation of chaperone-mediated protein folding"/>
  </r>
  <r>
    <x v="1"/>
    <x v="2"/>
    <s v="Ssiderea038280"/>
    <m/>
    <n v="1.8311782000000001"/>
    <n v="3.3554442099999999"/>
    <s v="Direct"/>
    <s v="cyclin-dependent protein serine/threonine kinase activity"/>
  </r>
  <r>
    <x v="1"/>
    <x v="2"/>
    <s v="Ssiderea038345"/>
    <m/>
    <n v="3.12004993"/>
    <n v="4.3057158600000003"/>
    <s v="Direct"/>
    <s v="Belongs to the TRAFAC class myosin-kinesin ATPase superfamily. Myosin family"/>
  </r>
  <r>
    <x v="1"/>
    <x v="2"/>
    <s v="Ssiderea038386"/>
    <m/>
    <n v="-1.4888713"/>
    <n v="-1.8070136000000001"/>
    <s v="Direct"/>
    <s v="Major facilitator superfamily domain-containing protein 6-like"/>
  </r>
  <r>
    <x v="1"/>
    <x v="2"/>
    <s v="Ssiderea038393"/>
    <m/>
    <n v="6.0069273799999996"/>
    <n v="8.7212260399999995"/>
    <s v="Direct"/>
    <s v="methylmalonyl-CoA mutase activity"/>
  </r>
  <r>
    <x v="1"/>
    <x v="2"/>
    <s v="Ssiderea038419"/>
    <m/>
    <n v="1.8101640800000001"/>
    <n v="3.2584161200000001"/>
    <s v="Direct"/>
    <s v="homeobox"/>
  </r>
  <r>
    <x v="1"/>
    <x v="2"/>
    <s v="Ssiderea038430"/>
    <m/>
    <n v="2.56151748"/>
    <n v="3.3488748500000001"/>
    <s v="Direct"/>
    <s v="structural constituent of cuticle"/>
  </r>
  <r>
    <x v="1"/>
    <x v="2"/>
    <s v="Ssiderea038439"/>
    <m/>
    <n v="4.8125358900000004"/>
    <n v="5.1041723899999996"/>
    <s v="Direct"/>
    <s v="NA"/>
  </r>
  <r>
    <x v="1"/>
    <x v="2"/>
    <s v="Ssiderea038467"/>
    <m/>
    <n v="-3.8140424999999998"/>
    <n v="-3.8427365999999998"/>
    <s v="Direct"/>
    <s v="Lipoxygenase"/>
  </r>
  <r>
    <x v="1"/>
    <x v="2"/>
    <s v="Ssiderea038470"/>
    <m/>
    <n v="3.1420641900000001"/>
    <n v="2.9706767100000002"/>
    <s v="Direct"/>
    <s v="NA"/>
  </r>
  <r>
    <x v="1"/>
    <x v="2"/>
    <s v="Ssiderea038513"/>
    <m/>
    <n v="-3.2193703999999999"/>
    <n v="-4.3144498000000002"/>
    <s v="Direct"/>
    <s v="NA"/>
  </r>
  <r>
    <x v="1"/>
    <x v="2"/>
    <s v="Ssiderea038534"/>
    <m/>
    <n v="-1.7556929999999999"/>
    <n v="-2.0785230000000001"/>
    <s v="Direct"/>
    <s v="NA"/>
  </r>
  <r>
    <x v="1"/>
    <x v="2"/>
    <s v="Ssiderea038565"/>
    <m/>
    <n v="-3.7451565000000002"/>
    <n v="-6.7320703999999996"/>
    <s v="Direct"/>
    <s v="acetylesterase activity"/>
  </r>
  <r>
    <x v="1"/>
    <x v="2"/>
    <s v="Ssiderea038569"/>
    <m/>
    <n v="2.7311530500000001"/>
    <n v="3.4013148499999999"/>
    <s v="Direct"/>
    <s v="NA"/>
  </r>
  <r>
    <x v="1"/>
    <x v="2"/>
    <s v="Ssiderea038581"/>
    <m/>
    <n v="11.0178998"/>
    <n v="11.647672399999999"/>
    <s v="Direct"/>
    <s v="NA"/>
  </r>
  <r>
    <x v="1"/>
    <x v="2"/>
    <s v="Ssiderea038582"/>
    <m/>
    <n v="2.5413149499999999"/>
    <n v="1.15637787"/>
    <s v="Direct"/>
    <s v="NA"/>
  </r>
  <r>
    <x v="1"/>
    <x v="2"/>
    <s v="Ssiderea038585"/>
    <m/>
    <n v="2.3520538700000002"/>
    <n v="1.8359055399999999"/>
    <s v="Direct"/>
    <s v="NA"/>
  </r>
  <r>
    <x v="1"/>
    <x v="2"/>
    <s v="Ssiderea038588"/>
    <m/>
    <n v="-5.7524974000000002"/>
    <n v="-7.1582150999999996"/>
    <s v="Direct"/>
    <s v="Histone cluster 2, H2ab"/>
  </r>
  <r>
    <x v="1"/>
    <x v="2"/>
    <s v="Ssiderea038593"/>
    <m/>
    <n v="-5.6539918"/>
    <n v="-5.2560142000000001"/>
    <s v="Direct"/>
    <s v="AFG3-like protein"/>
  </r>
  <r>
    <x v="1"/>
    <x v="2"/>
    <s v="Ssiderea038602"/>
    <m/>
    <n v="1.3278865799999999"/>
    <n v="2.3274293799999999"/>
    <s v="Direct"/>
    <s v="Starch/carbohydrate-binding module (family 53)"/>
  </r>
  <r>
    <x v="1"/>
    <x v="2"/>
    <s v="Ssiderea038655"/>
    <m/>
    <n v="-2.5154163999999999"/>
    <n v="-1.124457"/>
    <s v="Direct"/>
    <s v="NA"/>
  </r>
  <r>
    <x v="1"/>
    <x v="2"/>
    <s v="Ssiderea038677"/>
    <m/>
    <n v="1.2783352800000001"/>
    <n v="1.47601889"/>
    <s v="Direct"/>
    <s v="NA"/>
  </r>
  <r>
    <x v="1"/>
    <x v="2"/>
    <s v="Ssiderea038678"/>
    <m/>
    <n v="3.48516315"/>
    <n v="3.3328521499999999"/>
    <s v="Direct"/>
    <s v="lens fiber cell differentiation"/>
  </r>
  <r>
    <x v="1"/>
    <x v="2"/>
    <s v="Ssiderea038681"/>
    <m/>
    <n v="6.7801301900000004"/>
    <n v="9.7479371100000005"/>
    <s v="Direct"/>
    <s v="lens fiber cell differentiation"/>
  </r>
  <r>
    <x v="1"/>
    <x v="2"/>
    <s v="Ssiderea038682"/>
    <m/>
    <n v="15.7729134"/>
    <n v="15.5741374"/>
    <s v="Direct"/>
    <s v="NA"/>
  </r>
  <r>
    <x v="1"/>
    <x v="2"/>
    <s v="Ssiderea038683"/>
    <m/>
    <n v="15.2840144"/>
    <n v="16.635204900000002"/>
    <s v="Direct"/>
    <s v="abducens nerve formation"/>
  </r>
  <r>
    <x v="1"/>
    <x v="2"/>
    <s v="Ssiderea038684"/>
    <m/>
    <n v="8.7601249400000007"/>
    <n v="8.2634547000000005"/>
    <s v="Direct"/>
    <s v="V-maf avian musculoaponeurotic fibrosarcoma oncogene homolog"/>
  </r>
  <r>
    <x v="1"/>
    <x v="2"/>
    <s v="Ssiderea038691"/>
    <m/>
    <n v="2.7018541200000001"/>
    <n v="2.9172311199999998"/>
    <s v="Direct"/>
    <s v="NA"/>
  </r>
  <r>
    <x v="1"/>
    <x v="2"/>
    <s v="Ssiderea038694"/>
    <m/>
    <n v="1.06064577"/>
    <n v="2.07528479"/>
    <s v="Direct"/>
    <s v="NA"/>
  </r>
  <r>
    <x v="1"/>
    <x v="2"/>
    <s v="Ssiderea038793"/>
    <m/>
    <n v="-2.1738735999999999"/>
    <n v="-1.6532260999999999"/>
    <s v="Direct"/>
    <s v="NA"/>
  </r>
  <r>
    <x v="1"/>
    <x v="2"/>
    <s v="Ssiderea038798"/>
    <m/>
    <n v="-2.1326101999999998"/>
    <n v="-1.0597725"/>
    <s v="Direct"/>
    <s v="NA"/>
  </r>
  <r>
    <x v="1"/>
    <x v="2"/>
    <s v="Ssiderea038852"/>
    <m/>
    <n v="-4.3408965999999998"/>
    <n v="-6.0435144000000003"/>
    <s v="Direct"/>
    <s v="negative regulation of SNARE complex assembly"/>
  </r>
  <r>
    <x v="1"/>
    <x v="2"/>
    <s v="Ssiderea038858"/>
    <m/>
    <n v="-1.8841334000000001"/>
    <n v="-1.9113553999999999"/>
    <s v="Direct"/>
    <s v="metalloendopeptidase activity"/>
  </r>
  <r>
    <x v="1"/>
    <x v="2"/>
    <s v="Ssiderea038864"/>
    <m/>
    <n v="1.80933247"/>
    <n v="1.9620522199999999"/>
    <s v="Direct"/>
    <s v="endopeptidase inhibitor activity"/>
  </r>
  <r>
    <x v="1"/>
    <x v="2"/>
    <s v="Ssiderea038867"/>
    <m/>
    <n v="3.0415607499999999"/>
    <n v="1.13440265"/>
    <s v="Direct"/>
    <s v="ranBP-type and C3HC4-type zinc finger-containing protein"/>
  </r>
  <r>
    <x v="1"/>
    <x v="2"/>
    <s v="Ssiderea038885"/>
    <m/>
    <n v="3.87584756"/>
    <n v="2.4373548199999999"/>
    <s v="Direct"/>
    <s v="NA"/>
  </r>
  <r>
    <x v="1"/>
    <x v="2"/>
    <s v="Ssiderea038965"/>
    <m/>
    <n v="-1.9202286"/>
    <n v="-1.5795973000000001"/>
    <s v="Direct"/>
    <s v="ankyrin repeat"/>
  </r>
  <r>
    <x v="1"/>
    <x v="2"/>
    <s v="Ssiderea038966"/>
    <m/>
    <n v="-1.7318764"/>
    <n v="-6.5636517999999997"/>
    <s v="Direct"/>
    <s v="defense response to fungus"/>
  </r>
  <r>
    <x v="1"/>
    <x v="2"/>
    <s v="Ssiderea039001"/>
    <m/>
    <n v="-2.136377"/>
    <n v="-3.7587326000000001"/>
    <s v="Direct"/>
    <s v="antigen processing and presentation of exogenous peptide antigen via MHC class I"/>
  </r>
  <r>
    <x v="1"/>
    <x v="2"/>
    <s v="Ssiderea039014"/>
    <m/>
    <n v="-1.1611511999999999"/>
    <n v="-3.2999019000000001"/>
    <s v="Direct"/>
    <s v="coenzyme binding"/>
  </r>
  <r>
    <x v="1"/>
    <x v="2"/>
    <s v="Ssiderea039070"/>
    <m/>
    <n v="3.1223287100000001"/>
    <n v="1.2919076300000001"/>
    <s v="Direct"/>
    <s v="signaling receptor binding"/>
  </r>
  <r>
    <x v="1"/>
    <x v="2"/>
    <s v="Ssiderea039075"/>
    <m/>
    <n v="-4.2606210999999998"/>
    <n v="-3.6703977999999999"/>
    <s v="Direct"/>
    <s v="Replication timing regulatory factor 1"/>
  </r>
  <r>
    <x v="1"/>
    <x v="2"/>
    <s v="Ssiderea039078"/>
    <m/>
    <n v="-7.4651448"/>
    <n v="-6.3424689000000001"/>
    <s v="Direct"/>
    <s v="NA"/>
  </r>
  <r>
    <x v="1"/>
    <x v="2"/>
    <s v="Ssiderea039105"/>
    <m/>
    <n v="-1.3112883"/>
    <n v="-1.1269175"/>
    <s v="Direct"/>
    <s v="negative regulation of transcription, DNA-templated"/>
  </r>
  <r>
    <x v="1"/>
    <x v="2"/>
    <s v="Ssiderea039122"/>
    <m/>
    <n v="-4.6750533000000001"/>
    <n v="-2.6091535000000001"/>
    <s v="Direct"/>
    <s v="Uncharacterized ACR, YdiU/UPF0061 family"/>
  </r>
  <r>
    <x v="1"/>
    <x v="2"/>
    <s v="Ssiderea039136"/>
    <m/>
    <n v="-1.7078111"/>
    <n v="-2.2125319999999999"/>
    <s v="Direct"/>
    <s v="Mucin 4, cell surface associated"/>
  </r>
  <r>
    <x v="1"/>
    <x v="2"/>
    <s v="Ssiderea039160"/>
    <m/>
    <n v="-1.7815977999999999"/>
    <n v="-1.8783639999999999"/>
    <s v="Direct"/>
    <s v="positive regulation of epithelial to mesenchymal transition"/>
  </r>
  <r>
    <x v="1"/>
    <x v="2"/>
    <s v="Ssiderea039239"/>
    <m/>
    <n v="-3.4574809000000002"/>
    <n v="-4.0748072000000004"/>
    <s v="Direct"/>
    <s v="MDM2/MDM4 family protein binding"/>
  </r>
  <r>
    <x v="1"/>
    <x v="2"/>
    <s v="Ssiderea039248"/>
    <m/>
    <n v="-1.1930035000000001"/>
    <n v="-1.0693686"/>
    <s v="Direct"/>
    <s v="PHD-zinc-finger like domain"/>
  </r>
  <r>
    <x v="1"/>
    <x v="2"/>
    <s v="Ssiderea039250"/>
    <m/>
    <n v="-1.5316733"/>
    <n v="-3.4645728999999998"/>
    <s v="Direct"/>
    <s v="Hairy enhancer-of-split related with YRPW motif"/>
  </r>
  <r>
    <x v="1"/>
    <x v="2"/>
    <s v="Ssiderea039255"/>
    <m/>
    <n v="4.66305353"/>
    <n v="5.6384310600000003"/>
    <s v="Direct"/>
    <s v="Belongs to the G-protein coupled receptor 2 family"/>
  </r>
  <r>
    <x v="1"/>
    <x v="2"/>
    <s v="Ssiderea039263"/>
    <m/>
    <n v="1.0746188000000001"/>
    <n v="1.4227927899999999"/>
    <s v="Direct"/>
    <s v="Fibrillar collagens C-terminal domain"/>
  </r>
  <r>
    <x v="1"/>
    <x v="2"/>
    <s v="Ssiderea039355"/>
    <m/>
    <n v="-1.2082265000000001"/>
    <n v="-1.9683101999999999"/>
    <s v="Direct"/>
    <s v="60s ribosomal protein"/>
  </r>
  <r>
    <x v="1"/>
    <x v="2"/>
    <s v="Ssiderea039381"/>
    <m/>
    <n v="-2.6847601999999999"/>
    <n v="-2.9548378999999998"/>
    <s v="Direct"/>
    <s v="NA"/>
  </r>
  <r>
    <x v="1"/>
    <x v="2"/>
    <s v="Ssiderea039384"/>
    <m/>
    <n v="3.2867876599999999"/>
    <n v="3.85912107"/>
    <s v="Direct"/>
    <s v="NA"/>
  </r>
  <r>
    <x v="1"/>
    <x v="2"/>
    <s v="Ssiderea039395"/>
    <m/>
    <n v="1.92535798"/>
    <n v="2.2402647600000001"/>
    <s v="Direct"/>
    <s v="tooth eruption"/>
  </r>
  <r>
    <x v="1"/>
    <x v="2"/>
    <s v="Ssiderea039494"/>
    <m/>
    <n v="-3.6245212000000002"/>
    <n v="-1.4260600000000001"/>
    <s v="Direct"/>
    <s v="F-box-like"/>
  </r>
  <r>
    <x v="1"/>
    <x v="2"/>
    <s v="Ssiderea039506"/>
    <m/>
    <n v="1.28651315"/>
    <n v="1.51248005"/>
    <s v="Direct"/>
    <s v="binding of sperm to zona pellucida"/>
  </r>
  <r>
    <x v="1"/>
    <x v="2"/>
    <s v="Ssiderea039555"/>
    <m/>
    <n v="-1.843548"/>
    <n v="-1.6702623999999999"/>
    <s v="Direct"/>
    <s v="DNA replication factor"/>
  </r>
  <r>
    <x v="1"/>
    <x v="2"/>
    <s v="Ssiderea039557"/>
    <m/>
    <n v="1.1792583699999999"/>
    <n v="1.3051068699999999"/>
    <s v="Direct"/>
    <s v="Core-binding factor"/>
  </r>
  <r>
    <x v="1"/>
    <x v="2"/>
    <s v="Ssiderea039559"/>
    <m/>
    <n v="-1.6020224000000001"/>
    <n v="-2.3869264000000001"/>
    <s v="Direct"/>
    <s v="Domain of unknown function (DUF4505)"/>
  </r>
  <r>
    <x v="1"/>
    <x v="2"/>
    <s v="Ssiderea039589"/>
    <m/>
    <n v="2.6077274199999998"/>
    <n v="2.3874843100000001"/>
    <s v="Direct"/>
    <s v="NA"/>
  </r>
  <r>
    <x v="1"/>
    <x v="2"/>
    <s v="Ssiderea039599"/>
    <m/>
    <n v="-4.4029885999999996"/>
    <n v="-2.9805492"/>
    <s v="Direct"/>
    <s v="nuclear protein 1"/>
  </r>
  <r>
    <x v="1"/>
    <x v="2"/>
    <s v="Ssiderea039605"/>
    <m/>
    <n v="-3.6666664"/>
    <n v="-4.2818962000000003"/>
    <s v="Direct"/>
    <s v="phosphoethanolamine N-methyltransferase"/>
  </r>
  <r>
    <x v="1"/>
    <x v="2"/>
    <s v="Ssiderea039623"/>
    <m/>
    <n v="1.0228949000000001"/>
    <n v="2.2059789900000002"/>
    <s v="Direct"/>
    <s v="HELP motif"/>
  </r>
  <r>
    <x v="1"/>
    <x v="2"/>
    <s v="Ssiderea039753"/>
    <m/>
    <n v="-3.0582341"/>
    <n v="-3.5196079999999998"/>
    <s v="Direct"/>
    <s v="Lissencephaly type-1-like homology motif"/>
  </r>
  <r>
    <x v="1"/>
    <x v="2"/>
    <s v="Ssiderea039820"/>
    <m/>
    <n v="-1.2996160999999999"/>
    <n v="-1.0532170000000001"/>
    <s v="Direct"/>
    <s v="acetylgalactosaminyltransferase activity"/>
  </r>
  <r>
    <x v="1"/>
    <x v="2"/>
    <s v="Ssiderea039830"/>
    <m/>
    <n v="-2.5867239999999998"/>
    <n v="-1.3519211"/>
    <s v="Direct"/>
    <s v="Belongs to the DEAD box helicase family"/>
  </r>
  <r>
    <x v="1"/>
    <x v="2"/>
    <s v="Ssiderea039980"/>
    <m/>
    <n v="3.0632496100000002"/>
    <n v="2.2749203599999999"/>
    <s v="Direct"/>
    <s v="protein KIAA2012 homolog"/>
  </r>
  <r>
    <x v="1"/>
    <x v="2"/>
    <s v="Ssiderea040106"/>
    <m/>
    <n v="-3.4597715999999998"/>
    <n v="-3.2175256999999999"/>
    <s v="Direct"/>
    <s v="NA"/>
  </r>
  <r>
    <x v="1"/>
    <x v="2"/>
    <s v="Ssiderea040172"/>
    <m/>
    <n v="1.1596492700000001"/>
    <n v="2.5265857999999999"/>
    <s v="Direct"/>
    <s v="positive regulation of GTPase activity"/>
  </r>
  <r>
    <x v="1"/>
    <x v="2"/>
    <s v="Ssiderea040201"/>
    <m/>
    <n v="1.40513376"/>
    <n v="1.1900224800000001"/>
    <s v="Direct"/>
    <s v="Iron/manganese superoxide dismutases, C-terminal domain"/>
  </r>
  <r>
    <x v="1"/>
    <x v="2"/>
    <s v="Ssiderea040225"/>
    <m/>
    <n v="-3.3501143999999998"/>
    <n v="-3.7489433999999999"/>
    <s v="Direct"/>
    <s v="supervillin"/>
  </r>
  <r>
    <x v="1"/>
    <x v="2"/>
    <s v="Ssiderea040239"/>
    <m/>
    <n v="-1.2424812999999999"/>
    <n v="-1.1747706"/>
    <s v="Direct"/>
    <s v="Leucine-rich PPR motif-containing protein"/>
  </r>
  <r>
    <x v="1"/>
    <x v="2"/>
    <s v="Ssiderea040287"/>
    <m/>
    <n v="-2.6198502000000001"/>
    <n v="-1.6576222"/>
    <s v="Direct"/>
    <s v="NA"/>
  </r>
  <r>
    <x v="1"/>
    <x v="2"/>
    <s v="Ssiderea040457"/>
    <m/>
    <n v="2.7209865600000001"/>
    <n v="2.0850347500000002"/>
    <s v="Direct"/>
    <s v="NA"/>
  </r>
  <r>
    <x v="1"/>
    <x v="2"/>
    <s v="Ssiderea040493"/>
    <m/>
    <n v="1.15194997"/>
    <n v="1.1065432799999999"/>
    <s v="Direct"/>
    <s v="NA"/>
  </r>
  <r>
    <x v="1"/>
    <x v="2"/>
    <s v="Ssiderea040674"/>
    <m/>
    <n v="1.0601219799999999"/>
    <n v="1.2848363199999999"/>
    <s v="Direct"/>
    <s v="formimidoyltetrahydrofolate cyclodeaminase activity"/>
  </r>
  <r>
    <x v="1"/>
    <x v="2"/>
    <s v="Ssiderea040698"/>
    <m/>
    <n v="-2.3022963999999999"/>
    <n v="-1.1460056000000001"/>
    <s v="Direct"/>
    <s v="store-operated calcium channel activity"/>
  </r>
  <r>
    <x v="1"/>
    <x v="2"/>
    <s v="Ssiderea041426"/>
    <m/>
    <n v="1.03424943"/>
    <n v="1.15586667"/>
    <s v="Direct"/>
    <s v="NA"/>
  </r>
  <r>
    <x v="1"/>
    <x v="2"/>
    <s v="Ssiderea041428"/>
    <m/>
    <n v="-1.3283450999999999"/>
    <n v="-2.3929431999999999"/>
    <s v="Direct"/>
    <s v="atlastin GTPase"/>
  </r>
  <r>
    <x v="1"/>
    <x v="2"/>
    <s v="Ssiderea041441"/>
    <m/>
    <n v="-1.2610258999999999"/>
    <n v="-1.3117258999999999"/>
    <s v="Direct"/>
    <s v="molybdopterin molybdotransferase activity"/>
  </r>
  <r>
    <x v="1"/>
    <x v="2"/>
    <s v="Ssiderea041515"/>
    <m/>
    <n v="-4.8347350000000002"/>
    <n v="-3.7645979999999999"/>
    <s v="Direct"/>
    <s v="NA"/>
  </r>
  <r>
    <x v="1"/>
    <x v="2"/>
    <s v="Ssiderea041613"/>
    <m/>
    <n v="1.4170304600000001"/>
    <n v="2.0524462699999999"/>
    <s v="Direct"/>
    <s v="Thioredoxin domain-containing protein 17"/>
  </r>
  <r>
    <x v="1"/>
    <x v="2"/>
    <s v="Ssiderea041617"/>
    <m/>
    <n v="-7.6636113000000003"/>
    <n v="-6.4515352000000004"/>
    <s v="Direct"/>
    <s v="S-adenosylmethionine-dependent tRNA (m5U54) methyltransferase activity"/>
  </r>
  <r>
    <x v="1"/>
    <x v="2"/>
    <s v="Ssiderea041622"/>
    <m/>
    <n v="1.39462698"/>
    <n v="1.09117021"/>
    <s v="Direct"/>
    <s v="Collagen triple helix"/>
  </r>
  <r>
    <x v="1"/>
    <x v="2"/>
    <s v="Ssiderea041634"/>
    <m/>
    <n v="-3.4204952999999998"/>
    <n v="-5.0741639000000003"/>
    <s v="Direct"/>
    <s v="Belongs to the CD36 family"/>
  </r>
  <r>
    <x v="1"/>
    <x v="2"/>
    <s v="Ssiderea041652"/>
    <m/>
    <n v="1.3206496599999999"/>
    <n v="1.1672993899999999"/>
    <s v="Direct"/>
    <s v="Solute carrier family 13"/>
  </r>
  <r>
    <x v="1"/>
    <x v="2"/>
    <s v="Ssiderea041776"/>
    <m/>
    <n v="-1.8261404000000001"/>
    <n v="-2.423921"/>
    <s v="Direct"/>
    <s v="Guanine nucleotide exchange factor for Ras-like small GTPases"/>
  </r>
  <r>
    <x v="1"/>
    <x v="2"/>
    <s v="Ssiderea041900"/>
    <m/>
    <n v="2.62315845"/>
    <n v="1.08103964"/>
    <s v="Direct"/>
    <s v="regulation of centriole replication"/>
  </r>
  <r>
    <x v="1"/>
    <x v="2"/>
    <s v="Ssiderea041915"/>
    <m/>
    <n v="-9.9470644999999998"/>
    <n v="-12.849026"/>
    <s v="Direct"/>
    <s v="Cys/Met metabolism PLP-dependent enzyme"/>
  </r>
  <r>
    <x v="1"/>
    <x v="2"/>
    <s v="Ssiderea042167"/>
    <m/>
    <n v="1.2475930900000001"/>
    <n v="1.7552831900000001"/>
    <s v="Direct"/>
    <s v="5'-AMP-activated protein kinase catalytic subunit"/>
  </r>
  <r>
    <x v="1"/>
    <x v="2"/>
    <s v="Ssiderea042177"/>
    <m/>
    <n v="3.6599275100000002"/>
    <n v="3.4206596500000002"/>
    <s v="Direct"/>
    <s v="NA"/>
  </r>
  <r>
    <x v="1"/>
    <x v="2"/>
    <s v="Ssiderea042178"/>
    <m/>
    <n v="1.6752047999999999"/>
    <n v="1.18619969"/>
    <s v="Direct"/>
    <s v="NA"/>
  </r>
  <r>
    <x v="1"/>
    <x v="2"/>
    <s v="Ssiderea042206"/>
    <m/>
    <n v="-3.5374137999999999"/>
    <n v="-2.4850647000000001"/>
    <s v="Direct"/>
    <s v="NA"/>
  </r>
  <r>
    <x v="1"/>
    <x v="2"/>
    <s v="Ssiderea042271"/>
    <m/>
    <n v="-1.2296509"/>
    <n v="-3.6612792000000001"/>
    <s v="Direct"/>
    <s v="calcium-activated potassium channel activity"/>
  </r>
  <r>
    <x v="1"/>
    <x v="2"/>
    <s v="Ssiderea042276"/>
    <m/>
    <n v="-2.1685742000000001"/>
    <n v="-2.7187667000000002"/>
    <s v="Direct"/>
    <s v="retinol dehydrogenase activity"/>
  </r>
  <r>
    <x v="1"/>
    <x v="2"/>
    <s v="Ssiderea042299"/>
    <m/>
    <n v="-1.4436918000000001"/>
    <n v="-1.2518752"/>
    <s v="Direct"/>
    <s v="UDP-glucuronic acid transmembrane transporter activity"/>
  </r>
  <r>
    <x v="1"/>
    <x v="2"/>
    <s v="Ssiderea042330"/>
    <m/>
    <n v="-8.7179164"/>
    <n v="-8.1037371"/>
    <s v="Direct"/>
    <s v="Sterol-sensing domain of SREBP cleavage-activation"/>
  </r>
  <r>
    <x v="1"/>
    <x v="2"/>
    <s v="Ssiderea042331"/>
    <m/>
    <n v="-2.9409245999999998"/>
    <n v="-4.7335846000000004"/>
    <s v="Direct"/>
    <s v="Centlein"/>
  </r>
  <r>
    <x v="1"/>
    <x v="2"/>
    <s v="Ssiderea042332"/>
    <m/>
    <n v="-2.8585373000000001"/>
    <n v="-3.4335696000000002"/>
    <s v="Direct"/>
    <s v="ATPase activity, coupled to transmembrane movement of substances"/>
  </r>
  <r>
    <x v="1"/>
    <x v="2"/>
    <s v="Ssiderea042375"/>
    <m/>
    <n v="2.6037495100000001"/>
    <n v="2.3998890500000001"/>
    <s v="Direct"/>
    <s v="metalloendopeptidase activity"/>
  </r>
  <r>
    <x v="1"/>
    <x v="2"/>
    <s v="Ssiderea042426"/>
    <m/>
    <n v="1.0559186599999999"/>
    <n v="1.2151656799999999"/>
    <s v="Direct"/>
    <s v="regulation of mitotic cell cycle"/>
  </r>
  <r>
    <x v="1"/>
    <x v="2"/>
    <s v="Ssiderea042469"/>
    <m/>
    <n v="-2.1777562000000001"/>
    <n v="-1.7009736"/>
    <s v="Direct"/>
    <s v="NA"/>
  </r>
  <r>
    <x v="1"/>
    <x v="2"/>
    <s v="Ssiderea042513"/>
    <m/>
    <n v="-1.3190436999999999"/>
    <n v="-1.7370308999999999"/>
    <s v="Direct"/>
    <s v="6-phosphofructo-2-kinase activity"/>
  </r>
  <r>
    <x v="1"/>
    <x v="2"/>
    <s v="Ssiderea042606"/>
    <m/>
    <n v="-1.5099742"/>
    <n v="-4.9227014000000002"/>
    <s v="Direct"/>
    <s v="maintenance of mitotic sister chromatid cohesion"/>
  </r>
  <r>
    <x v="1"/>
    <x v="2"/>
    <s v="Ssiderea042637"/>
    <m/>
    <n v="-1.8538551000000001"/>
    <n v="-1.4130684"/>
    <s v="Direct"/>
    <s v="Angel homolog"/>
  </r>
  <r>
    <x v="1"/>
    <x v="2"/>
    <s v="Ssiderea042649"/>
    <m/>
    <n v="5.0168353100000003"/>
    <n v="2.0900383499999999"/>
    <s v="Direct"/>
    <s v="Lipoxygenase"/>
  </r>
  <r>
    <x v="1"/>
    <x v="2"/>
    <s v="Ssiderea042655"/>
    <m/>
    <n v="1.46510338"/>
    <n v="2.5507347399999998"/>
    <s v="Direct"/>
    <s v="betaine-homocysteine S-methyltransferase activity"/>
  </r>
  <r>
    <x v="1"/>
    <x v="2"/>
    <s v="Ssiderea042685"/>
    <m/>
    <n v="-2.4465064000000001"/>
    <n v="-4.0095513"/>
    <s v="Direct"/>
    <s v="HIV-1 Tat interactive protein 2"/>
  </r>
  <r>
    <x v="1"/>
    <x v="2"/>
    <s v="Ssiderea042756"/>
    <m/>
    <n v="-1.0155833999999999"/>
    <n v="-1.7570863999999999"/>
    <s v="Direct"/>
    <s v="Transferase activity, transferring phosphorus-containing groups"/>
  </r>
  <r>
    <x v="1"/>
    <x v="2"/>
    <s v="Ssiderea042784"/>
    <m/>
    <n v="-8.2444179999999996"/>
    <n v="-6.0029691999999999"/>
    <s v="Direct"/>
    <s v="structural molecule activity"/>
  </r>
  <r>
    <x v="1"/>
    <x v="2"/>
    <s v="Ssiderea042804"/>
    <m/>
    <n v="2.1991227100000001"/>
    <n v="2.7903019900000001"/>
    <s v="Direct"/>
    <s v="Histone H1"/>
  </r>
  <r>
    <x v="1"/>
    <x v="2"/>
    <s v="Ssiderea042819"/>
    <m/>
    <n v="3.4049171999999999"/>
    <n v="3.3413206400000002"/>
    <s v="Direct"/>
    <s v="NA"/>
  </r>
  <r>
    <x v="1"/>
    <x v="2"/>
    <s v="Ssiderea042837"/>
    <m/>
    <n v="2.0443253499999998"/>
    <n v="1.6079761299999999"/>
    <s v="Direct"/>
    <s v="histone-lysine N-methyltransferase PRDM6"/>
  </r>
  <r>
    <x v="1"/>
    <x v="2"/>
    <s v="Ssiderea043585"/>
    <m/>
    <n v="-4.3370179999999996"/>
    <n v="-4.571955"/>
    <s v="Direct"/>
    <s v="negative regulation of plasminogen activation"/>
  </r>
  <r>
    <x v="1"/>
    <x v="2"/>
    <s v="Ssiderea043592"/>
    <m/>
    <n v="-2.0286024"/>
    <n v="-1.0460400000000001"/>
    <s v="Direct"/>
    <s v="MAC/Perforin domain"/>
  </r>
  <r>
    <x v="1"/>
    <x v="2"/>
    <s v="Ssiderea043606"/>
    <m/>
    <n v="-1.7687219999999999"/>
    <n v="-2.2482123999999999"/>
    <s v="Direct"/>
    <s v="base-excision repair, AP site formation via deaminated base removal"/>
  </r>
  <r>
    <x v="1"/>
    <x v="2"/>
    <s v="Ssiderea043643"/>
    <m/>
    <n v="1.8818596299999999"/>
    <n v="1.7738627199999999"/>
    <s v="Direct"/>
    <s v="NA"/>
  </r>
  <r>
    <x v="1"/>
    <x v="2"/>
    <s v="Ssiderea043685"/>
    <m/>
    <n v="2.3695299799999998"/>
    <n v="2.0093034400000001"/>
    <s v="Direct"/>
    <s v="acid phosphatase activity"/>
  </r>
  <r>
    <x v="1"/>
    <x v="2"/>
    <s v="Ssiderea043713"/>
    <m/>
    <n v="4.5040719899999999"/>
    <n v="3.1046710100000001"/>
    <s v="Direct"/>
    <s v="establishment of synaptic vesicle localization"/>
  </r>
  <r>
    <x v="1"/>
    <x v="2"/>
    <s v="Ssiderea043935"/>
    <m/>
    <n v="5.9759807900000004"/>
    <n v="4.5156356400000002"/>
    <s v="Direct"/>
    <s v="Histone H1-delta-like"/>
  </r>
  <r>
    <x v="1"/>
    <x v="2"/>
    <s v="Ssiderea043958"/>
    <m/>
    <n v="-1.5577802000000001"/>
    <n v="-1.0192186000000001"/>
    <s v="Direct"/>
    <s v="NA"/>
  </r>
  <r>
    <x v="1"/>
    <x v="2"/>
    <s v="Ssiderea043968"/>
    <m/>
    <n v="-1.843548"/>
    <n v="-1.5305306999999999"/>
    <s v="Direct"/>
    <s v="ATPase activity, coupled to transmembrane movement of substances"/>
  </r>
  <r>
    <x v="1"/>
    <x v="2"/>
    <s v="Ssiderea043971"/>
    <m/>
    <n v="-8.9034294999999997"/>
    <n v="-9.4368122000000003"/>
    <s v="Direct"/>
    <s v="ATPase activity, coupled to transmembrane movement of substances"/>
  </r>
  <r>
    <x v="1"/>
    <x v="2"/>
    <s v="Ssiderea043984"/>
    <m/>
    <n v="-1.1115889000000001"/>
    <n v="-1.1065433"/>
    <s v="Direct"/>
    <s v="TENA/THI-4/PQQC family"/>
  </r>
  <r>
    <x v="1"/>
    <x v="2"/>
    <s v="Ssiderea044195"/>
    <m/>
    <n v="4.0821043899999996"/>
    <n v="4.1864174099999998"/>
    <s v="Direct"/>
    <s v="NA"/>
  </r>
  <r>
    <x v="1"/>
    <x v="2"/>
    <s v="Ssiderea044198"/>
    <m/>
    <n v="-1.4741827000000001"/>
    <n v="-1.2039913"/>
    <s v="Direct"/>
    <s v="NA"/>
  </r>
  <r>
    <x v="1"/>
    <x v="2"/>
    <s v="Ssiderea044228"/>
    <m/>
    <n v="-2.7006146000000002"/>
    <n v="-4.2171652000000002"/>
    <s v="Direct"/>
    <s v="Calcium-binding protein"/>
  </r>
  <r>
    <x v="1"/>
    <x v="2"/>
    <s v="Ssiderea044233"/>
    <m/>
    <n v="1.9364262999999999"/>
    <n v="1.4171634900000001"/>
    <s v="Direct"/>
    <s v="homeobox"/>
  </r>
  <r>
    <x v="1"/>
    <x v="2"/>
    <s v="Ssiderea044277"/>
    <m/>
    <n v="-1.1806677000000001"/>
    <n v="-1.4130684"/>
    <s v="Direct"/>
    <s v="UBA-like domain-containing protein 2"/>
  </r>
  <r>
    <x v="1"/>
    <x v="2"/>
    <s v="Ssiderea044451"/>
    <m/>
    <n v="-4.9955442000000003"/>
    <n v="-1.2134031000000001"/>
    <s v="Direct"/>
    <s v="NA"/>
  </r>
  <r>
    <x v="1"/>
    <x v="2"/>
    <s v="Ssiderea044458"/>
    <m/>
    <n v="2.8758537999999998"/>
    <n v="2.1262220200000002"/>
    <s v="Direct"/>
    <s v="Belongs to the small heat shock protein (HSP20) family"/>
  </r>
  <r>
    <x v="1"/>
    <x v="2"/>
    <s v="Ssiderea044485"/>
    <m/>
    <n v="4.2293438500000002"/>
    <n v="1.50036546"/>
    <s v="Direct"/>
    <s v="Autophagy-related protein 2 homolog"/>
  </r>
  <r>
    <x v="1"/>
    <x v="2"/>
    <s v="Ssiderea044505"/>
    <m/>
    <n v="-14.276999999999999"/>
    <n v="-14.290407999999999"/>
    <s v="Direct"/>
    <s v="intramolecular lyase activity"/>
  </r>
  <r>
    <x v="1"/>
    <x v="2"/>
    <s v="Ssiderea044528"/>
    <m/>
    <n v="-1.0249710000000001"/>
    <n v="-2.0922025999999998"/>
    <s v="Direct"/>
    <s v="NA"/>
  </r>
  <r>
    <x v="1"/>
    <x v="2"/>
    <s v="Ssiderea044606"/>
    <m/>
    <n v="7.3843212400000002"/>
    <n v="10.0507037"/>
    <s v="Direct"/>
    <s v="fumarate hydratase activity"/>
  </r>
  <r>
    <x v="1"/>
    <x v="2"/>
    <s v="Ssiderea044610"/>
    <m/>
    <n v="-1.4817663000000001"/>
    <n v="-1.4260676000000001"/>
    <s v="Direct"/>
    <s v="transmembrane receptor protein tyrosine kinase activity"/>
  </r>
  <r>
    <x v="1"/>
    <x v="2"/>
    <s v="Ssiderea044659"/>
    <m/>
    <n v="1.6577182800000001"/>
    <n v="2.0130599899999999"/>
    <s v="Direct"/>
    <s v="Malate dehydrogenase"/>
  </r>
  <r>
    <x v="1"/>
    <x v="2"/>
    <s v="Ssiderea044678"/>
    <m/>
    <n v="-7.5484952999999999"/>
    <n v="-9.9334933999999997"/>
    <s v="Direct"/>
    <s v="annexin A6"/>
  </r>
  <r>
    <x v="1"/>
    <x v="2"/>
    <s v="Ssiderea044682"/>
    <m/>
    <n v="1.9186501899999999"/>
    <n v="1.78059492"/>
    <s v="Direct"/>
    <s v="NA"/>
  </r>
  <r>
    <x v="1"/>
    <x v="2"/>
    <s v="Ssiderea044698"/>
    <m/>
    <n v="-1.1101916000000001"/>
    <n v="-1.0304218000000001"/>
    <s v="Direct"/>
    <s v="carbonate dehydratase activity"/>
  </r>
  <r>
    <x v="1"/>
    <x v="2"/>
    <s v="Ssiderea044727"/>
    <m/>
    <n v="-5.9313313000000001"/>
    <n v="-4.7556919999999998"/>
    <s v="Direct"/>
    <s v="NA"/>
  </r>
  <r>
    <x v="1"/>
    <x v="2"/>
    <s v="Ssiderea044761"/>
    <m/>
    <n v="2.2877503799999999"/>
    <n v="1.26847972"/>
    <s v="Direct"/>
    <s v="serine-type endopeptidase activity"/>
  </r>
  <r>
    <x v="1"/>
    <x v="2"/>
    <s v="Ssiderea044768"/>
    <m/>
    <n v="-3.0233827999999998"/>
    <n v="-2.487438"/>
    <s v="Direct"/>
    <s v="NA"/>
  </r>
  <r>
    <x v="1"/>
    <x v="2"/>
    <s v="Ssiderea044795"/>
    <m/>
    <n v="1.84913985"/>
    <n v="1.4015055999999999"/>
    <s v="Direct"/>
    <s v="alpha1-adrenergic receptor activity"/>
  </r>
  <r>
    <x v="1"/>
    <x v="2"/>
    <s v="Ssiderea044854"/>
    <m/>
    <n v="3.0632496100000002"/>
    <n v="3.81773359"/>
    <s v="Direct"/>
    <s v="Common central domain of tyrosinase"/>
  </r>
  <r>
    <x v="1"/>
    <x v="2"/>
    <s v="Ssiderea044860"/>
    <m/>
    <n v="1.31802832"/>
    <n v="1.3938386599999999"/>
    <s v="Direct"/>
    <s v="Ndr family"/>
  </r>
  <r>
    <x v="1"/>
    <x v="2"/>
    <s v="Ssiderea044868"/>
    <m/>
    <n v="-4.8125359000000003"/>
    <n v="-3.5317056"/>
    <s v="Direct"/>
    <s v="ammonium transmembrane transporter activity"/>
  </r>
  <r>
    <x v="1"/>
    <x v="2"/>
    <s v="Ssiderea044907"/>
    <m/>
    <n v="1.4008479300000001"/>
    <n v="2.2328058099999999"/>
    <s v="Direct"/>
    <s v="carbohydrate binding"/>
  </r>
  <r>
    <x v="1"/>
    <x v="2"/>
    <s v="Ssiderea044913"/>
    <m/>
    <n v="-2.1903923000000001"/>
    <n v="-1.1545331000000001"/>
    <s v="Direct"/>
    <s v="mannose binding"/>
  </r>
  <r>
    <x v="1"/>
    <x v="2"/>
    <s v="Ssiderea044931"/>
    <m/>
    <n v="9.6706822399999997"/>
    <n v="3.5538149899999998"/>
    <s v="Direct"/>
    <s v="bactericidal permeability-increasing protein"/>
  </r>
  <r>
    <x v="1"/>
    <x v="2"/>
    <s v="Ssiderea045051"/>
    <m/>
    <n v="-4.2473815999999998"/>
    <n v="-3.4505515999999998"/>
    <s v="Direct"/>
    <s v="MAC/Perforin domain"/>
  </r>
  <r>
    <x v="1"/>
    <x v="2"/>
    <s v="Ssiderea045096"/>
    <m/>
    <n v="-1.577445"/>
    <n v="-4.3381004000000001"/>
    <s v="Direct"/>
    <s v="chromatin remodeling"/>
  </r>
  <r>
    <x v="1"/>
    <x v="2"/>
    <s v="Ssiderea045223"/>
    <m/>
    <n v="3.6073185200000002"/>
    <n v="2.2854254699999998"/>
    <s v="Direct"/>
    <s v="ephrin receptor binding"/>
  </r>
  <r>
    <x v="1"/>
    <x v="2"/>
    <s v="Ssiderea045234"/>
    <m/>
    <n v="1.04647818"/>
    <n v="1.38164891"/>
    <s v="Direct"/>
    <s v="RNA recognition motif"/>
  </r>
  <r>
    <x v="1"/>
    <x v="2"/>
    <s v="Ssiderea045236"/>
    <m/>
    <n v="2.9308396499999998"/>
    <n v="1.9411704000000001"/>
    <s v="Direct"/>
    <s v="NA"/>
  </r>
  <r>
    <x v="1"/>
    <x v="2"/>
    <s v="Ssiderea045239"/>
    <m/>
    <n v="2.1280292200000002"/>
    <n v="1.1548596799999999"/>
    <s v="Direct"/>
    <s v="axonogenesis involved in innervation"/>
  </r>
  <r>
    <x v="1"/>
    <x v="2"/>
    <s v="Ssiderea045314"/>
    <m/>
    <n v="-2.2671372999999999"/>
    <n v="-2.1762630999999999"/>
    <s v="Direct"/>
    <s v="structural constituent of cuticle"/>
  </r>
  <r>
    <x v="1"/>
    <x v="2"/>
    <s v="Ssiderea045318"/>
    <m/>
    <n v="1.75434183"/>
    <n v="1.51018914"/>
    <s v="Direct"/>
    <s v="Belongs to the eIF-2B alpha beta delta subunits family. MtnA subfamily"/>
  </r>
  <r>
    <x v="1"/>
    <x v="2"/>
    <s v="Ssiderea045392"/>
    <m/>
    <n v="-2.2877504000000002"/>
    <n v="-2.3044004999999999"/>
    <s v="Direct"/>
    <s v="Uncharacterized conserved protein (DUF2152)"/>
  </r>
  <r>
    <x v="1"/>
    <x v="2"/>
    <s v="Ssiderea045427"/>
    <m/>
    <n v="-1.4952544999999999"/>
    <n v="-2.4591343000000001"/>
    <s v="Direct"/>
    <s v="ankyrin repeats"/>
  </r>
  <r>
    <x v="1"/>
    <x v="2"/>
    <s v="Ssiderea045446"/>
    <m/>
    <n v="-4.4541401"/>
    <n v="-1.6975849000000001"/>
    <s v="Direct"/>
    <s v="WD40 repeats"/>
  </r>
  <r>
    <x v="1"/>
    <x v="2"/>
    <s v="Ssiderea045518"/>
    <m/>
    <n v="-1.286951"/>
    <n v="-1.0609538000000001"/>
    <s v="Direct"/>
    <s v="Microtubule binding"/>
  </r>
  <r>
    <x v="1"/>
    <x v="2"/>
    <s v="Ssiderea045546"/>
    <m/>
    <n v="-5.1139520999999997"/>
    <n v="-6.4486552000000001"/>
    <s v="Direct"/>
    <s v="protein kinase activity"/>
  </r>
  <r>
    <x v="1"/>
    <x v="2"/>
    <s v="Ssiderea045582"/>
    <m/>
    <n v="-6.6985640000000002"/>
    <n v="-5.0273636000000002"/>
    <s v="Direct"/>
    <s v="N-glycan processing to lysosome"/>
  </r>
  <r>
    <x v="1"/>
    <x v="2"/>
    <s v="Ssiderea045603"/>
    <m/>
    <n v="-2.7879689999999999"/>
    <n v="-1.0194466"/>
    <s v="Direct"/>
    <s v="UTP:glucose-1-phosphate uridylyltransferase activity"/>
  </r>
  <r>
    <x v="1"/>
    <x v="2"/>
    <s v="Ssiderea045604"/>
    <m/>
    <n v="-1.0954499"/>
    <n v="-1.9189316000000001"/>
    <s v="Direct"/>
    <s v="microtubule motor activity"/>
  </r>
  <r>
    <x v="1"/>
    <x v="2"/>
    <s v="Ssiderea045672"/>
    <m/>
    <n v="-1.0222872999999999"/>
    <n v="-1.2532114000000001"/>
    <s v="Direct"/>
    <s v="NA"/>
  </r>
  <r>
    <x v="1"/>
    <x v="2"/>
    <s v="Ssiderea045692"/>
    <m/>
    <n v="1.6828249"/>
    <n v="1.32289542"/>
    <s v="Direct"/>
    <s v="NA"/>
  </r>
  <r>
    <x v="1"/>
    <x v="2"/>
    <s v="Ssiderea045876"/>
    <m/>
    <n v="2.9549254299999999"/>
    <n v="4.4363599599999999"/>
    <s v="Direct"/>
    <s v="Rab interacting lysosomal protein-like 1"/>
  </r>
  <r>
    <x v="1"/>
    <x v="2"/>
    <s v="Ssiderea045901"/>
    <m/>
    <n v="1.0643857400000001"/>
    <n v="2.3270571699999998"/>
    <s v="Direct"/>
    <s v="benzodiazepine receptor binding"/>
  </r>
  <r>
    <x v="1"/>
    <x v="2"/>
    <s v="Ssiderea045970"/>
    <m/>
    <n v="6.21141144"/>
    <n v="5.6798600199999996"/>
    <s v="Direct"/>
    <s v="NA"/>
  </r>
  <r>
    <x v="1"/>
    <x v="2"/>
    <s v="Ssiderea045996"/>
    <m/>
    <n v="-3.5167411999999998"/>
    <n v="-2.8330820999999999"/>
    <s v="Direct"/>
    <s v="FAD dependent oxidoreductase"/>
  </r>
  <r>
    <x v="1"/>
    <x v="2"/>
    <s v="Ssiderea046012"/>
    <m/>
    <n v="7.48366679"/>
    <n v="8.7998641000000006"/>
    <s v="Direct"/>
    <s v="diphosphoinositol polyphosphate catabolic process"/>
  </r>
  <r>
    <x v="1"/>
    <x v="2"/>
    <s v="Ssiderea046072"/>
    <m/>
    <n v="1.1315354900000001"/>
    <n v="4.4272286999999997"/>
    <s v="Direct"/>
    <s v="acetyltransferase activator activity"/>
  </r>
  <r>
    <x v="1"/>
    <x v="2"/>
    <s v="Ssiderea046213"/>
    <m/>
    <n v="2.1657304499999999"/>
    <n v="1.24024661"/>
    <s v="Direct"/>
    <s v="sphingolipid transporter activity"/>
  </r>
  <r>
    <x v="1"/>
    <x v="2"/>
    <s v="Ssiderea046269"/>
    <m/>
    <n v="-2.1752836000000002"/>
    <n v="-5.1842271999999996"/>
    <s v="Direct"/>
    <s v="Glutathione S-transferase kappa"/>
  </r>
  <r>
    <x v="1"/>
    <x v="2"/>
    <s v="Ssiderea046293"/>
    <m/>
    <n v="1.04641842"/>
    <n v="1.2546726399999999"/>
    <s v="Direct"/>
    <s v="NA"/>
  </r>
  <r>
    <x v="1"/>
    <x v="2"/>
    <s v="Ssiderea046295"/>
    <m/>
    <n v="-1.5089427"/>
    <n v="-2.5501211000000001"/>
    <s v="Direct"/>
    <s v="positive regulation of protein dephosphorylation"/>
  </r>
  <r>
    <x v="1"/>
    <x v="2"/>
    <s v="Ssiderea046327"/>
    <m/>
    <n v="-6.1605692000000003"/>
    <n v="-6.0653876000000002"/>
    <s v="Direct"/>
    <s v="NA"/>
  </r>
  <r>
    <x v="1"/>
    <x v="2"/>
    <s v="Ssiderea046337"/>
    <m/>
    <n v="-5.5780609999999999"/>
    <n v="-8.9059729999999995"/>
    <s v="Direct"/>
    <s v="cellular copper ion homeostasis"/>
  </r>
  <r>
    <x v="1"/>
    <x v="2"/>
    <s v="Ssiderea046375"/>
    <m/>
    <n v="2.1414672800000001"/>
    <n v="4.8389048299999997"/>
    <s v="Direct"/>
    <s v="EF-hand domain family, member"/>
  </r>
  <r>
    <x v="1"/>
    <x v="2"/>
    <s v="Ssiderea046376"/>
    <m/>
    <n v="-4.0821044000000004"/>
    <n v="-3.9829482"/>
    <s v="Direct"/>
    <s v="prostaglandin-F synthase activity"/>
  </r>
  <r>
    <x v="1"/>
    <x v="2"/>
    <s v="Ssiderea046401"/>
    <m/>
    <n v="1.6061571800000001"/>
    <n v="1.7320745399999999"/>
    <s v="Direct"/>
    <s v="positive regulation of Rho guanyl-nucleotide exchange factor activity"/>
  </r>
  <r>
    <x v="1"/>
    <x v="2"/>
    <s v="Ssiderea046465"/>
    <m/>
    <n v="1.04279828"/>
    <n v="1.19338799"/>
    <s v="Direct"/>
    <s v="Belongs to the peptidase M10A family"/>
  </r>
  <r>
    <x v="1"/>
    <x v="2"/>
    <s v="Ssiderea046533"/>
    <m/>
    <n v="-1.9768158"/>
    <n v="-2.5621141000000001"/>
    <s v="Direct"/>
    <s v="NA"/>
  </r>
  <r>
    <x v="1"/>
    <x v="2"/>
    <s v="Ssiderea046541"/>
    <m/>
    <n v="-1.9243458"/>
    <n v="-1.9672604"/>
    <s v="Direct"/>
    <s v="NA"/>
  </r>
  <r>
    <x v="1"/>
    <x v="2"/>
    <s v="Ssiderea046542"/>
    <m/>
    <n v="-2.3992415999999999"/>
    <n v="-2.5331579999999998"/>
    <s v="Direct"/>
    <s v="negative regulation of histone acetylation"/>
  </r>
  <r>
    <x v="1"/>
    <x v="2"/>
    <s v="Ssiderea046544"/>
    <m/>
    <n v="-1.1473377"/>
    <n v="-3.6433884000000001"/>
    <s v="Direct"/>
    <s v="negative regulation of histone acetylation"/>
  </r>
  <r>
    <x v="1"/>
    <x v="2"/>
    <s v="Ssiderea046604"/>
    <m/>
    <n v="-15.154221"/>
    <n v="-19.525714000000001"/>
    <s v="Direct"/>
    <s v="pantothenate transmembrane transport"/>
  </r>
  <r>
    <x v="1"/>
    <x v="2"/>
    <s v="Ssiderea046616"/>
    <m/>
    <n v="-4.2105892999999996"/>
    <n v="-1.0733716"/>
    <s v="Direct"/>
    <s v="Acyl-CoA synthetase long-chain family member"/>
  </r>
  <r>
    <x v="1"/>
    <x v="2"/>
    <s v="Ssiderea046648"/>
    <m/>
    <n v="1.30201547"/>
    <n v="1.08915363"/>
    <s v="Direct"/>
    <s v="NA"/>
  </r>
  <r>
    <x v="1"/>
    <x v="2"/>
    <s v="Ssiderea046650"/>
    <m/>
    <n v="-13.993631000000001"/>
    <n v="-6.9371330000000002"/>
    <s v="Direct"/>
    <s v="regulation of ectodermal cell fate specification"/>
  </r>
  <r>
    <x v="1"/>
    <x v="2"/>
    <s v="Ssiderea046656"/>
    <m/>
    <n v="2.3298481799999999"/>
    <n v="2.4797477799999998"/>
    <s v="Direct"/>
    <s v="Belongs to the G-protein coupled receptor Fz Smo family"/>
  </r>
  <r>
    <x v="1"/>
    <x v="2"/>
    <s v="Ssiderea046701"/>
    <m/>
    <n v="-1.1398458"/>
    <n v="-1.7460614000000001"/>
    <s v="Direct"/>
    <s v="DNA-directed 5'-3' RNA polymerase activity"/>
  </r>
  <r>
    <x v="1"/>
    <x v="2"/>
    <s v="Ssiderea046730"/>
    <m/>
    <n v="-1.3712124000000001"/>
    <n v="-2.1407137999999999"/>
    <s v="Direct"/>
    <s v="O-acyltransferase"/>
  </r>
  <r>
    <x v="1"/>
    <x v="2"/>
    <s v="Ssiderea046734"/>
    <m/>
    <n v="1.3395321"/>
    <n v="1.1806908199999999"/>
    <s v="Direct"/>
    <s v="centromere complex assembly"/>
  </r>
  <r>
    <x v="1"/>
    <x v="2"/>
    <s v="Ssiderea046872"/>
    <m/>
    <n v="-2.7351162000000002"/>
    <n v="-2.3237428000000002"/>
    <s v="Direct"/>
    <s v="pancreatic epsilon cell differentiation"/>
  </r>
  <r>
    <x v="1"/>
    <x v="2"/>
    <s v="Ssiderea046887"/>
    <m/>
    <n v="-1.1001847"/>
    <n v="-1.6952438000000001"/>
    <s v="Direct"/>
    <s v="negative regulation of fat cell proliferation"/>
  </r>
  <r>
    <x v="1"/>
    <x v="2"/>
    <s v="Ssiderea046918"/>
    <m/>
    <n v="-1.5312030999999999"/>
    <n v="-2.8063221"/>
    <s v="Direct"/>
    <s v="positive regulation of TOR signaling"/>
  </r>
  <r>
    <x v="1"/>
    <x v="2"/>
    <s v="Ssiderea046927"/>
    <m/>
    <n v="-3.3721147"/>
    <n v="-1.4992224000000001"/>
    <s v="Direct"/>
    <s v="P-loop containing NTP hydrolase pore-1"/>
  </r>
  <r>
    <x v="1"/>
    <x v="2"/>
    <s v="Ssiderea046938"/>
    <m/>
    <n v="-1.9190305000000001"/>
    <n v="-2.1160044999999998"/>
    <s v="Direct"/>
    <s v="Eukaryotic translation initiation factor 4A, isoform"/>
  </r>
  <r>
    <x v="1"/>
    <x v="2"/>
    <s v="Ssiderea046965"/>
    <m/>
    <n v="-1.4463501000000001"/>
    <n v="-1.7498066999999999"/>
    <s v="Direct"/>
    <s v="NA"/>
  </r>
  <r>
    <x v="1"/>
    <x v="2"/>
    <s v="Ssiderea046972"/>
    <m/>
    <n v="-1.7543418"/>
    <n v="-1.4247590000000001"/>
    <s v="Direct"/>
    <s v="NA"/>
  </r>
  <r>
    <x v="1"/>
    <x v="2"/>
    <s v="Ssiderea047070"/>
    <m/>
    <n v="-2.1870687000000002"/>
    <n v="-3.6236088"/>
    <s v="Direct"/>
    <s v="NA"/>
  </r>
  <r>
    <x v="1"/>
    <x v="2"/>
    <s v="Ssiderea047074"/>
    <m/>
    <n v="1.3283610699999999"/>
    <n v="1.6005100999999999"/>
    <s v="Direct"/>
    <s v="structural constituent of cuticle"/>
  </r>
  <r>
    <x v="1"/>
    <x v="2"/>
    <s v="Ssiderea047112"/>
    <m/>
    <n v="-1.9327116"/>
    <n v="-3.8707373"/>
    <s v="Direct"/>
    <s v="NA"/>
  </r>
  <r>
    <x v="1"/>
    <x v="2"/>
    <s v="Ssiderea047163"/>
    <m/>
    <n v="1.89106934"/>
    <n v="2.5484825799999999"/>
    <s v="Direct"/>
    <s v="NA"/>
  </r>
  <r>
    <x v="1"/>
    <x v="2"/>
    <s v="Ssiderea047229"/>
    <m/>
    <n v="-3.2317575999999999"/>
    <n v="-2.6073800999999999"/>
    <s v="Direct"/>
    <s v="NA"/>
  </r>
  <r>
    <x v="1"/>
    <x v="2"/>
    <s v="Ssiderea047239"/>
    <m/>
    <n v="3.1685894999999999"/>
    <n v="3.3141016400000001"/>
    <s v="Direct"/>
    <s v="brca1 gene 1"/>
  </r>
  <r>
    <x v="1"/>
    <x v="2"/>
    <s v="Ssiderea047391"/>
    <m/>
    <n v="1.9006685800000001"/>
    <n v="3.1782310800000002"/>
    <s v="Direct"/>
    <s v="May act as a scaffolding protein within caveolar membranes. Interacts directly with G-protein alpha subunits and can functionally regulate their activity"/>
  </r>
  <r>
    <x v="1"/>
    <x v="2"/>
    <s v="Ssiderea047401"/>
    <m/>
    <n v="-1.7199686000000001"/>
    <n v="-1.5155231"/>
    <s v="Direct"/>
    <s v="NA"/>
  </r>
  <r>
    <x v="1"/>
    <x v="2"/>
    <s v="Ssiderea047479"/>
    <m/>
    <n v="-1.6358652"/>
    <n v="-1.1065433"/>
    <s v="Direct"/>
    <s v="NA"/>
  </r>
  <r>
    <x v="1"/>
    <x v="2"/>
    <s v="Ssiderea047593"/>
    <m/>
    <n v="-7.5067608999999997"/>
    <n v="-4.9481225999999996"/>
    <s v="Direct"/>
    <s v="Hepatic leukemia factor"/>
  </r>
  <r>
    <x v="1"/>
    <x v="2"/>
    <s v="Ssiderea047594"/>
    <m/>
    <n v="-1.940755"/>
    <n v="-2.4778726"/>
    <s v="Direct"/>
    <s v="NA"/>
  </r>
  <r>
    <x v="1"/>
    <x v="2"/>
    <s v="Ssiderea047596"/>
    <m/>
    <n v="-8.2672343000000001"/>
    <n v="-12.451983"/>
    <s v="Direct"/>
    <s v="oxidoreductase activity, oxidizing metal ions with flavin as acceptor"/>
  </r>
  <r>
    <x v="1"/>
    <x v="2"/>
    <s v="Ssiderea047625"/>
    <m/>
    <n v="-1.1397056000000001"/>
    <n v="-1.3765923"/>
    <s v="Direct"/>
    <s v="ribosomal protein"/>
  </r>
  <r>
    <x v="1"/>
    <x v="2"/>
    <s v="Ssiderea047669"/>
    <m/>
    <n v="-1.3422498"/>
    <n v="-1.238151"/>
    <s v="Direct"/>
    <s v="Ribosomal RNA processing 8, methyltransferase, homolog (yeast)"/>
  </r>
  <r>
    <x v="1"/>
    <x v="2"/>
    <s v="Ssiderea047734"/>
    <m/>
    <n v="-5.7282506"/>
    <n v="-8.6824537999999993"/>
    <s v="Direct"/>
    <s v="NAD-dependent histone deacetylase activity (H4-K16 specific)"/>
  </r>
  <r>
    <x v="1"/>
    <x v="2"/>
    <s v="Ssiderea047810"/>
    <m/>
    <n v="1.4851526900000001"/>
    <n v="1.89729452"/>
    <s v="Direct"/>
    <s v="GTPase activity"/>
  </r>
  <r>
    <x v="1"/>
    <x v="2"/>
    <s v="Ssiderea047859"/>
    <m/>
    <n v="-3.001728"/>
    <n v="-4.1434898000000002"/>
    <s v="Direct"/>
    <s v="Belongs to the peptidase M10A family"/>
  </r>
  <r>
    <x v="1"/>
    <x v="2"/>
    <s v="Ssiderea047876"/>
    <m/>
    <n v="-3.1817161999999999"/>
    <n v="-3.7065975999999998"/>
    <s v="Direct"/>
    <s v="Protein of unknown function (DUF1298)"/>
  </r>
  <r>
    <x v="1"/>
    <x v="2"/>
    <s v="Ssiderea047895"/>
    <m/>
    <n v="-1.1792583999999999"/>
    <n v="-1.7744631"/>
    <s v="Direct"/>
    <s v="NA"/>
  </r>
  <r>
    <x v="1"/>
    <x v="2"/>
    <s v="Ssiderea047898"/>
    <m/>
    <n v="-7.4226542999999996"/>
    <n v="-11.995799999999999"/>
    <s v="Direct"/>
    <s v="transmembrane transport"/>
  </r>
  <r>
    <x v="1"/>
    <x v="2"/>
    <s v="Ssiderea047913"/>
    <m/>
    <n v="1.21668697"/>
    <n v="1.51557024"/>
    <s v="Direct"/>
    <s v="NA"/>
  </r>
  <r>
    <x v="1"/>
    <x v="2"/>
    <s v="Ssiderea047914"/>
    <m/>
    <n v="1.2783352800000001"/>
    <n v="1.1044681300000001"/>
    <s v="Direct"/>
    <s v="NA"/>
  </r>
  <r>
    <x v="1"/>
    <x v="2"/>
    <s v="Ssiderea047915"/>
    <m/>
    <n v="4.1845635999999997"/>
    <n v="8.5062825100000001"/>
    <s v="Direct"/>
    <s v="NA"/>
  </r>
  <r>
    <x v="1"/>
    <x v="2"/>
    <s v="Ssiderea048008"/>
    <m/>
    <n v="-1.9838629999999999"/>
    <n v="-1.6005100999999999"/>
    <s v="Direct"/>
    <s v="NA"/>
  </r>
  <r>
    <x v="1"/>
    <x v="2"/>
    <s v="Ssiderea048198"/>
    <m/>
    <n v="6.2308174899999997"/>
    <n v="6.4512948899999998"/>
    <s v="Direct"/>
    <s v="nucleotide-binding oligomerization domain containing 1 signaling pathway"/>
  </r>
  <r>
    <x v="1"/>
    <x v="2"/>
    <s v="Ssiderea048203"/>
    <m/>
    <n v="3.8687509499999999"/>
    <n v="2.6370531800000001"/>
    <s v="Direct"/>
    <s v="protein homodimerization activity"/>
  </r>
  <r>
    <x v="1"/>
    <x v="2"/>
    <s v="Ssiderea048360"/>
    <m/>
    <n v="8.4227492399999999"/>
    <n v="7.2882224899999999"/>
    <s v="Direct"/>
    <s v="Serpentine type 7TM GPCR chemoreceptor Srx"/>
  </r>
  <r>
    <x v="1"/>
    <x v="2"/>
    <s v="Ssiderea048476"/>
    <m/>
    <n v="1.32383769"/>
    <n v="2.2264411499999999"/>
    <s v="Direct"/>
    <s v="Alkaline ceramidase 3"/>
  </r>
  <r>
    <x v="1"/>
    <x v="2"/>
    <s v="Ssiderea048477"/>
    <m/>
    <n v="-1.2610258999999999"/>
    <n v="-2.6044432"/>
    <s v="Direct"/>
    <s v="pre-replicative complex assembly involved in nuclear cell cycle DNA replication"/>
  </r>
  <r>
    <x v="1"/>
    <x v="2"/>
    <s v="Ssiderea048486"/>
    <m/>
    <n v="2.1981066199999999"/>
    <n v="2.54166815"/>
    <s v="Direct"/>
    <s v="NA"/>
  </r>
  <r>
    <x v="1"/>
    <x v="2"/>
    <s v="Ssiderea048494"/>
    <m/>
    <n v="2.4498252300000001"/>
    <n v="2.7067494999999999"/>
    <s v="Direct"/>
    <s v="Translin-associated factor X-interacting N-terminus"/>
  </r>
  <r>
    <x v="1"/>
    <x v="2"/>
    <s v="Ssiderea048495"/>
    <m/>
    <n v="1.8861421199999999"/>
    <n v="1.7126035399999999"/>
    <s v="Direct"/>
    <s v="DnaJ molecular chaperone homology domain"/>
  </r>
  <r>
    <x v="1"/>
    <x v="2"/>
    <s v="Ssiderea048511"/>
    <m/>
    <n v="-1.9122612000000001"/>
    <n v="-2.5076499000000001"/>
    <s v="Direct"/>
    <s v="TMEM164 family"/>
  </r>
  <r>
    <x v="1"/>
    <x v="2"/>
    <s v="Ssiderea048518"/>
    <m/>
    <n v="6.5045741799999997"/>
    <n v="5.7248135700000002"/>
    <s v="Direct"/>
    <s v="thiosulfate sulfurtransferase activity"/>
  </r>
  <r>
    <x v="1"/>
    <x v="2"/>
    <s v="Ssiderea048519"/>
    <m/>
    <n v="1.28824918"/>
    <n v="1.3331339900000001"/>
    <s v="Direct"/>
    <s v="thiosulfate sulfurtransferase activity"/>
  </r>
  <r>
    <x v="1"/>
    <x v="2"/>
    <s v="Ssiderea048555"/>
    <m/>
    <n v="3.80706963"/>
    <n v="1.7966767299999999"/>
    <s v="Direct"/>
    <s v="Receptor-like tyrosine kinase"/>
  </r>
  <r>
    <x v="1"/>
    <x v="2"/>
    <s v="Ssiderea048575"/>
    <m/>
    <n v="1.4896938900000001"/>
    <n v="1.76035443"/>
    <s v="Direct"/>
    <s v="Protein tyrosine kinase"/>
  </r>
  <r>
    <x v="1"/>
    <x v="2"/>
    <s v="Ssiderea048793"/>
    <m/>
    <n v="-1.9832540000000001"/>
    <n v="-1.5450284000000001"/>
    <s v="Direct"/>
    <s v="Solute carrier family 35"/>
  </r>
  <r>
    <x v="1"/>
    <x v="2"/>
    <s v="Ssiderea048803"/>
    <m/>
    <n v="2.6721877200000002"/>
    <n v="2.3691723599999999"/>
    <s v="Direct"/>
    <s v="NA"/>
  </r>
  <r>
    <x v="1"/>
    <x v="2"/>
    <s v="Ssiderea048856"/>
    <m/>
    <n v="2.9075075300000002"/>
    <n v="3.67355483"/>
    <s v="Direct"/>
    <s v="Putative ephrin-receptor like"/>
  </r>
  <r>
    <x v="1"/>
    <x v="2"/>
    <s v="Ssiderea048861"/>
    <m/>
    <n v="-3.4598950999999998"/>
    <n v="-4.1360843000000003"/>
    <s v="Direct"/>
    <s v="NA"/>
  </r>
  <r>
    <x v="1"/>
    <x v="2"/>
    <s v="Ssiderea048936"/>
    <m/>
    <n v="-3.8330587"/>
    <n v="-2.5867868999999999"/>
    <s v="Direct"/>
    <s v="chromatin remodeling"/>
  </r>
  <r>
    <x v="1"/>
    <x v="2"/>
    <s v="Ssiderea049064"/>
    <m/>
    <n v="-2.2118365"/>
    <n v="-6.6224629999999998"/>
    <s v="Direct"/>
    <s v="Glutathione S-transferase, N-terminal domain"/>
  </r>
  <r>
    <x v="1"/>
    <x v="2"/>
    <s v="Ssiderea049112"/>
    <m/>
    <n v="1.38924662"/>
    <n v="2.9671869100000001"/>
    <s v="Direct"/>
    <s v="NA"/>
  </r>
  <r>
    <x v="1"/>
    <x v="2"/>
    <s v="Ssiderea049169"/>
    <m/>
    <n v="-1.7186322000000001"/>
    <n v="-2.5780370000000001"/>
    <s v="Direct"/>
    <s v="translation"/>
  </r>
  <r>
    <x v="1"/>
    <x v="2"/>
    <s v="Ssiderea049211"/>
    <m/>
    <n v="-1.0106149"/>
    <n v="-1.2474517000000001"/>
    <s v="Direct"/>
    <s v="Involved in intracellular signal transduction mediated by cytokines and growth factors. When associated with STAM, it suppresses DNA signaling upon stimulation by IL-2 and GM-CSF. Could be a direct effector of PI3-kinase in vesicular pathway via early end"/>
  </r>
  <r>
    <x v="1"/>
    <x v="2"/>
    <s v="Ssiderea049272"/>
    <m/>
    <n v="2.3326530399999998"/>
    <n v="1.2638492100000001"/>
    <s v="Direct"/>
    <s v="WD domain, G-beta repeat"/>
  </r>
  <r>
    <x v="1"/>
    <x v="2"/>
    <s v="Ssiderea049379"/>
    <m/>
    <n v="1.2345901699999999"/>
    <n v="1.22488979"/>
    <s v="Direct"/>
    <s v="ubiquitin conjugating enzyme binding"/>
  </r>
  <r>
    <x v="1"/>
    <x v="2"/>
    <s v="Ssiderea049392"/>
    <m/>
    <n v="-1.15195"/>
    <n v="-1.2485466999999999"/>
    <s v="Direct"/>
    <s v="Belongs to the peptidase C14A family"/>
  </r>
  <r>
    <x v="1"/>
    <x v="2"/>
    <s v="Ssiderea049434"/>
    <m/>
    <n v="-5.9389633000000002"/>
    <n v="-12.213371"/>
    <s v="Direct"/>
    <s v="respiratory chain complex III assembly"/>
  </r>
  <r>
    <x v="1"/>
    <x v="2"/>
    <s v="Ssiderea049437"/>
    <m/>
    <n v="5.87131267"/>
    <n v="7.2919749899999999"/>
    <s v="Direct"/>
    <s v="NA"/>
  </r>
  <r>
    <x v="1"/>
    <x v="2"/>
    <s v="Ssiderea049458"/>
    <m/>
    <n v="1.5749066700000001"/>
    <n v="1.15586667"/>
    <s v="Direct"/>
    <s v="peptidyl-prolyl cis-trans isomerase activity"/>
  </r>
  <r>
    <x v="1"/>
    <x v="2"/>
    <s v="Ssiderea049473"/>
    <m/>
    <n v="-1.3856018999999999"/>
    <n v="-1.1344026"/>
    <s v="Direct"/>
    <s v="Sulfotransferase family"/>
  </r>
  <r>
    <x v="1"/>
    <x v="2"/>
    <s v="Ssiderea049480"/>
    <m/>
    <n v="-5.0733153"/>
    <n v="-6.4486552000000001"/>
    <s v="Direct"/>
    <s v="Belongs to the short-chain dehydrogenases reductases (SDR) family"/>
  </r>
  <r>
    <x v="1"/>
    <x v="2"/>
    <s v="Ssiderea049489"/>
    <m/>
    <n v="2.58759015"/>
    <n v="3.6943607900000002"/>
    <s v="Direct"/>
    <s v="enhancer sequence-specific DNA binding"/>
  </r>
  <r>
    <x v="1"/>
    <x v="2"/>
    <s v="Ssiderea049588"/>
    <m/>
    <n v="1.8588320899999999"/>
    <n v="2.0900383499999999"/>
    <s v="Direct"/>
    <s v="tryptophan 5-monooxygenase activity"/>
  </r>
  <r>
    <x v="1"/>
    <x v="2"/>
    <s v="Ssiderea049612"/>
    <m/>
    <n v="-3.7357673"/>
    <n v="-4.1513682999999997"/>
    <s v="Direct"/>
    <s v="Belongs to the cyclin family"/>
  </r>
  <r>
    <x v="1"/>
    <x v="2"/>
    <s v="Ssiderea049615"/>
    <m/>
    <n v="-1.5563285"/>
    <n v="-2.5935516000000001"/>
    <s v="Direct"/>
    <s v="Zinc finger protein 593"/>
  </r>
  <r>
    <x v="1"/>
    <x v="2"/>
    <s v="Ssiderea049620"/>
    <m/>
    <n v="1.06064577"/>
    <n v="1.3051068699999999"/>
    <s v="Direct"/>
    <s v="NA"/>
  </r>
  <r>
    <x v="1"/>
    <x v="2"/>
    <s v="Ssiderea049646"/>
    <m/>
    <n v="2.2303880399999998"/>
    <n v="1.51552306"/>
    <s v="Direct"/>
    <s v="NA"/>
  </r>
  <r>
    <x v="1"/>
    <x v="2"/>
    <s v="Ssiderea049730"/>
    <m/>
    <n v="-2.2671372999999999"/>
    <n v="-1.0033443"/>
    <s v="Direct"/>
    <s v="copper ion homeostasis"/>
  </r>
  <r>
    <x v="1"/>
    <x v="2"/>
    <s v="Ssiderea049747"/>
    <m/>
    <n v="1.3213897699999999"/>
    <n v="1.1703109"/>
    <s v="Direct"/>
    <s v="NA"/>
  </r>
  <r>
    <x v="1"/>
    <x v="2"/>
    <s v="Ssiderea049766"/>
    <m/>
    <n v="2.4240984000000001"/>
    <n v="2.2743298699999999"/>
    <s v="Direct"/>
    <s v="Phosphatidylethanolamine-binding protein"/>
  </r>
  <r>
    <x v="1"/>
    <x v="2"/>
    <s v="Ssiderea050017"/>
    <m/>
    <n v="-3.1939405000000001"/>
    <n v="-3.8802550999999998"/>
    <s v="Direct"/>
    <s v="NA"/>
  </r>
  <r>
    <x v="1"/>
    <x v="2"/>
    <s v="Ssiderea050025"/>
    <m/>
    <n v="-1.9439226000000001"/>
    <n v="-3.0717778999999998"/>
    <s v="Direct"/>
    <s v="SMG6 nonsense mediated mRNA decay factor"/>
  </r>
  <r>
    <x v="1"/>
    <x v="2"/>
    <s v="Ssiderea050054"/>
    <m/>
    <n v="7.99267124"/>
    <n v="7.8052210500000001"/>
    <s v="Direct"/>
    <s v="Macrophage migration inhibitory"/>
  </r>
  <r>
    <x v="1"/>
    <x v="2"/>
    <s v="Ssiderea050105"/>
    <m/>
    <n v="4.6437087100000003"/>
    <n v="6.8827425399999997"/>
    <s v="Direct"/>
    <s v="NA"/>
  </r>
  <r>
    <x v="1"/>
    <x v="2"/>
    <s v="Ssiderea050180"/>
    <m/>
    <n v="1.07090219"/>
    <n v="1.7438719899999999"/>
    <s v="Direct"/>
    <s v="NA"/>
  </r>
  <r>
    <x v="1"/>
    <x v="2"/>
    <s v="Ssiderea050181"/>
    <m/>
    <n v="1.4109246"/>
    <n v="1.5757899900000001"/>
    <s v="Direct"/>
    <s v="cullin family protein binding"/>
  </r>
  <r>
    <x v="1"/>
    <x v="2"/>
    <s v="Ssiderea050215"/>
    <m/>
    <n v="-4.1066946"/>
    <n v="-3.2631777999999998"/>
    <s v="Direct"/>
    <s v="NA"/>
  </r>
  <r>
    <x v="1"/>
    <x v="2"/>
    <s v="Ssiderea050310"/>
    <m/>
    <n v="-1.4817315"/>
    <n v="-1.4111585"/>
    <s v="Direct"/>
    <s v="NA"/>
  </r>
  <r>
    <x v="1"/>
    <x v="2"/>
    <s v="Ssiderea050429"/>
    <m/>
    <n v="3.9910132200000001"/>
    <n v="6.4753856699999996"/>
    <s v="Direct"/>
    <s v="NA"/>
  </r>
  <r>
    <x v="1"/>
    <x v="2"/>
    <s v="Ssiderea050433"/>
    <m/>
    <n v="-2.5758863000000001"/>
    <n v="-3.6226918000000001"/>
    <s v="Direct"/>
    <s v="F-box LRR-repeat protein"/>
  </r>
  <r>
    <x v="1"/>
    <x v="2"/>
    <s v="Ssiderea050440"/>
    <m/>
    <n v="-1.3539334999999999"/>
    <n v="-2.5247068000000001"/>
    <s v="Direct"/>
    <s v="major facilitator superfamily"/>
  </r>
  <r>
    <x v="1"/>
    <x v="2"/>
    <s v="Ssiderea050441"/>
    <m/>
    <n v="-3.1756994999999999"/>
    <n v="-1.6991244999999999"/>
    <s v="Direct"/>
    <s v="NA"/>
  </r>
  <r>
    <x v="1"/>
    <x v="2"/>
    <s v="Ssiderea050453"/>
    <m/>
    <n v="-1.5473124"/>
    <n v="-2.2612306000000002"/>
    <s v="Direct"/>
    <s v="Belongs to the universal ribosomal protein uL1 family"/>
  </r>
  <r>
    <x v="1"/>
    <x v="2"/>
    <s v="Ssiderea050455"/>
    <m/>
    <n v="5.4230477099999996"/>
    <n v="2.7659637799999999"/>
    <s v="Direct"/>
    <s v="PRELI domain-containing protein 2"/>
  </r>
  <r>
    <x v="1"/>
    <x v="2"/>
    <s v="Ssiderea050458"/>
    <m/>
    <n v="-2.1661296999999999"/>
    <n v="-1.4565813999999999"/>
    <s v="Direct"/>
    <s v="NA"/>
  </r>
  <r>
    <x v="1"/>
    <x v="2"/>
    <s v="Ssiderea050459"/>
    <m/>
    <n v="-1.3078974999999999"/>
    <n v="-1.261404"/>
    <s v="Direct"/>
    <s v="NA"/>
  </r>
  <r>
    <x v="1"/>
    <x v="2"/>
    <s v="Ssiderea050555"/>
    <m/>
    <n v="-1.4793065999999999"/>
    <n v="-2.7649805999999999"/>
    <s v="Direct"/>
    <s v="Sodium:neurotransmitter symporter family"/>
  </r>
  <r>
    <x v="1"/>
    <x v="2"/>
    <s v="Ssiderea050758"/>
    <m/>
    <n v="1.0489329999999999"/>
    <n v="1.49889125"/>
    <s v="Direct"/>
    <s v="NA"/>
  </r>
  <r>
    <x v="1"/>
    <x v="2"/>
    <s v="Ssiderea050779"/>
    <m/>
    <n v="1.3159467300000001"/>
    <n v="1.37258331"/>
    <s v="Direct"/>
    <s v="NA"/>
  </r>
  <r>
    <x v="1"/>
    <x v="2"/>
    <s v="Ssiderea050788"/>
    <m/>
    <n v="19.013351499999999"/>
    <n v="9.6768982300000008"/>
    <s v="Direct"/>
    <s v="NA"/>
  </r>
  <r>
    <x v="1"/>
    <x v="2"/>
    <s v="Ssiderea050800"/>
    <m/>
    <n v="3.11333905"/>
    <n v="5.2763696800000002"/>
    <s v="Direct"/>
    <s v="regulation of copper ion transmembrane transport"/>
  </r>
  <r>
    <x v="1"/>
    <x v="2"/>
    <s v="Ssiderea050924"/>
    <m/>
    <n v="-2.313971"/>
    <n v="-3.6621497000000001"/>
    <s v="Direct"/>
    <s v="maturation of SSU-rRNA from tricistronic rRNA transcript (SSU-rRNA, 5.8S rRNA, LSU-rRNA)"/>
  </r>
  <r>
    <x v="1"/>
    <x v="2"/>
    <s v="Ssiderea050946"/>
    <m/>
    <n v="1.24656751"/>
    <n v="1.08915363"/>
    <s v="Direct"/>
    <s v="NA"/>
  </r>
  <r>
    <x v="1"/>
    <x v="2"/>
    <s v="Ssiderea050947"/>
    <m/>
    <n v="6.8848763499999999"/>
    <n v="5.6384310600000003"/>
    <s v="Direct"/>
    <s v="NA"/>
  </r>
  <r>
    <x v="1"/>
    <x v="2"/>
    <s v="Ssiderea051123"/>
    <m/>
    <n v="1.2066506400000001"/>
    <n v="2.0032860299999999"/>
    <s v="Direct"/>
    <s v="7SK snRNA binding"/>
  </r>
  <r>
    <x v="1"/>
    <x v="2"/>
    <s v="Ssiderea051137"/>
    <m/>
    <n v="-7.6636113000000003"/>
    <n v="-5.1159730999999997"/>
    <s v="Direct"/>
    <s v="recombination hotspot binding"/>
  </r>
  <r>
    <x v="1"/>
    <x v="2"/>
    <s v="Ssiderea051151"/>
    <m/>
    <n v="3.5651686800000002"/>
    <n v="3.8914950199999998"/>
    <s v="Direct"/>
    <s v="calcium ion-regulated exocytosis of neurotransmitter"/>
  </r>
  <r>
    <x v="1"/>
    <x v="2"/>
    <s v="Ssiderea051173"/>
    <m/>
    <n v="-3.2128890000000001"/>
    <n v="-6.8209192999999999"/>
    <s v="Direct"/>
    <s v="histone H4-K16 acetylation"/>
  </r>
  <r>
    <x v="1"/>
    <x v="2"/>
    <s v="Ssiderea051176"/>
    <m/>
    <n v="4.1854313300000001"/>
    <n v="2.7846240400000002"/>
    <s v="Direct"/>
    <s v="Ubiquitin-2 like Rad60 SUMO-like"/>
  </r>
  <r>
    <x v="1"/>
    <x v="2"/>
    <s v="Ssiderea051177"/>
    <m/>
    <n v="-1.3333967"/>
    <n v="-2.1356842"/>
    <s v="Direct"/>
    <s v="tRNA C5-cytosine methylation"/>
  </r>
  <r>
    <x v="1"/>
    <x v="2"/>
    <s v="Ssiderea051213"/>
    <m/>
    <n v="-3.6529495000000001"/>
    <n v="-3.3658022000000001"/>
    <s v="Direct"/>
    <s v="Component of the transcription regulatory histone acetylation (HAT) complex SAGA, a multiprotein complex that activates transcription by remodeling chromatin and mediating histone acetylation and deubiquitination. Within the SAGA complex, participates in "/>
  </r>
  <r>
    <x v="1"/>
    <x v="2"/>
    <s v="Ssiderea051243"/>
    <m/>
    <n v="1.73770578"/>
    <n v="2.2795601300000001"/>
    <s v="Direct"/>
    <s v="NA"/>
  </r>
  <r>
    <x v="1"/>
    <x v="2"/>
    <s v="Ssiderea051264"/>
    <m/>
    <n v="-15.772913000000001"/>
    <n v="-21.505223000000001"/>
    <s v="Direct"/>
    <s v="structural constituent of cytoskeleton"/>
  </r>
  <r>
    <x v="1"/>
    <x v="2"/>
    <s v="Ssiderea051431"/>
    <m/>
    <n v="2.80177269"/>
    <n v="2.00393987"/>
    <s v="Direct"/>
    <s v="glycerate dehydrogenase activity"/>
  </r>
  <r>
    <x v="1"/>
    <x v="2"/>
    <s v="Ssiderea051440"/>
    <m/>
    <n v="-1.5443597"/>
    <n v="-1.0101929999999999"/>
    <s v="Direct"/>
    <s v="NA"/>
  </r>
  <r>
    <x v="1"/>
    <x v="2"/>
    <s v="Ssiderea051443"/>
    <m/>
    <n v="-1.2198038"/>
    <n v="-2.2816966999999999"/>
    <s v="Direct"/>
    <s v="ribosomal large subunit assembly"/>
  </r>
  <r>
    <x v="1"/>
    <x v="2"/>
    <s v="Ssiderea051574"/>
    <m/>
    <n v="1.3395321"/>
    <n v="1.69421825"/>
    <s v="Direct"/>
    <s v="Secreted frizzled-related protein"/>
  </r>
  <r>
    <x v="1"/>
    <x v="2"/>
    <s v="Ssiderea051622"/>
    <m/>
    <n v="1.39891648"/>
    <n v="1.6400713600000001"/>
    <s v="Direct"/>
    <s v="RNA binding motif protein"/>
  </r>
  <r>
    <x v="1"/>
    <x v="2"/>
    <s v="Ssiderea051670"/>
    <m/>
    <n v="-1.4888713"/>
    <n v="-5.6056533999999996"/>
    <s v="Direct"/>
    <s v="ADP biosynthetic process"/>
  </r>
  <r>
    <x v="1"/>
    <x v="2"/>
    <s v="Ssiderea051699"/>
    <m/>
    <n v="3.3001836199999999"/>
    <n v="4.0362118599999999"/>
    <s v="Direct"/>
    <s v="transferase activity"/>
  </r>
  <r>
    <x v="1"/>
    <x v="2"/>
    <s v="Ssiderea051703"/>
    <m/>
    <n v="2.9916871600000001"/>
    <n v="4.1134751500000002"/>
    <s v="Direct"/>
    <s v="Glutathione S-transferase, C-terminal domain"/>
  </r>
  <r>
    <x v="1"/>
    <x v="2"/>
    <s v="Ssiderea051704"/>
    <m/>
    <n v="5.6046958800000004"/>
    <n v="6.69262479"/>
    <s v="Direct"/>
    <s v="Glutathione S-transferase, C-terminal domain"/>
  </r>
  <r>
    <x v="1"/>
    <x v="2"/>
    <s v="Ssiderea051780"/>
    <m/>
    <n v="-7.1668802999999999"/>
    <n v="-8.1402608999999995"/>
    <s v="Direct"/>
    <s v="NA"/>
  </r>
  <r>
    <x v="1"/>
    <x v="2"/>
    <s v="Ssiderea051783"/>
    <m/>
    <n v="-1.7192164000000001"/>
    <n v="-1.0214935999999999"/>
    <s v="Direct"/>
    <s v="regulation of cohesin loading"/>
  </r>
  <r>
    <x v="1"/>
    <x v="2"/>
    <s v="Ssiderea051795"/>
    <m/>
    <n v="-2.3061134999999999"/>
    <n v="-1.1601891"/>
    <s v="Direct"/>
    <s v="Glycosyl hydrolase family 20, catalytic domain"/>
  </r>
  <r>
    <x v="1"/>
    <x v="2"/>
    <s v="Ssiderea051803"/>
    <m/>
    <n v="-1.4888713"/>
    <n v="-1.8584584"/>
    <s v="Direct"/>
    <s v="Belongs to the fatty acid desaturase type 1 family"/>
  </r>
  <r>
    <x v="1"/>
    <x v="2"/>
    <s v="Ssiderea051804"/>
    <m/>
    <n v="-2.6460219"/>
    <n v="-3.6029738"/>
    <s v="Direct"/>
    <s v="Fatty acid desaturase"/>
  </r>
  <r>
    <x v="1"/>
    <x v="2"/>
    <s v="Ssiderea051895"/>
    <m/>
    <n v="3.1817161999999999"/>
    <n v="2.1044654199999999"/>
    <s v="Direct"/>
    <s v="[heparan sulfate]-glucosamine N-sulfotransferase activity"/>
  </r>
  <r>
    <x v="1"/>
    <x v="2"/>
    <s v="Ssiderea052005"/>
    <m/>
    <n v="2.8119184100000001"/>
    <n v="1.6079761299999999"/>
    <s v="Direct"/>
    <s v="GTP-specific succinyl-CoA synthetase functions in the citric acid cycle (TCA), coupling the hydrolysis of succinyl-CoA to the synthesis of GTP and thus represents the only step of substrate-level phosphorylation in the TCA. The beta subunit provides nucle"/>
  </r>
  <r>
    <x v="1"/>
    <x v="2"/>
    <s v="Ssiderea052025"/>
    <m/>
    <n v="2.5933196999999999"/>
    <n v="3.12616205"/>
    <s v="Direct"/>
    <s v="Carboxypeptidase"/>
  </r>
  <r>
    <x v="1"/>
    <x v="2"/>
    <s v="Ssiderea052048"/>
    <m/>
    <n v="1.24844249"/>
    <n v="1.0918244500000001"/>
    <s v="Direct"/>
    <s v="Carboxypeptidase"/>
  </r>
  <r>
    <x v="1"/>
    <x v="2"/>
    <s v="Ssiderea052054"/>
    <m/>
    <n v="2.1766210799999999"/>
    <n v="2.54371977"/>
    <s v="Direct"/>
    <s v="Carboxypeptidase"/>
  </r>
  <r>
    <x v="1"/>
    <x v="2"/>
    <s v="Ssiderea052111"/>
    <m/>
    <n v="1.95654152"/>
    <n v="1.54312453"/>
    <s v="Direct"/>
    <s v="GTPase regulator activity"/>
  </r>
  <r>
    <x v="1"/>
    <x v="2"/>
    <s v="Ssiderea052201"/>
    <m/>
    <n v="1.7080470800000001"/>
    <n v="3.5990453100000002"/>
    <s v="Direct"/>
    <s v="dioxygenase activity"/>
  </r>
  <r>
    <x v="1"/>
    <x v="2"/>
    <s v="Ssiderea052213"/>
    <m/>
    <n v="1.13970561"/>
    <n v="2.3908572100000001"/>
    <s v="Direct"/>
    <s v="NA"/>
  </r>
  <r>
    <x v="1"/>
    <x v="2"/>
    <s v="Ssiderea052229"/>
    <m/>
    <n v="8.4163946099999993"/>
    <n v="5.4200744700000003"/>
    <s v="Direct"/>
    <s v="NA"/>
  </r>
  <r>
    <x v="1"/>
    <x v="2"/>
    <s v="Ssiderea052255"/>
    <m/>
    <n v="-2.6892971000000001"/>
    <n v="-2.6194747"/>
    <s v="Direct"/>
    <s v="RNA polymerase II sequence-specific DNA-binding transcription factor binding"/>
  </r>
  <r>
    <x v="1"/>
    <x v="2"/>
    <s v="Ssiderea052343"/>
    <m/>
    <n v="1.77025418"/>
    <n v="1.25831373"/>
    <s v="Direct"/>
    <s v="Src homology 3 domains"/>
  </r>
  <r>
    <x v="1"/>
    <x v="2"/>
    <s v="Ssiderea052352"/>
    <m/>
    <n v="-2.5939290000000002"/>
    <n v="-3.7943129"/>
    <s v="Direct"/>
    <s v="ITP binding"/>
  </r>
  <r>
    <x v="1"/>
    <x v="2"/>
    <s v="Ssiderea052394"/>
    <m/>
    <n v="2.6335064400000001"/>
    <n v="2.2364829099999999"/>
    <s v="Direct"/>
    <s v="NA"/>
  </r>
  <r>
    <x v="1"/>
    <x v="2"/>
    <s v="Ssiderea052473"/>
    <m/>
    <n v="5.3595283"/>
    <n v="4.6365871600000004"/>
    <s v="Direct"/>
    <s v="Cupin-like domain"/>
  </r>
  <r>
    <x v="1"/>
    <x v="2"/>
    <s v="Ssiderea052474"/>
    <m/>
    <n v="1.84880369"/>
    <n v="1.9703356700000001"/>
    <s v="Direct"/>
    <s v="NA"/>
  </r>
  <r>
    <x v="1"/>
    <x v="2"/>
    <s v="Ssiderea052522"/>
    <m/>
    <n v="1.24844249"/>
    <n v="1.79448086"/>
    <s v="Direct"/>
    <s v="NA"/>
  </r>
  <r>
    <x v="1"/>
    <x v="2"/>
    <s v="Ssiderea052550"/>
    <m/>
    <n v="-1.3910484999999999"/>
    <n v="-3.0682455000000002"/>
    <s v="Direct"/>
    <s v="protein localization to nucleolus"/>
  </r>
  <r>
    <x v="1"/>
    <x v="2"/>
    <s v="Ssiderea052606"/>
    <m/>
    <n v="-1.7516368"/>
    <n v="-1.8961075999999999"/>
    <s v="Direct"/>
    <s v="zinc transporter"/>
  </r>
  <r>
    <x v="1"/>
    <x v="2"/>
    <s v="Ssiderea052612"/>
    <m/>
    <n v="-2.406399"/>
    <n v="-1.9702952"/>
    <s v="Direct"/>
    <s v="zinc transporter"/>
  </r>
  <r>
    <x v="1"/>
    <x v="2"/>
    <s v="Ssiderea052625"/>
    <m/>
    <n v="2.13338603"/>
    <n v="1.3234809300000001"/>
    <s v="Direct"/>
    <s v="protein disulfide isomerase activity"/>
  </r>
  <r>
    <x v="1"/>
    <x v="2"/>
    <s v="Ssiderea052652"/>
    <m/>
    <n v="3.7859432900000001"/>
    <n v="2.6806586000000001"/>
    <s v="Direct"/>
    <s v="Protein disulfide isomerase family A member 4"/>
  </r>
  <r>
    <x v="1"/>
    <x v="2"/>
    <s v="Ssiderea052690"/>
    <m/>
    <n v="-2.6130643"/>
    <n v="-7.4885453999999996"/>
    <s v="Direct"/>
    <s v="NA"/>
  </r>
  <r>
    <x v="1"/>
    <x v="2"/>
    <s v="Ssiderea052692"/>
    <m/>
    <n v="-3.4914907999999998"/>
    <n v="-7.4546884000000002"/>
    <s v="Direct"/>
    <s v="26s proteasome non-ATPase regulatory subunit"/>
  </r>
  <r>
    <x v="1"/>
    <x v="2"/>
    <s v="Ssiderea052812"/>
    <m/>
    <n v="2.3202463799999999"/>
    <n v="1.6579257700000001"/>
    <s v="Direct"/>
    <s v="mitochondrial translation"/>
  </r>
  <r>
    <x v="1"/>
    <x v="2"/>
    <s v="Ssiderea052852"/>
    <m/>
    <n v="-1.3395321"/>
    <n v="-3.2266682000000002"/>
    <s v="Direct"/>
    <s v="rRNA (pseudouridine) methyltransferase activity"/>
  </r>
  <r>
    <x v="1"/>
    <x v="2"/>
    <s v="Ssiderea052859"/>
    <m/>
    <n v="1.55778018"/>
    <n v="1.1669276500000001"/>
    <s v="Direct"/>
    <s v="NA"/>
  </r>
  <r>
    <x v="1"/>
    <x v="2"/>
    <s v="Ssiderea052863"/>
    <m/>
    <n v="2.6721877200000002"/>
    <n v="2.4545807700000002"/>
    <s v="Direct"/>
    <s v="NA"/>
  </r>
  <r>
    <x v="1"/>
    <x v="2"/>
    <s v="Ssiderea052866"/>
    <m/>
    <n v="3.8138411699999999"/>
    <n v="2.7058579100000002"/>
    <s v="Direct"/>
    <s v="NA"/>
  </r>
  <r>
    <x v="1"/>
    <x v="2"/>
    <s v="Ssiderea052904"/>
    <m/>
    <n v="-3.1881371000000001"/>
    <n v="-3.0572968999999999"/>
    <s v="Direct"/>
    <s v="nucleic acid-templated transcription"/>
  </r>
  <r>
    <x v="1"/>
    <x v="2"/>
    <s v="Ssiderea052941"/>
    <m/>
    <n v="-1.7154305000000001"/>
    <n v="-1.2975989999999999"/>
    <s v="Direct"/>
    <s v="NA"/>
  </r>
  <r>
    <x v="1"/>
    <x v="2"/>
    <s v="Ssiderea052942"/>
    <m/>
    <n v="-1.8566931"/>
    <n v="-2.6640809999999999"/>
    <s v="Direct"/>
    <s v="TENA/THI-4/PQQC family"/>
  </r>
  <r>
    <x v="1"/>
    <x v="2"/>
    <s v="Ssiderea052944"/>
    <m/>
    <n v="-1.6946942"/>
    <n v="-2.5651544999999998"/>
    <s v="Direct"/>
    <s v="mitochondrial fusion"/>
  </r>
  <r>
    <x v="1"/>
    <x v="2"/>
    <s v="Ssiderea052948"/>
    <m/>
    <n v="3.1295365400000001"/>
    <n v="1.96619553"/>
    <s v="Direct"/>
    <s v="NA"/>
  </r>
  <r>
    <x v="1"/>
    <x v="2"/>
    <s v="Ssiderea052982"/>
    <m/>
    <n v="-2.0777480000000002"/>
    <n v="-1.8635486999999999"/>
    <s v="Direct"/>
    <s v="NA"/>
  </r>
  <r>
    <x v="1"/>
    <x v="2"/>
    <s v="Ssiderea052983"/>
    <m/>
    <n v="-2.6890212"/>
    <n v="-1.5947252999999999"/>
    <s v="Direct"/>
    <s v="transmembrane signaling receptor activity. It is involved in the biological process described with cell surface receptor signaling pathway"/>
  </r>
  <r>
    <x v="1"/>
    <x v="2"/>
    <s v="Ssiderea053049"/>
    <m/>
    <n v="1.68452201"/>
    <n v="1.9691198400000001"/>
    <s v="Direct"/>
    <s v="adherens junction organization"/>
  </r>
  <r>
    <x v="1"/>
    <x v="2"/>
    <s v="Ssiderea053078"/>
    <m/>
    <n v="-1.4293184999999999"/>
    <n v="-1.4407053999999999"/>
    <s v="Direct"/>
    <s v="quercetin 2,3-dioxygenase activity"/>
  </r>
  <r>
    <x v="1"/>
    <x v="2"/>
    <s v="Ssiderea053080"/>
    <m/>
    <n v="6.2537997000000001"/>
    <n v="8.1819826899999999"/>
    <s v="Direct"/>
    <s v="Malic enzyme"/>
  </r>
  <r>
    <x v="1"/>
    <x v="2"/>
    <s v="Ssiderea053134"/>
    <m/>
    <n v="-2.4241576999999999"/>
    <n v="-1.5428169"/>
    <s v="Direct"/>
    <s v="Collagen, type VI, alpha 6"/>
  </r>
  <r>
    <x v="1"/>
    <x v="2"/>
    <s v="Ssiderea053141"/>
    <m/>
    <n v="-3.5521921000000001"/>
    <n v="-1.744602"/>
    <s v="Direct"/>
    <s v="biological adhesion"/>
  </r>
  <r>
    <x v="1"/>
    <x v="2"/>
    <s v="Ssiderea053152"/>
    <m/>
    <n v="-2.2044321999999998"/>
    <n v="-1.3166384"/>
    <s v="Direct"/>
    <s v="NA"/>
  </r>
  <r>
    <x v="1"/>
    <x v="2"/>
    <s v="Ssiderea053153"/>
    <m/>
    <n v="-1.5426321000000001"/>
    <n v="-1.5534865"/>
    <s v="Direct"/>
    <s v="Collagen alpha-4(VI) chain-like"/>
  </r>
  <r>
    <x v="1"/>
    <x v="2"/>
    <s v="Ssiderea053157"/>
    <m/>
    <n v="-6.5854647999999996"/>
    <n v="-6.9151758000000001"/>
    <s v="Direct"/>
    <s v="Collagen alpha-5(VI)"/>
  </r>
  <r>
    <x v="1"/>
    <x v="2"/>
    <s v="Ssiderea053245"/>
    <m/>
    <n v="-1.0364967"/>
    <n v="-2.1935011000000002"/>
    <s v="Direct"/>
    <s v="mRNA processing"/>
  </r>
  <r>
    <x v="1"/>
    <x v="2"/>
    <s v="Ssiderea053264"/>
    <m/>
    <n v="-2.5538983000000002"/>
    <n v="-1.6178195"/>
    <s v="Direct"/>
    <s v="glutamate synthase (NADH) activity. It is involved in the biological process described with oxidation-reduction process"/>
  </r>
  <r>
    <x v="1"/>
    <x v="2"/>
    <s v="Ssiderea053276"/>
    <m/>
    <n v="1.0933025599999999"/>
    <n v="1.2488315699999999"/>
    <s v="Direct"/>
    <s v="NA"/>
  </r>
  <r>
    <x v="1"/>
    <x v="2"/>
    <s v="Ssiderea053362"/>
    <m/>
    <n v="5.04072342"/>
    <n v="4.8681884599999998"/>
    <s v="Direct"/>
    <s v="Common central domain of tyrosinase"/>
  </r>
  <r>
    <x v="1"/>
    <x v="2"/>
    <s v="Ssiderea053364"/>
    <m/>
    <n v="2.9902355200000001"/>
    <n v="2.74297798"/>
    <s v="Direct"/>
    <s v="Common central domain of tyrosinase"/>
  </r>
  <r>
    <x v="1"/>
    <x v="2"/>
    <s v="Ssiderea053367"/>
    <m/>
    <n v="1.77735982"/>
    <n v="1.35789523"/>
    <s v="Direct"/>
    <s v="Common central domain of tyrosinase"/>
  </r>
  <r>
    <x v="1"/>
    <x v="2"/>
    <s v="Ssiderea053371"/>
    <m/>
    <n v="3.08439401"/>
    <n v="1.81878593"/>
    <s v="Direct"/>
    <s v="Common central domain of tyrosinase"/>
  </r>
  <r>
    <x v="1"/>
    <x v="2"/>
    <s v="Ssiderea053531"/>
    <m/>
    <n v="1.0122678700000001"/>
    <n v="1.0139587699999999"/>
    <s v="Direct"/>
    <s v="Common central domain of tyrosinase"/>
  </r>
  <r>
    <x v="1"/>
    <x v="2"/>
    <s v="Ssiderea053590"/>
    <m/>
    <n v="-13.837192999999999"/>
    <n v="-13.552839000000001"/>
    <s v="Direct"/>
    <s v="ATPase activity, coupled to transmembrane movement of substances"/>
  </r>
  <r>
    <x v="1"/>
    <x v="2"/>
    <s v="Ssiderea053631"/>
    <m/>
    <n v="-6.7870726000000001"/>
    <n v="-4.9928075999999999"/>
    <s v="Direct"/>
    <s v="cytoskeletal anchoring at nuclear membrane"/>
  </r>
  <r>
    <x v="1"/>
    <x v="2"/>
    <s v="Ssiderea053633"/>
    <m/>
    <n v="-9.8708533999999997"/>
    <n v="-5.4812843000000004"/>
    <s v="Direct"/>
    <s v="Von Willebrand factor"/>
  </r>
  <r>
    <x v="1"/>
    <x v="2"/>
    <s v="Ssiderea053647"/>
    <m/>
    <n v="-2.1019497"/>
    <n v="-2.3954236999999998"/>
    <s v="Direct"/>
    <s v="solute carrier family 35, member D3"/>
  </r>
  <r>
    <x v="1"/>
    <x v="2"/>
    <s v="Ssiderea053680"/>
    <m/>
    <n v="-1.9321767000000001"/>
    <n v="-5.0648407999999998"/>
    <s v="Direct"/>
    <s v="Deoxyribodipyrimidine photo-lyase activity. It is involved in the biological process described with DNA repair"/>
  </r>
  <r>
    <x v="1"/>
    <x v="2"/>
    <s v="Ssiderea053724"/>
    <m/>
    <n v="1.29447957"/>
    <n v="1.4480610300000001"/>
    <s v="Direct"/>
    <s v="NA"/>
  </r>
  <r>
    <x v="1"/>
    <x v="2"/>
    <s v="Ssiderea053753"/>
    <m/>
    <n v="1.53167334"/>
    <n v="3.41103391"/>
    <s v="Direct"/>
    <s v="ATPase activity"/>
  </r>
  <r>
    <x v="1"/>
    <x v="2"/>
    <s v="Ssiderea053777"/>
    <m/>
    <n v="3.01214147"/>
    <n v="3.2338555200000001"/>
    <s v="Direct"/>
    <s v="actin monomer binding"/>
  </r>
  <r>
    <x v="1"/>
    <x v="2"/>
    <s v="Ssiderea053812"/>
    <m/>
    <n v="-6.9613262999999996"/>
    <n v="-5.1942542999999999"/>
    <s v="Direct"/>
    <s v="ubiquitin binding"/>
  </r>
  <r>
    <x v="1"/>
    <x v="2"/>
    <s v="Ssiderea053815"/>
    <m/>
    <n v="1.97236594"/>
    <n v="1.4020097199999999"/>
    <s v="Direct"/>
    <s v="heat shock"/>
  </r>
  <r>
    <x v="1"/>
    <x v="2"/>
    <s v="Ssiderea053828"/>
    <m/>
    <n v="14.598974399999999"/>
    <n v="21.278112799999999"/>
    <s v="Direct"/>
    <s v="NA"/>
  </r>
  <r>
    <x v="1"/>
    <x v="2"/>
    <s v="Ssiderea054015"/>
    <m/>
    <n v="-6.0759131000000002"/>
    <n v="-3.9701187"/>
    <s v="Direct"/>
    <s v="NA"/>
  </r>
  <r>
    <x v="1"/>
    <x v="2"/>
    <s v="Ssiderea054119"/>
    <m/>
    <n v="1.04988755"/>
    <n v="1.11553956"/>
    <s v="Direct"/>
    <s v="NA"/>
  </r>
  <r>
    <x v="1"/>
    <x v="2"/>
    <s v="Ssiderea054155"/>
    <m/>
    <n v="8.3905790400000004"/>
    <n v="5.5339691799999997"/>
    <s v="Direct"/>
    <s v="NA"/>
  </r>
  <r>
    <x v="1"/>
    <x v="2"/>
    <s v="Ssiderea054169"/>
    <m/>
    <n v="5.5178527800000001"/>
    <n v="3.5535968100000002"/>
    <s v="Direct"/>
    <s v="NA"/>
  </r>
  <r>
    <x v="1"/>
    <x v="2"/>
    <s v="Ssiderea054218"/>
    <m/>
    <n v="-1.1245160999999999"/>
    <n v="-2.5418723000000001"/>
    <s v="Direct"/>
    <s v="Ubiquitin carboxyl-terminal hydrolase"/>
  </r>
  <r>
    <x v="1"/>
    <x v="2"/>
    <s v="Ssiderea054258"/>
    <m/>
    <n v="1.0982215399999999"/>
    <n v="1.29700142"/>
    <s v="Direct"/>
    <s v="NA"/>
  </r>
  <r>
    <x v="1"/>
    <x v="2"/>
    <s v="Ssiderea054264"/>
    <m/>
    <n v="-1.3539334999999999"/>
    <n v="-1.0095978999999999"/>
    <s v="Direct"/>
    <s v="haloacid dehalogenase-like hydrolase"/>
  </r>
  <r>
    <x v="1"/>
    <x v="2"/>
    <s v="Ssiderea054270"/>
    <m/>
    <n v="-3.1914456000000002"/>
    <n v="-2.8936725999999999"/>
    <s v="Direct"/>
    <s v="death domain-associated protein"/>
  </r>
  <r>
    <x v="1"/>
    <x v="2"/>
    <s v="Ssiderea054350"/>
    <m/>
    <n v="-3.7352626999999998"/>
    <n v="-1.9242699000000001"/>
    <s v="Direct"/>
    <s v="Transferrin"/>
  </r>
  <r>
    <x v="1"/>
    <x v="2"/>
    <s v="Ssiderea054400"/>
    <m/>
    <n v="5.8601985599999997"/>
    <n v="7.7019156300000002"/>
    <s v="Direct"/>
    <s v="NA"/>
  </r>
  <r>
    <x v="1"/>
    <x v="2"/>
    <s v="Ssiderea054441"/>
    <m/>
    <n v="1.3946603900000001"/>
    <n v="2.1941049800000001"/>
    <s v="Direct"/>
    <s v="NA"/>
  </r>
  <r>
    <x v="1"/>
    <x v="2"/>
    <s v="Ssiderea054459"/>
    <m/>
    <n v="1.7746363300000001"/>
    <n v="1.88147384"/>
    <s v="Direct"/>
    <s v="NA"/>
  </r>
  <r>
    <x v="1"/>
    <x v="2"/>
    <s v="Ssiderea054485"/>
    <m/>
    <n v="-5.9266889999999997"/>
    <n v="-5.1151681"/>
    <s v="Direct"/>
    <s v="Solute carrier family 12"/>
  </r>
  <r>
    <x v="1"/>
    <x v="2"/>
    <s v="Ssiderea054493"/>
    <m/>
    <n v="-2.0168667999999998"/>
    <n v="-1.7304837"/>
    <s v="Direct"/>
    <s v="Belongs to the protein kinase superfamily. Tyr protein kinase family"/>
  </r>
  <r>
    <x v="1"/>
    <x v="2"/>
    <s v="Ssiderea054514"/>
    <m/>
    <n v="1.1713575000000001"/>
    <n v="1.1990128099999999"/>
    <s v="Direct"/>
    <s v="positive regulation of cell-substrate adhesion"/>
  </r>
  <r>
    <x v="1"/>
    <x v="2"/>
    <s v="Ssiderea054515"/>
    <m/>
    <n v="-2.6387991"/>
    <n v="-1.6909137000000001"/>
    <s v="Direct"/>
    <s v="protein kinase binding"/>
  </r>
  <r>
    <x v="1"/>
    <x v="2"/>
    <s v="Ssiderea054517"/>
    <m/>
    <n v="8.7807228100000003"/>
    <n v="10.794172"/>
    <s v="Direct"/>
    <s v="Universal stress protein family"/>
  </r>
  <r>
    <x v="1"/>
    <x v="2"/>
    <s v="Ssiderea054532"/>
    <m/>
    <n v="2.0983818300000001"/>
    <n v="2.5665109500000001"/>
    <s v="Direct"/>
    <s v="NA"/>
  </r>
  <r>
    <x v="1"/>
    <x v="2"/>
    <s v="Ssiderea054638"/>
    <m/>
    <n v="-1.5466529"/>
    <n v="-2.4549039000000001"/>
    <s v="Direct"/>
    <s v="endodermal-mesodermal cell signaling"/>
  </r>
  <r>
    <x v="1"/>
    <x v="2"/>
    <s v="Ssiderea054648"/>
    <m/>
    <n v="-1.7149247999999999"/>
    <n v="-1.0882423000000001"/>
    <s v="Direct"/>
    <s v="Wu fj29h11"/>
  </r>
  <r>
    <x v="1"/>
    <x v="2"/>
    <s v="Ssiderea054651"/>
    <m/>
    <n v="1.37641415"/>
    <n v="1.6991244999999999"/>
    <s v="Direct"/>
    <s v="carbohydrate binding"/>
  </r>
  <r>
    <x v="1"/>
    <x v="2"/>
    <s v="Ssiderea054663"/>
    <m/>
    <n v="5.8846220599999999"/>
    <n v="9.8314470200000006"/>
    <s v="Direct"/>
    <s v="Heparan-alpha-glucosaminide N-acetyltransferase"/>
  </r>
  <r>
    <x v="1"/>
    <x v="2"/>
    <s v="Ssiderea054708"/>
    <m/>
    <n v="-6.0718120000000004"/>
    <n v="-3.4581442999999998"/>
    <s v="Direct"/>
    <s v="negative regulation of cell proliferation involved in kidney development"/>
  </r>
  <r>
    <x v="1"/>
    <x v="2"/>
    <s v="Ssiderea054712"/>
    <m/>
    <n v="2.1838826199999999"/>
    <n v="3.3534937299999998"/>
    <s v="Direct"/>
    <s v="Interferon induced with helicase C domain 1"/>
  </r>
  <r>
    <x v="1"/>
    <x v="2"/>
    <s v="Ssiderea054850"/>
    <m/>
    <n v="12.362603200000001"/>
    <n v="10.794172"/>
    <s v="Direct"/>
    <s v="Marginal zone B and"/>
  </r>
  <r>
    <x v="1"/>
    <x v="2"/>
    <s v="Ssiderea054855"/>
    <m/>
    <n v="4.0385855099999999"/>
    <n v="6.9077017600000001"/>
    <s v="Direct"/>
    <s v="neurotrophin receptor activity"/>
  </r>
  <r>
    <x v="1"/>
    <x v="2"/>
    <s v="Ssiderea054856"/>
    <m/>
    <n v="2.2619529599999999"/>
    <n v="2.0604814999999999"/>
    <s v="Direct"/>
    <s v="monooxygenase activity"/>
  </r>
  <r>
    <x v="1"/>
    <x v="2"/>
    <s v="Ssiderea054861"/>
    <m/>
    <n v="-8.6213777999999994"/>
    <n v="-9.1480160000000001"/>
    <s v="Direct"/>
    <s v="NA"/>
  </r>
  <r>
    <x v="1"/>
    <x v="2"/>
    <s v="Ssiderea054862"/>
    <m/>
    <n v="-12.678008999999999"/>
    <n v="-11.595077"/>
    <s v="Direct"/>
    <s v="NA"/>
  </r>
  <r>
    <x v="1"/>
    <x v="2"/>
    <s v="Ssiderea054863"/>
    <m/>
    <n v="-4.0910242999999999"/>
    <n v="-4.046659"/>
    <s v="Direct"/>
    <s v="NA"/>
  </r>
  <r>
    <x v="1"/>
    <x v="2"/>
    <s v="Ssiderea054866"/>
    <m/>
    <n v="-5.7766317999999997"/>
    <n v="-5.6464195999999998"/>
    <s v="Direct"/>
    <s v="7SK snRNA binding"/>
  </r>
  <r>
    <x v="1"/>
    <x v="2"/>
    <s v="Ssiderea054937"/>
    <m/>
    <n v="-1.6955016000000001"/>
    <n v="-2.0387504999999999"/>
    <s v="Direct"/>
    <s v="metalloendopeptidase activity"/>
  </r>
  <r>
    <x v="1"/>
    <x v="2"/>
    <s v="Ssiderea054938"/>
    <m/>
    <n v="3.9395260200000002"/>
    <n v="5.9178235299999997"/>
    <s v="Direct"/>
    <s v="CREB ATF bZIP transcription"/>
  </r>
  <r>
    <x v="1"/>
    <x v="2"/>
    <s v="Ssiderea054999"/>
    <m/>
    <n v="-1.3071807"/>
    <n v="-2.4004205999999999"/>
    <s v="Direct"/>
    <s v="FMN-dependent dehydrogenase"/>
  </r>
  <r>
    <x v="1"/>
    <x v="2"/>
    <s v="Ssiderea055002"/>
    <m/>
    <n v="-8.4175529999999998"/>
    <n v="-6.2303924000000004"/>
    <s v="Direct"/>
    <s v="cysteine desulfurase activity"/>
  </r>
  <r>
    <x v="1"/>
    <x v="2"/>
    <s v="Ssiderea055050"/>
    <m/>
    <n v="5.5727155799999997"/>
    <n v="5.9164154599999996"/>
    <s v="Direct"/>
    <s v="endoplasmic reticulum-plasma membrane tethering"/>
  </r>
  <r>
    <x v="1"/>
    <x v="2"/>
    <s v="Ssiderea055131"/>
    <m/>
    <n v="-2.2118365"/>
    <n v="-3.3182301999999999"/>
    <s v="Direct"/>
    <s v="NA"/>
  </r>
  <r>
    <x v="1"/>
    <x v="2"/>
    <s v="Ssiderea055169"/>
    <m/>
    <n v="2.1841642399999999"/>
    <n v="2.9923460199999998"/>
    <s v="Direct"/>
    <s v="anterior/posterior pattern specification"/>
  </r>
  <r>
    <x v="1"/>
    <x v="2"/>
    <s v="Ssiderea055212"/>
    <m/>
    <n v="-1.3283611"/>
    <n v="-1.1038633"/>
    <s v="Direct"/>
    <s v="cysteine-type endopeptidase activity"/>
  </r>
  <r>
    <x v="1"/>
    <x v="2"/>
    <s v="Ssiderea055226"/>
    <m/>
    <n v="1.66871127"/>
    <n v="2.8924873999999998"/>
    <s v="Direct"/>
    <s v="glucuronosyltransferase activity"/>
  </r>
  <r>
    <x v="1"/>
    <x v="2"/>
    <s v="Ssiderea055228"/>
    <m/>
    <n v="2.1898991400000001"/>
    <n v="1.7808452800000001"/>
    <s v="Direct"/>
    <s v="glucuronosyltransferase activity"/>
  </r>
  <r>
    <x v="1"/>
    <x v="2"/>
    <s v="Ssiderea055233"/>
    <m/>
    <n v="8.3685025"/>
    <n v="9.7562971800000007"/>
    <s v="Direct"/>
    <s v="glucuronosyltransferase activity"/>
  </r>
  <r>
    <x v="1"/>
    <x v="2"/>
    <s v="Ssiderea055235"/>
    <m/>
    <n v="1.04250172"/>
    <n v="1.0091282699999999"/>
    <s v="Direct"/>
    <s v="glucuronosyltransferase activity"/>
  </r>
  <r>
    <x v="1"/>
    <x v="2"/>
    <s v="Ssiderea055256"/>
    <m/>
    <n v="-1.5617561"/>
    <n v="-3.5147751"/>
    <s v="Direct"/>
    <s v="NA"/>
  </r>
  <r>
    <x v="1"/>
    <x v="2"/>
    <s v="Ssiderea055257"/>
    <m/>
    <n v="1.41113529"/>
    <n v="1.0460399499999999"/>
    <s v="Direct"/>
    <s v="NA"/>
  </r>
  <r>
    <x v="1"/>
    <x v="2"/>
    <s v="Ssiderea055265"/>
    <m/>
    <n v="7.25627683"/>
    <n v="13.103262900000001"/>
    <s v="Direct"/>
    <s v="NA"/>
  </r>
  <r>
    <x v="1"/>
    <x v="2"/>
    <s v="Ssiderea055287"/>
    <m/>
    <n v="-4.8241791000000003"/>
    <n v="-1.5250212999999999"/>
    <s v="Direct"/>
    <s v="phosphatase 5"/>
  </r>
  <r>
    <x v="1"/>
    <x v="2"/>
    <s v="Ssiderea055305"/>
    <m/>
    <n v="-3.1623237999999998"/>
    <n v="-2.5258227999999998"/>
    <s v="Direct"/>
    <s v="protein O-linked-mannose beta-1,2-N-acetylglucosaminyltransferase 1"/>
  </r>
  <r>
    <x v="1"/>
    <x v="2"/>
    <s v="Ssiderea055339"/>
    <m/>
    <n v="-6.3201803999999999"/>
    <n v="-5.9394608"/>
    <s v="Direct"/>
    <s v="gamma-aminobutyric acid:sodium symporter activity"/>
  </r>
  <r>
    <x v="1"/>
    <x v="2"/>
    <s v="Ssiderea055441"/>
    <m/>
    <n v="-6.4259522999999996"/>
    <n v="-6.5814073999999998"/>
    <s v="Direct"/>
    <s v="ATPase activity"/>
  </r>
  <r>
    <x v="1"/>
    <x v="2"/>
    <s v="Ssiderea055450"/>
    <m/>
    <n v="-1.5180532"/>
    <n v="-1.0885471"/>
    <s v="Direct"/>
    <s v="thromboxane A2 receptor binding"/>
  </r>
  <r>
    <x v="1"/>
    <x v="2"/>
    <s v="Ssiderea055473"/>
    <m/>
    <n v="1.3935559"/>
    <n v="3.0244245300000001"/>
    <s v="Direct"/>
    <s v="NA"/>
  </r>
  <r>
    <x v="1"/>
    <x v="2"/>
    <s v="Ssiderea055476"/>
    <m/>
    <n v="1.6149582899999999"/>
    <n v="4.1240248399999997"/>
    <s v="Direct"/>
    <s v="NA"/>
  </r>
  <r>
    <x v="1"/>
    <x v="2"/>
    <s v="Ssiderea055496"/>
    <m/>
    <n v="-3.7433040000000002"/>
    <n v="-2.8815692999999998"/>
    <s v="Direct"/>
    <s v="RmlD substrate binding domain"/>
  </r>
  <r>
    <x v="1"/>
    <x v="2"/>
    <s v="Ssiderea055497"/>
    <m/>
    <n v="-1.3197920000000001"/>
    <n v="-2.8210267999999998"/>
    <s v="Direct"/>
    <s v="NA"/>
  </r>
  <r>
    <x v="1"/>
    <x v="2"/>
    <s v="Ssiderea055500"/>
    <m/>
    <n v="-8.5297260999999995"/>
    <n v="-9.034319"/>
    <s v="Direct"/>
    <s v="RmlD substrate binding domain"/>
  </r>
  <r>
    <x v="1"/>
    <x v="2"/>
    <s v="Ssiderea055516"/>
    <m/>
    <n v="-1.0985376"/>
    <n v="-1.8247177999999999"/>
    <s v="Direct"/>
    <s v="Belongs to the 5'-nucleotidase family"/>
  </r>
  <r>
    <x v="1"/>
    <x v="2"/>
    <s v="Ssiderea055669"/>
    <m/>
    <n v="8.2743682300000003"/>
    <n v="7.50648888"/>
    <s v="Direct"/>
    <s v="Von Hippel-Lindau disease tumor"/>
  </r>
  <r>
    <x v="1"/>
    <x v="2"/>
    <s v="Ssiderea055693"/>
    <m/>
    <n v="-15.789624"/>
    <n v="-12.152827"/>
    <s v="Direct"/>
    <s v="response to osmotic stress"/>
  </r>
  <r>
    <x v="1"/>
    <x v="2"/>
    <s v="Ssiderea055762"/>
    <m/>
    <n v="-1.4216599999999999"/>
    <n v="-1.6845422999999999"/>
    <s v="Direct"/>
    <s v="isocitrate dehydrogenase (NADP+) activity"/>
  </r>
  <r>
    <x v="1"/>
    <x v="2"/>
    <s v="Ssiderea055795"/>
    <m/>
    <n v="3.17828562"/>
    <n v="2.5349406800000001"/>
    <s v="Direct"/>
    <s v="dolichyl-phosphate-mannose-protein mannosyltransferase activity"/>
  </r>
  <r>
    <x v="1"/>
    <x v="2"/>
    <s v="Ssiderea055845"/>
    <m/>
    <n v="1.22044566"/>
    <n v="1.5165278200000001"/>
    <s v="Direct"/>
    <s v="NA"/>
  </r>
  <r>
    <x v="1"/>
    <x v="2"/>
    <s v="Ssiderea055847"/>
    <m/>
    <n v="-1.0199492999999999"/>
    <n v="-1.0778113"/>
    <s v="Direct"/>
    <s v="Ligand for members of the frizzled family of seven transmembrane receptors"/>
  </r>
  <r>
    <x v="1"/>
    <x v="2"/>
    <s v="Ssiderea055862"/>
    <m/>
    <n v="2.3867899700000001"/>
    <n v="3.5317055900000001"/>
    <s v="Direct"/>
    <s v="transmembrane transport"/>
  </r>
  <r>
    <x v="1"/>
    <x v="2"/>
    <s v="Ssiderea055877"/>
    <m/>
    <n v="2.0124093699999999"/>
    <n v="1.04158437"/>
    <s v="Direct"/>
    <s v="Cubilin (intrinsic factor-cobalamin receptor)"/>
  </r>
  <r>
    <x v="1"/>
    <x v="2"/>
    <s v="Ssiderea055895"/>
    <m/>
    <n v="1.73285935"/>
    <n v="2.0604814999999999"/>
    <s v="Direct"/>
    <s v="P or trefoil or TFF domain"/>
  </r>
  <r>
    <x v="1"/>
    <x v="2"/>
    <s v="Ssiderea055950"/>
    <m/>
    <n v="1.36207849"/>
    <n v="1.69031475"/>
    <s v="Direct"/>
    <s v="NA"/>
  </r>
  <r>
    <x v="1"/>
    <x v="2"/>
    <s v="Ssiderea055995"/>
    <m/>
    <n v="-2.7139764"/>
    <n v="-1.0266925"/>
    <s v="Direct"/>
    <s v="metalloendopeptidase activity"/>
  </r>
  <r>
    <x v="1"/>
    <x v="2"/>
    <s v="Ssiderea056042"/>
    <m/>
    <n v="1.13869653"/>
    <n v="1.5498758100000001"/>
    <s v="Direct"/>
    <s v="NA"/>
  </r>
  <r>
    <x v="1"/>
    <x v="2"/>
    <s v="Ssiderea056043"/>
    <m/>
    <n v="1.76555043"/>
    <n v="3.43356956"/>
    <s v="Direct"/>
    <s v="NA"/>
  </r>
  <r>
    <x v="1"/>
    <x v="2"/>
    <s v="Ssiderea056251"/>
    <m/>
    <n v="-3.0865176999999999"/>
    <n v="-7.8165791999999996"/>
    <s v="Direct"/>
    <s v="N-succinyltransferase activity"/>
  </r>
  <r>
    <x v="1"/>
    <x v="2"/>
    <s v="Ssiderea056267"/>
    <m/>
    <n v="-1.3806917000000001"/>
    <n v="-5.8580344000000002"/>
    <s v="Direct"/>
    <s v="reductase B3"/>
  </r>
  <r>
    <x v="1"/>
    <x v="2"/>
    <s v="Ssiderea056335"/>
    <m/>
    <n v="2.26324214"/>
    <n v="2.8561371599999998"/>
    <s v="Direct"/>
    <s v="Fibroblast growth factor 8"/>
  </r>
  <r>
    <x v="1"/>
    <x v="2"/>
    <s v="Ssiderea056380"/>
    <m/>
    <n v="-1.8798196"/>
    <n v="-1.3822816"/>
    <s v="Direct"/>
    <s v="UPF0577 protein"/>
  </r>
  <r>
    <x v="1"/>
    <x v="2"/>
    <s v="Ssiderea056490"/>
    <m/>
    <n v="-2.7868843000000001"/>
    <n v="-3.5316938000000002"/>
    <s v="Direct"/>
    <s v="NA"/>
  </r>
  <r>
    <x v="1"/>
    <x v="2"/>
    <s v="Ssiderea056512"/>
    <m/>
    <n v="-2.5807802"/>
    <n v="-2.3439638"/>
    <s v="Direct"/>
    <s v="Nucleoporin"/>
  </r>
  <r>
    <x v="1"/>
    <x v="2"/>
    <s v="Ssiderea056516"/>
    <m/>
    <n v="-1.332228"/>
    <n v="-2.7593926"/>
    <s v="Direct"/>
    <s v="Centrosome and spindle pole associated protein 1"/>
  </r>
  <r>
    <x v="1"/>
    <x v="2"/>
    <s v="Ssiderea056521"/>
    <m/>
    <n v="-6.8848763000000002"/>
    <n v="-5.2423565999999999"/>
    <s v="Direct"/>
    <s v="Proton-conducting pore forming subunit of the membrane integral V0 complex of vacuolar ATPase. V-ATPase is responsible for acidifying a variety of intracellular compartments in eukaryotic cells"/>
  </r>
  <r>
    <x v="1"/>
    <x v="2"/>
    <s v="Ssiderea056578"/>
    <m/>
    <n v="1.1057485"/>
    <n v="1.7830618899999999"/>
    <s v="Direct"/>
    <s v="Homeodomain"/>
  </r>
  <r>
    <x v="1"/>
    <x v="2"/>
    <s v="Ssiderea056671"/>
    <m/>
    <n v="-2.3731870000000002"/>
    <n v="-1.1460056000000001"/>
    <s v="Direct"/>
    <s v="NA"/>
  </r>
  <r>
    <x v="1"/>
    <x v="2"/>
    <s v="Ssiderea056734"/>
    <m/>
    <n v="-2.6564291"/>
    <n v="-2.6710075"/>
    <s v="Direct"/>
    <s v="Rho guanyl-nucleotide exchange factor activity"/>
  </r>
  <r>
    <x v="1"/>
    <x v="2"/>
    <s v="Ssiderea056756"/>
    <m/>
    <n v="-2.5284344999999999"/>
    <n v="-2.3954236999999998"/>
    <s v="Direct"/>
    <s v="histidine transport"/>
  </r>
  <r>
    <x v="1"/>
    <x v="2"/>
    <s v="Ssiderea056787"/>
    <m/>
    <n v="3.52801725"/>
    <n v="2.8861096499999999"/>
    <s v="Direct"/>
    <s v="axonogenesis involved in innervation"/>
  </r>
  <r>
    <x v="1"/>
    <x v="2"/>
    <s v="Ssiderea056789"/>
    <m/>
    <n v="1.53964546"/>
    <n v="1.83495637"/>
    <s v="Direct"/>
    <s v="axonogenesis involved in innervation"/>
  </r>
  <r>
    <x v="1"/>
    <x v="2"/>
    <s v="Ssiderea056812"/>
    <m/>
    <n v="-3.0399592000000002"/>
    <n v="-2.3361782999999998"/>
    <s v="Direct"/>
    <s v="NA"/>
  </r>
  <r>
    <x v="1"/>
    <x v="2"/>
    <s v="Ssiderea056833"/>
    <m/>
    <n v="-3.9076165"/>
    <n v="-5.8083007999999996"/>
    <s v="Direct"/>
    <s v="Methyltransferase domain"/>
  </r>
  <r>
    <x v="1"/>
    <x v="2"/>
    <s v="Ssiderea056854"/>
    <m/>
    <n v="1.8113364199999999"/>
    <n v="1.0311493300000001"/>
    <s v="Direct"/>
    <s v="Granulin"/>
  </r>
  <r>
    <x v="1"/>
    <x v="2"/>
    <s v="Ssiderea056923"/>
    <m/>
    <n v="-1.600128"/>
    <n v="-1.4053026"/>
    <s v="Direct"/>
    <s v="Maternal embryonic leucine zipper kinase"/>
  </r>
  <r>
    <x v="1"/>
    <x v="2"/>
    <s v="Ssiderea057180"/>
    <m/>
    <n v="-1.7186322000000001"/>
    <n v="-1.0975424"/>
    <s v="Direct"/>
    <s v="carbohydrate binding"/>
  </r>
  <r>
    <x v="1"/>
    <x v="2"/>
    <s v="Ssiderea057203"/>
    <m/>
    <n v="1.6272628"/>
    <n v="1.1331513900000001"/>
    <s v="Direct"/>
    <s v="alpha-(1-&gt;3)-fucosyltransferase activity"/>
  </r>
  <r>
    <x v="1"/>
    <x v="2"/>
    <s v="Ssiderea057216"/>
    <m/>
    <n v="-1.5577802000000001"/>
    <n v="-1.0580426000000001"/>
    <s v="Direct"/>
    <s v="Belongs to the Ca(2 ) cation antiporter (CaCA) (TC 2.A.19) family"/>
  </r>
  <r>
    <x v="1"/>
    <x v="2"/>
    <s v="Ssiderea057220"/>
    <m/>
    <n v="-1.5354406"/>
    <n v="-2.5718169"/>
    <s v="Direct"/>
    <s v="NA"/>
  </r>
  <r>
    <x v="1"/>
    <x v="2"/>
    <s v="Ssiderea057264"/>
    <m/>
    <n v="1.86639734"/>
    <n v="4.0893666399999997"/>
    <s v="Direct"/>
    <s v="establishment of Sertoli cell barrier"/>
  </r>
  <r>
    <x v="1"/>
    <x v="2"/>
    <s v="Ssiderea057265"/>
    <m/>
    <n v="-3.5689758999999999"/>
    <n v="-4.9209947999999999"/>
    <s v="Direct"/>
    <s v="RNA binding"/>
  </r>
  <r>
    <x v="1"/>
    <x v="2"/>
    <s v="Ssiderea057270"/>
    <m/>
    <n v="-2.1903760999999999"/>
    <n v="-1.4056732000000001"/>
    <s v="Direct"/>
    <s v="CRT-like, chloroquine-resistance transporter-like"/>
  </r>
  <r>
    <x v="1"/>
    <x v="2"/>
    <s v="Ssiderea057316"/>
    <m/>
    <n v="3.58511582"/>
    <n v="2.3402987899999999"/>
    <s v="Direct"/>
    <s v="Belongs to the actin-binding proteins ADF family"/>
  </r>
  <r>
    <x v="1"/>
    <x v="2"/>
    <s v="Ssiderea057390"/>
    <m/>
    <n v="-8.6825650000000003"/>
    <n v="-7.3999442000000002"/>
    <s v="Direct"/>
    <s v="NA"/>
  </r>
  <r>
    <x v="1"/>
    <x v="2"/>
    <s v="Ssiderea057468"/>
    <m/>
    <n v="-6.4692870999999998"/>
    <n v="-8.3777288999999993"/>
    <s v="Direct"/>
    <s v="ATP-citrate synthase is the primary enzyme responsible for the synthesis of cytosolic acetyl-CoA in many tissues"/>
  </r>
  <r>
    <x v="1"/>
    <x v="2"/>
    <s v="Ssiderea057558"/>
    <m/>
    <n v="1.9670110000000001"/>
    <n v="1.80681439"/>
    <s v="Direct"/>
    <s v="NA"/>
  </r>
  <r>
    <x v="1"/>
    <x v="2"/>
    <s v="Ssiderea057568"/>
    <m/>
    <n v="-2.4069794999999998"/>
    <n v="-4.2526435999999999"/>
    <s v="Direct"/>
    <s v="L-alpha-amino acid transmembrane transport"/>
  </r>
  <r>
    <x v="1"/>
    <x v="2"/>
    <s v="Ssiderea057624"/>
    <m/>
    <n v="-1.6480395000000001"/>
    <n v="-1.9691198000000001"/>
    <s v="Direct"/>
    <s v="gamma-glutamyl-peptidase activity"/>
  </r>
  <r>
    <x v="1"/>
    <x v="2"/>
    <s v="Ssiderea057628"/>
    <m/>
    <n v="-1.325005"/>
    <n v="-2.3908572000000001"/>
    <s v="Direct"/>
    <s v="Metal ion binding"/>
  </r>
  <r>
    <x v="1"/>
    <x v="2"/>
    <s v="Ssiderea057779"/>
    <m/>
    <n v="2.77428981"/>
    <n v="3.7625817499999998"/>
    <s v="Direct"/>
    <s v="NA"/>
  </r>
  <r>
    <x v="1"/>
    <x v="2"/>
    <s v="Ssiderea057803"/>
    <m/>
    <n v="3.08085604"/>
    <n v="1.7939524899999999"/>
    <s v="Direct"/>
    <s v="cubilin (intrinsic factor-cobalamin receptor)"/>
  </r>
  <r>
    <x v="1"/>
    <x v="2"/>
    <s v="Ssiderea057804"/>
    <m/>
    <n v="1.6480937"/>
    <n v="1.4016504400000001"/>
    <s v="Direct"/>
    <s v="cobalamin catabolic process"/>
  </r>
  <r>
    <x v="1"/>
    <x v="2"/>
    <s v="Ssiderea057814"/>
    <m/>
    <n v="5.9314285499999997"/>
    <n v="6.0429812600000004"/>
    <s v="Direct"/>
    <s v="NA"/>
  </r>
  <r>
    <x v="1"/>
    <x v="2"/>
    <s v="Ssiderea057816"/>
    <m/>
    <n v="-4.3335711000000003"/>
    <n v="-5.4324111000000004"/>
    <s v="Direct"/>
    <s v="ATP-binding cassette, sub-family B (MDR TAP), member 1"/>
  </r>
  <r>
    <x v="1"/>
    <x v="2"/>
    <s v="Ssiderea057817"/>
    <m/>
    <n v="-1.2689551999999999"/>
    <n v="-2.2414101999999998"/>
    <s v="Direct"/>
    <s v="ATP-binding cassette, subfamily B (MDR TAP), member"/>
  </r>
  <r>
    <x v="1"/>
    <x v="2"/>
    <s v="Ssiderea057818"/>
    <m/>
    <n v="-1.6982668999999999"/>
    <n v="-5.9670662999999999"/>
    <s v="Direct"/>
    <s v="ATP-binding cassette, subfamily B (MDR TAP), member"/>
  </r>
  <r>
    <x v="1"/>
    <x v="2"/>
    <s v="Ssiderea057937"/>
    <m/>
    <n v="-1.8910693000000001"/>
    <n v="-1.3037619"/>
    <s v="Direct"/>
    <s v="NA"/>
  </r>
  <r>
    <x v="1"/>
    <x v="2"/>
    <s v="Ssiderea057951"/>
    <m/>
    <n v="-1.7261738"/>
    <n v="-6.4947112999999996"/>
    <s v="Direct"/>
    <s v="calcium ion binding"/>
  </r>
  <r>
    <x v="1"/>
    <x v="2"/>
    <s v="Ssiderea057952"/>
    <m/>
    <n v="-1.8841334000000001"/>
    <n v="-5.361815"/>
    <s v="Direct"/>
    <s v="calcium ion binding"/>
  </r>
  <r>
    <x v="1"/>
    <x v="2"/>
    <s v="Ssiderea058010"/>
    <m/>
    <n v="3.1860928899999998"/>
    <n v="3.7186967100000001"/>
    <s v="Direct"/>
    <s v="NA"/>
  </r>
  <r>
    <x v="1"/>
    <x v="2"/>
    <s v="Ssiderea058025"/>
    <m/>
    <n v="-3.6986772000000001"/>
    <n v="-4.2586043"/>
    <s v="Direct"/>
    <s v="Pentafunctional AROM polypeptide-like"/>
  </r>
  <r>
    <x v="1"/>
    <x v="2"/>
    <s v="Ssiderea058051"/>
    <m/>
    <n v="-2.5526049"/>
    <n v="-4.2824491"/>
    <s v="Direct"/>
    <s v="cellular stress response to acidic pH"/>
  </r>
  <r>
    <x v="1"/>
    <x v="2"/>
    <s v="Ssiderea058053"/>
    <m/>
    <n v="1.53167334"/>
    <n v="1.9558873000000001"/>
    <s v="Direct"/>
    <s v="Mitochondrial carrier protein"/>
  </r>
  <r>
    <x v="1"/>
    <x v="2"/>
    <s v="Ssiderea058084"/>
    <m/>
    <n v="2.5029275100000001"/>
    <n v="2.7846240400000002"/>
    <s v="Direct"/>
    <s v="ubiquitin protein ligase binding"/>
  </r>
  <r>
    <x v="1"/>
    <x v="2"/>
    <s v="Ssiderea058130"/>
    <m/>
    <n v="2.1280292200000002"/>
    <n v="2.1117152099999998"/>
    <s v="Direct"/>
    <s v="NA"/>
  </r>
  <r>
    <x v="1"/>
    <x v="2"/>
    <s v="Ssiderea058212"/>
    <m/>
    <n v="-1.8111022000000001"/>
    <n v="-2.9967421999999999"/>
    <s v="Direct"/>
    <s v="NA"/>
  </r>
  <r>
    <x v="1"/>
    <x v="2"/>
    <s v="Ssiderea058258"/>
    <m/>
    <n v="9.6008475499999992"/>
    <n v="8.5137630000000009"/>
    <s v="Direct"/>
    <s v="heat shock protein 90kDa beta (Grp94), member 1"/>
  </r>
  <r>
    <x v="1"/>
    <x v="2"/>
    <s v="Ssiderea058296"/>
    <m/>
    <n v="-1.5847108000000001"/>
    <n v="-1.5061515999999999"/>
    <s v="Direct"/>
    <s v="NA"/>
  </r>
  <r>
    <x v="1"/>
    <x v="2"/>
    <s v="Ssiderea058301"/>
    <m/>
    <n v="2.0084631000000002"/>
    <n v="3.36474384"/>
    <s v="Direct"/>
    <s v="NA"/>
  </r>
  <r>
    <x v="1"/>
    <x v="2"/>
    <s v="Ssiderea058307"/>
    <m/>
    <n v="-1.3503905"/>
    <n v="-1.097874"/>
    <s v="Direct"/>
    <s v="cysteine and glycine-rich protein"/>
  </r>
  <r>
    <x v="1"/>
    <x v="2"/>
    <s v="Ssiderea058310"/>
    <m/>
    <n v="-6.0811473999999999"/>
    <n v="-9.8548269000000008"/>
    <s v="Direct"/>
    <s v="NA"/>
  </r>
  <r>
    <x v="1"/>
    <x v="2"/>
    <s v="Ssiderea058311"/>
    <m/>
    <n v="-1.5077224"/>
    <n v="-2.6758196999999999"/>
    <s v="Direct"/>
    <s v="hydrolase activity"/>
  </r>
  <r>
    <x v="1"/>
    <x v="2"/>
    <s v="Ssiderea058364"/>
    <m/>
    <n v="3.2486033700000001"/>
    <n v="4.21243547"/>
    <s v="Direct"/>
    <s v="zinc ion binding"/>
  </r>
  <r>
    <x v="1"/>
    <x v="2"/>
    <s v="Ssiderea058365"/>
    <m/>
    <n v="1.7472535199999999"/>
    <n v="1.9150866200000001"/>
    <s v="Direct"/>
    <s v="Common central domain of tyrosinase"/>
  </r>
  <r>
    <x v="1"/>
    <x v="2"/>
    <s v="Ssiderea058585"/>
    <m/>
    <n v="-1.5043095"/>
    <n v="-1.3117258999999999"/>
    <s v="Direct"/>
    <s v="NA"/>
  </r>
  <r>
    <x v="1"/>
    <x v="2"/>
    <s v="Ssiderea058744"/>
    <m/>
    <n v="-3.9910131999999998"/>
    <n v="-4.4444106999999997"/>
    <s v="Direct"/>
    <s v="Cytochrome c oxidase is the component of the respiratory chain that catalyzes the reduction of oxygen to water. Subunits 1- 3 form the functional core of the enzyme complex. CO I is the catalytic subunit of the enzyme. Electrons originating in cytochrome "/>
  </r>
  <r>
    <x v="1"/>
    <x v="2"/>
    <s v="Ssiderea058819"/>
    <m/>
    <n v="2.6868210600000002"/>
    <n v="5.2309587500000001"/>
    <s v="Direct"/>
    <s v="NA"/>
  </r>
  <r>
    <x v="1"/>
    <x v="2"/>
    <s v="Ssiderea059107"/>
    <m/>
    <n v="-1.1362798999999999"/>
    <n v="-1.1350289"/>
    <s v="Direct"/>
    <s v="plexin domain-containing protein"/>
  </r>
  <r>
    <x v="1"/>
    <x v="2"/>
    <s v="Ssiderea59216"/>
    <m/>
    <n v="1.0499582700000001"/>
    <n v="1.2077769199999999"/>
    <s v="Direct"/>
    <s v="NA"/>
  </r>
  <r>
    <x v="1"/>
    <x v="2"/>
    <s v="Ssiderea59597"/>
    <m/>
    <n v="-1.5886439999999999"/>
    <n v="-1.0129804"/>
    <s v="Direct"/>
    <s v="NA"/>
  </r>
  <r>
    <x v="1"/>
    <x v="2"/>
    <s v="Ssiderea60138"/>
    <m/>
    <n v="-1.0400474"/>
    <n v="-1.1809425"/>
    <s v="Direct"/>
    <s v="NA"/>
  </r>
  <r>
    <x v="1"/>
    <x v="2"/>
    <s v="Ssiderea60156"/>
    <m/>
    <n v="-1.6432831999999999"/>
    <n v="-1.3452744999999999"/>
    <s v="Direct"/>
    <s v="NA"/>
  </r>
  <r>
    <x v="1"/>
    <x v="2"/>
    <s v="Ssiderea60263"/>
    <m/>
    <n v="-1.0574684000000001"/>
    <n v="-1.5792089"/>
    <s v="Direct"/>
    <s v="NA"/>
  </r>
  <r>
    <x v="1"/>
    <x v="2"/>
    <s v="Ssiderea60314"/>
    <m/>
    <n v="-4.4596682000000003"/>
    <n v="-1.1280762"/>
    <s v="Direct"/>
    <s v="calcium ion binding"/>
  </r>
  <r>
    <x v="1"/>
    <x v="2"/>
    <s v="Ssiderea60337"/>
    <m/>
    <n v="2.8489748800000001"/>
    <n v="1.4703738399999999"/>
    <s v="Direct"/>
    <s v="cell-matrix adhesion"/>
  </r>
  <r>
    <x v="1"/>
    <x v="2"/>
    <s v="Ssiderea60367"/>
    <m/>
    <n v="3.6442302400000002"/>
    <n v="4.5784134500000002"/>
    <s v="Direct"/>
    <s v="serine-type endopeptidase activity"/>
  </r>
  <r>
    <x v="1"/>
    <x v="2"/>
    <s v="Ssiderea60450"/>
    <m/>
    <n v="3.03190267"/>
    <n v="1.7409161099999999"/>
    <s v="Direct"/>
    <s v="Collagen triple helix"/>
  </r>
  <r>
    <x v="1"/>
    <x v="2"/>
    <s v="Ssiderea60456"/>
    <m/>
    <n v="1.75269527"/>
    <n v="1.7561646900000001"/>
    <s v="Direct"/>
    <s v="negative regulation of axon extension involved in regeneration"/>
  </r>
  <r>
    <x v="1"/>
    <x v="2"/>
    <s v="Ssiderea60478"/>
    <m/>
    <n v="-1.0427093999999999"/>
    <n v="-3.8945180000000001"/>
    <s v="Direct"/>
    <s v="NA"/>
  </r>
  <r>
    <x v="1"/>
    <x v="2"/>
    <s v="Ssiderea60496"/>
    <m/>
    <n v="1.5426320899999999"/>
    <n v="1.25575332"/>
    <s v="Direct"/>
    <s v="NA"/>
  </r>
  <r>
    <x v="1"/>
    <x v="2"/>
    <s v="Ssiderea60508"/>
    <m/>
    <n v="1.4888713200000001"/>
    <n v="2.3394773500000001"/>
    <s v="Direct"/>
    <s v="NA"/>
  </r>
  <r>
    <x v="1"/>
    <x v="2"/>
    <s v="Ssiderea60633"/>
    <m/>
    <n v="1.11019157"/>
    <n v="1.3726554099999999"/>
    <s v="Direct"/>
    <s v="NA"/>
  </r>
  <r>
    <x v="1"/>
    <x v="2"/>
    <s v="Ssiderea60675"/>
    <m/>
    <n v="2.1552354299999998"/>
    <n v="1.02726334"/>
    <s v="Direct"/>
    <s v="HEAT repeat containing 9"/>
  </r>
  <r>
    <x v="1"/>
    <x v="2"/>
    <s v="Ssiderea60799"/>
    <m/>
    <n v="1.3607102600000001"/>
    <n v="1.2995439900000001"/>
    <s v="Direct"/>
    <s v="high mobility group"/>
  </r>
  <r>
    <x v="1"/>
    <x v="2"/>
    <s v="Ssiderea60899"/>
    <m/>
    <n v="1.10018474"/>
    <n v="1.4851652"/>
    <s v="Direct"/>
    <s v="Belongs to the helicase family"/>
  </r>
  <r>
    <x v="1"/>
    <x v="2"/>
    <s v="Ssiderea60975"/>
    <m/>
    <n v="1.13970561"/>
    <n v="1.1101179000000001"/>
    <s v="Direct"/>
    <s v="chromatin remodeling"/>
  </r>
  <r>
    <x v="1"/>
    <x v="2"/>
    <s v="Ssiderea61444"/>
    <m/>
    <n v="-1.1397056000000001"/>
    <n v="-1.4598742"/>
    <s v="Direct"/>
    <s v="AFG3-like protein"/>
  </r>
  <r>
    <x v="1"/>
    <x v="2"/>
    <s v="Ssiderea61470"/>
    <m/>
    <n v="1.5257456700000001"/>
    <n v="3.29622481"/>
    <s v="Direct"/>
    <s v="CUB and zona pellucida-like domain-containing protein"/>
  </r>
  <r>
    <x v="1"/>
    <x v="2"/>
    <s v="Ssiderea62250"/>
    <m/>
    <n v="4.2065245100000004"/>
    <n v="5.7394730799999998"/>
    <s v="Direct"/>
    <s v="tumor necrosis factor"/>
  </r>
  <r>
    <x v="1"/>
    <x v="2"/>
    <s v="Ssiderea62282"/>
    <m/>
    <n v="-1.2816113"/>
    <n v="-1.535434"/>
    <s v="Direct"/>
    <s v="NA"/>
  </r>
  <r>
    <x v="1"/>
    <x v="2"/>
    <s v="Ssiderea62342"/>
    <m/>
    <n v="6.4876611899999999"/>
    <n v="10.1335009"/>
    <s v="Direct"/>
    <s v="NA"/>
  </r>
  <r>
    <x v="1"/>
    <x v="2"/>
    <s v="Ssiderea62397"/>
    <m/>
    <n v="-4.9800293"/>
    <n v="-5.1606377999999999"/>
    <s v="Direct"/>
    <s v="embryonic brain development"/>
  </r>
  <r>
    <x v="1"/>
    <x v="2"/>
    <s v="Ssiderea62466"/>
    <m/>
    <n v="-3.9576207999999999"/>
    <n v="-3.5308440999999999"/>
    <s v="Direct"/>
    <s v="Chromo Shadow Domain"/>
  </r>
  <r>
    <x v="1"/>
    <x v="2"/>
    <s v="Ssiderea62525"/>
    <m/>
    <n v="3.5556233900000001"/>
    <n v="3.3178701400000001"/>
    <s v="Direct"/>
    <s v="NA"/>
  </r>
  <r>
    <x v="1"/>
    <x v="2"/>
    <s v="Ssiderea62574"/>
    <m/>
    <n v="1.3744697100000001"/>
    <n v="1.0541676200000001"/>
    <s v="Direct"/>
    <s v="NA"/>
  </r>
  <r>
    <x v="1"/>
    <x v="2"/>
    <s v="Ssiderea62780"/>
    <m/>
    <n v="-6.2537997000000001"/>
    <n v="-7.1091604000000004"/>
    <s v="Direct"/>
    <s v="regulation of vesicle fusio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4A26F5-C2D3-FB49-B851-89A024054F89}" name="PivotTable2" cacheId="33" applyNumberFormats="0" applyBorderFormats="0" applyFontFormats="0" applyPatternFormats="0" applyAlignmentFormats="0" applyWidthHeightFormats="0" dataCaption="" updatedVersion="8" compact="0" compactData="0">
  <location ref="K1:M10" firstHeaderRow="1" firstDataRow="1" firstDataCol="2"/>
  <pivotFields count="8">
    <pivotField name="Species" axis="axisRow" compact="0" outline="0" multipleItemSelectionAllowed="1" showAll="0" sortType="ascending">
      <items count="3">
        <item x="0"/>
        <item x="1"/>
        <item t="default"/>
      </items>
    </pivotField>
    <pivotField name="Comparison" axis="axisRow" compact="0" outline="0" multipleItemSelectionAllowed="1" showAll="0" sortType="ascending">
      <items count="4">
        <item x="0"/>
        <item x="2"/>
        <item x="1"/>
        <item t="default"/>
      </items>
    </pivotField>
    <pivotField name="Gene ID" dataField="1" compact="0" outline="0" multipleItemSelectionAllowed="1" showAll="0"/>
    <pivotField name="OA lpv" compact="0" outline="0" multipleItemSelectionAllowed="1" showAll="0"/>
    <pivotField name="Bleaching lpv" compact="0" outline="0" multipleItemSelectionAllowed="1" showAll="0"/>
    <pivotField name="OA + Bleaching lpv" compact="0" outline="0" multipleItemSelectionAllowed="1" showAll="0"/>
    <pivotField name="Relationship" compact="0" outline="0" multipleItemSelectionAllowed="1" showAll="0"/>
    <pivotField name="Gene Annotation" compact="0" outline="0" multipleItemSelectionAllowed="1" showAll="0"/>
  </pivotFields>
  <rowFields count="2">
    <field x="0"/>
    <field x="1"/>
  </rowFields>
  <rowItems count="9">
    <i>
      <x/>
      <x/>
    </i>
    <i r="1">
      <x v="1"/>
    </i>
    <i r="1">
      <x v="2"/>
    </i>
    <i t="default">
      <x/>
    </i>
    <i>
      <x v="1"/>
      <x/>
    </i>
    <i r="1">
      <x v="1"/>
    </i>
    <i r="1">
      <x v="2"/>
    </i>
    <i t="default">
      <x v="1"/>
    </i>
    <i t="grand">
      <x/>
    </i>
  </rowItems>
  <colItems count="1">
    <i/>
  </colItems>
  <dataFields count="1">
    <dataField name="COUNTA of Gene ID" fld="2"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851F-6024-D645-BDF2-E54460B37CD2}">
  <dimension ref="A1:Q5380"/>
  <sheetViews>
    <sheetView tabSelected="1" workbookViewId="0">
      <selection activeCell="F10" sqref="F10"/>
    </sheetView>
  </sheetViews>
  <sheetFormatPr baseColWidth="10" defaultColWidth="11.1640625" defaultRowHeight="16" x14ac:dyDescent="0.2"/>
  <cols>
    <col min="1" max="1" width="17.5" bestFit="1" customWidth="1"/>
    <col min="2" max="2" width="25.1640625" bestFit="1" customWidth="1"/>
    <col min="3" max="3" width="15.6640625" bestFit="1" customWidth="1"/>
    <col min="4" max="4" width="11.1640625" bestFit="1" customWidth="1"/>
    <col min="5" max="5" width="12.6640625" bestFit="1" customWidth="1"/>
    <col min="6" max="6" width="18" bestFit="1" customWidth="1"/>
    <col min="7" max="7" width="12" bestFit="1" customWidth="1"/>
    <col min="8" max="8" width="255.83203125" bestFit="1" customWidth="1"/>
    <col min="11" max="11" width="18.83203125" customWidth="1"/>
    <col min="12" max="12" width="22.1640625" customWidth="1"/>
    <col min="13" max="13" width="17.1640625" customWidth="1"/>
  </cols>
  <sheetData>
    <row r="1" spans="1:17" x14ac:dyDescent="0.2">
      <c r="A1" s="1" t="s">
        <v>0</v>
      </c>
      <c r="B1" s="1" t="s">
        <v>1</v>
      </c>
      <c r="C1" s="2" t="s">
        <v>2</v>
      </c>
      <c r="D1" s="2" t="s">
        <v>3</v>
      </c>
      <c r="E1" s="2" t="s">
        <v>4</v>
      </c>
      <c r="F1" s="2" t="s">
        <v>5</v>
      </c>
      <c r="G1" s="2" t="s">
        <v>6</v>
      </c>
      <c r="H1" s="2" t="s">
        <v>7</v>
      </c>
      <c r="K1" s="17" t="s">
        <v>0</v>
      </c>
      <c r="L1" s="17" t="s">
        <v>1</v>
      </c>
      <c r="M1" s="4" t="s">
        <v>8</v>
      </c>
      <c r="N1" s="2" t="s">
        <v>9</v>
      </c>
      <c r="O1" s="2" t="s">
        <v>10</v>
      </c>
      <c r="P1" s="2" t="s">
        <v>11</v>
      </c>
      <c r="Q1" s="2" t="s">
        <v>12</v>
      </c>
    </row>
    <row r="2" spans="1:17" x14ac:dyDescent="0.2">
      <c r="A2" s="5" t="s">
        <v>13</v>
      </c>
      <c r="B2" s="6" t="s">
        <v>14</v>
      </c>
      <c r="C2" s="7" t="s">
        <v>15</v>
      </c>
      <c r="D2" s="8">
        <v>2.7082834600000001</v>
      </c>
      <c r="E2" s="8">
        <v>14.1192514</v>
      </c>
      <c r="F2" s="8"/>
      <c r="G2" s="7" t="str">
        <f t="shared" ref="G2:G256" si="0">IF(OR(AND(D2&gt;0,E2&gt;0),AND(D2&lt;0,E2&lt;0)),"Direct","Inverse")</f>
        <v>Direct</v>
      </c>
      <c r="H2" s="7" t="s">
        <v>16</v>
      </c>
      <c r="K2" s="3" t="s">
        <v>13</v>
      </c>
      <c r="L2" s="3" t="s">
        <v>14</v>
      </c>
      <c r="M2" s="4">
        <v>491</v>
      </c>
      <c r="N2" s="6">
        <f>COUNTIF($G$2:$G$492,"Direct")</f>
        <v>315</v>
      </c>
      <c r="O2" s="9">
        <f t="shared" ref="O2:O4" si="1">N2/SUM(N2,P2)</f>
        <v>0.64154786150712828</v>
      </c>
      <c r="P2" s="6">
        <f>COUNTIF($G$2:$G$492,"Inverse")</f>
        <v>176</v>
      </c>
      <c r="Q2" s="9">
        <f t="shared" ref="Q2:Q4" si="2">P2/SUM(N2,P2)</f>
        <v>0.35845213849287166</v>
      </c>
    </row>
    <row r="3" spans="1:17" x14ac:dyDescent="0.2">
      <c r="A3" s="5" t="s">
        <v>13</v>
      </c>
      <c r="B3" s="6" t="s">
        <v>14</v>
      </c>
      <c r="C3" s="7" t="s">
        <v>17</v>
      </c>
      <c r="D3" s="8">
        <v>1.26238049</v>
      </c>
      <c r="E3" s="8">
        <v>2.5287182600000002</v>
      </c>
      <c r="F3" s="7"/>
      <c r="G3" s="7" t="str">
        <f t="shared" si="0"/>
        <v>Direct</v>
      </c>
      <c r="H3" s="7" t="s">
        <v>18</v>
      </c>
      <c r="K3" s="10"/>
      <c r="L3" s="11" t="s">
        <v>19</v>
      </c>
      <c r="M3" s="12">
        <v>2522</v>
      </c>
      <c r="N3" s="6">
        <f>COUNTIF($G$973:$G$3494,"Direct")</f>
        <v>2522</v>
      </c>
      <c r="O3" s="9">
        <f t="shared" si="1"/>
        <v>1</v>
      </c>
      <c r="P3" s="6">
        <f>COUNTIF($G$973:$G$3494,"Inverse")</f>
        <v>0</v>
      </c>
      <c r="Q3" s="9">
        <f t="shared" si="2"/>
        <v>0</v>
      </c>
    </row>
    <row r="4" spans="1:17" x14ac:dyDescent="0.2">
      <c r="A4" s="5" t="s">
        <v>13</v>
      </c>
      <c r="B4" s="6" t="s">
        <v>14</v>
      </c>
      <c r="C4" s="7" t="s">
        <v>20</v>
      </c>
      <c r="D4" s="8">
        <v>2.7094085699999999</v>
      </c>
      <c r="E4" s="8">
        <v>-6.9265677999999999</v>
      </c>
      <c r="F4" s="7"/>
      <c r="G4" s="7" t="str">
        <f t="shared" si="0"/>
        <v>Inverse</v>
      </c>
      <c r="H4" s="7" t="s">
        <v>21</v>
      </c>
      <c r="K4" s="10"/>
      <c r="L4" s="11" t="s">
        <v>22</v>
      </c>
      <c r="M4" s="12">
        <v>480</v>
      </c>
      <c r="N4" s="6">
        <f>COUNTIF($G$493:$G$972,"Direct")</f>
        <v>317</v>
      </c>
      <c r="O4" s="9">
        <f t="shared" si="1"/>
        <v>0.66041666666666665</v>
      </c>
      <c r="P4" s="6">
        <f>COUNTIF($G$493:$G$972,"Inverse")</f>
        <v>163</v>
      </c>
      <c r="Q4" s="9">
        <f t="shared" si="2"/>
        <v>0.33958333333333335</v>
      </c>
    </row>
    <row r="5" spans="1:17" x14ac:dyDescent="0.2">
      <c r="A5" s="5" t="s">
        <v>13</v>
      </c>
      <c r="B5" s="6" t="s">
        <v>14</v>
      </c>
      <c r="C5" s="7" t="s">
        <v>23</v>
      </c>
      <c r="D5" s="8">
        <v>-2.6639482000000001</v>
      </c>
      <c r="E5" s="8">
        <v>-3.3399323999999999</v>
      </c>
      <c r="F5" s="7"/>
      <c r="G5" s="7" t="str">
        <f t="shared" si="0"/>
        <v>Direct</v>
      </c>
      <c r="H5" s="7" t="s">
        <v>24</v>
      </c>
      <c r="K5" s="3" t="s">
        <v>25</v>
      </c>
      <c r="L5" s="13"/>
      <c r="M5" s="4">
        <v>3493</v>
      </c>
      <c r="N5" s="6"/>
      <c r="O5" s="6"/>
      <c r="P5" s="6"/>
      <c r="Q5" s="6"/>
    </row>
    <row r="6" spans="1:17" x14ac:dyDescent="0.2">
      <c r="A6" s="5" t="s">
        <v>13</v>
      </c>
      <c r="B6" s="6" t="s">
        <v>14</v>
      </c>
      <c r="C6" s="7" t="s">
        <v>26</v>
      </c>
      <c r="D6" s="8">
        <v>-1.3894434</v>
      </c>
      <c r="E6" s="8">
        <v>-1.4614754999999999</v>
      </c>
      <c r="F6" s="7"/>
      <c r="G6" s="7" t="str">
        <f t="shared" si="0"/>
        <v>Direct</v>
      </c>
      <c r="H6" s="7" t="s">
        <v>16</v>
      </c>
      <c r="K6" s="3" t="s">
        <v>27</v>
      </c>
      <c r="L6" s="3" t="s">
        <v>14</v>
      </c>
      <c r="M6" s="4">
        <v>203</v>
      </c>
      <c r="N6" s="6">
        <f>COUNTIF($G$3495:$G$3697,"Direct")</f>
        <v>177</v>
      </c>
      <c r="O6" s="9">
        <f t="shared" ref="O6:O8" si="3">N6/SUM(N6,P6)</f>
        <v>0.8719211822660099</v>
      </c>
      <c r="P6" s="6">
        <f>COUNTIF($G$3495:$G$3697,"Inverse")</f>
        <v>26</v>
      </c>
      <c r="Q6" s="9">
        <f t="shared" ref="Q6:Q8" si="4">P6/SUM(N6,P6)</f>
        <v>0.12807881773399016</v>
      </c>
    </row>
    <row r="7" spans="1:17" x14ac:dyDescent="0.2">
      <c r="A7" s="5" t="s">
        <v>13</v>
      </c>
      <c r="B7" s="6" t="s">
        <v>14</v>
      </c>
      <c r="C7" s="7" t="s">
        <v>28</v>
      </c>
      <c r="D7" s="8">
        <v>2.0421916000000002</v>
      </c>
      <c r="E7" s="8">
        <v>1.0176518999999999</v>
      </c>
      <c r="F7" s="7"/>
      <c r="G7" s="7" t="str">
        <f t="shared" si="0"/>
        <v>Direct</v>
      </c>
      <c r="H7" s="7" t="s">
        <v>29</v>
      </c>
      <c r="K7" s="10"/>
      <c r="L7" s="11" t="s">
        <v>19</v>
      </c>
      <c r="M7" s="12">
        <v>1424</v>
      </c>
      <c r="N7" s="6">
        <f>COUNTIF($G$3957:$G$5380,"Direct")</f>
        <v>1424</v>
      </c>
      <c r="O7" s="9">
        <f t="shared" si="3"/>
        <v>1</v>
      </c>
      <c r="P7" s="6">
        <f>COUNTIF($G$3957:$G$5380,"Inverse")</f>
        <v>0</v>
      </c>
      <c r="Q7" s="9">
        <f t="shared" si="4"/>
        <v>0</v>
      </c>
    </row>
    <row r="8" spans="1:17" x14ac:dyDescent="0.2">
      <c r="A8" s="5" t="s">
        <v>13</v>
      </c>
      <c r="B8" s="6" t="s">
        <v>14</v>
      </c>
      <c r="C8" s="7" t="s">
        <v>30</v>
      </c>
      <c r="D8" s="8">
        <v>-1.0005109999999999</v>
      </c>
      <c r="E8" s="8">
        <v>-2.8542277999999999</v>
      </c>
      <c r="F8" s="7"/>
      <c r="G8" s="7" t="str">
        <f t="shared" si="0"/>
        <v>Direct</v>
      </c>
      <c r="H8" s="7" t="s">
        <v>16</v>
      </c>
      <c r="K8" s="10"/>
      <c r="L8" s="11" t="s">
        <v>22</v>
      </c>
      <c r="M8" s="12">
        <v>259</v>
      </c>
      <c r="N8" s="6">
        <f>COUNTIF($G$3698:$G$3956,"Direct")</f>
        <v>209</v>
      </c>
      <c r="O8" s="9">
        <f t="shared" si="3"/>
        <v>0.806949806949807</v>
      </c>
      <c r="P8" s="6">
        <f>COUNTIF($G$3698:$G$3956,"Inverse")</f>
        <v>50</v>
      </c>
      <c r="Q8" s="9">
        <f t="shared" si="4"/>
        <v>0.19305019305019305</v>
      </c>
    </row>
    <row r="9" spans="1:17" x14ac:dyDescent="0.2">
      <c r="A9" s="5" t="s">
        <v>13</v>
      </c>
      <c r="B9" s="6" t="s">
        <v>14</v>
      </c>
      <c r="C9" s="7" t="s">
        <v>31</v>
      </c>
      <c r="D9" s="8">
        <v>1.9404219300000001</v>
      </c>
      <c r="E9" s="8">
        <v>-14.616334</v>
      </c>
      <c r="F9" s="7"/>
      <c r="G9" s="7" t="str">
        <f t="shared" si="0"/>
        <v>Inverse</v>
      </c>
      <c r="H9" s="7" t="s">
        <v>32</v>
      </c>
      <c r="K9" s="3" t="s">
        <v>33</v>
      </c>
      <c r="L9" s="13"/>
      <c r="M9" s="4">
        <v>1886</v>
      </c>
    </row>
    <row r="10" spans="1:17" x14ac:dyDescent="0.2">
      <c r="A10" s="5" t="s">
        <v>13</v>
      </c>
      <c r="B10" s="6" t="s">
        <v>14</v>
      </c>
      <c r="C10" s="7" t="s">
        <v>34</v>
      </c>
      <c r="D10" s="8">
        <v>-1.8071542</v>
      </c>
      <c r="E10" s="8">
        <v>-4.2735700999999997</v>
      </c>
      <c r="F10" s="7"/>
      <c r="G10" s="7" t="str">
        <f t="shared" si="0"/>
        <v>Direct</v>
      </c>
      <c r="H10" s="7" t="s">
        <v>35</v>
      </c>
      <c r="K10" s="14" t="s">
        <v>36</v>
      </c>
      <c r="L10" s="15"/>
      <c r="M10" s="16">
        <v>5379</v>
      </c>
    </row>
    <row r="11" spans="1:17" x14ac:dyDescent="0.2">
      <c r="A11" s="5" t="s">
        <v>13</v>
      </c>
      <c r="B11" s="6" t="s">
        <v>14</v>
      </c>
      <c r="C11" s="7" t="s">
        <v>37</v>
      </c>
      <c r="D11" s="8">
        <v>-1.6859761</v>
      </c>
      <c r="E11" s="8">
        <v>1.0093700800000001</v>
      </c>
      <c r="F11" s="7"/>
      <c r="G11" s="7" t="str">
        <f t="shared" si="0"/>
        <v>Inverse</v>
      </c>
      <c r="H11" s="7" t="s">
        <v>38</v>
      </c>
      <c r="K11" s="6"/>
      <c r="L11" s="6"/>
      <c r="M11" s="6"/>
    </row>
    <row r="12" spans="1:17" x14ac:dyDescent="0.2">
      <c r="A12" s="5" t="s">
        <v>13</v>
      </c>
      <c r="B12" s="6" t="s">
        <v>14</v>
      </c>
      <c r="C12" s="7" t="s">
        <v>39</v>
      </c>
      <c r="D12" s="8">
        <v>1.77531751</v>
      </c>
      <c r="E12" s="8">
        <v>1.9886736599999999</v>
      </c>
      <c r="F12" s="7"/>
      <c r="G12" s="7" t="str">
        <f t="shared" si="0"/>
        <v>Direct</v>
      </c>
      <c r="H12" s="7" t="s">
        <v>40</v>
      </c>
    </row>
    <row r="13" spans="1:17" x14ac:dyDescent="0.2">
      <c r="A13" s="5" t="s">
        <v>13</v>
      </c>
      <c r="B13" s="6" t="s">
        <v>14</v>
      </c>
      <c r="C13" s="7" t="s">
        <v>41</v>
      </c>
      <c r="D13" s="8">
        <v>1.5308279300000001</v>
      </c>
      <c r="E13" s="8">
        <v>-1.5378978999999999</v>
      </c>
      <c r="F13" s="7"/>
      <c r="G13" s="7" t="str">
        <f t="shared" si="0"/>
        <v>Inverse</v>
      </c>
      <c r="H13" s="7" t="s">
        <v>42</v>
      </c>
      <c r="K13" s="6"/>
      <c r="L13" s="2" t="s">
        <v>9</v>
      </c>
      <c r="M13" s="2" t="s">
        <v>11</v>
      </c>
    </row>
    <row r="14" spans="1:17" x14ac:dyDescent="0.2">
      <c r="A14" s="5" t="s">
        <v>13</v>
      </c>
      <c r="B14" s="6" t="s">
        <v>14</v>
      </c>
      <c r="C14" s="7" t="s">
        <v>43</v>
      </c>
      <c r="D14" s="8">
        <v>1.2138961100000001</v>
      </c>
      <c r="E14" s="8">
        <v>5.9881867099999999</v>
      </c>
      <c r="F14" s="7"/>
      <c r="G14" s="7" t="str">
        <f t="shared" si="0"/>
        <v>Direct</v>
      </c>
      <c r="H14" s="7" t="s">
        <v>44</v>
      </c>
      <c r="K14" s="5" t="s">
        <v>13</v>
      </c>
      <c r="L14" s="6">
        <f>COUNTIF($G$2:$G$3494,"Direct")</f>
        <v>3154</v>
      </c>
      <c r="M14" s="6">
        <f>COUNTIF($G$2:$G$3494,"Inverse")</f>
        <v>339</v>
      </c>
    </row>
    <row r="15" spans="1:17" x14ac:dyDescent="0.2">
      <c r="A15" s="5" t="s">
        <v>13</v>
      </c>
      <c r="B15" s="6" t="s">
        <v>14</v>
      </c>
      <c r="C15" s="7" t="s">
        <v>45</v>
      </c>
      <c r="D15" s="8">
        <v>-1.1438497999999999</v>
      </c>
      <c r="E15" s="8">
        <v>-2.2290597999999999</v>
      </c>
      <c r="F15" s="7"/>
      <c r="G15" s="7" t="str">
        <f t="shared" si="0"/>
        <v>Direct</v>
      </c>
      <c r="H15" s="7" t="s">
        <v>46</v>
      </c>
      <c r="K15" s="5" t="s">
        <v>27</v>
      </c>
      <c r="L15" s="6">
        <f>COUNTIF($G$3495:$G$5380,"Direct")</f>
        <v>1810</v>
      </c>
      <c r="M15" s="6">
        <f>COUNTIF($G$3495:$G$5380,"Inverse")</f>
        <v>76</v>
      </c>
    </row>
    <row r="16" spans="1:17" x14ac:dyDescent="0.2">
      <c r="A16" s="5" t="s">
        <v>13</v>
      </c>
      <c r="B16" s="6" t="s">
        <v>14</v>
      </c>
      <c r="C16" s="7" t="s">
        <v>47</v>
      </c>
      <c r="D16" s="8">
        <v>3.2401225199999999</v>
      </c>
      <c r="E16" s="8">
        <v>-1.4033551</v>
      </c>
      <c r="F16" s="7"/>
      <c r="G16" s="7" t="str">
        <f t="shared" si="0"/>
        <v>Inverse</v>
      </c>
      <c r="H16" s="7" t="s">
        <v>16</v>
      </c>
      <c r="K16" s="5"/>
      <c r="L16" s="2" t="s">
        <v>9</v>
      </c>
      <c r="M16" s="2" t="s">
        <v>11</v>
      </c>
    </row>
    <row r="17" spans="1:13" x14ac:dyDescent="0.2">
      <c r="A17" s="5" t="s">
        <v>13</v>
      </c>
      <c r="B17" s="6" t="s">
        <v>14</v>
      </c>
      <c r="C17" s="7" t="s">
        <v>48</v>
      </c>
      <c r="D17" s="8">
        <v>3.43805899</v>
      </c>
      <c r="E17" s="8">
        <v>-1.1336563</v>
      </c>
      <c r="F17" s="7"/>
      <c r="G17" s="7" t="str">
        <f t="shared" si="0"/>
        <v>Inverse</v>
      </c>
      <c r="H17" s="7" t="s">
        <v>16</v>
      </c>
      <c r="K17" s="5" t="s">
        <v>13</v>
      </c>
      <c r="L17" s="9">
        <f t="shared" ref="L17:L18" si="5">L14/SUM(L14:M14)</f>
        <v>0.90294875465216151</v>
      </c>
      <c r="M17" s="9">
        <f t="shared" ref="M17:M18" si="6">M14/SUM(L14:M14)</f>
        <v>9.705124534783853E-2</v>
      </c>
    </row>
    <row r="18" spans="1:13" x14ac:dyDescent="0.2">
      <c r="A18" s="5" t="s">
        <v>13</v>
      </c>
      <c r="B18" s="6" t="s">
        <v>14</v>
      </c>
      <c r="C18" s="7" t="s">
        <v>49</v>
      </c>
      <c r="D18" s="8">
        <v>1.61827315</v>
      </c>
      <c r="E18" s="8">
        <v>-7.8110396</v>
      </c>
      <c r="F18" s="7"/>
      <c r="G18" s="7" t="str">
        <f t="shared" si="0"/>
        <v>Inverse</v>
      </c>
      <c r="H18" s="7" t="s">
        <v>16</v>
      </c>
      <c r="K18" s="5" t="s">
        <v>27</v>
      </c>
      <c r="L18" s="9">
        <f t="shared" si="5"/>
        <v>0.95970307529162246</v>
      </c>
      <c r="M18" s="9">
        <f t="shared" si="6"/>
        <v>4.0296924708377521E-2</v>
      </c>
    </row>
    <row r="19" spans="1:13" x14ac:dyDescent="0.2">
      <c r="A19" s="5" t="s">
        <v>13</v>
      </c>
      <c r="B19" s="6" t="s">
        <v>14</v>
      </c>
      <c r="C19" s="7" t="s">
        <v>50</v>
      </c>
      <c r="D19" s="8">
        <v>1.44631797</v>
      </c>
      <c r="E19" s="8">
        <v>-1.3681504</v>
      </c>
      <c r="F19" s="7"/>
      <c r="G19" s="7" t="str">
        <f t="shared" si="0"/>
        <v>Inverse</v>
      </c>
      <c r="H19" s="7" t="s">
        <v>16</v>
      </c>
      <c r="K19" s="6"/>
      <c r="L19" s="6"/>
      <c r="M19" s="6"/>
    </row>
    <row r="20" spans="1:13" x14ac:dyDescent="0.2">
      <c r="A20" s="5" t="s">
        <v>13</v>
      </c>
      <c r="B20" s="6" t="s">
        <v>14</v>
      </c>
      <c r="C20" s="7" t="s">
        <v>51</v>
      </c>
      <c r="D20" s="8">
        <v>2.4446342599999999</v>
      </c>
      <c r="E20" s="8">
        <v>-10.598463000000001</v>
      </c>
      <c r="F20" s="7"/>
      <c r="G20" s="7" t="str">
        <f t="shared" si="0"/>
        <v>Inverse</v>
      </c>
      <c r="H20" s="7" t="s">
        <v>16</v>
      </c>
      <c r="L20" s="2" t="s">
        <v>52</v>
      </c>
      <c r="M20" s="6"/>
    </row>
    <row r="21" spans="1:13" x14ac:dyDescent="0.2">
      <c r="A21" s="5" t="s">
        <v>13</v>
      </c>
      <c r="B21" s="6" t="s">
        <v>14</v>
      </c>
      <c r="C21" s="7" t="s">
        <v>53</v>
      </c>
      <c r="D21" s="8">
        <v>-1.8384864000000001</v>
      </c>
      <c r="E21" s="8">
        <v>-3.8942369999999999</v>
      </c>
      <c r="F21" s="7"/>
      <c r="G21" s="7" t="str">
        <f t="shared" si="0"/>
        <v>Direct</v>
      </c>
      <c r="H21" s="7" t="s">
        <v>16</v>
      </c>
      <c r="K21" s="5" t="s">
        <v>13</v>
      </c>
      <c r="L21" s="6">
        <f ca="1">IFERROR(__xludf.DUMMYFUNCTION("COUNTUNIQUE($C$2:$C$3494)"),2693)</f>
        <v>2693</v>
      </c>
      <c r="M21" s="6"/>
    </row>
    <row r="22" spans="1:13" x14ac:dyDescent="0.2">
      <c r="A22" s="5" t="s">
        <v>13</v>
      </c>
      <c r="B22" s="6" t="s">
        <v>14</v>
      </c>
      <c r="C22" s="7" t="s">
        <v>54</v>
      </c>
      <c r="D22" s="8">
        <v>-3.9849408999999998</v>
      </c>
      <c r="E22" s="8">
        <v>-5.8995116999999997</v>
      </c>
      <c r="F22" s="7"/>
      <c r="G22" s="7" t="str">
        <f t="shared" si="0"/>
        <v>Direct</v>
      </c>
      <c r="H22" s="7" t="s">
        <v>16</v>
      </c>
      <c r="K22" s="5" t="s">
        <v>27</v>
      </c>
      <c r="L22" s="6">
        <f ca="1">IFERROR(__xludf.DUMMYFUNCTION("COUNTUNIQUE($C$3495:$C$5380)"),1546)</f>
        <v>1546</v>
      </c>
      <c r="M22" s="6"/>
    </row>
    <row r="23" spans="1:13" x14ac:dyDescent="0.2">
      <c r="A23" s="5" t="s">
        <v>13</v>
      </c>
      <c r="B23" s="6" t="s">
        <v>14</v>
      </c>
      <c r="C23" s="7" t="s">
        <v>55</v>
      </c>
      <c r="D23" s="8">
        <v>-2.7001355999999999</v>
      </c>
      <c r="E23" s="8">
        <v>-2.5323559000000002</v>
      </c>
      <c r="F23" s="7"/>
      <c r="G23" s="7" t="str">
        <f t="shared" si="0"/>
        <v>Direct</v>
      </c>
      <c r="H23" s="7" t="s">
        <v>56</v>
      </c>
    </row>
    <row r="24" spans="1:13" x14ac:dyDescent="0.2">
      <c r="A24" s="5" t="s">
        <v>13</v>
      </c>
      <c r="B24" s="6" t="s">
        <v>14</v>
      </c>
      <c r="C24" s="7" t="s">
        <v>57</v>
      </c>
      <c r="D24" s="8">
        <v>1.0334759</v>
      </c>
      <c r="E24" s="8">
        <v>-1.4120899</v>
      </c>
      <c r="F24" s="7"/>
      <c r="G24" s="7" t="str">
        <f t="shared" si="0"/>
        <v>Inverse</v>
      </c>
      <c r="H24" s="7" t="s">
        <v>58</v>
      </c>
    </row>
    <row r="25" spans="1:13" x14ac:dyDescent="0.2">
      <c r="A25" s="5" t="s">
        <v>13</v>
      </c>
      <c r="B25" s="6" t="s">
        <v>14</v>
      </c>
      <c r="C25" s="7" t="s">
        <v>59</v>
      </c>
      <c r="D25" s="8">
        <v>-1.3700123</v>
      </c>
      <c r="E25" s="8">
        <v>-1.4432631</v>
      </c>
      <c r="F25" s="7"/>
      <c r="G25" s="7" t="str">
        <f t="shared" si="0"/>
        <v>Direct</v>
      </c>
      <c r="H25" s="7" t="s">
        <v>60</v>
      </c>
    </row>
    <row r="26" spans="1:13" x14ac:dyDescent="0.2">
      <c r="A26" s="5" t="s">
        <v>13</v>
      </c>
      <c r="B26" s="6" t="s">
        <v>14</v>
      </c>
      <c r="C26" s="7" t="s">
        <v>61</v>
      </c>
      <c r="D26" s="8">
        <v>-3.6889655000000001</v>
      </c>
      <c r="E26" s="8">
        <v>-1.0653098999999999</v>
      </c>
      <c r="F26" s="7"/>
      <c r="G26" s="7" t="str">
        <f t="shared" si="0"/>
        <v>Direct</v>
      </c>
      <c r="H26" s="7" t="s">
        <v>62</v>
      </c>
    </row>
    <row r="27" spans="1:13" x14ac:dyDescent="0.2">
      <c r="A27" s="5" t="s">
        <v>13</v>
      </c>
      <c r="B27" s="6" t="s">
        <v>14</v>
      </c>
      <c r="C27" s="7" t="s">
        <v>63</v>
      </c>
      <c r="D27" s="8">
        <v>-2.5145298999999999</v>
      </c>
      <c r="E27" s="8">
        <v>-6.2791819000000002</v>
      </c>
      <c r="F27" s="7"/>
      <c r="G27" s="7" t="str">
        <f t="shared" si="0"/>
        <v>Direct</v>
      </c>
      <c r="H27" s="7" t="s">
        <v>64</v>
      </c>
    </row>
    <row r="28" spans="1:13" x14ac:dyDescent="0.2">
      <c r="A28" s="5" t="s">
        <v>13</v>
      </c>
      <c r="B28" s="6" t="s">
        <v>14</v>
      </c>
      <c r="C28" s="7" t="s">
        <v>65</v>
      </c>
      <c r="D28" s="8">
        <v>1.01965046</v>
      </c>
      <c r="E28" s="8">
        <v>-10.101601</v>
      </c>
      <c r="F28" s="7"/>
      <c r="G28" s="7" t="str">
        <f t="shared" si="0"/>
        <v>Inverse</v>
      </c>
      <c r="H28" s="7" t="s">
        <v>16</v>
      </c>
    </row>
    <row r="29" spans="1:13" x14ac:dyDescent="0.2">
      <c r="A29" s="5" t="s">
        <v>13</v>
      </c>
      <c r="B29" s="6" t="s">
        <v>14</v>
      </c>
      <c r="C29" s="7" t="s">
        <v>66</v>
      </c>
      <c r="D29" s="8">
        <v>1.5440095700000001</v>
      </c>
      <c r="E29" s="8">
        <v>-4.4723018000000003</v>
      </c>
      <c r="F29" s="7"/>
      <c r="G29" s="7" t="str">
        <f t="shared" si="0"/>
        <v>Inverse</v>
      </c>
      <c r="H29" s="7" t="s">
        <v>16</v>
      </c>
    </row>
    <row r="30" spans="1:13" x14ac:dyDescent="0.2">
      <c r="A30" s="5" t="s">
        <v>13</v>
      </c>
      <c r="B30" s="6" t="s">
        <v>14</v>
      </c>
      <c r="C30" s="7" t="s">
        <v>67</v>
      </c>
      <c r="D30" s="8">
        <v>-1.2405374</v>
      </c>
      <c r="E30" s="8">
        <v>-2.0910818</v>
      </c>
      <c r="F30" s="7"/>
      <c r="G30" s="7" t="str">
        <f t="shared" si="0"/>
        <v>Direct</v>
      </c>
      <c r="H30" s="7" t="s">
        <v>68</v>
      </c>
    </row>
    <row r="31" spans="1:13" x14ac:dyDescent="0.2">
      <c r="A31" s="5" t="s">
        <v>13</v>
      </c>
      <c r="B31" s="6" t="s">
        <v>14</v>
      </c>
      <c r="C31" s="7" t="s">
        <v>69</v>
      </c>
      <c r="D31" s="8">
        <v>1.08521874</v>
      </c>
      <c r="E31" s="8">
        <v>-1.6394032000000001</v>
      </c>
      <c r="F31" s="7"/>
      <c r="G31" s="7" t="str">
        <f t="shared" si="0"/>
        <v>Inverse</v>
      </c>
      <c r="H31" s="7" t="s">
        <v>16</v>
      </c>
    </row>
    <row r="32" spans="1:13" x14ac:dyDescent="0.2">
      <c r="A32" s="5" t="s">
        <v>13</v>
      </c>
      <c r="B32" s="6" t="s">
        <v>14</v>
      </c>
      <c r="C32" s="7" t="s">
        <v>70</v>
      </c>
      <c r="D32" s="8">
        <v>1.50699432</v>
      </c>
      <c r="E32" s="8">
        <v>-12.863184</v>
      </c>
      <c r="F32" s="7"/>
      <c r="G32" s="7" t="str">
        <f t="shared" si="0"/>
        <v>Inverse</v>
      </c>
      <c r="H32" s="7" t="s">
        <v>16</v>
      </c>
    </row>
    <row r="33" spans="1:8" x14ac:dyDescent="0.2">
      <c r="A33" s="5" t="s">
        <v>13</v>
      </c>
      <c r="B33" s="6" t="s">
        <v>14</v>
      </c>
      <c r="C33" s="7" t="s">
        <v>71</v>
      </c>
      <c r="D33" s="8">
        <v>1.71528189</v>
      </c>
      <c r="E33" s="8">
        <v>-10.631677</v>
      </c>
      <c r="F33" s="7"/>
      <c r="G33" s="7" t="str">
        <f t="shared" si="0"/>
        <v>Inverse</v>
      </c>
      <c r="H33" s="7" t="s">
        <v>16</v>
      </c>
    </row>
    <row r="34" spans="1:8" x14ac:dyDescent="0.2">
      <c r="A34" s="5" t="s">
        <v>13</v>
      </c>
      <c r="B34" s="6" t="s">
        <v>14</v>
      </c>
      <c r="C34" s="7" t="s">
        <v>72</v>
      </c>
      <c r="D34" s="8">
        <v>2.1885144300000001</v>
      </c>
      <c r="E34" s="8">
        <v>-10.084066999999999</v>
      </c>
      <c r="F34" s="7"/>
      <c r="G34" s="7" t="str">
        <f t="shared" si="0"/>
        <v>Inverse</v>
      </c>
      <c r="H34" s="7" t="s">
        <v>16</v>
      </c>
    </row>
    <row r="35" spans="1:8" x14ac:dyDescent="0.2">
      <c r="A35" s="5" t="s">
        <v>13</v>
      </c>
      <c r="B35" s="6" t="s">
        <v>14</v>
      </c>
      <c r="C35" s="7" t="s">
        <v>73</v>
      </c>
      <c r="D35" s="8">
        <v>1.84745377</v>
      </c>
      <c r="E35" s="8">
        <v>-7.2937557999999996</v>
      </c>
      <c r="F35" s="7"/>
      <c r="G35" s="7" t="str">
        <f t="shared" si="0"/>
        <v>Inverse</v>
      </c>
      <c r="H35" s="7" t="s">
        <v>16</v>
      </c>
    </row>
    <row r="36" spans="1:8" x14ac:dyDescent="0.2">
      <c r="A36" s="5" t="s">
        <v>13</v>
      </c>
      <c r="B36" s="6" t="s">
        <v>14</v>
      </c>
      <c r="C36" s="7" t="s">
        <v>74</v>
      </c>
      <c r="D36" s="8">
        <v>1.0470809700000001</v>
      </c>
      <c r="E36" s="8">
        <v>-4.7203001999999996</v>
      </c>
      <c r="F36" s="7"/>
      <c r="G36" s="7" t="str">
        <f t="shared" si="0"/>
        <v>Inverse</v>
      </c>
      <c r="H36" s="7" t="s">
        <v>16</v>
      </c>
    </row>
    <row r="37" spans="1:8" x14ac:dyDescent="0.2">
      <c r="A37" s="5" t="s">
        <v>13</v>
      </c>
      <c r="B37" s="6" t="s">
        <v>14</v>
      </c>
      <c r="C37" s="7" t="s">
        <v>75</v>
      </c>
      <c r="D37" s="8">
        <v>2.1756774000000001</v>
      </c>
      <c r="E37" s="8">
        <v>-2.9351489000000002</v>
      </c>
      <c r="F37" s="7"/>
      <c r="G37" s="7" t="str">
        <f t="shared" si="0"/>
        <v>Inverse</v>
      </c>
      <c r="H37" s="7" t="s">
        <v>16</v>
      </c>
    </row>
    <row r="38" spans="1:8" x14ac:dyDescent="0.2">
      <c r="A38" s="5" t="s">
        <v>13</v>
      </c>
      <c r="B38" s="6" t="s">
        <v>14</v>
      </c>
      <c r="C38" s="7" t="s">
        <v>76</v>
      </c>
      <c r="D38" s="8">
        <v>1.46247215</v>
      </c>
      <c r="E38" s="8">
        <v>-9.2066321999999996</v>
      </c>
      <c r="F38" s="7"/>
      <c r="G38" s="7" t="str">
        <f t="shared" si="0"/>
        <v>Inverse</v>
      </c>
      <c r="H38" s="7" t="s">
        <v>16</v>
      </c>
    </row>
    <row r="39" spans="1:8" x14ac:dyDescent="0.2">
      <c r="A39" s="5" t="s">
        <v>13</v>
      </c>
      <c r="B39" s="6" t="s">
        <v>14</v>
      </c>
      <c r="C39" s="7" t="s">
        <v>77</v>
      </c>
      <c r="D39" s="8">
        <v>1.7658814599999999</v>
      </c>
      <c r="E39" s="8">
        <v>-7.6721434000000004</v>
      </c>
      <c r="F39" s="7"/>
      <c r="G39" s="7" t="str">
        <f t="shared" si="0"/>
        <v>Inverse</v>
      </c>
      <c r="H39" s="7" t="s">
        <v>16</v>
      </c>
    </row>
    <row r="40" spans="1:8" x14ac:dyDescent="0.2">
      <c r="A40" s="5" t="s">
        <v>13</v>
      </c>
      <c r="B40" s="6" t="s">
        <v>14</v>
      </c>
      <c r="C40" s="7" t="s">
        <v>78</v>
      </c>
      <c r="D40" s="8">
        <v>1.9692564699999999</v>
      </c>
      <c r="E40" s="8">
        <v>-9.4338063999999999</v>
      </c>
      <c r="F40" s="7"/>
      <c r="G40" s="7" t="str">
        <f t="shared" si="0"/>
        <v>Inverse</v>
      </c>
      <c r="H40" s="7" t="s">
        <v>16</v>
      </c>
    </row>
    <row r="41" spans="1:8" x14ac:dyDescent="0.2">
      <c r="A41" s="5" t="s">
        <v>13</v>
      </c>
      <c r="B41" s="6" t="s">
        <v>14</v>
      </c>
      <c r="C41" s="7" t="s">
        <v>79</v>
      </c>
      <c r="D41" s="8">
        <v>2.5748107</v>
      </c>
      <c r="E41" s="8">
        <v>-13.512852000000001</v>
      </c>
      <c r="F41" s="7"/>
      <c r="G41" s="7" t="str">
        <f t="shared" si="0"/>
        <v>Inverse</v>
      </c>
      <c r="H41" s="7" t="s">
        <v>16</v>
      </c>
    </row>
    <row r="42" spans="1:8" x14ac:dyDescent="0.2">
      <c r="A42" s="5" t="s">
        <v>13</v>
      </c>
      <c r="B42" s="6" t="s">
        <v>14</v>
      </c>
      <c r="C42" s="7" t="s">
        <v>80</v>
      </c>
      <c r="D42" s="8">
        <v>1.0436867400000001</v>
      </c>
      <c r="E42" s="8">
        <v>4.9691996300000003</v>
      </c>
      <c r="F42" s="7"/>
      <c r="G42" s="7" t="str">
        <f t="shared" si="0"/>
        <v>Direct</v>
      </c>
      <c r="H42" s="7" t="s">
        <v>81</v>
      </c>
    </row>
    <row r="43" spans="1:8" x14ac:dyDescent="0.2">
      <c r="A43" s="5" t="s">
        <v>13</v>
      </c>
      <c r="B43" s="6" t="s">
        <v>14</v>
      </c>
      <c r="C43" s="7" t="s">
        <v>82</v>
      </c>
      <c r="D43" s="8">
        <v>1.3754530199999999</v>
      </c>
      <c r="E43" s="8">
        <v>1.15318532</v>
      </c>
      <c r="F43" s="7"/>
      <c r="G43" s="7" t="str">
        <f t="shared" si="0"/>
        <v>Direct</v>
      </c>
      <c r="H43" s="7" t="s">
        <v>16</v>
      </c>
    </row>
    <row r="44" spans="1:8" x14ac:dyDescent="0.2">
      <c r="A44" s="5" t="s">
        <v>13</v>
      </c>
      <c r="B44" s="6" t="s">
        <v>14</v>
      </c>
      <c r="C44" s="7" t="s">
        <v>83</v>
      </c>
      <c r="D44" s="8">
        <v>-1.0006307000000001</v>
      </c>
      <c r="E44" s="8">
        <v>1.3704321699999999</v>
      </c>
      <c r="F44" s="7"/>
      <c r="G44" s="7" t="str">
        <f t="shared" si="0"/>
        <v>Inverse</v>
      </c>
      <c r="H44" s="7" t="s">
        <v>16</v>
      </c>
    </row>
    <row r="45" spans="1:8" x14ac:dyDescent="0.2">
      <c r="A45" s="5" t="s">
        <v>13</v>
      </c>
      <c r="B45" s="6" t="s">
        <v>14</v>
      </c>
      <c r="C45" s="7" t="s">
        <v>84</v>
      </c>
      <c r="D45" s="8">
        <v>1.86805427</v>
      </c>
      <c r="E45" s="8">
        <v>-7.1828162000000004</v>
      </c>
      <c r="F45" s="7"/>
      <c r="G45" s="7" t="str">
        <f t="shared" si="0"/>
        <v>Inverse</v>
      </c>
      <c r="H45" s="7" t="s">
        <v>85</v>
      </c>
    </row>
    <row r="46" spans="1:8" x14ac:dyDescent="0.2">
      <c r="A46" s="5" t="s">
        <v>13</v>
      </c>
      <c r="B46" s="6" t="s">
        <v>14</v>
      </c>
      <c r="C46" s="7" t="s">
        <v>86</v>
      </c>
      <c r="D46" s="8">
        <v>1.68408797</v>
      </c>
      <c r="E46" s="8">
        <v>-6.9601207</v>
      </c>
      <c r="F46" s="7"/>
      <c r="G46" s="7" t="str">
        <f t="shared" si="0"/>
        <v>Inverse</v>
      </c>
      <c r="H46" s="7" t="s">
        <v>16</v>
      </c>
    </row>
    <row r="47" spans="1:8" x14ac:dyDescent="0.2">
      <c r="A47" s="5" t="s">
        <v>13</v>
      </c>
      <c r="B47" s="6" t="s">
        <v>14</v>
      </c>
      <c r="C47" s="7" t="s">
        <v>87</v>
      </c>
      <c r="D47" s="8">
        <v>1.2783836</v>
      </c>
      <c r="E47" s="8">
        <v>1.3804990699999999</v>
      </c>
      <c r="F47" s="7"/>
      <c r="G47" s="7" t="str">
        <f t="shared" si="0"/>
        <v>Direct</v>
      </c>
      <c r="H47" s="7" t="s">
        <v>88</v>
      </c>
    </row>
    <row r="48" spans="1:8" x14ac:dyDescent="0.2">
      <c r="A48" s="5" t="s">
        <v>13</v>
      </c>
      <c r="B48" s="6" t="s">
        <v>14</v>
      </c>
      <c r="C48" s="7" t="s">
        <v>89</v>
      </c>
      <c r="D48" s="8">
        <v>1.0609191</v>
      </c>
      <c r="E48" s="8">
        <v>-5.2843621000000001</v>
      </c>
      <c r="F48" s="7"/>
      <c r="G48" s="7" t="str">
        <f t="shared" si="0"/>
        <v>Inverse</v>
      </c>
      <c r="H48" s="7" t="s">
        <v>90</v>
      </c>
    </row>
    <row r="49" spans="1:8" x14ac:dyDescent="0.2">
      <c r="A49" s="5" t="s">
        <v>13</v>
      </c>
      <c r="B49" s="6" t="s">
        <v>14</v>
      </c>
      <c r="C49" s="7" t="s">
        <v>91</v>
      </c>
      <c r="D49" s="8">
        <v>3.1321907800000002</v>
      </c>
      <c r="E49" s="8">
        <v>-1.2486549</v>
      </c>
      <c r="F49" s="7"/>
      <c r="G49" s="7" t="str">
        <f t="shared" si="0"/>
        <v>Inverse</v>
      </c>
      <c r="H49" s="7" t="s">
        <v>92</v>
      </c>
    </row>
    <row r="50" spans="1:8" x14ac:dyDescent="0.2">
      <c r="A50" s="5" t="s">
        <v>13</v>
      </c>
      <c r="B50" s="6" t="s">
        <v>14</v>
      </c>
      <c r="C50" s="7" t="s">
        <v>93</v>
      </c>
      <c r="D50" s="8">
        <v>-1.2668394000000001</v>
      </c>
      <c r="E50" s="8">
        <v>-2.1520746000000002</v>
      </c>
      <c r="F50" s="7"/>
      <c r="G50" s="7" t="str">
        <f t="shared" si="0"/>
        <v>Direct</v>
      </c>
      <c r="H50" s="7" t="s">
        <v>94</v>
      </c>
    </row>
    <row r="51" spans="1:8" x14ac:dyDescent="0.2">
      <c r="A51" s="5" t="s">
        <v>13</v>
      </c>
      <c r="B51" s="6" t="s">
        <v>14</v>
      </c>
      <c r="C51" s="7" t="s">
        <v>95</v>
      </c>
      <c r="D51" s="8">
        <v>-2.5169011999999999</v>
      </c>
      <c r="E51" s="8">
        <v>-4.6576240000000002</v>
      </c>
      <c r="F51" s="7"/>
      <c r="G51" s="7" t="str">
        <f t="shared" si="0"/>
        <v>Direct</v>
      </c>
      <c r="H51" s="7" t="s">
        <v>96</v>
      </c>
    </row>
    <row r="52" spans="1:8" x14ac:dyDescent="0.2">
      <c r="A52" s="5" t="s">
        <v>13</v>
      </c>
      <c r="B52" s="6" t="s">
        <v>14</v>
      </c>
      <c r="C52" s="7" t="s">
        <v>97</v>
      </c>
      <c r="D52" s="8">
        <v>1.7811513999999999</v>
      </c>
      <c r="E52" s="8">
        <v>-5.4715277999999996</v>
      </c>
      <c r="F52" s="7"/>
      <c r="G52" s="7" t="str">
        <f t="shared" si="0"/>
        <v>Inverse</v>
      </c>
      <c r="H52" s="7" t="s">
        <v>16</v>
      </c>
    </row>
    <row r="53" spans="1:8" x14ac:dyDescent="0.2">
      <c r="A53" s="5" t="s">
        <v>13</v>
      </c>
      <c r="B53" s="6" t="s">
        <v>14</v>
      </c>
      <c r="C53" s="7" t="s">
        <v>98</v>
      </c>
      <c r="D53" s="8">
        <v>1.51002696</v>
      </c>
      <c r="E53" s="8">
        <v>-2.4501466999999999</v>
      </c>
      <c r="F53" s="7"/>
      <c r="G53" s="7" t="str">
        <f t="shared" si="0"/>
        <v>Inverse</v>
      </c>
      <c r="H53" s="7" t="s">
        <v>16</v>
      </c>
    </row>
    <row r="54" spans="1:8" x14ac:dyDescent="0.2">
      <c r="A54" s="5" t="s">
        <v>13</v>
      </c>
      <c r="B54" s="6" t="s">
        <v>14</v>
      </c>
      <c r="C54" s="7" t="s">
        <v>99</v>
      </c>
      <c r="D54" s="8">
        <v>-1.2551999</v>
      </c>
      <c r="E54" s="8">
        <v>-1.6969584</v>
      </c>
      <c r="F54" s="7"/>
      <c r="G54" s="7" t="str">
        <f t="shared" si="0"/>
        <v>Direct</v>
      </c>
      <c r="H54" s="7" t="s">
        <v>100</v>
      </c>
    </row>
    <row r="55" spans="1:8" x14ac:dyDescent="0.2">
      <c r="A55" s="5" t="s">
        <v>13</v>
      </c>
      <c r="B55" s="6" t="s">
        <v>14</v>
      </c>
      <c r="C55" s="7" t="s">
        <v>101</v>
      </c>
      <c r="D55" s="8">
        <v>1.76768937</v>
      </c>
      <c r="E55" s="8">
        <v>-12.931882</v>
      </c>
      <c r="F55" s="7"/>
      <c r="G55" s="7" t="str">
        <f t="shared" si="0"/>
        <v>Inverse</v>
      </c>
      <c r="H55" s="7" t="s">
        <v>16</v>
      </c>
    </row>
    <row r="56" spans="1:8" x14ac:dyDescent="0.2">
      <c r="A56" s="5" t="s">
        <v>13</v>
      </c>
      <c r="B56" s="6" t="s">
        <v>14</v>
      </c>
      <c r="C56" s="7" t="s">
        <v>102</v>
      </c>
      <c r="D56" s="8">
        <v>-1.9404219</v>
      </c>
      <c r="E56" s="8">
        <v>-5.5524820000000004</v>
      </c>
      <c r="F56" s="7"/>
      <c r="G56" s="7" t="str">
        <f t="shared" si="0"/>
        <v>Direct</v>
      </c>
      <c r="H56" s="7" t="s">
        <v>16</v>
      </c>
    </row>
    <row r="57" spans="1:8" x14ac:dyDescent="0.2">
      <c r="A57" s="5" t="s">
        <v>13</v>
      </c>
      <c r="B57" s="6" t="s">
        <v>14</v>
      </c>
      <c r="C57" s="7" t="s">
        <v>103</v>
      </c>
      <c r="D57" s="8">
        <v>-2.2238429000000002</v>
      </c>
      <c r="E57" s="8">
        <v>-1.5442800000000001</v>
      </c>
      <c r="F57" s="7"/>
      <c r="G57" s="7" t="str">
        <f t="shared" si="0"/>
        <v>Direct</v>
      </c>
      <c r="H57" s="7" t="s">
        <v>16</v>
      </c>
    </row>
    <row r="58" spans="1:8" x14ac:dyDescent="0.2">
      <c r="A58" s="5" t="s">
        <v>13</v>
      </c>
      <c r="B58" s="6" t="s">
        <v>14</v>
      </c>
      <c r="C58" s="7" t="s">
        <v>104</v>
      </c>
      <c r="D58" s="8">
        <v>-2.0366371000000001</v>
      </c>
      <c r="E58" s="8">
        <v>-1.8447515000000001</v>
      </c>
      <c r="F58" s="7"/>
      <c r="G58" s="7" t="str">
        <f t="shared" si="0"/>
        <v>Direct</v>
      </c>
      <c r="H58" s="7" t="s">
        <v>16</v>
      </c>
    </row>
    <row r="59" spans="1:8" x14ac:dyDescent="0.2">
      <c r="A59" s="5" t="s">
        <v>13</v>
      </c>
      <c r="B59" s="6" t="s">
        <v>14</v>
      </c>
      <c r="C59" s="7" t="s">
        <v>105</v>
      </c>
      <c r="D59" s="8">
        <v>1.3676691400000001</v>
      </c>
      <c r="E59" s="8">
        <v>-5.6181349999999997</v>
      </c>
      <c r="F59" s="7"/>
      <c r="G59" s="7" t="str">
        <f t="shared" si="0"/>
        <v>Inverse</v>
      </c>
      <c r="H59" s="7" t="s">
        <v>16</v>
      </c>
    </row>
    <row r="60" spans="1:8" x14ac:dyDescent="0.2">
      <c r="A60" s="5" t="s">
        <v>13</v>
      </c>
      <c r="B60" s="6" t="s">
        <v>14</v>
      </c>
      <c r="C60" s="7" t="s">
        <v>106</v>
      </c>
      <c r="D60" s="8">
        <v>-1.0216837999999999</v>
      </c>
      <c r="E60" s="8">
        <v>-1.3026685</v>
      </c>
      <c r="F60" s="7"/>
      <c r="G60" s="7" t="str">
        <f t="shared" si="0"/>
        <v>Direct</v>
      </c>
      <c r="H60" s="7" t="s">
        <v>107</v>
      </c>
    </row>
    <row r="61" spans="1:8" x14ac:dyDescent="0.2">
      <c r="A61" s="5" t="s">
        <v>13</v>
      </c>
      <c r="B61" s="6" t="s">
        <v>14</v>
      </c>
      <c r="C61" s="7" t="s">
        <v>108</v>
      </c>
      <c r="D61" s="8">
        <v>-1.1480262000000001</v>
      </c>
      <c r="E61" s="8">
        <v>-1.3702616000000001</v>
      </c>
      <c r="F61" s="7"/>
      <c r="G61" s="7" t="str">
        <f t="shared" si="0"/>
        <v>Direct</v>
      </c>
      <c r="H61" s="7" t="s">
        <v>16</v>
      </c>
    </row>
    <row r="62" spans="1:8" x14ac:dyDescent="0.2">
      <c r="A62" s="5" t="s">
        <v>13</v>
      </c>
      <c r="B62" s="6" t="s">
        <v>14</v>
      </c>
      <c r="C62" s="7" t="s">
        <v>109</v>
      </c>
      <c r="D62" s="8">
        <v>-2.8924541000000001</v>
      </c>
      <c r="E62" s="8">
        <v>-3.4108588000000002</v>
      </c>
      <c r="F62" s="7"/>
      <c r="G62" s="7" t="str">
        <f t="shared" si="0"/>
        <v>Direct</v>
      </c>
      <c r="H62" s="7" t="s">
        <v>110</v>
      </c>
    </row>
    <row r="63" spans="1:8" x14ac:dyDescent="0.2">
      <c r="A63" s="5" t="s">
        <v>13</v>
      </c>
      <c r="B63" s="6" t="s">
        <v>14</v>
      </c>
      <c r="C63" s="7" t="s">
        <v>111</v>
      </c>
      <c r="D63" s="8">
        <v>-1.0737699999999999</v>
      </c>
      <c r="E63" s="8">
        <v>-1.6003963999999999</v>
      </c>
      <c r="F63" s="7"/>
      <c r="G63" s="7" t="str">
        <f t="shared" si="0"/>
        <v>Direct</v>
      </c>
      <c r="H63" s="7" t="s">
        <v>112</v>
      </c>
    </row>
    <row r="64" spans="1:8" x14ac:dyDescent="0.2">
      <c r="A64" s="5" t="s">
        <v>13</v>
      </c>
      <c r="B64" s="6" t="s">
        <v>14</v>
      </c>
      <c r="C64" s="7" t="s">
        <v>113</v>
      </c>
      <c r="D64" s="8">
        <v>1.68597606</v>
      </c>
      <c r="E64" s="8">
        <v>1.03375266</v>
      </c>
      <c r="F64" s="7"/>
      <c r="G64" s="7" t="str">
        <f t="shared" si="0"/>
        <v>Direct</v>
      </c>
      <c r="H64" s="7" t="s">
        <v>16</v>
      </c>
    </row>
    <row r="65" spans="1:8" x14ac:dyDescent="0.2">
      <c r="A65" s="5" t="s">
        <v>13</v>
      </c>
      <c r="B65" s="6" t="s">
        <v>14</v>
      </c>
      <c r="C65" s="7" t="s">
        <v>114</v>
      </c>
      <c r="D65" s="8">
        <v>-1.0471661999999999</v>
      </c>
      <c r="E65" s="8">
        <v>-6.9514344000000001</v>
      </c>
      <c r="F65" s="7"/>
      <c r="G65" s="7" t="str">
        <f t="shared" si="0"/>
        <v>Direct</v>
      </c>
      <c r="H65" s="7" t="s">
        <v>16</v>
      </c>
    </row>
    <row r="66" spans="1:8" x14ac:dyDescent="0.2">
      <c r="A66" s="5" t="s">
        <v>13</v>
      </c>
      <c r="B66" s="6" t="s">
        <v>14</v>
      </c>
      <c r="C66" s="7" t="s">
        <v>115</v>
      </c>
      <c r="D66" s="8">
        <v>-1.3649359000000001</v>
      </c>
      <c r="E66" s="8">
        <v>-7.0796315999999999</v>
      </c>
      <c r="F66" s="7"/>
      <c r="G66" s="7" t="str">
        <f t="shared" si="0"/>
        <v>Direct</v>
      </c>
      <c r="H66" s="7" t="s">
        <v>16</v>
      </c>
    </row>
    <row r="67" spans="1:8" x14ac:dyDescent="0.2">
      <c r="A67" s="5" t="s">
        <v>13</v>
      </c>
      <c r="B67" s="6" t="s">
        <v>14</v>
      </c>
      <c r="C67" s="7" t="s">
        <v>116</v>
      </c>
      <c r="D67" s="8">
        <v>1.3403444900000001</v>
      </c>
      <c r="E67" s="8">
        <v>-9.8974259</v>
      </c>
      <c r="F67" s="7"/>
      <c r="G67" s="7" t="str">
        <f t="shared" si="0"/>
        <v>Inverse</v>
      </c>
      <c r="H67" s="7" t="s">
        <v>16</v>
      </c>
    </row>
    <row r="68" spans="1:8" x14ac:dyDescent="0.2">
      <c r="A68" s="5" t="s">
        <v>13</v>
      </c>
      <c r="B68" s="6" t="s">
        <v>14</v>
      </c>
      <c r="C68" s="7" t="s">
        <v>117</v>
      </c>
      <c r="D68" s="8">
        <v>1.5755857900000001</v>
      </c>
      <c r="E68" s="8">
        <v>-14.623307</v>
      </c>
      <c r="F68" s="7"/>
      <c r="G68" s="7" t="str">
        <f t="shared" si="0"/>
        <v>Inverse</v>
      </c>
      <c r="H68" s="7" t="s">
        <v>16</v>
      </c>
    </row>
    <row r="69" spans="1:8" x14ac:dyDescent="0.2">
      <c r="A69" s="5" t="s">
        <v>13</v>
      </c>
      <c r="B69" s="6" t="s">
        <v>14</v>
      </c>
      <c r="C69" s="7" t="s">
        <v>118</v>
      </c>
      <c r="D69" s="8">
        <v>5.06672163</v>
      </c>
      <c r="E69" s="8">
        <v>-1.4784373</v>
      </c>
      <c r="F69" s="7"/>
      <c r="G69" s="7" t="str">
        <f t="shared" si="0"/>
        <v>Inverse</v>
      </c>
      <c r="H69" s="7" t="s">
        <v>16</v>
      </c>
    </row>
    <row r="70" spans="1:8" x14ac:dyDescent="0.2">
      <c r="A70" s="5" t="s">
        <v>13</v>
      </c>
      <c r="B70" s="6" t="s">
        <v>14</v>
      </c>
      <c r="C70" s="7" t="s">
        <v>119</v>
      </c>
      <c r="D70" s="8">
        <v>-1.8777121000000001</v>
      </c>
      <c r="E70" s="8">
        <v>-3.4216853999999999</v>
      </c>
      <c r="F70" s="7"/>
      <c r="G70" s="7" t="str">
        <f t="shared" si="0"/>
        <v>Direct</v>
      </c>
      <c r="H70" s="7" t="s">
        <v>16</v>
      </c>
    </row>
    <row r="71" spans="1:8" x14ac:dyDescent="0.2">
      <c r="A71" s="5" t="s">
        <v>13</v>
      </c>
      <c r="B71" s="6" t="s">
        <v>14</v>
      </c>
      <c r="C71" s="7" t="s">
        <v>120</v>
      </c>
      <c r="D71" s="8">
        <v>1.8788538299999999</v>
      </c>
      <c r="E71" s="8">
        <v>-9.4338063999999999</v>
      </c>
      <c r="F71" s="7"/>
      <c r="G71" s="7" t="str">
        <f t="shared" si="0"/>
        <v>Inverse</v>
      </c>
      <c r="H71" s="7" t="s">
        <v>16</v>
      </c>
    </row>
    <row r="72" spans="1:8" x14ac:dyDescent="0.2">
      <c r="A72" s="5" t="s">
        <v>13</v>
      </c>
      <c r="B72" s="6" t="s">
        <v>14</v>
      </c>
      <c r="C72" s="7" t="s">
        <v>121</v>
      </c>
      <c r="D72" s="8">
        <v>1.74353165</v>
      </c>
      <c r="E72" s="8">
        <v>-10.511108999999999</v>
      </c>
      <c r="F72" s="7"/>
      <c r="G72" s="7" t="str">
        <f t="shared" si="0"/>
        <v>Inverse</v>
      </c>
      <c r="H72" s="7" t="s">
        <v>16</v>
      </c>
    </row>
    <row r="73" spans="1:8" x14ac:dyDescent="0.2">
      <c r="A73" s="5" t="s">
        <v>13</v>
      </c>
      <c r="B73" s="6" t="s">
        <v>14</v>
      </c>
      <c r="C73" s="7" t="s">
        <v>122</v>
      </c>
      <c r="D73" s="8">
        <v>-3.7584266</v>
      </c>
      <c r="E73" s="8">
        <v>-2.4473406</v>
      </c>
      <c r="F73" s="7"/>
      <c r="G73" s="7" t="str">
        <f t="shared" si="0"/>
        <v>Direct</v>
      </c>
      <c r="H73" s="7" t="s">
        <v>123</v>
      </c>
    </row>
    <row r="74" spans="1:8" x14ac:dyDescent="0.2">
      <c r="A74" s="5" t="s">
        <v>13</v>
      </c>
      <c r="B74" s="6" t="s">
        <v>14</v>
      </c>
      <c r="C74" s="7" t="s">
        <v>124</v>
      </c>
      <c r="D74" s="8">
        <v>2.1342811400000001</v>
      </c>
      <c r="E74" s="8">
        <v>-3.3597033999999999</v>
      </c>
      <c r="F74" s="7"/>
      <c r="G74" s="7" t="str">
        <f t="shared" si="0"/>
        <v>Inverse</v>
      </c>
      <c r="H74" s="7" t="s">
        <v>125</v>
      </c>
    </row>
    <row r="75" spans="1:8" x14ac:dyDescent="0.2">
      <c r="A75" s="5" t="s">
        <v>13</v>
      </c>
      <c r="B75" s="6" t="s">
        <v>14</v>
      </c>
      <c r="C75" s="7" t="s">
        <v>126</v>
      </c>
      <c r="D75" s="8">
        <v>1.0755802699999999</v>
      </c>
      <c r="E75" s="8">
        <v>-8.5597542000000004</v>
      </c>
      <c r="F75" s="7"/>
      <c r="G75" s="7" t="str">
        <f t="shared" si="0"/>
        <v>Inverse</v>
      </c>
      <c r="H75" s="7" t="s">
        <v>16</v>
      </c>
    </row>
    <row r="76" spans="1:8" x14ac:dyDescent="0.2">
      <c r="A76" s="5" t="s">
        <v>13</v>
      </c>
      <c r="B76" s="6" t="s">
        <v>14</v>
      </c>
      <c r="C76" s="7" t="s">
        <v>127</v>
      </c>
      <c r="D76" s="8">
        <v>1.1093750200000001</v>
      </c>
      <c r="E76" s="8">
        <v>-8.1750463</v>
      </c>
      <c r="F76" s="7"/>
      <c r="G76" s="7" t="str">
        <f t="shared" si="0"/>
        <v>Inverse</v>
      </c>
      <c r="H76" s="7" t="s">
        <v>16</v>
      </c>
    </row>
    <row r="77" spans="1:8" x14ac:dyDescent="0.2">
      <c r="A77" s="5" t="s">
        <v>13</v>
      </c>
      <c r="B77" s="6" t="s">
        <v>14</v>
      </c>
      <c r="C77" s="7" t="s">
        <v>128</v>
      </c>
      <c r="D77" s="8">
        <v>-1.6421924000000001</v>
      </c>
      <c r="E77" s="8">
        <v>-3.0193332000000002</v>
      </c>
      <c r="F77" s="7"/>
      <c r="G77" s="7" t="str">
        <f t="shared" si="0"/>
        <v>Direct</v>
      </c>
      <c r="H77" s="7" t="s">
        <v>129</v>
      </c>
    </row>
    <row r="78" spans="1:8" x14ac:dyDescent="0.2">
      <c r="A78" s="5" t="s">
        <v>13</v>
      </c>
      <c r="B78" s="6" t="s">
        <v>14</v>
      </c>
      <c r="C78" s="7" t="s">
        <v>130</v>
      </c>
      <c r="D78" s="8">
        <v>-1.213171</v>
      </c>
      <c r="E78" s="8">
        <v>-1.2509106000000001</v>
      </c>
      <c r="F78" s="7"/>
      <c r="G78" s="7" t="str">
        <f t="shared" si="0"/>
        <v>Direct</v>
      </c>
      <c r="H78" s="7" t="s">
        <v>131</v>
      </c>
    </row>
    <row r="79" spans="1:8" x14ac:dyDescent="0.2">
      <c r="A79" s="5" t="s">
        <v>13</v>
      </c>
      <c r="B79" s="6" t="s">
        <v>14</v>
      </c>
      <c r="C79" s="7" t="s">
        <v>132</v>
      </c>
      <c r="D79" s="8">
        <v>-1.6859761</v>
      </c>
      <c r="E79" s="8">
        <v>-5.7316642</v>
      </c>
      <c r="F79" s="7"/>
      <c r="G79" s="7" t="str">
        <f t="shared" si="0"/>
        <v>Direct</v>
      </c>
      <c r="H79" s="7" t="s">
        <v>133</v>
      </c>
    </row>
    <row r="80" spans="1:8" x14ac:dyDescent="0.2">
      <c r="A80" s="5" t="s">
        <v>13</v>
      </c>
      <c r="B80" s="6" t="s">
        <v>14</v>
      </c>
      <c r="C80" s="7" t="s">
        <v>134</v>
      </c>
      <c r="D80" s="8">
        <v>1.1048708300000001</v>
      </c>
      <c r="E80" s="8">
        <v>-4.9969133000000001</v>
      </c>
      <c r="F80" s="7"/>
      <c r="G80" s="7" t="str">
        <f t="shared" si="0"/>
        <v>Inverse</v>
      </c>
      <c r="H80" s="7" t="s">
        <v>16</v>
      </c>
    </row>
    <row r="81" spans="1:8" x14ac:dyDescent="0.2">
      <c r="A81" s="5" t="s">
        <v>13</v>
      </c>
      <c r="B81" s="6" t="s">
        <v>14</v>
      </c>
      <c r="C81" s="7" t="s">
        <v>135</v>
      </c>
      <c r="D81" s="8">
        <v>4.6387466899999996</v>
      </c>
      <c r="E81" s="8">
        <v>4.1671365700000003</v>
      </c>
      <c r="F81" s="7"/>
      <c r="G81" s="7" t="str">
        <f t="shared" si="0"/>
        <v>Direct</v>
      </c>
      <c r="H81" s="7" t="s">
        <v>16</v>
      </c>
    </row>
    <row r="82" spans="1:8" x14ac:dyDescent="0.2">
      <c r="A82" s="5" t="s">
        <v>13</v>
      </c>
      <c r="B82" s="6" t="s">
        <v>14</v>
      </c>
      <c r="C82" s="7" t="s">
        <v>136</v>
      </c>
      <c r="D82" s="8">
        <v>-3.3115488000000002</v>
      </c>
      <c r="E82" s="8">
        <v>-1.7702792000000001</v>
      </c>
      <c r="F82" s="7"/>
      <c r="G82" s="7" t="str">
        <f t="shared" si="0"/>
        <v>Direct</v>
      </c>
      <c r="H82" s="7" t="s">
        <v>137</v>
      </c>
    </row>
    <row r="83" spans="1:8" x14ac:dyDescent="0.2">
      <c r="A83" s="5" t="s">
        <v>13</v>
      </c>
      <c r="B83" s="6" t="s">
        <v>14</v>
      </c>
      <c r="C83" s="7" t="s">
        <v>138</v>
      </c>
      <c r="D83" s="8">
        <v>2.4520469899999999</v>
      </c>
      <c r="E83" s="8">
        <v>-2.0093426999999999</v>
      </c>
      <c r="F83" s="7"/>
      <c r="G83" s="7" t="str">
        <f t="shared" si="0"/>
        <v>Inverse</v>
      </c>
      <c r="H83" s="7" t="s">
        <v>139</v>
      </c>
    </row>
    <row r="84" spans="1:8" x14ac:dyDescent="0.2">
      <c r="A84" s="5" t="s">
        <v>13</v>
      </c>
      <c r="B84" s="6" t="s">
        <v>14</v>
      </c>
      <c r="C84" s="7" t="s">
        <v>140</v>
      </c>
      <c r="D84" s="8">
        <v>1.46013737</v>
      </c>
      <c r="E84" s="8">
        <v>-8.2676832000000005</v>
      </c>
      <c r="F84" s="7"/>
      <c r="G84" s="7" t="str">
        <f t="shared" si="0"/>
        <v>Inverse</v>
      </c>
      <c r="H84" s="7" t="s">
        <v>139</v>
      </c>
    </row>
    <row r="85" spans="1:8" x14ac:dyDescent="0.2">
      <c r="A85" s="5" t="s">
        <v>13</v>
      </c>
      <c r="B85" s="6" t="s">
        <v>14</v>
      </c>
      <c r="C85" s="7" t="s">
        <v>141</v>
      </c>
      <c r="D85" s="8">
        <v>1.460553</v>
      </c>
      <c r="E85" s="8">
        <v>-1.0221648000000001</v>
      </c>
      <c r="F85" s="7"/>
      <c r="G85" s="7" t="str">
        <f t="shared" si="0"/>
        <v>Inverse</v>
      </c>
      <c r="H85" s="7" t="s">
        <v>142</v>
      </c>
    </row>
    <row r="86" spans="1:8" x14ac:dyDescent="0.2">
      <c r="A86" s="5" t="s">
        <v>13</v>
      </c>
      <c r="B86" s="6" t="s">
        <v>14</v>
      </c>
      <c r="C86" s="7" t="s">
        <v>143</v>
      </c>
      <c r="D86" s="8">
        <v>1.8950327</v>
      </c>
      <c r="E86" s="8">
        <v>5.1796364400000003</v>
      </c>
      <c r="F86" s="7"/>
      <c r="G86" s="7" t="str">
        <f t="shared" si="0"/>
        <v>Direct</v>
      </c>
      <c r="H86" s="7" t="s">
        <v>144</v>
      </c>
    </row>
    <row r="87" spans="1:8" x14ac:dyDescent="0.2">
      <c r="A87" s="5" t="s">
        <v>13</v>
      </c>
      <c r="B87" s="6" t="s">
        <v>14</v>
      </c>
      <c r="C87" s="7" t="s">
        <v>145</v>
      </c>
      <c r="D87" s="8">
        <v>1.6319367899999999</v>
      </c>
      <c r="E87" s="8">
        <v>-1.1428632999999999</v>
      </c>
      <c r="F87" s="7"/>
      <c r="G87" s="7" t="str">
        <f t="shared" si="0"/>
        <v>Inverse</v>
      </c>
      <c r="H87" s="7" t="s">
        <v>16</v>
      </c>
    </row>
    <row r="88" spans="1:8" x14ac:dyDescent="0.2">
      <c r="A88" s="5" t="s">
        <v>13</v>
      </c>
      <c r="B88" s="6" t="s">
        <v>14</v>
      </c>
      <c r="C88" s="7" t="s">
        <v>146</v>
      </c>
      <c r="D88" s="8">
        <v>-2.5061377999999999</v>
      </c>
      <c r="E88" s="8">
        <v>-2.1717857</v>
      </c>
      <c r="F88" s="7"/>
      <c r="G88" s="7" t="str">
        <f t="shared" si="0"/>
        <v>Direct</v>
      </c>
      <c r="H88" s="7" t="s">
        <v>147</v>
      </c>
    </row>
    <row r="89" spans="1:8" x14ac:dyDescent="0.2">
      <c r="A89" s="5" t="s">
        <v>13</v>
      </c>
      <c r="B89" s="6" t="s">
        <v>14</v>
      </c>
      <c r="C89" s="7" t="s">
        <v>148</v>
      </c>
      <c r="D89" s="8">
        <v>-1.4950323999999999</v>
      </c>
      <c r="E89" s="8">
        <v>-1.2630813999999999</v>
      </c>
      <c r="F89" s="7"/>
      <c r="G89" s="7" t="str">
        <f t="shared" si="0"/>
        <v>Direct</v>
      </c>
      <c r="H89" s="7" t="s">
        <v>16</v>
      </c>
    </row>
    <row r="90" spans="1:8" x14ac:dyDescent="0.2">
      <c r="A90" s="5" t="s">
        <v>13</v>
      </c>
      <c r="B90" s="6" t="s">
        <v>14</v>
      </c>
      <c r="C90" s="7" t="s">
        <v>149</v>
      </c>
      <c r="D90" s="8">
        <v>-1.6027899000000001</v>
      </c>
      <c r="E90" s="8">
        <v>-1.3383193</v>
      </c>
      <c r="F90" s="7"/>
      <c r="G90" s="7" t="str">
        <f t="shared" si="0"/>
        <v>Direct</v>
      </c>
      <c r="H90" s="7" t="s">
        <v>16</v>
      </c>
    </row>
    <row r="91" spans="1:8" x14ac:dyDescent="0.2">
      <c r="A91" s="5" t="s">
        <v>13</v>
      </c>
      <c r="B91" s="6" t="s">
        <v>14</v>
      </c>
      <c r="C91" s="7" t="s">
        <v>150</v>
      </c>
      <c r="D91" s="8">
        <v>-2.4520469999999999</v>
      </c>
      <c r="E91" s="8">
        <v>-1.2283656000000001</v>
      </c>
      <c r="F91" s="7"/>
      <c r="G91" s="7" t="str">
        <f t="shared" si="0"/>
        <v>Direct</v>
      </c>
      <c r="H91" s="7" t="s">
        <v>16</v>
      </c>
    </row>
    <row r="92" spans="1:8" x14ac:dyDescent="0.2">
      <c r="A92" s="5" t="s">
        <v>13</v>
      </c>
      <c r="B92" s="6" t="s">
        <v>14</v>
      </c>
      <c r="C92" s="7" t="s">
        <v>151</v>
      </c>
      <c r="D92" s="8">
        <v>-1.6027899000000001</v>
      </c>
      <c r="E92" s="8">
        <v>2.9027899100000001</v>
      </c>
      <c r="F92" s="7"/>
      <c r="G92" s="7" t="str">
        <f t="shared" si="0"/>
        <v>Inverse</v>
      </c>
      <c r="H92" s="7" t="s">
        <v>16</v>
      </c>
    </row>
    <row r="93" spans="1:8" x14ac:dyDescent="0.2">
      <c r="A93" s="5" t="s">
        <v>13</v>
      </c>
      <c r="B93" s="6" t="s">
        <v>14</v>
      </c>
      <c r="C93" s="7" t="s">
        <v>152</v>
      </c>
      <c r="D93" s="8">
        <v>-3.5030622999999999</v>
      </c>
      <c r="E93" s="8">
        <v>-5.9039951000000004</v>
      </c>
      <c r="F93" s="7"/>
      <c r="G93" s="7" t="str">
        <f t="shared" si="0"/>
        <v>Direct</v>
      </c>
      <c r="H93" s="7" t="s">
        <v>16</v>
      </c>
    </row>
    <row r="94" spans="1:8" x14ac:dyDescent="0.2">
      <c r="A94" s="5" t="s">
        <v>13</v>
      </c>
      <c r="B94" s="6" t="s">
        <v>14</v>
      </c>
      <c r="C94" s="7" t="s">
        <v>153</v>
      </c>
      <c r="D94" s="8">
        <v>1.21034398</v>
      </c>
      <c r="E94" s="8">
        <v>3.1001533700000001</v>
      </c>
      <c r="F94" s="7"/>
      <c r="G94" s="7" t="str">
        <f t="shared" si="0"/>
        <v>Direct</v>
      </c>
      <c r="H94" s="7" t="s">
        <v>16</v>
      </c>
    </row>
    <row r="95" spans="1:8" x14ac:dyDescent="0.2">
      <c r="A95" s="5" t="s">
        <v>13</v>
      </c>
      <c r="B95" s="6" t="s">
        <v>14</v>
      </c>
      <c r="C95" s="7" t="s">
        <v>154</v>
      </c>
      <c r="D95" s="8">
        <v>-1.6564681000000001</v>
      </c>
      <c r="E95" s="8">
        <v>-2.2814610000000002</v>
      </c>
      <c r="F95" s="7"/>
      <c r="G95" s="7" t="str">
        <f t="shared" si="0"/>
        <v>Direct</v>
      </c>
      <c r="H95" s="7" t="s">
        <v>155</v>
      </c>
    </row>
    <row r="96" spans="1:8" x14ac:dyDescent="0.2">
      <c r="A96" s="5" t="s">
        <v>13</v>
      </c>
      <c r="B96" s="6" t="s">
        <v>14</v>
      </c>
      <c r="C96" s="7" t="s">
        <v>156</v>
      </c>
      <c r="D96" s="8">
        <v>-1.4437431000000001</v>
      </c>
      <c r="E96" s="8">
        <v>-1.1746506000000001</v>
      </c>
      <c r="F96" s="7"/>
      <c r="G96" s="7" t="str">
        <f t="shared" si="0"/>
        <v>Direct</v>
      </c>
      <c r="H96" s="7" t="s">
        <v>157</v>
      </c>
    </row>
    <row r="97" spans="1:8" x14ac:dyDescent="0.2">
      <c r="A97" s="5" t="s">
        <v>13</v>
      </c>
      <c r="B97" s="6" t="s">
        <v>14</v>
      </c>
      <c r="C97" s="7" t="s">
        <v>158</v>
      </c>
      <c r="D97" s="8">
        <v>-1.0518035999999999</v>
      </c>
      <c r="E97" s="8">
        <v>-2.9910899</v>
      </c>
      <c r="F97" s="7"/>
      <c r="G97" s="7" t="str">
        <f t="shared" si="0"/>
        <v>Direct</v>
      </c>
      <c r="H97" s="7" t="s">
        <v>16</v>
      </c>
    </row>
    <row r="98" spans="1:8" x14ac:dyDescent="0.2">
      <c r="A98" s="5" t="s">
        <v>13</v>
      </c>
      <c r="B98" s="6" t="s">
        <v>14</v>
      </c>
      <c r="C98" s="7" t="s">
        <v>159</v>
      </c>
      <c r="D98" s="8">
        <v>-1.1991885</v>
      </c>
      <c r="E98" s="8">
        <v>-2.150131</v>
      </c>
      <c r="F98" s="7"/>
      <c r="G98" s="7" t="str">
        <f t="shared" si="0"/>
        <v>Direct</v>
      </c>
      <c r="H98" s="7" t="s">
        <v>160</v>
      </c>
    </row>
    <row r="99" spans="1:8" x14ac:dyDescent="0.2">
      <c r="A99" s="5" t="s">
        <v>13</v>
      </c>
      <c r="B99" s="6" t="s">
        <v>14</v>
      </c>
      <c r="C99" s="7" t="s">
        <v>161</v>
      </c>
      <c r="D99" s="8">
        <v>1.1571117900000001</v>
      </c>
      <c r="E99" s="8">
        <v>2.0029241799999999</v>
      </c>
      <c r="F99" s="7"/>
      <c r="G99" s="7" t="str">
        <f t="shared" si="0"/>
        <v>Direct</v>
      </c>
      <c r="H99" s="7" t="s">
        <v>162</v>
      </c>
    </row>
    <row r="100" spans="1:8" x14ac:dyDescent="0.2">
      <c r="A100" s="5" t="s">
        <v>13</v>
      </c>
      <c r="B100" s="6" t="s">
        <v>14</v>
      </c>
      <c r="C100" s="7" t="s">
        <v>163</v>
      </c>
      <c r="D100" s="8">
        <v>-2.9346545000000002</v>
      </c>
      <c r="E100" s="8">
        <v>1.9852000000000001</v>
      </c>
      <c r="F100" s="7"/>
      <c r="G100" s="7" t="str">
        <f t="shared" si="0"/>
        <v>Inverse</v>
      </c>
      <c r="H100" s="7" t="s">
        <v>16</v>
      </c>
    </row>
    <row r="101" spans="1:8" x14ac:dyDescent="0.2">
      <c r="A101" s="5" t="s">
        <v>13</v>
      </c>
      <c r="B101" s="6" t="s">
        <v>14</v>
      </c>
      <c r="C101" s="7" t="s">
        <v>164</v>
      </c>
      <c r="D101" s="8">
        <v>-1.7494856999999999</v>
      </c>
      <c r="E101" s="8">
        <v>3.5476460400000001</v>
      </c>
      <c r="F101" s="7"/>
      <c r="G101" s="7" t="str">
        <f t="shared" si="0"/>
        <v>Inverse</v>
      </c>
      <c r="H101" s="7" t="s">
        <v>16</v>
      </c>
    </row>
    <row r="102" spans="1:8" x14ac:dyDescent="0.2">
      <c r="A102" s="5" t="s">
        <v>13</v>
      </c>
      <c r="B102" s="6" t="s">
        <v>14</v>
      </c>
      <c r="C102" s="7" t="s">
        <v>165</v>
      </c>
      <c r="D102" s="8">
        <v>-3.1144319</v>
      </c>
      <c r="E102" s="8">
        <v>-2.5206974</v>
      </c>
      <c r="F102" s="7"/>
      <c r="G102" s="7" t="str">
        <f t="shared" si="0"/>
        <v>Direct</v>
      </c>
      <c r="H102" s="7" t="s">
        <v>16</v>
      </c>
    </row>
    <row r="103" spans="1:8" x14ac:dyDescent="0.2">
      <c r="A103" s="5" t="s">
        <v>13</v>
      </c>
      <c r="B103" s="6" t="s">
        <v>14</v>
      </c>
      <c r="C103" s="7" t="s">
        <v>166</v>
      </c>
      <c r="D103" s="8">
        <v>-1.532977</v>
      </c>
      <c r="E103" s="8">
        <v>-2.9880575</v>
      </c>
      <c r="F103" s="7"/>
      <c r="G103" s="7" t="str">
        <f t="shared" si="0"/>
        <v>Direct</v>
      </c>
      <c r="H103" s="7" t="s">
        <v>16</v>
      </c>
    </row>
    <row r="104" spans="1:8" x14ac:dyDescent="0.2">
      <c r="A104" s="5" t="s">
        <v>13</v>
      </c>
      <c r="B104" s="6" t="s">
        <v>14</v>
      </c>
      <c r="C104" s="7" t="s">
        <v>167</v>
      </c>
      <c r="D104" s="8">
        <v>-1.1991885</v>
      </c>
      <c r="E104" s="8">
        <v>-2.6374094000000001</v>
      </c>
      <c r="F104" s="7"/>
      <c r="G104" s="7" t="str">
        <f t="shared" si="0"/>
        <v>Direct</v>
      </c>
      <c r="H104" s="7" t="s">
        <v>16</v>
      </c>
    </row>
    <row r="105" spans="1:8" x14ac:dyDescent="0.2">
      <c r="A105" s="5" t="s">
        <v>13</v>
      </c>
      <c r="B105" s="6" t="s">
        <v>14</v>
      </c>
      <c r="C105" s="7" t="s">
        <v>168</v>
      </c>
      <c r="D105" s="8">
        <v>1.6053809699999999</v>
      </c>
      <c r="E105" s="8">
        <v>-10.202484999999999</v>
      </c>
      <c r="F105" s="7"/>
      <c r="G105" s="7" t="str">
        <f t="shared" si="0"/>
        <v>Inverse</v>
      </c>
      <c r="H105" s="7" t="s">
        <v>16</v>
      </c>
    </row>
    <row r="106" spans="1:8" x14ac:dyDescent="0.2">
      <c r="A106" s="5" t="s">
        <v>13</v>
      </c>
      <c r="B106" s="6" t="s">
        <v>14</v>
      </c>
      <c r="C106" s="7" t="s">
        <v>169</v>
      </c>
      <c r="D106" s="8">
        <v>1.98959887</v>
      </c>
      <c r="E106" s="8">
        <v>1.03588312</v>
      </c>
      <c r="F106" s="7"/>
      <c r="G106" s="7" t="str">
        <f t="shared" si="0"/>
        <v>Direct</v>
      </c>
      <c r="H106" s="7" t="s">
        <v>16</v>
      </c>
    </row>
    <row r="107" spans="1:8" x14ac:dyDescent="0.2">
      <c r="A107" s="5" t="s">
        <v>13</v>
      </c>
      <c r="B107" s="6" t="s">
        <v>14</v>
      </c>
      <c r="C107" s="7" t="s">
        <v>170</v>
      </c>
      <c r="D107" s="8">
        <v>1.35922286</v>
      </c>
      <c r="E107" s="8">
        <v>-8.2597427999999997</v>
      </c>
      <c r="F107" s="7"/>
      <c r="G107" s="7" t="str">
        <f t="shared" si="0"/>
        <v>Inverse</v>
      </c>
      <c r="H107" s="7" t="s">
        <v>16</v>
      </c>
    </row>
    <row r="108" spans="1:8" x14ac:dyDescent="0.2">
      <c r="A108" s="5" t="s">
        <v>13</v>
      </c>
      <c r="B108" s="6" t="s">
        <v>14</v>
      </c>
      <c r="C108" s="7" t="s">
        <v>171</v>
      </c>
      <c r="D108" s="8">
        <v>-1.1937677</v>
      </c>
      <c r="E108" s="8">
        <v>-1.9057978</v>
      </c>
      <c r="F108" s="7"/>
      <c r="G108" s="7" t="str">
        <f t="shared" si="0"/>
        <v>Direct</v>
      </c>
      <c r="H108" s="7" t="s">
        <v>172</v>
      </c>
    </row>
    <row r="109" spans="1:8" x14ac:dyDescent="0.2">
      <c r="A109" s="5" t="s">
        <v>13</v>
      </c>
      <c r="B109" s="6" t="s">
        <v>14</v>
      </c>
      <c r="C109" s="7" t="s">
        <v>173</v>
      </c>
      <c r="D109" s="8">
        <v>1.49062191</v>
      </c>
      <c r="E109" s="8">
        <v>-6.7266336999999998</v>
      </c>
      <c r="F109" s="7"/>
      <c r="G109" s="7" t="str">
        <f t="shared" si="0"/>
        <v>Inverse</v>
      </c>
      <c r="H109" s="7" t="s">
        <v>174</v>
      </c>
    </row>
    <row r="110" spans="1:8" x14ac:dyDescent="0.2">
      <c r="A110" s="5" t="s">
        <v>13</v>
      </c>
      <c r="B110" s="6" t="s">
        <v>14</v>
      </c>
      <c r="C110" s="7" t="s">
        <v>175</v>
      </c>
      <c r="D110" s="8">
        <v>-1.7509361999999999</v>
      </c>
      <c r="E110" s="8">
        <v>-3.0610819</v>
      </c>
      <c r="F110" s="7"/>
      <c r="G110" s="7" t="str">
        <f t="shared" si="0"/>
        <v>Direct</v>
      </c>
      <c r="H110" s="7" t="s">
        <v>176</v>
      </c>
    </row>
    <row r="111" spans="1:8" x14ac:dyDescent="0.2">
      <c r="A111" s="5" t="s">
        <v>13</v>
      </c>
      <c r="B111" s="6" t="s">
        <v>14</v>
      </c>
      <c r="C111" s="7" t="s">
        <v>177</v>
      </c>
      <c r="D111" s="8">
        <v>-2.7069619</v>
      </c>
      <c r="E111" s="8">
        <v>-7.5633414999999999</v>
      </c>
      <c r="F111" s="7"/>
      <c r="G111" s="7" t="str">
        <f t="shared" si="0"/>
        <v>Direct</v>
      </c>
      <c r="H111" s="7" t="s">
        <v>178</v>
      </c>
    </row>
    <row r="112" spans="1:8" x14ac:dyDescent="0.2">
      <c r="A112" s="5" t="s">
        <v>13</v>
      </c>
      <c r="B112" s="6" t="s">
        <v>14</v>
      </c>
      <c r="C112" s="7" t="s">
        <v>179</v>
      </c>
      <c r="D112" s="8">
        <v>-1.4375876000000001</v>
      </c>
      <c r="E112" s="8">
        <v>-8.1125793999999996</v>
      </c>
      <c r="F112" s="7"/>
      <c r="G112" s="7" t="str">
        <f t="shared" si="0"/>
        <v>Direct</v>
      </c>
      <c r="H112" s="7" t="s">
        <v>180</v>
      </c>
    </row>
    <row r="113" spans="1:8" x14ac:dyDescent="0.2">
      <c r="A113" s="5" t="s">
        <v>13</v>
      </c>
      <c r="B113" s="6" t="s">
        <v>14</v>
      </c>
      <c r="C113" s="7" t="s">
        <v>181</v>
      </c>
      <c r="D113" s="8">
        <v>-2.379489</v>
      </c>
      <c r="E113" s="8">
        <v>-3.1252213000000002</v>
      </c>
      <c r="F113" s="7"/>
      <c r="G113" s="7" t="str">
        <f t="shared" si="0"/>
        <v>Direct</v>
      </c>
      <c r="H113" s="7" t="s">
        <v>182</v>
      </c>
    </row>
    <row r="114" spans="1:8" x14ac:dyDescent="0.2">
      <c r="A114" s="5" t="s">
        <v>13</v>
      </c>
      <c r="B114" s="6" t="s">
        <v>14</v>
      </c>
      <c r="C114" s="7" t="s">
        <v>183</v>
      </c>
      <c r="D114" s="8">
        <v>-2.6639482000000001</v>
      </c>
      <c r="E114" s="8">
        <v>-2.8826820999999998</v>
      </c>
      <c r="F114" s="7"/>
      <c r="G114" s="7" t="str">
        <f t="shared" si="0"/>
        <v>Direct</v>
      </c>
      <c r="H114" s="7" t="s">
        <v>182</v>
      </c>
    </row>
    <row r="115" spans="1:8" x14ac:dyDescent="0.2">
      <c r="A115" s="5" t="s">
        <v>13</v>
      </c>
      <c r="B115" s="6" t="s">
        <v>14</v>
      </c>
      <c r="C115" s="7" t="s">
        <v>184</v>
      </c>
      <c r="D115" s="8">
        <v>-2.5581782</v>
      </c>
      <c r="E115" s="8">
        <v>-3.3983694999999998</v>
      </c>
      <c r="F115" s="7"/>
      <c r="G115" s="7" t="str">
        <f t="shared" si="0"/>
        <v>Direct</v>
      </c>
      <c r="H115" s="7" t="s">
        <v>185</v>
      </c>
    </row>
    <row r="116" spans="1:8" x14ac:dyDescent="0.2">
      <c r="A116" s="5" t="s">
        <v>13</v>
      </c>
      <c r="B116" s="6" t="s">
        <v>14</v>
      </c>
      <c r="C116" s="7" t="s">
        <v>186</v>
      </c>
      <c r="D116" s="8">
        <v>-1.3983029</v>
      </c>
      <c r="E116" s="8">
        <v>-1.4136807</v>
      </c>
      <c r="F116" s="7"/>
      <c r="G116" s="7" t="str">
        <f t="shared" si="0"/>
        <v>Direct</v>
      </c>
      <c r="H116" s="7" t="s">
        <v>187</v>
      </c>
    </row>
    <row r="117" spans="1:8" x14ac:dyDescent="0.2">
      <c r="A117" s="5" t="s">
        <v>13</v>
      </c>
      <c r="B117" s="6" t="s">
        <v>14</v>
      </c>
      <c r="C117" s="7" t="s">
        <v>188</v>
      </c>
      <c r="D117" s="8">
        <v>-1.1671794</v>
      </c>
      <c r="E117" s="8">
        <v>-1.035539</v>
      </c>
      <c r="F117" s="7"/>
      <c r="G117" s="7" t="str">
        <f t="shared" si="0"/>
        <v>Direct</v>
      </c>
      <c r="H117" s="7" t="s">
        <v>16</v>
      </c>
    </row>
    <row r="118" spans="1:8" x14ac:dyDescent="0.2">
      <c r="A118" s="5" t="s">
        <v>13</v>
      </c>
      <c r="B118" s="6" t="s">
        <v>14</v>
      </c>
      <c r="C118" s="7" t="s">
        <v>189</v>
      </c>
      <c r="D118" s="8">
        <v>1.94707736</v>
      </c>
      <c r="E118" s="8">
        <v>-2.6791520000000002</v>
      </c>
      <c r="F118" s="7"/>
      <c r="G118" s="7" t="str">
        <f t="shared" si="0"/>
        <v>Inverse</v>
      </c>
      <c r="H118" s="7" t="s">
        <v>190</v>
      </c>
    </row>
    <row r="119" spans="1:8" x14ac:dyDescent="0.2">
      <c r="A119" s="5" t="s">
        <v>13</v>
      </c>
      <c r="B119" s="6" t="s">
        <v>14</v>
      </c>
      <c r="C119" s="7" t="s">
        <v>191</v>
      </c>
      <c r="D119" s="8">
        <v>-2.7611254999999999</v>
      </c>
      <c r="E119" s="8">
        <v>-6.6230773999999997</v>
      </c>
      <c r="F119" s="7"/>
      <c r="G119" s="7" t="str">
        <f t="shared" si="0"/>
        <v>Direct</v>
      </c>
      <c r="H119" s="7" t="s">
        <v>192</v>
      </c>
    </row>
    <row r="120" spans="1:8" x14ac:dyDescent="0.2">
      <c r="A120" s="5" t="s">
        <v>13</v>
      </c>
      <c r="B120" s="6" t="s">
        <v>14</v>
      </c>
      <c r="C120" s="7" t="s">
        <v>193</v>
      </c>
      <c r="D120" s="8">
        <v>-1.7721214000000001</v>
      </c>
      <c r="E120" s="8">
        <v>-2.7345996000000001</v>
      </c>
      <c r="F120" s="7"/>
      <c r="G120" s="7" t="str">
        <f t="shared" si="0"/>
        <v>Direct</v>
      </c>
      <c r="H120" s="7" t="s">
        <v>194</v>
      </c>
    </row>
    <row r="121" spans="1:8" x14ac:dyDescent="0.2">
      <c r="A121" s="5" t="s">
        <v>13</v>
      </c>
      <c r="B121" s="6" t="s">
        <v>14</v>
      </c>
      <c r="C121" s="7" t="s">
        <v>195</v>
      </c>
      <c r="D121" s="8">
        <v>-2.473563</v>
      </c>
      <c r="E121" s="8">
        <v>-1.6595061</v>
      </c>
      <c r="F121" s="7"/>
      <c r="G121" s="7" t="str">
        <f t="shared" si="0"/>
        <v>Direct</v>
      </c>
      <c r="H121" s="7" t="s">
        <v>196</v>
      </c>
    </row>
    <row r="122" spans="1:8" x14ac:dyDescent="0.2">
      <c r="A122" s="5" t="s">
        <v>13</v>
      </c>
      <c r="B122" s="6" t="s">
        <v>14</v>
      </c>
      <c r="C122" s="7" t="s">
        <v>197</v>
      </c>
      <c r="D122" s="8">
        <v>2.2204967199999999</v>
      </c>
      <c r="E122" s="8">
        <v>1.3369834199999999</v>
      </c>
      <c r="F122" s="7"/>
      <c r="G122" s="7" t="str">
        <f t="shared" si="0"/>
        <v>Direct</v>
      </c>
      <c r="H122" s="7" t="s">
        <v>142</v>
      </c>
    </row>
    <row r="123" spans="1:8" x14ac:dyDescent="0.2">
      <c r="A123" s="5" t="s">
        <v>13</v>
      </c>
      <c r="B123" s="6" t="s">
        <v>14</v>
      </c>
      <c r="C123" s="7" t="s">
        <v>198</v>
      </c>
      <c r="D123" s="8">
        <v>1.77173391</v>
      </c>
      <c r="E123" s="8">
        <v>1.9575851799999999</v>
      </c>
      <c r="F123" s="7"/>
      <c r="G123" s="7" t="str">
        <f t="shared" si="0"/>
        <v>Direct</v>
      </c>
      <c r="H123" s="7" t="s">
        <v>199</v>
      </c>
    </row>
    <row r="124" spans="1:8" x14ac:dyDescent="0.2">
      <c r="A124" s="5" t="s">
        <v>13</v>
      </c>
      <c r="B124" s="6" t="s">
        <v>14</v>
      </c>
      <c r="C124" s="7" t="s">
        <v>200</v>
      </c>
      <c r="D124" s="8">
        <v>-2.5276131999999998</v>
      </c>
      <c r="E124" s="8">
        <v>-1.4149843</v>
      </c>
      <c r="F124" s="7"/>
      <c r="G124" s="7" t="str">
        <f t="shared" si="0"/>
        <v>Direct</v>
      </c>
      <c r="H124" s="7" t="s">
        <v>201</v>
      </c>
    </row>
    <row r="125" spans="1:8" x14ac:dyDescent="0.2">
      <c r="A125" s="5" t="s">
        <v>13</v>
      </c>
      <c r="B125" s="6" t="s">
        <v>14</v>
      </c>
      <c r="C125" s="7" t="s">
        <v>202</v>
      </c>
      <c r="D125" s="8">
        <v>-1.2183018999999999</v>
      </c>
      <c r="E125" s="8">
        <v>-1.0971276999999999</v>
      </c>
      <c r="F125" s="7"/>
      <c r="G125" s="7" t="str">
        <f t="shared" si="0"/>
        <v>Direct</v>
      </c>
      <c r="H125" s="7" t="s">
        <v>16</v>
      </c>
    </row>
    <row r="126" spans="1:8" x14ac:dyDescent="0.2">
      <c r="A126" s="5" t="s">
        <v>13</v>
      </c>
      <c r="B126" s="6" t="s">
        <v>14</v>
      </c>
      <c r="C126" s="7" t="s">
        <v>203</v>
      </c>
      <c r="D126" s="8">
        <v>1.7528422400000001</v>
      </c>
      <c r="E126" s="8">
        <v>-6.4734021000000004</v>
      </c>
      <c r="F126" s="7"/>
      <c r="G126" s="7" t="str">
        <f t="shared" si="0"/>
        <v>Inverse</v>
      </c>
      <c r="H126" s="7" t="s">
        <v>16</v>
      </c>
    </row>
    <row r="127" spans="1:8" x14ac:dyDescent="0.2">
      <c r="A127" s="5" t="s">
        <v>13</v>
      </c>
      <c r="B127" s="6" t="s">
        <v>14</v>
      </c>
      <c r="C127" s="7" t="s">
        <v>204</v>
      </c>
      <c r="D127" s="8">
        <v>2.3530242000000001</v>
      </c>
      <c r="E127" s="8">
        <v>-1.5247226</v>
      </c>
      <c r="F127" s="7"/>
      <c r="G127" s="7" t="str">
        <f t="shared" si="0"/>
        <v>Inverse</v>
      </c>
      <c r="H127" s="7" t="s">
        <v>16</v>
      </c>
    </row>
    <row r="128" spans="1:8" x14ac:dyDescent="0.2">
      <c r="A128" s="5" t="s">
        <v>13</v>
      </c>
      <c r="B128" s="6" t="s">
        <v>14</v>
      </c>
      <c r="C128" s="7" t="s">
        <v>205</v>
      </c>
      <c r="D128" s="8">
        <v>1.73685858</v>
      </c>
      <c r="E128" s="8">
        <v>2.4125611600000001</v>
      </c>
      <c r="F128" s="7"/>
      <c r="G128" s="7" t="str">
        <f t="shared" si="0"/>
        <v>Direct</v>
      </c>
      <c r="H128" s="7" t="s">
        <v>206</v>
      </c>
    </row>
    <row r="129" spans="1:8" x14ac:dyDescent="0.2">
      <c r="A129" s="5" t="s">
        <v>13</v>
      </c>
      <c r="B129" s="6" t="s">
        <v>14</v>
      </c>
      <c r="C129" s="7" t="s">
        <v>207</v>
      </c>
      <c r="D129" s="8">
        <v>1.6858593799999999</v>
      </c>
      <c r="E129" s="8">
        <v>-24.308772000000001</v>
      </c>
      <c r="F129" s="7"/>
      <c r="G129" s="7" t="str">
        <f t="shared" si="0"/>
        <v>Inverse</v>
      </c>
      <c r="H129" s="7" t="s">
        <v>16</v>
      </c>
    </row>
    <row r="130" spans="1:8" x14ac:dyDescent="0.2">
      <c r="A130" s="5" t="s">
        <v>13</v>
      </c>
      <c r="B130" s="6" t="s">
        <v>14</v>
      </c>
      <c r="C130" s="7" t="s">
        <v>208</v>
      </c>
      <c r="D130" s="8">
        <v>-1.7717339000000001</v>
      </c>
      <c r="E130" s="8">
        <v>-4.1913777000000003</v>
      </c>
      <c r="F130" s="7"/>
      <c r="G130" s="7" t="str">
        <f t="shared" si="0"/>
        <v>Direct</v>
      </c>
      <c r="H130" s="7" t="s">
        <v>16</v>
      </c>
    </row>
    <row r="131" spans="1:8" x14ac:dyDescent="0.2">
      <c r="A131" s="5" t="s">
        <v>13</v>
      </c>
      <c r="B131" s="6" t="s">
        <v>14</v>
      </c>
      <c r="C131" s="7" t="s">
        <v>209</v>
      </c>
      <c r="D131" s="8">
        <v>1.2534106599999999</v>
      </c>
      <c r="E131" s="8">
        <v>3.0659373400000001</v>
      </c>
      <c r="F131" s="7"/>
      <c r="G131" s="7" t="str">
        <f t="shared" si="0"/>
        <v>Direct</v>
      </c>
      <c r="H131" s="7" t="s">
        <v>16</v>
      </c>
    </row>
    <row r="132" spans="1:8" x14ac:dyDescent="0.2">
      <c r="A132" s="5" t="s">
        <v>13</v>
      </c>
      <c r="B132" s="6" t="s">
        <v>14</v>
      </c>
      <c r="C132" s="7" t="s">
        <v>210</v>
      </c>
      <c r="D132" s="8">
        <v>-1.1318204000000001</v>
      </c>
      <c r="E132" s="8">
        <v>-1.8648393999999999</v>
      </c>
      <c r="F132" s="7"/>
      <c r="G132" s="7" t="str">
        <f t="shared" si="0"/>
        <v>Direct</v>
      </c>
      <c r="H132" s="7" t="s">
        <v>16</v>
      </c>
    </row>
    <row r="133" spans="1:8" x14ac:dyDescent="0.2">
      <c r="A133" s="5" t="s">
        <v>13</v>
      </c>
      <c r="B133" s="6" t="s">
        <v>14</v>
      </c>
      <c r="C133" s="7" t="s">
        <v>211</v>
      </c>
      <c r="D133" s="8">
        <v>-2.6360961999999999</v>
      </c>
      <c r="E133" s="8">
        <v>-1.8144252000000001</v>
      </c>
      <c r="F133" s="7"/>
      <c r="G133" s="7" t="str">
        <f t="shared" si="0"/>
        <v>Direct</v>
      </c>
      <c r="H133" s="7" t="s">
        <v>212</v>
      </c>
    </row>
    <row r="134" spans="1:8" x14ac:dyDescent="0.2">
      <c r="A134" s="5" t="s">
        <v>13</v>
      </c>
      <c r="B134" s="6" t="s">
        <v>14</v>
      </c>
      <c r="C134" s="7" t="s">
        <v>213</v>
      </c>
      <c r="D134" s="8">
        <v>-1.2937562</v>
      </c>
      <c r="E134" s="8">
        <v>-1.466852</v>
      </c>
      <c r="F134" s="7"/>
      <c r="G134" s="7" t="str">
        <f t="shared" si="0"/>
        <v>Direct</v>
      </c>
      <c r="H134" s="7" t="s">
        <v>214</v>
      </c>
    </row>
    <row r="135" spans="1:8" x14ac:dyDescent="0.2">
      <c r="A135" s="5" t="s">
        <v>13</v>
      </c>
      <c r="B135" s="6" t="s">
        <v>14</v>
      </c>
      <c r="C135" s="7" t="s">
        <v>215</v>
      </c>
      <c r="D135" s="8">
        <v>-1.5674733000000001</v>
      </c>
      <c r="E135" s="8">
        <v>-2.4303267000000002</v>
      </c>
      <c r="F135" s="7"/>
      <c r="G135" s="7" t="str">
        <f t="shared" si="0"/>
        <v>Direct</v>
      </c>
      <c r="H135" s="7" t="s">
        <v>216</v>
      </c>
    </row>
    <row r="136" spans="1:8" x14ac:dyDescent="0.2">
      <c r="A136" s="5" t="s">
        <v>13</v>
      </c>
      <c r="B136" s="6" t="s">
        <v>14</v>
      </c>
      <c r="C136" s="7" t="s">
        <v>217</v>
      </c>
      <c r="D136" s="8">
        <v>-1.2100453</v>
      </c>
      <c r="E136" s="8">
        <v>-1.3350090999999999</v>
      </c>
      <c r="F136" s="7"/>
      <c r="G136" s="7" t="str">
        <f t="shared" si="0"/>
        <v>Direct</v>
      </c>
      <c r="H136" s="7" t="s">
        <v>16</v>
      </c>
    </row>
    <row r="137" spans="1:8" x14ac:dyDescent="0.2">
      <c r="A137" s="5" t="s">
        <v>13</v>
      </c>
      <c r="B137" s="6" t="s">
        <v>14</v>
      </c>
      <c r="C137" s="7" t="s">
        <v>218</v>
      </c>
      <c r="D137" s="8">
        <v>-3.7552720000000002</v>
      </c>
      <c r="E137" s="8">
        <v>-13.336264</v>
      </c>
      <c r="F137" s="7"/>
      <c r="G137" s="7" t="str">
        <f t="shared" si="0"/>
        <v>Direct</v>
      </c>
      <c r="H137" s="7" t="s">
        <v>16</v>
      </c>
    </row>
    <row r="138" spans="1:8" x14ac:dyDescent="0.2">
      <c r="A138" s="5" t="s">
        <v>13</v>
      </c>
      <c r="B138" s="6" t="s">
        <v>14</v>
      </c>
      <c r="C138" s="7" t="s">
        <v>219</v>
      </c>
      <c r="D138" s="8">
        <v>2.69860473</v>
      </c>
      <c r="E138" s="8">
        <v>-1.0658957</v>
      </c>
      <c r="F138" s="7"/>
      <c r="G138" s="7" t="str">
        <f t="shared" si="0"/>
        <v>Inverse</v>
      </c>
      <c r="H138" s="7" t="s">
        <v>220</v>
      </c>
    </row>
    <row r="139" spans="1:8" x14ac:dyDescent="0.2">
      <c r="A139" s="5" t="s">
        <v>13</v>
      </c>
      <c r="B139" s="6" t="s">
        <v>14</v>
      </c>
      <c r="C139" s="7" t="s">
        <v>221</v>
      </c>
      <c r="D139" s="8">
        <v>-1.2253166</v>
      </c>
      <c r="E139" s="8">
        <v>-2.2291856000000001</v>
      </c>
      <c r="F139" s="7"/>
      <c r="G139" s="7" t="str">
        <f t="shared" si="0"/>
        <v>Direct</v>
      </c>
      <c r="H139" s="7" t="s">
        <v>222</v>
      </c>
    </row>
    <row r="140" spans="1:8" x14ac:dyDescent="0.2">
      <c r="A140" s="5" t="s">
        <v>13</v>
      </c>
      <c r="B140" s="6" t="s">
        <v>14</v>
      </c>
      <c r="C140" s="7" t="s">
        <v>223</v>
      </c>
      <c r="D140" s="8">
        <v>1.5350208000000001</v>
      </c>
      <c r="E140" s="8">
        <v>15.966555700000001</v>
      </c>
      <c r="F140" s="7"/>
      <c r="G140" s="7" t="str">
        <f t="shared" si="0"/>
        <v>Direct</v>
      </c>
      <c r="H140" s="7" t="s">
        <v>224</v>
      </c>
    </row>
    <row r="141" spans="1:8" x14ac:dyDescent="0.2">
      <c r="A141" s="5" t="s">
        <v>13</v>
      </c>
      <c r="B141" s="6" t="s">
        <v>14</v>
      </c>
      <c r="C141" s="7" t="s">
        <v>225</v>
      </c>
      <c r="D141" s="8">
        <v>-1.1699387999999999</v>
      </c>
      <c r="E141" s="8">
        <v>-1.3415815</v>
      </c>
      <c r="F141" s="7"/>
      <c r="G141" s="7" t="str">
        <f t="shared" si="0"/>
        <v>Direct</v>
      </c>
      <c r="H141" s="7" t="s">
        <v>16</v>
      </c>
    </row>
    <row r="142" spans="1:8" x14ac:dyDescent="0.2">
      <c r="A142" s="5" t="s">
        <v>13</v>
      </c>
      <c r="B142" s="6" t="s">
        <v>14</v>
      </c>
      <c r="C142" s="7" t="s">
        <v>226</v>
      </c>
      <c r="D142" s="8">
        <v>1.9404219300000001</v>
      </c>
      <c r="E142" s="8">
        <v>1.05078019</v>
      </c>
      <c r="F142" s="7"/>
      <c r="G142" s="7" t="str">
        <f t="shared" si="0"/>
        <v>Direct</v>
      </c>
      <c r="H142" s="7" t="s">
        <v>227</v>
      </c>
    </row>
    <row r="143" spans="1:8" x14ac:dyDescent="0.2">
      <c r="A143" s="5" t="s">
        <v>13</v>
      </c>
      <c r="B143" s="6" t="s">
        <v>14</v>
      </c>
      <c r="C143" s="7" t="s">
        <v>228</v>
      </c>
      <c r="D143" s="8">
        <v>-3.1144319</v>
      </c>
      <c r="E143" s="8">
        <v>-3.5753881999999999</v>
      </c>
      <c r="F143" s="7"/>
      <c r="G143" s="7" t="str">
        <f t="shared" si="0"/>
        <v>Direct</v>
      </c>
      <c r="H143" s="7" t="s">
        <v>229</v>
      </c>
    </row>
    <row r="144" spans="1:8" x14ac:dyDescent="0.2">
      <c r="A144" s="5" t="s">
        <v>13</v>
      </c>
      <c r="B144" s="6" t="s">
        <v>14</v>
      </c>
      <c r="C144" s="7" t="s">
        <v>230</v>
      </c>
      <c r="D144" s="8">
        <v>1.376493</v>
      </c>
      <c r="E144" s="8">
        <v>-2.7527248000000002</v>
      </c>
      <c r="F144" s="7"/>
      <c r="G144" s="7" t="str">
        <f t="shared" si="0"/>
        <v>Inverse</v>
      </c>
      <c r="H144" s="7" t="s">
        <v>231</v>
      </c>
    </row>
    <row r="145" spans="1:8" x14ac:dyDescent="0.2">
      <c r="A145" s="5" t="s">
        <v>13</v>
      </c>
      <c r="B145" s="6" t="s">
        <v>14</v>
      </c>
      <c r="C145" s="7" t="s">
        <v>232</v>
      </c>
      <c r="D145" s="8">
        <v>-1.7721214000000001</v>
      </c>
      <c r="E145" s="8">
        <v>-2.7984740000000001</v>
      </c>
      <c r="F145" s="7"/>
      <c r="G145" s="7" t="str">
        <f t="shared" si="0"/>
        <v>Direct</v>
      </c>
      <c r="H145" s="7" t="s">
        <v>233</v>
      </c>
    </row>
    <row r="146" spans="1:8" x14ac:dyDescent="0.2">
      <c r="A146" s="5" t="s">
        <v>13</v>
      </c>
      <c r="B146" s="6" t="s">
        <v>14</v>
      </c>
      <c r="C146" s="7" t="s">
        <v>234</v>
      </c>
      <c r="D146" s="8">
        <v>1.33737642</v>
      </c>
      <c r="E146" s="8">
        <v>1.2336022499999999</v>
      </c>
      <c r="F146" s="7"/>
      <c r="G146" s="7" t="str">
        <f t="shared" si="0"/>
        <v>Direct</v>
      </c>
      <c r="H146" s="7" t="s">
        <v>16</v>
      </c>
    </row>
    <row r="147" spans="1:8" x14ac:dyDescent="0.2">
      <c r="A147" s="5" t="s">
        <v>13</v>
      </c>
      <c r="B147" s="6" t="s">
        <v>14</v>
      </c>
      <c r="C147" s="7" t="s">
        <v>235</v>
      </c>
      <c r="D147" s="8">
        <v>-1.0436867000000001</v>
      </c>
      <c r="E147" s="8">
        <v>-3.4410810000000001</v>
      </c>
      <c r="F147" s="7"/>
      <c r="G147" s="7" t="str">
        <f t="shared" si="0"/>
        <v>Direct</v>
      </c>
      <c r="H147" s="7" t="s">
        <v>236</v>
      </c>
    </row>
    <row r="148" spans="1:8" x14ac:dyDescent="0.2">
      <c r="A148" s="5" t="s">
        <v>13</v>
      </c>
      <c r="B148" s="6" t="s">
        <v>14</v>
      </c>
      <c r="C148" s="7" t="s">
        <v>237</v>
      </c>
      <c r="D148" s="8">
        <v>-1.2059776</v>
      </c>
      <c r="E148" s="8">
        <v>-1.0289741999999999</v>
      </c>
      <c r="F148" s="7"/>
      <c r="G148" s="7" t="str">
        <f t="shared" si="0"/>
        <v>Direct</v>
      </c>
      <c r="H148" s="7" t="s">
        <v>16</v>
      </c>
    </row>
    <row r="149" spans="1:8" x14ac:dyDescent="0.2">
      <c r="A149" s="5" t="s">
        <v>13</v>
      </c>
      <c r="B149" s="6" t="s">
        <v>14</v>
      </c>
      <c r="C149" s="7" t="s">
        <v>238</v>
      </c>
      <c r="D149" s="8">
        <v>-1.5069942999999999</v>
      </c>
      <c r="E149" s="8">
        <v>-3.6708118999999999</v>
      </c>
      <c r="F149" s="7"/>
      <c r="G149" s="7" t="str">
        <f t="shared" si="0"/>
        <v>Direct</v>
      </c>
      <c r="H149" s="7" t="s">
        <v>16</v>
      </c>
    </row>
    <row r="150" spans="1:8" x14ac:dyDescent="0.2">
      <c r="A150" s="5" t="s">
        <v>13</v>
      </c>
      <c r="B150" s="6" t="s">
        <v>14</v>
      </c>
      <c r="C150" s="7" t="s">
        <v>239</v>
      </c>
      <c r="D150" s="8">
        <v>1.5329769499999999</v>
      </c>
      <c r="E150" s="8">
        <v>-6.5050938</v>
      </c>
      <c r="F150" s="7"/>
      <c r="G150" s="7" t="str">
        <f t="shared" si="0"/>
        <v>Inverse</v>
      </c>
      <c r="H150" s="7" t="s">
        <v>16</v>
      </c>
    </row>
    <row r="151" spans="1:8" x14ac:dyDescent="0.2">
      <c r="A151" s="5" t="s">
        <v>13</v>
      </c>
      <c r="B151" s="6" t="s">
        <v>14</v>
      </c>
      <c r="C151" s="7" t="s">
        <v>240</v>
      </c>
      <c r="D151" s="8">
        <v>1.03087653</v>
      </c>
      <c r="E151" s="8">
        <v>-4.1739416</v>
      </c>
      <c r="F151" s="7"/>
      <c r="G151" s="7" t="str">
        <f t="shared" si="0"/>
        <v>Inverse</v>
      </c>
      <c r="H151" s="7" t="s">
        <v>241</v>
      </c>
    </row>
    <row r="152" spans="1:8" x14ac:dyDescent="0.2">
      <c r="A152" s="5" t="s">
        <v>13</v>
      </c>
      <c r="B152" s="6" t="s">
        <v>14</v>
      </c>
      <c r="C152" s="7" t="s">
        <v>242</v>
      </c>
      <c r="D152" s="8">
        <v>2.09913528</v>
      </c>
      <c r="E152" s="8">
        <v>-23.779128</v>
      </c>
      <c r="F152" s="7"/>
      <c r="G152" s="7" t="str">
        <f t="shared" si="0"/>
        <v>Inverse</v>
      </c>
      <c r="H152" s="7" t="s">
        <v>243</v>
      </c>
    </row>
    <row r="153" spans="1:8" x14ac:dyDescent="0.2">
      <c r="A153" s="5" t="s">
        <v>13</v>
      </c>
      <c r="B153" s="6" t="s">
        <v>14</v>
      </c>
      <c r="C153" s="7" t="s">
        <v>244</v>
      </c>
      <c r="D153" s="8">
        <v>2.1565563700000001</v>
      </c>
      <c r="E153" s="8">
        <v>-2.5756937</v>
      </c>
      <c r="F153" s="7"/>
      <c r="G153" s="7" t="str">
        <f t="shared" si="0"/>
        <v>Inverse</v>
      </c>
      <c r="H153" s="7" t="s">
        <v>16</v>
      </c>
    </row>
    <row r="154" spans="1:8" x14ac:dyDescent="0.2">
      <c r="A154" s="5" t="s">
        <v>13</v>
      </c>
      <c r="B154" s="6" t="s">
        <v>14</v>
      </c>
      <c r="C154" s="7" t="s">
        <v>245</v>
      </c>
      <c r="D154" s="8">
        <v>1.0406690999999999</v>
      </c>
      <c r="E154" s="8">
        <v>-4.5119194</v>
      </c>
      <c r="F154" s="7"/>
      <c r="G154" s="7" t="str">
        <f t="shared" si="0"/>
        <v>Inverse</v>
      </c>
      <c r="H154" s="7" t="s">
        <v>16</v>
      </c>
    </row>
    <row r="155" spans="1:8" x14ac:dyDescent="0.2">
      <c r="A155" s="5" t="s">
        <v>13</v>
      </c>
      <c r="B155" s="6" t="s">
        <v>14</v>
      </c>
      <c r="C155" s="7" t="s">
        <v>246</v>
      </c>
      <c r="D155" s="8">
        <v>1.26196218</v>
      </c>
      <c r="E155" s="8">
        <v>-2.4463737000000001</v>
      </c>
      <c r="F155" s="7"/>
      <c r="G155" s="7" t="str">
        <f t="shared" si="0"/>
        <v>Inverse</v>
      </c>
      <c r="H155" s="7" t="s">
        <v>16</v>
      </c>
    </row>
    <row r="156" spans="1:8" x14ac:dyDescent="0.2">
      <c r="A156" s="5" t="s">
        <v>13</v>
      </c>
      <c r="B156" s="6" t="s">
        <v>14</v>
      </c>
      <c r="C156" s="7" t="s">
        <v>247</v>
      </c>
      <c r="D156" s="8">
        <v>-1.2405374</v>
      </c>
      <c r="E156" s="8">
        <v>-1.4608017</v>
      </c>
      <c r="F156" s="7"/>
      <c r="G156" s="7" t="str">
        <f t="shared" si="0"/>
        <v>Direct</v>
      </c>
      <c r="H156" s="7" t="s">
        <v>248</v>
      </c>
    </row>
    <row r="157" spans="1:8" x14ac:dyDescent="0.2">
      <c r="A157" s="5" t="s">
        <v>13</v>
      </c>
      <c r="B157" s="6" t="s">
        <v>14</v>
      </c>
      <c r="C157" s="7" t="s">
        <v>249</v>
      </c>
      <c r="D157" s="8">
        <v>2.5061378300000001</v>
      </c>
      <c r="E157" s="8">
        <v>-1.5207245</v>
      </c>
      <c r="F157" s="7"/>
      <c r="G157" s="7" t="str">
        <f t="shared" si="0"/>
        <v>Inverse</v>
      </c>
      <c r="H157" s="7" t="s">
        <v>250</v>
      </c>
    </row>
    <row r="158" spans="1:8" x14ac:dyDescent="0.2">
      <c r="A158" s="5" t="s">
        <v>13</v>
      </c>
      <c r="B158" s="6" t="s">
        <v>14</v>
      </c>
      <c r="C158" s="7" t="s">
        <v>251</v>
      </c>
      <c r="D158" s="8">
        <v>2.5145299099999998</v>
      </c>
      <c r="E158" s="8">
        <v>-9.5294445999999997</v>
      </c>
      <c r="F158" s="7"/>
      <c r="G158" s="7" t="str">
        <f t="shared" si="0"/>
        <v>Inverse</v>
      </c>
      <c r="H158" s="7" t="s">
        <v>252</v>
      </c>
    </row>
    <row r="159" spans="1:8" x14ac:dyDescent="0.2">
      <c r="A159" s="5" t="s">
        <v>13</v>
      </c>
      <c r="B159" s="6" t="s">
        <v>14</v>
      </c>
      <c r="C159" s="7" t="s">
        <v>253</v>
      </c>
      <c r="D159" s="8">
        <v>-1.2268368999999999</v>
      </c>
      <c r="E159" s="8">
        <v>-2.9109821</v>
      </c>
      <c r="F159" s="7"/>
      <c r="G159" s="7" t="str">
        <f t="shared" si="0"/>
        <v>Direct</v>
      </c>
      <c r="H159" s="7" t="s">
        <v>16</v>
      </c>
    </row>
    <row r="160" spans="1:8" x14ac:dyDescent="0.2">
      <c r="A160" s="5" t="s">
        <v>13</v>
      </c>
      <c r="B160" s="6" t="s">
        <v>14</v>
      </c>
      <c r="C160" s="7" t="s">
        <v>254</v>
      </c>
      <c r="D160" s="8">
        <v>-1.2676099999999999</v>
      </c>
      <c r="E160" s="8">
        <v>-3.6287216999999998</v>
      </c>
      <c r="F160" s="7"/>
      <c r="G160" s="7" t="str">
        <f t="shared" si="0"/>
        <v>Direct</v>
      </c>
      <c r="H160" s="7" t="s">
        <v>248</v>
      </c>
    </row>
    <row r="161" spans="1:8" x14ac:dyDescent="0.2">
      <c r="A161" s="5" t="s">
        <v>13</v>
      </c>
      <c r="B161" s="6" t="s">
        <v>14</v>
      </c>
      <c r="C161" s="7" t="s">
        <v>255</v>
      </c>
      <c r="D161" s="8">
        <v>-2.4520469999999999</v>
      </c>
      <c r="E161" s="8">
        <v>2.2519237099999998</v>
      </c>
      <c r="F161" s="7"/>
      <c r="G161" s="7" t="str">
        <f t="shared" si="0"/>
        <v>Inverse</v>
      </c>
      <c r="H161" s="7" t="s">
        <v>16</v>
      </c>
    </row>
    <row r="162" spans="1:8" x14ac:dyDescent="0.2">
      <c r="A162" s="5" t="s">
        <v>13</v>
      </c>
      <c r="B162" s="6" t="s">
        <v>14</v>
      </c>
      <c r="C162" s="7" t="s">
        <v>256</v>
      </c>
      <c r="D162" s="8">
        <v>-1.4450259999999999</v>
      </c>
      <c r="E162" s="8">
        <v>-1.4961228</v>
      </c>
      <c r="F162" s="7"/>
      <c r="G162" s="7" t="str">
        <f t="shared" si="0"/>
        <v>Direct</v>
      </c>
      <c r="H162" s="7" t="s">
        <v>16</v>
      </c>
    </row>
    <row r="163" spans="1:8" x14ac:dyDescent="0.2">
      <c r="A163" s="5" t="s">
        <v>13</v>
      </c>
      <c r="B163" s="6" t="s">
        <v>14</v>
      </c>
      <c r="C163" s="7" t="s">
        <v>257</v>
      </c>
      <c r="D163" s="8">
        <v>3.2065842</v>
      </c>
      <c r="E163" s="8">
        <v>4.6728561900000001</v>
      </c>
      <c r="F163" s="7"/>
      <c r="G163" s="7" t="str">
        <f t="shared" si="0"/>
        <v>Direct</v>
      </c>
      <c r="H163" s="7" t="s">
        <v>258</v>
      </c>
    </row>
    <row r="164" spans="1:8" x14ac:dyDescent="0.2">
      <c r="A164" s="5" t="s">
        <v>13</v>
      </c>
      <c r="B164" s="6" t="s">
        <v>14</v>
      </c>
      <c r="C164" s="7" t="s">
        <v>259</v>
      </c>
      <c r="D164" s="8">
        <v>-1.0436867000000001</v>
      </c>
      <c r="E164" s="8">
        <v>-1.0938658000000001</v>
      </c>
      <c r="F164" s="7"/>
      <c r="G164" s="7" t="str">
        <f t="shared" si="0"/>
        <v>Direct</v>
      </c>
      <c r="H164" s="7" t="s">
        <v>16</v>
      </c>
    </row>
    <row r="165" spans="1:8" x14ac:dyDescent="0.2">
      <c r="A165" s="5" t="s">
        <v>13</v>
      </c>
      <c r="B165" s="6" t="s">
        <v>14</v>
      </c>
      <c r="C165" s="7" t="s">
        <v>260</v>
      </c>
      <c r="D165" s="8">
        <v>-1.4560892000000001</v>
      </c>
      <c r="E165" s="8">
        <v>2.2042480599999998</v>
      </c>
      <c r="F165" s="7"/>
      <c r="G165" s="7" t="str">
        <f t="shared" si="0"/>
        <v>Inverse</v>
      </c>
      <c r="H165" s="7" t="s">
        <v>16</v>
      </c>
    </row>
    <row r="166" spans="1:8" x14ac:dyDescent="0.2">
      <c r="A166" s="5" t="s">
        <v>13</v>
      </c>
      <c r="B166" s="6" t="s">
        <v>14</v>
      </c>
      <c r="C166" s="7" t="s">
        <v>261</v>
      </c>
      <c r="D166" s="8">
        <v>2.4498564799999998</v>
      </c>
      <c r="E166" s="8">
        <v>5.0809244400000004</v>
      </c>
      <c r="F166" s="7"/>
      <c r="G166" s="7" t="str">
        <f t="shared" si="0"/>
        <v>Direct</v>
      </c>
      <c r="H166" s="7" t="s">
        <v>262</v>
      </c>
    </row>
    <row r="167" spans="1:8" x14ac:dyDescent="0.2">
      <c r="A167" s="5" t="s">
        <v>13</v>
      </c>
      <c r="B167" s="6" t="s">
        <v>14</v>
      </c>
      <c r="C167" s="7" t="s">
        <v>263</v>
      </c>
      <c r="D167" s="8">
        <v>2.7611254600000001</v>
      </c>
      <c r="E167" s="8">
        <v>-3.3193117999999999</v>
      </c>
      <c r="F167" s="7"/>
      <c r="G167" s="7" t="str">
        <f t="shared" si="0"/>
        <v>Inverse</v>
      </c>
      <c r="H167" s="7" t="s">
        <v>16</v>
      </c>
    </row>
    <row r="168" spans="1:8" x14ac:dyDescent="0.2">
      <c r="A168" s="5" t="s">
        <v>13</v>
      </c>
      <c r="B168" s="6" t="s">
        <v>14</v>
      </c>
      <c r="C168" s="7" t="s">
        <v>264</v>
      </c>
      <c r="D168" s="8">
        <v>-2.4267482999999999</v>
      </c>
      <c r="E168" s="8">
        <v>-2.2719879999999999</v>
      </c>
      <c r="F168" s="7"/>
      <c r="G168" s="7" t="str">
        <f t="shared" si="0"/>
        <v>Direct</v>
      </c>
      <c r="H168" s="7" t="s">
        <v>16</v>
      </c>
    </row>
    <row r="169" spans="1:8" x14ac:dyDescent="0.2">
      <c r="A169" s="5" t="s">
        <v>13</v>
      </c>
      <c r="B169" s="6" t="s">
        <v>14</v>
      </c>
      <c r="C169" s="7" t="s">
        <v>265</v>
      </c>
      <c r="D169" s="8">
        <v>-1.6027899000000001</v>
      </c>
      <c r="E169" s="8">
        <v>-1.7946652000000001</v>
      </c>
      <c r="F169" s="7"/>
      <c r="G169" s="7" t="str">
        <f t="shared" si="0"/>
        <v>Direct</v>
      </c>
      <c r="H169" s="7" t="s">
        <v>266</v>
      </c>
    </row>
    <row r="170" spans="1:8" x14ac:dyDescent="0.2">
      <c r="A170" s="5" t="s">
        <v>13</v>
      </c>
      <c r="B170" s="6" t="s">
        <v>14</v>
      </c>
      <c r="C170" s="7" t="s">
        <v>267</v>
      </c>
      <c r="D170" s="8">
        <v>-2.2365955</v>
      </c>
      <c r="E170" s="8">
        <v>-2.8554940000000002</v>
      </c>
      <c r="F170" s="7"/>
      <c r="G170" s="7" t="str">
        <f t="shared" si="0"/>
        <v>Direct</v>
      </c>
      <c r="H170" s="7" t="s">
        <v>268</v>
      </c>
    </row>
    <row r="171" spans="1:8" x14ac:dyDescent="0.2">
      <c r="A171" s="5" t="s">
        <v>13</v>
      </c>
      <c r="B171" s="6" t="s">
        <v>14</v>
      </c>
      <c r="C171" s="7" t="s">
        <v>269</v>
      </c>
      <c r="D171" s="8">
        <v>-1.0852187</v>
      </c>
      <c r="E171" s="8">
        <v>-1.4714910999999999</v>
      </c>
      <c r="F171" s="7"/>
      <c r="G171" s="7" t="str">
        <f t="shared" si="0"/>
        <v>Direct</v>
      </c>
      <c r="H171" s="7" t="s">
        <v>270</v>
      </c>
    </row>
    <row r="172" spans="1:8" x14ac:dyDescent="0.2">
      <c r="A172" s="5" t="s">
        <v>13</v>
      </c>
      <c r="B172" s="6" t="s">
        <v>14</v>
      </c>
      <c r="C172" s="7" t="s">
        <v>271</v>
      </c>
      <c r="D172" s="8">
        <v>-1.9920993</v>
      </c>
      <c r="E172" s="8">
        <v>-2.6401900999999999</v>
      </c>
      <c r="F172" s="7"/>
      <c r="G172" s="7" t="str">
        <f t="shared" si="0"/>
        <v>Direct</v>
      </c>
      <c r="H172" s="7" t="s">
        <v>16</v>
      </c>
    </row>
    <row r="173" spans="1:8" x14ac:dyDescent="0.2">
      <c r="A173" s="5" t="s">
        <v>13</v>
      </c>
      <c r="B173" s="6" t="s">
        <v>14</v>
      </c>
      <c r="C173" s="7" t="s">
        <v>272</v>
      </c>
      <c r="D173" s="8">
        <v>1.7467672299999999</v>
      </c>
      <c r="E173" s="8">
        <v>-4.3196168999999998</v>
      </c>
      <c r="F173" s="7"/>
      <c r="G173" s="7" t="str">
        <f t="shared" si="0"/>
        <v>Inverse</v>
      </c>
      <c r="H173" s="7" t="s">
        <v>16</v>
      </c>
    </row>
    <row r="174" spans="1:8" x14ac:dyDescent="0.2">
      <c r="A174" s="5" t="s">
        <v>13</v>
      </c>
      <c r="B174" s="6" t="s">
        <v>14</v>
      </c>
      <c r="C174" s="7" t="s">
        <v>273</v>
      </c>
      <c r="D174" s="8">
        <v>-1.7360164</v>
      </c>
      <c r="E174" s="8">
        <v>-4.2094288000000004</v>
      </c>
      <c r="F174" s="7"/>
      <c r="G174" s="7" t="str">
        <f t="shared" si="0"/>
        <v>Direct</v>
      </c>
      <c r="H174" s="7" t="s">
        <v>274</v>
      </c>
    </row>
    <row r="175" spans="1:8" x14ac:dyDescent="0.2">
      <c r="A175" s="5" t="s">
        <v>13</v>
      </c>
      <c r="B175" s="6" t="s">
        <v>14</v>
      </c>
      <c r="C175" s="7" t="s">
        <v>275</v>
      </c>
      <c r="D175" s="8">
        <v>-1.0960899</v>
      </c>
      <c r="E175" s="8">
        <v>2.3930246999999998</v>
      </c>
      <c r="F175" s="7"/>
      <c r="G175" s="7" t="str">
        <f t="shared" si="0"/>
        <v>Inverse</v>
      </c>
      <c r="H175" s="7" t="s">
        <v>276</v>
      </c>
    </row>
    <row r="176" spans="1:8" x14ac:dyDescent="0.2">
      <c r="A176" s="5" t="s">
        <v>13</v>
      </c>
      <c r="B176" s="6" t="s">
        <v>14</v>
      </c>
      <c r="C176" s="7" t="s">
        <v>277</v>
      </c>
      <c r="D176" s="8">
        <v>1.4685670200000001</v>
      </c>
      <c r="E176" s="8">
        <v>-6.7640069</v>
      </c>
      <c r="F176" s="7"/>
      <c r="G176" s="7" t="str">
        <f t="shared" si="0"/>
        <v>Inverse</v>
      </c>
      <c r="H176" s="7" t="s">
        <v>278</v>
      </c>
    </row>
    <row r="177" spans="1:8" x14ac:dyDescent="0.2">
      <c r="A177" s="5" t="s">
        <v>13</v>
      </c>
      <c r="B177" s="6" t="s">
        <v>14</v>
      </c>
      <c r="C177" s="7" t="s">
        <v>279</v>
      </c>
      <c r="D177" s="8">
        <v>1.53156658</v>
      </c>
      <c r="E177" s="8">
        <v>1.3124102900000001</v>
      </c>
      <c r="F177" s="7"/>
      <c r="G177" s="7" t="str">
        <f t="shared" si="0"/>
        <v>Direct</v>
      </c>
      <c r="H177" s="7" t="s">
        <v>16</v>
      </c>
    </row>
    <row r="178" spans="1:8" x14ac:dyDescent="0.2">
      <c r="A178" s="5" t="s">
        <v>13</v>
      </c>
      <c r="B178" s="6" t="s">
        <v>14</v>
      </c>
      <c r="C178" s="7" t="s">
        <v>280</v>
      </c>
      <c r="D178" s="8">
        <v>3.7552719699999999</v>
      </c>
      <c r="E178" s="8">
        <v>1.31402281</v>
      </c>
      <c r="F178" s="7"/>
      <c r="G178" s="7" t="str">
        <f t="shared" si="0"/>
        <v>Direct</v>
      </c>
      <c r="H178" s="7" t="s">
        <v>281</v>
      </c>
    </row>
    <row r="179" spans="1:8" x14ac:dyDescent="0.2">
      <c r="A179" s="5" t="s">
        <v>13</v>
      </c>
      <c r="B179" s="6" t="s">
        <v>14</v>
      </c>
      <c r="C179" s="7" t="s">
        <v>282</v>
      </c>
      <c r="D179" s="8">
        <v>-2.7069619</v>
      </c>
      <c r="E179" s="8">
        <v>-2.8362677000000001</v>
      </c>
      <c r="F179" s="7"/>
      <c r="G179" s="7" t="str">
        <f t="shared" si="0"/>
        <v>Direct</v>
      </c>
      <c r="H179" s="7" t="s">
        <v>283</v>
      </c>
    </row>
    <row r="180" spans="1:8" x14ac:dyDescent="0.2">
      <c r="A180" s="5" t="s">
        <v>13</v>
      </c>
      <c r="B180" s="6" t="s">
        <v>14</v>
      </c>
      <c r="C180" s="7" t="s">
        <v>284</v>
      </c>
      <c r="D180" s="8">
        <v>-1.2747702000000001</v>
      </c>
      <c r="E180" s="8">
        <v>-2.3909047999999999</v>
      </c>
      <c r="F180" s="7"/>
      <c r="G180" s="7" t="str">
        <f t="shared" si="0"/>
        <v>Direct</v>
      </c>
      <c r="H180" s="7" t="s">
        <v>285</v>
      </c>
    </row>
    <row r="181" spans="1:8" x14ac:dyDescent="0.2">
      <c r="A181" s="5" t="s">
        <v>13</v>
      </c>
      <c r="B181" s="6" t="s">
        <v>14</v>
      </c>
      <c r="C181" s="7" t="s">
        <v>286</v>
      </c>
      <c r="D181" s="8">
        <v>-2.5027183000000002</v>
      </c>
      <c r="E181" s="8">
        <v>-1.2729280999999999</v>
      </c>
      <c r="F181" s="7"/>
      <c r="G181" s="7" t="str">
        <f t="shared" si="0"/>
        <v>Direct</v>
      </c>
      <c r="H181" s="7" t="s">
        <v>287</v>
      </c>
    </row>
    <row r="182" spans="1:8" x14ac:dyDescent="0.2">
      <c r="A182" s="5" t="s">
        <v>13</v>
      </c>
      <c r="B182" s="6" t="s">
        <v>14</v>
      </c>
      <c r="C182" s="7" t="s">
        <v>288</v>
      </c>
      <c r="D182" s="8">
        <v>-1.0593208999999999</v>
      </c>
      <c r="E182" s="8">
        <v>-1.6199395999999999</v>
      </c>
      <c r="F182" s="7"/>
      <c r="G182" s="7" t="str">
        <f t="shared" si="0"/>
        <v>Direct</v>
      </c>
      <c r="H182" s="7" t="s">
        <v>16</v>
      </c>
    </row>
    <row r="183" spans="1:8" x14ac:dyDescent="0.2">
      <c r="A183" s="5" t="s">
        <v>13</v>
      </c>
      <c r="B183" s="6" t="s">
        <v>14</v>
      </c>
      <c r="C183" s="7" t="s">
        <v>289</v>
      </c>
      <c r="D183" s="8">
        <v>2.0702497499999999</v>
      </c>
      <c r="E183" s="8">
        <v>-5.9526849000000004</v>
      </c>
      <c r="F183" s="7"/>
      <c r="G183" s="7" t="str">
        <f t="shared" si="0"/>
        <v>Inverse</v>
      </c>
      <c r="H183" s="7" t="s">
        <v>16</v>
      </c>
    </row>
    <row r="184" spans="1:8" x14ac:dyDescent="0.2">
      <c r="A184" s="5" t="s">
        <v>13</v>
      </c>
      <c r="B184" s="6" t="s">
        <v>14</v>
      </c>
      <c r="C184" s="7" t="s">
        <v>290</v>
      </c>
      <c r="D184" s="8">
        <v>1.3306383900000001</v>
      </c>
      <c r="E184" s="8">
        <v>-2.6604523000000002</v>
      </c>
      <c r="F184" s="7"/>
      <c r="G184" s="7" t="str">
        <f t="shared" si="0"/>
        <v>Inverse</v>
      </c>
      <c r="H184" s="7" t="s">
        <v>178</v>
      </c>
    </row>
    <row r="185" spans="1:8" x14ac:dyDescent="0.2">
      <c r="A185" s="5" t="s">
        <v>13</v>
      </c>
      <c r="B185" s="6" t="s">
        <v>14</v>
      </c>
      <c r="C185" s="7" t="s">
        <v>291</v>
      </c>
      <c r="D185" s="8">
        <v>1.3322797799999999</v>
      </c>
      <c r="E185" s="8">
        <v>-12.587588999999999</v>
      </c>
      <c r="F185" s="7"/>
      <c r="G185" s="7" t="str">
        <f t="shared" si="0"/>
        <v>Inverse</v>
      </c>
      <c r="H185" s="7" t="s">
        <v>16</v>
      </c>
    </row>
    <row r="186" spans="1:8" x14ac:dyDescent="0.2">
      <c r="A186" s="5" t="s">
        <v>13</v>
      </c>
      <c r="B186" s="6" t="s">
        <v>14</v>
      </c>
      <c r="C186" s="7" t="s">
        <v>292</v>
      </c>
      <c r="D186" s="8">
        <v>2.3582261500000001</v>
      </c>
      <c r="E186" s="8">
        <v>-1.1171702999999999</v>
      </c>
      <c r="F186" s="7"/>
      <c r="G186" s="7" t="str">
        <f t="shared" si="0"/>
        <v>Inverse</v>
      </c>
      <c r="H186" s="7" t="s">
        <v>16</v>
      </c>
    </row>
    <row r="187" spans="1:8" x14ac:dyDescent="0.2">
      <c r="A187" s="5" t="s">
        <v>13</v>
      </c>
      <c r="B187" s="6" t="s">
        <v>14</v>
      </c>
      <c r="C187" s="7" t="s">
        <v>293</v>
      </c>
      <c r="D187" s="8">
        <v>1.9243410599999999</v>
      </c>
      <c r="E187" s="8">
        <v>-4.1251651000000003</v>
      </c>
      <c r="F187" s="7"/>
      <c r="G187" s="7" t="str">
        <f t="shared" si="0"/>
        <v>Inverse</v>
      </c>
      <c r="H187" s="7" t="s">
        <v>16</v>
      </c>
    </row>
    <row r="188" spans="1:8" x14ac:dyDescent="0.2">
      <c r="A188" s="5" t="s">
        <v>13</v>
      </c>
      <c r="B188" s="6" t="s">
        <v>14</v>
      </c>
      <c r="C188" s="7" t="s">
        <v>294</v>
      </c>
      <c r="D188" s="8">
        <v>1.1865764299999999</v>
      </c>
      <c r="E188" s="8">
        <v>-9.0317424000000006</v>
      </c>
      <c r="F188" s="7"/>
      <c r="G188" s="7" t="str">
        <f t="shared" si="0"/>
        <v>Inverse</v>
      </c>
      <c r="H188" s="7" t="s">
        <v>16</v>
      </c>
    </row>
    <row r="189" spans="1:8" x14ac:dyDescent="0.2">
      <c r="A189" s="5" t="s">
        <v>13</v>
      </c>
      <c r="B189" s="6" t="s">
        <v>14</v>
      </c>
      <c r="C189" s="7" t="s">
        <v>295</v>
      </c>
      <c r="D189" s="8">
        <v>1.0116907100000001</v>
      </c>
      <c r="E189" s="8">
        <v>-4.6565139999999996</v>
      </c>
      <c r="F189" s="7"/>
      <c r="G189" s="7" t="str">
        <f t="shared" si="0"/>
        <v>Inverse</v>
      </c>
      <c r="H189" s="7" t="s">
        <v>16</v>
      </c>
    </row>
    <row r="190" spans="1:8" x14ac:dyDescent="0.2">
      <c r="A190" s="5" t="s">
        <v>13</v>
      </c>
      <c r="B190" s="6" t="s">
        <v>14</v>
      </c>
      <c r="C190" s="7" t="s">
        <v>296</v>
      </c>
      <c r="D190" s="8">
        <v>1.3137764199999999</v>
      </c>
      <c r="E190" s="8">
        <v>-4.5871766000000003</v>
      </c>
      <c r="F190" s="7"/>
      <c r="G190" s="7" t="str">
        <f t="shared" si="0"/>
        <v>Inverse</v>
      </c>
      <c r="H190" s="7" t="s">
        <v>16</v>
      </c>
    </row>
    <row r="191" spans="1:8" x14ac:dyDescent="0.2">
      <c r="A191" s="5" t="s">
        <v>13</v>
      </c>
      <c r="B191" s="6" t="s">
        <v>14</v>
      </c>
      <c r="C191" s="7" t="s">
        <v>297</v>
      </c>
      <c r="D191" s="8">
        <v>-1.213171</v>
      </c>
      <c r="E191" s="8">
        <v>-1.3213362</v>
      </c>
      <c r="F191" s="7"/>
      <c r="G191" s="7" t="str">
        <f t="shared" si="0"/>
        <v>Direct</v>
      </c>
      <c r="H191" s="7" t="s">
        <v>16</v>
      </c>
    </row>
    <row r="192" spans="1:8" x14ac:dyDescent="0.2">
      <c r="A192" s="5" t="s">
        <v>13</v>
      </c>
      <c r="B192" s="6" t="s">
        <v>14</v>
      </c>
      <c r="C192" s="7" t="s">
        <v>298</v>
      </c>
      <c r="D192" s="8">
        <v>1.89395319</v>
      </c>
      <c r="E192" s="8">
        <v>1.14849019</v>
      </c>
      <c r="F192" s="7"/>
      <c r="G192" s="7" t="str">
        <f t="shared" si="0"/>
        <v>Direct</v>
      </c>
      <c r="H192" s="7" t="s">
        <v>16</v>
      </c>
    </row>
    <row r="193" spans="1:8" x14ac:dyDescent="0.2">
      <c r="A193" s="5" t="s">
        <v>13</v>
      </c>
      <c r="B193" s="6" t="s">
        <v>14</v>
      </c>
      <c r="C193" s="7" t="s">
        <v>299</v>
      </c>
      <c r="D193" s="8">
        <v>-1.7026707000000001</v>
      </c>
      <c r="E193" s="8">
        <v>-2.9027899000000001</v>
      </c>
      <c r="F193" s="7"/>
      <c r="G193" s="7" t="str">
        <f t="shared" si="0"/>
        <v>Direct</v>
      </c>
      <c r="H193" s="7" t="s">
        <v>16</v>
      </c>
    </row>
    <row r="194" spans="1:8" x14ac:dyDescent="0.2">
      <c r="A194" s="5" t="s">
        <v>13</v>
      </c>
      <c r="B194" s="6" t="s">
        <v>14</v>
      </c>
      <c r="C194" s="7" t="s">
        <v>300</v>
      </c>
      <c r="D194" s="8">
        <v>1.4892896799999999</v>
      </c>
      <c r="E194" s="8">
        <v>-3.3152765999999998</v>
      </c>
      <c r="F194" s="7"/>
      <c r="G194" s="7" t="str">
        <f t="shared" si="0"/>
        <v>Inverse</v>
      </c>
      <c r="H194" s="7" t="s">
        <v>301</v>
      </c>
    </row>
    <row r="195" spans="1:8" x14ac:dyDescent="0.2">
      <c r="A195" s="5" t="s">
        <v>13</v>
      </c>
      <c r="B195" s="6" t="s">
        <v>14</v>
      </c>
      <c r="C195" s="7" t="s">
        <v>302</v>
      </c>
      <c r="D195" s="8">
        <v>-1.5031030000000001</v>
      </c>
      <c r="E195" s="8">
        <v>-2.5380308</v>
      </c>
      <c r="F195" s="7"/>
      <c r="G195" s="7" t="str">
        <f t="shared" si="0"/>
        <v>Direct</v>
      </c>
      <c r="H195" s="7" t="s">
        <v>303</v>
      </c>
    </row>
    <row r="196" spans="1:8" x14ac:dyDescent="0.2">
      <c r="A196" s="5" t="s">
        <v>13</v>
      </c>
      <c r="B196" s="6" t="s">
        <v>14</v>
      </c>
      <c r="C196" s="7" t="s">
        <v>304</v>
      </c>
      <c r="D196" s="8">
        <v>-1.2183018999999999</v>
      </c>
      <c r="E196" s="8">
        <v>-6.0089528000000003</v>
      </c>
      <c r="F196" s="7"/>
      <c r="G196" s="7" t="str">
        <f t="shared" si="0"/>
        <v>Direct</v>
      </c>
      <c r="H196" s="7" t="s">
        <v>16</v>
      </c>
    </row>
    <row r="197" spans="1:8" x14ac:dyDescent="0.2">
      <c r="A197" s="5" t="s">
        <v>13</v>
      </c>
      <c r="B197" s="6" t="s">
        <v>14</v>
      </c>
      <c r="C197" s="7" t="s">
        <v>305</v>
      </c>
      <c r="D197" s="8">
        <v>1.27858235</v>
      </c>
      <c r="E197" s="8">
        <v>2.2919258400000002</v>
      </c>
      <c r="F197" s="7"/>
      <c r="G197" s="7" t="str">
        <f t="shared" si="0"/>
        <v>Direct</v>
      </c>
      <c r="H197" s="7" t="s">
        <v>306</v>
      </c>
    </row>
    <row r="198" spans="1:8" x14ac:dyDescent="0.2">
      <c r="A198" s="5" t="s">
        <v>13</v>
      </c>
      <c r="B198" s="6" t="s">
        <v>14</v>
      </c>
      <c r="C198" s="7" t="s">
        <v>307</v>
      </c>
      <c r="D198" s="8">
        <v>-1.9019946999999999</v>
      </c>
      <c r="E198" s="8">
        <v>12.310794599999999</v>
      </c>
      <c r="F198" s="7"/>
      <c r="G198" s="7" t="str">
        <f t="shared" si="0"/>
        <v>Inverse</v>
      </c>
      <c r="H198" s="7" t="s">
        <v>172</v>
      </c>
    </row>
    <row r="199" spans="1:8" x14ac:dyDescent="0.2">
      <c r="A199" s="5" t="s">
        <v>13</v>
      </c>
      <c r="B199" s="6" t="s">
        <v>14</v>
      </c>
      <c r="C199" s="7" t="s">
        <v>308</v>
      </c>
      <c r="D199" s="8">
        <v>-2.7305784000000002</v>
      </c>
      <c r="E199" s="8">
        <v>-8.5868011000000006</v>
      </c>
      <c r="F199" s="7"/>
      <c r="G199" s="7" t="str">
        <f t="shared" si="0"/>
        <v>Direct</v>
      </c>
      <c r="H199" s="7" t="s">
        <v>16</v>
      </c>
    </row>
    <row r="200" spans="1:8" x14ac:dyDescent="0.2">
      <c r="A200" s="5" t="s">
        <v>13</v>
      </c>
      <c r="B200" s="6" t="s">
        <v>14</v>
      </c>
      <c r="C200" s="7" t="s">
        <v>309</v>
      </c>
      <c r="D200" s="8">
        <v>1.1487254600000001</v>
      </c>
      <c r="E200" s="8">
        <v>-1.1119779000000001</v>
      </c>
      <c r="F200" s="7"/>
      <c r="G200" s="7" t="str">
        <f t="shared" si="0"/>
        <v>Inverse</v>
      </c>
      <c r="H200" s="7" t="s">
        <v>125</v>
      </c>
    </row>
    <row r="201" spans="1:8" x14ac:dyDescent="0.2">
      <c r="A201" s="5" t="s">
        <v>13</v>
      </c>
      <c r="B201" s="6" t="s">
        <v>14</v>
      </c>
      <c r="C201" s="7" t="s">
        <v>310</v>
      </c>
      <c r="D201" s="8">
        <v>-1.0977144999999999</v>
      </c>
      <c r="E201" s="8">
        <v>-1.8126918999999999</v>
      </c>
      <c r="F201" s="7"/>
      <c r="G201" s="7" t="str">
        <f t="shared" si="0"/>
        <v>Direct</v>
      </c>
      <c r="H201" s="7" t="s">
        <v>311</v>
      </c>
    </row>
    <row r="202" spans="1:8" x14ac:dyDescent="0.2">
      <c r="A202" s="5" t="s">
        <v>13</v>
      </c>
      <c r="B202" s="6" t="s">
        <v>14</v>
      </c>
      <c r="C202" s="7" t="s">
        <v>312</v>
      </c>
      <c r="D202" s="8">
        <v>1.0960899</v>
      </c>
      <c r="E202" s="8">
        <v>1.0475536599999999</v>
      </c>
      <c r="F202" s="7"/>
      <c r="G202" s="7" t="str">
        <f t="shared" si="0"/>
        <v>Direct</v>
      </c>
      <c r="H202" s="7" t="s">
        <v>16</v>
      </c>
    </row>
    <row r="203" spans="1:8" x14ac:dyDescent="0.2">
      <c r="A203" s="5" t="s">
        <v>13</v>
      </c>
      <c r="B203" s="6" t="s">
        <v>14</v>
      </c>
      <c r="C203" s="7" t="s">
        <v>313</v>
      </c>
      <c r="D203" s="8">
        <v>-1.0343720999999999</v>
      </c>
      <c r="E203" s="8">
        <v>-1.2425147999999999</v>
      </c>
      <c r="F203" s="7"/>
      <c r="G203" s="7" t="str">
        <f t="shared" si="0"/>
        <v>Direct</v>
      </c>
      <c r="H203" s="7" t="s">
        <v>16</v>
      </c>
    </row>
    <row r="204" spans="1:8" x14ac:dyDescent="0.2">
      <c r="A204" s="5" t="s">
        <v>13</v>
      </c>
      <c r="B204" s="6" t="s">
        <v>14</v>
      </c>
      <c r="C204" s="7" t="s">
        <v>314</v>
      </c>
      <c r="D204" s="8">
        <v>-2.6539016000000002</v>
      </c>
      <c r="E204" s="8">
        <v>-4.7950974000000004</v>
      </c>
      <c r="F204" s="7"/>
      <c r="G204" s="7" t="str">
        <f t="shared" si="0"/>
        <v>Direct</v>
      </c>
      <c r="H204" s="7" t="s">
        <v>16</v>
      </c>
    </row>
    <row r="205" spans="1:8" x14ac:dyDescent="0.2">
      <c r="A205" s="5" t="s">
        <v>13</v>
      </c>
      <c r="B205" s="6" t="s">
        <v>14</v>
      </c>
      <c r="C205" s="7" t="s">
        <v>315</v>
      </c>
      <c r="D205" s="8">
        <v>-2.7570404000000002</v>
      </c>
      <c r="E205" s="8">
        <v>-6.6730483999999999</v>
      </c>
      <c r="F205" s="7"/>
      <c r="G205" s="7" t="str">
        <f t="shared" si="0"/>
        <v>Direct</v>
      </c>
      <c r="H205" s="7" t="s">
        <v>16</v>
      </c>
    </row>
    <row r="206" spans="1:8" x14ac:dyDescent="0.2">
      <c r="A206" s="5" t="s">
        <v>13</v>
      </c>
      <c r="B206" s="6" t="s">
        <v>14</v>
      </c>
      <c r="C206" s="7" t="s">
        <v>316</v>
      </c>
      <c r="D206" s="8">
        <v>-2.3530242000000001</v>
      </c>
      <c r="E206" s="8">
        <v>-2.1367802999999999</v>
      </c>
      <c r="F206" s="7"/>
      <c r="G206" s="7" t="str">
        <f t="shared" si="0"/>
        <v>Direct</v>
      </c>
      <c r="H206" s="7" t="s">
        <v>16</v>
      </c>
    </row>
    <row r="207" spans="1:8" x14ac:dyDescent="0.2">
      <c r="A207" s="5" t="s">
        <v>13</v>
      </c>
      <c r="B207" s="6" t="s">
        <v>14</v>
      </c>
      <c r="C207" s="7" t="s">
        <v>317</v>
      </c>
      <c r="D207" s="8">
        <v>-1.9306455</v>
      </c>
      <c r="E207" s="8">
        <v>-2.8605355000000001</v>
      </c>
      <c r="F207" s="7"/>
      <c r="G207" s="7" t="str">
        <f t="shared" si="0"/>
        <v>Direct</v>
      </c>
      <c r="H207" s="7" t="s">
        <v>318</v>
      </c>
    </row>
    <row r="208" spans="1:8" x14ac:dyDescent="0.2">
      <c r="A208" s="5" t="s">
        <v>13</v>
      </c>
      <c r="B208" s="6" t="s">
        <v>14</v>
      </c>
      <c r="C208" s="7" t="s">
        <v>319</v>
      </c>
      <c r="D208" s="8">
        <v>-1.2600363000000001</v>
      </c>
      <c r="E208" s="8">
        <v>-1.7750394</v>
      </c>
      <c r="F208" s="7"/>
      <c r="G208" s="7" t="str">
        <f t="shared" si="0"/>
        <v>Direct</v>
      </c>
      <c r="H208" s="7" t="s">
        <v>16</v>
      </c>
    </row>
    <row r="209" spans="1:8" x14ac:dyDescent="0.2">
      <c r="A209" s="5" t="s">
        <v>13</v>
      </c>
      <c r="B209" s="6" t="s">
        <v>14</v>
      </c>
      <c r="C209" s="7" t="s">
        <v>320</v>
      </c>
      <c r="D209" s="8">
        <v>-1.2252367</v>
      </c>
      <c r="E209" s="8">
        <v>-4.1238365000000003</v>
      </c>
      <c r="F209" s="7"/>
      <c r="G209" s="7" t="str">
        <f t="shared" si="0"/>
        <v>Direct</v>
      </c>
      <c r="H209" s="7" t="s">
        <v>321</v>
      </c>
    </row>
    <row r="210" spans="1:8" x14ac:dyDescent="0.2">
      <c r="A210" s="5" t="s">
        <v>13</v>
      </c>
      <c r="B210" s="6" t="s">
        <v>14</v>
      </c>
      <c r="C210" s="7" t="s">
        <v>322</v>
      </c>
      <c r="D210" s="8">
        <v>-2.5281747000000001</v>
      </c>
      <c r="E210" s="8">
        <v>-2.8133127999999998</v>
      </c>
      <c r="F210" s="7"/>
      <c r="G210" s="7" t="str">
        <f t="shared" si="0"/>
        <v>Direct</v>
      </c>
      <c r="H210" s="7" t="s">
        <v>323</v>
      </c>
    </row>
    <row r="211" spans="1:8" x14ac:dyDescent="0.2">
      <c r="A211" s="5" t="s">
        <v>13</v>
      </c>
      <c r="B211" s="6" t="s">
        <v>14</v>
      </c>
      <c r="C211" s="7" t="s">
        <v>324</v>
      </c>
      <c r="D211" s="8">
        <v>-1.6359573000000001</v>
      </c>
      <c r="E211" s="8">
        <v>-1.6230868000000001</v>
      </c>
      <c r="F211" s="7"/>
      <c r="G211" s="7" t="str">
        <f t="shared" si="0"/>
        <v>Direct</v>
      </c>
      <c r="H211" s="7" t="s">
        <v>325</v>
      </c>
    </row>
    <row r="212" spans="1:8" x14ac:dyDescent="0.2">
      <c r="A212" s="5" t="s">
        <v>13</v>
      </c>
      <c r="B212" s="6" t="s">
        <v>14</v>
      </c>
      <c r="C212" s="7" t="s">
        <v>326</v>
      </c>
      <c r="D212" s="8">
        <v>-1.5465742</v>
      </c>
      <c r="E212" s="8">
        <v>-1.8831499</v>
      </c>
      <c r="F212" s="7"/>
      <c r="G212" s="7" t="str">
        <f t="shared" si="0"/>
        <v>Direct</v>
      </c>
      <c r="H212" s="7" t="s">
        <v>16</v>
      </c>
    </row>
    <row r="213" spans="1:8" x14ac:dyDescent="0.2">
      <c r="A213" s="5" t="s">
        <v>13</v>
      </c>
      <c r="B213" s="6" t="s">
        <v>14</v>
      </c>
      <c r="C213" s="7" t="s">
        <v>327</v>
      </c>
      <c r="D213" s="8">
        <v>1.8451027499999999</v>
      </c>
      <c r="E213" s="8">
        <v>-2.7907993000000002</v>
      </c>
      <c r="F213" s="7"/>
      <c r="G213" s="7" t="str">
        <f t="shared" si="0"/>
        <v>Inverse</v>
      </c>
      <c r="H213" s="7" t="s">
        <v>328</v>
      </c>
    </row>
    <row r="214" spans="1:8" x14ac:dyDescent="0.2">
      <c r="A214" s="5" t="s">
        <v>13</v>
      </c>
      <c r="B214" s="6" t="s">
        <v>14</v>
      </c>
      <c r="C214" s="7" t="s">
        <v>329</v>
      </c>
      <c r="D214" s="8">
        <v>-1.2038884000000001</v>
      </c>
      <c r="E214" s="8">
        <v>-2.4480936</v>
      </c>
      <c r="F214" s="7"/>
      <c r="G214" s="7" t="str">
        <f t="shared" si="0"/>
        <v>Direct</v>
      </c>
      <c r="H214" s="7" t="s">
        <v>16</v>
      </c>
    </row>
    <row r="215" spans="1:8" x14ac:dyDescent="0.2">
      <c r="A215" s="5" t="s">
        <v>13</v>
      </c>
      <c r="B215" s="6" t="s">
        <v>14</v>
      </c>
      <c r="C215" s="7" t="s">
        <v>330</v>
      </c>
      <c r="D215" s="8">
        <v>-1.261706</v>
      </c>
      <c r="E215" s="8">
        <v>-2.3958917</v>
      </c>
      <c r="F215" s="7"/>
      <c r="G215" s="7" t="str">
        <f t="shared" si="0"/>
        <v>Direct</v>
      </c>
      <c r="H215" s="7" t="s">
        <v>331</v>
      </c>
    </row>
    <row r="216" spans="1:8" x14ac:dyDescent="0.2">
      <c r="A216" s="5" t="s">
        <v>13</v>
      </c>
      <c r="B216" s="6" t="s">
        <v>14</v>
      </c>
      <c r="C216" s="7" t="s">
        <v>332</v>
      </c>
      <c r="D216" s="8">
        <v>-1.2268368999999999</v>
      </c>
      <c r="E216" s="8">
        <v>-1.1423521999999999</v>
      </c>
      <c r="F216" s="7"/>
      <c r="G216" s="7" t="str">
        <f t="shared" si="0"/>
        <v>Direct</v>
      </c>
      <c r="H216" s="7" t="s">
        <v>333</v>
      </c>
    </row>
    <row r="217" spans="1:8" x14ac:dyDescent="0.2">
      <c r="A217" s="5" t="s">
        <v>13</v>
      </c>
      <c r="B217" s="6" t="s">
        <v>14</v>
      </c>
      <c r="C217" s="7" t="s">
        <v>334</v>
      </c>
      <c r="D217" s="8">
        <v>2.3233525500000001</v>
      </c>
      <c r="E217" s="8">
        <v>-1.7205128000000001</v>
      </c>
      <c r="F217" s="7"/>
      <c r="G217" s="7" t="str">
        <f t="shared" si="0"/>
        <v>Inverse</v>
      </c>
      <c r="H217" s="7" t="s">
        <v>335</v>
      </c>
    </row>
    <row r="218" spans="1:8" x14ac:dyDescent="0.2">
      <c r="A218" s="5" t="s">
        <v>13</v>
      </c>
      <c r="B218" s="6" t="s">
        <v>14</v>
      </c>
      <c r="C218" s="7" t="s">
        <v>336</v>
      </c>
      <c r="D218" s="8">
        <v>-1.6657090999999999</v>
      </c>
      <c r="E218" s="8">
        <v>-1.6644481</v>
      </c>
      <c r="F218" s="7"/>
      <c r="G218" s="7" t="str">
        <f t="shared" si="0"/>
        <v>Direct</v>
      </c>
      <c r="H218" s="7" t="s">
        <v>337</v>
      </c>
    </row>
    <row r="219" spans="1:8" x14ac:dyDescent="0.2">
      <c r="A219" s="5" t="s">
        <v>13</v>
      </c>
      <c r="B219" s="6" t="s">
        <v>14</v>
      </c>
      <c r="C219" s="7" t="s">
        <v>338</v>
      </c>
      <c r="D219" s="8">
        <v>2.0868259199999999</v>
      </c>
      <c r="E219" s="8">
        <v>-12.018731000000001</v>
      </c>
      <c r="F219" s="7"/>
      <c r="G219" s="7" t="str">
        <f t="shared" si="0"/>
        <v>Inverse</v>
      </c>
      <c r="H219" s="7" t="s">
        <v>16</v>
      </c>
    </row>
    <row r="220" spans="1:8" x14ac:dyDescent="0.2">
      <c r="A220" s="5" t="s">
        <v>13</v>
      </c>
      <c r="B220" s="6" t="s">
        <v>14</v>
      </c>
      <c r="C220" s="7" t="s">
        <v>339</v>
      </c>
      <c r="D220" s="8">
        <v>-1.2446740000000001</v>
      </c>
      <c r="E220" s="8">
        <v>-1.0211676000000001</v>
      </c>
      <c r="F220" s="7"/>
      <c r="G220" s="7" t="str">
        <f t="shared" si="0"/>
        <v>Direct</v>
      </c>
      <c r="H220" s="7" t="s">
        <v>340</v>
      </c>
    </row>
    <row r="221" spans="1:8" x14ac:dyDescent="0.2">
      <c r="A221" s="5" t="s">
        <v>13</v>
      </c>
      <c r="B221" s="6" t="s">
        <v>14</v>
      </c>
      <c r="C221" s="7" t="s">
        <v>341</v>
      </c>
      <c r="D221" s="8">
        <v>-1.4103763</v>
      </c>
      <c r="E221" s="8">
        <v>-9.0251944000000002</v>
      </c>
      <c r="F221" s="7"/>
      <c r="G221" s="7" t="str">
        <f t="shared" si="0"/>
        <v>Direct</v>
      </c>
      <c r="H221" s="7" t="s">
        <v>16</v>
      </c>
    </row>
    <row r="222" spans="1:8" x14ac:dyDescent="0.2">
      <c r="A222" s="5" t="s">
        <v>13</v>
      </c>
      <c r="B222" s="6" t="s">
        <v>14</v>
      </c>
      <c r="C222" s="7" t="s">
        <v>342</v>
      </c>
      <c r="D222" s="8">
        <v>-1.0553081</v>
      </c>
      <c r="E222" s="8">
        <v>-3.6193578</v>
      </c>
      <c r="F222" s="7"/>
      <c r="G222" s="7" t="str">
        <f t="shared" si="0"/>
        <v>Direct</v>
      </c>
      <c r="H222" s="7" t="s">
        <v>343</v>
      </c>
    </row>
    <row r="223" spans="1:8" x14ac:dyDescent="0.2">
      <c r="A223" s="5" t="s">
        <v>13</v>
      </c>
      <c r="B223" s="6" t="s">
        <v>14</v>
      </c>
      <c r="C223" s="7" t="s">
        <v>344</v>
      </c>
      <c r="D223" s="8">
        <v>-1.0260505</v>
      </c>
      <c r="E223" s="8">
        <v>-4.8668725000000004</v>
      </c>
      <c r="F223" s="7"/>
      <c r="G223" s="7" t="str">
        <f t="shared" si="0"/>
        <v>Direct</v>
      </c>
      <c r="H223" s="7" t="s">
        <v>345</v>
      </c>
    </row>
    <row r="224" spans="1:8" x14ac:dyDescent="0.2">
      <c r="A224" s="5" t="s">
        <v>13</v>
      </c>
      <c r="B224" s="6" t="s">
        <v>14</v>
      </c>
      <c r="C224" s="7" t="s">
        <v>346</v>
      </c>
      <c r="D224" s="8">
        <v>-1.3132554000000001</v>
      </c>
      <c r="E224" s="8">
        <v>-2.7816141000000001</v>
      </c>
      <c r="F224" s="7"/>
      <c r="G224" s="7" t="str">
        <f t="shared" si="0"/>
        <v>Direct</v>
      </c>
      <c r="H224" s="7" t="s">
        <v>16</v>
      </c>
    </row>
    <row r="225" spans="1:8" x14ac:dyDescent="0.2">
      <c r="A225" s="5" t="s">
        <v>13</v>
      </c>
      <c r="B225" s="6" t="s">
        <v>14</v>
      </c>
      <c r="C225" s="7" t="s">
        <v>347</v>
      </c>
      <c r="D225" s="8">
        <v>-1.2738265</v>
      </c>
      <c r="E225" s="8">
        <v>1.5905403899999999</v>
      </c>
      <c r="F225" s="7"/>
      <c r="G225" s="7" t="str">
        <f t="shared" si="0"/>
        <v>Inverse</v>
      </c>
      <c r="H225" s="7" t="s">
        <v>16</v>
      </c>
    </row>
    <row r="226" spans="1:8" x14ac:dyDescent="0.2">
      <c r="A226" s="5" t="s">
        <v>13</v>
      </c>
      <c r="B226" s="6" t="s">
        <v>14</v>
      </c>
      <c r="C226" s="7" t="s">
        <v>348</v>
      </c>
      <c r="D226" s="8">
        <v>-1.4115255</v>
      </c>
      <c r="E226" s="8">
        <v>-1.5198434000000001</v>
      </c>
      <c r="F226" s="7"/>
      <c r="G226" s="7" t="str">
        <f t="shared" si="0"/>
        <v>Direct</v>
      </c>
      <c r="H226" s="7" t="s">
        <v>349</v>
      </c>
    </row>
    <row r="227" spans="1:8" x14ac:dyDescent="0.2">
      <c r="A227" s="5" t="s">
        <v>13</v>
      </c>
      <c r="B227" s="6" t="s">
        <v>14</v>
      </c>
      <c r="C227" s="7" t="s">
        <v>350</v>
      </c>
      <c r="D227" s="8">
        <v>-1.6859761</v>
      </c>
      <c r="E227" s="8">
        <v>-1.383669</v>
      </c>
      <c r="F227" s="7"/>
      <c r="G227" s="7" t="str">
        <f t="shared" si="0"/>
        <v>Direct</v>
      </c>
      <c r="H227" s="7" t="s">
        <v>351</v>
      </c>
    </row>
    <row r="228" spans="1:8" x14ac:dyDescent="0.2">
      <c r="A228" s="5" t="s">
        <v>13</v>
      </c>
      <c r="B228" s="6" t="s">
        <v>14</v>
      </c>
      <c r="C228" s="7" t="s">
        <v>352</v>
      </c>
      <c r="D228" s="8">
        <v>-8.9395906000000007</v>
      </c>
      <c r="E228" s="8">
        <v>-1.0281020000000001</v>
      </c>
      <c r="F228" s="7"/>
      <c r="G228" s="7" t="str">
        <f t="shared" si="0"/>
        <v>Direct</v>
      </c>
      <c r="H228" s="7" t="s">
        <v>16</v>
      </c>
    </row>
    <row r="229" spans="1:8" x14ac:dyDescent="0.2">
      <c r="A229" s="5" t="s">
        <v>13</v>
      </c>
      <c r="B229" s="6" t="s">
        <v>14</v>
      </c>
      <c r="C229" s="7" t="s">
        <v>353</v>
      </c>
      <c r="D229" s="8">
        <v>1.7016554100000001</v>
      </c>
      <c r="E229" s="8">
        <v>5.85963748</v>
      </c>
      <c r="F229" s="7"/>
      <c r="G229" s="7" t="str">
        <f t="shared" si="0"/>
        <v>Direct</v>
      </c>
      <c r="H229" s="7" t="s">
        <v>287</v>
      </c>
    </row>
    <row r="230" spans="1:8" x14ac:dyDescent="0.2">
      <c r="A230" s="5" t="s">
        <v>13</v>
      </c>
      <c r="B230" s="6" t="s">
        <v>14</v>
      </c>
      <c r="C230" s="7" t="s">
        <v>354</v>
      </c>
      <c r="D230" s="8">
        <v>1.05475911</v>
      </c>
      <c r="E230" s="8">
        <v>-8.5878376000000003</v>
      </c>
      <c r="F230" s="7"/>
      <c r="G230" s="7" t="str">
        <f t="shared" si="0"/>
        <v>Inverse</v>
      </c>
      <c r="H230" s="7" t="s">
        <v>16</v>
      </c>
    </row>
    <row r="231" spans="1:8" x14ac:dyDescent="0.2">
      <c r="A231" s="5" t="s">
        <v>13</v>
      </c>
      <c r="B231" s="6" t="s">
        <v>14</v>
      </c>
      <c r="C231" s="7" t="s">
        <v>355</v>
      </c>
      <c r="D231" s="8">
        <v>-1.0963083</v>
      </c>
      <c r="E231" s="8">
        <v>-3.1724800000000002</v>
      </c>
      <c r="F231" s="7"/>
      <c r="G231" s="7" t="str">
        <f t="shared" si="0"/>
        <v>Direct</v>
      </c>
      <c r="H231" s="7" t="s">
        <v>16</v>
      </c>
    </row>
    <row r="232" spans="1:8" x14ac:dyDescent="0.2">
      <c r="A232" s="5" t="s">
        <v>13</v>
      </c>
      <c r="B232" s="6" t="s">
        <v>14</v>
      </c>
      <c r="C232" s="7" t="s">
        <v>356</v>
      </c>
      <c r="D232" s="8">
        <v>-1.0819369999999999</v>
      </c>
      <c r="E232" s="8">
        <v>-1.1027815000000001</v>
      </c>
      <c r="F232" s="7"/>
      <c r="G232" s="7" t="str">
        <f t="shared" si="0"/>
        <v>Direct</v>
      </c>
      <c r="H232" s="7" t="s">
        <v>357</v>
      </c>
    </row>
    <row r="233" spans="1:8" x14ac:dyDescent="0.2">
      <c r="A233" s="5" t="s">
        <v>13</v>
      </c>
      <c r="B233" s="6" t="s">
        <v>14</v>
      </c>
      <c r="C233" s="7" t="s">
        <v>358</v>
      </c>
      <c r="D233" s="8">
        <v>1.30743933</v>
      </c>
      <c r="E233" s="8">
        <v>-1.0408293</v>
      </c>
      <c r="F233" s="7"/>
      <c r="G233" s="7" t="str">
        <f t="shared" si="0"/>
        <v>Inverse</v>
      </c>
      <c r="H233" s="7" t="s">
        <v>16</v>
      </c>
    </row>
    <row r="234" spans="1:8" x14ac:dyDescent="0.2">
      <c r="A234" s="5" t="s">
        <v>13</v>
      </c>
      <c r="B234" s="6" t="s">
        <v>14</v>
      </c>
      <c r="C234" s="7" t="s">
        <v>359</v>
      </c>
      <c r="D234" s="8">
        <v>1.0334759</v>
      </c>
      <c r="E234" s="8">
        <v>-3.8404848</v>
      </c>
      <c r="F234" s="7"/>
      <c r="G234" s="7" t="str">
        <f t="shared" si="0"/>
        <v>Inverse</v>
      </c>
      <c r="H234" s="7" t="s">
        <v>16</v>
      </c>
    </row>
    <row r="235" spans="1:8" x14ac:dyDescent="0.2">
      <c r="A235" s="5" t="s">
        <v>13</v>
      </c>
      <c r="B235" s="6" t="s">
        <v>14</v>
      </c>
      <c r="C235" s="7" t="s">
        <v>360</v>
      </c>
      <c r="D235" s="8">
        <v>1.56512082</v>
      </c>
      <c r="E235" s="8">
        <v>-1.3295524999999999</v>
      </c>
      <c r="F235" s="7"/>
      <c r="G235" s="7" t="str">
        <f t="shared" si="0"/>
        <v>Inverse</v>
      </c>
      <c r="H235" s="7" t="s">
        <v>16</v>
      </c>
    </row>
    <row r="236" spans="1:8" x14ac:dyDescent="0.2">
      <c r="A236" s="5" t="s">
        <v>13</v>
      </c>
      <c r="B236" s="6" t="s">
        <v>14</v>
      </c>
      <c r="C236" s="7" t="s">
        <v>361</v>
      </c>
      <c r="D236" s="8">
        <v>2.0906941099999998</v>
      </c>
      <c r="E236" s="8">
        <v>-2.0930518999999999</v>
      </c>
      <c r="F236" s="7"/>
      <c r="G236" s="7" t="str">
        <f t="shared" si="0"/>
        <v>Inverse</v>
      </c>
      <c r="H236" s="7" t="s">
        <v>16</v>
      </c>
    </row>
    <row r="237" spans="1:8" x14ac:dyDescent="0.2">
      <c r="A237" s="5" t="s">
        <v>13</v>
      </c>
      <c r="B237" s="6" t="s">
        <v>14</v>
      </c>
      <c r="C237" s="7" t="s">
        <v>362</v>
      </c>
      <c r="D237" s="8">
        <v>2.3260250500000001</v>
      </c>
      <c r="E237" s="8">
        <v>-12.761623</v>
      </c>
      <c r="F237" s="7"/>
      <c r="G237" s="7" t="str">
        <f t="shared" si="0"/>
        <v>Inverse</v>
      </c>
      <c r="H237" s="7" t="s">
        <v>16</v>
      </c>
    </row>
    <row r="238" spans="1:8" x14ac:dyDescent="0.2">
      <c r="A238" s="5" t="s">
        <v>13</v>
      </c>
      <c r="B238" s="6" t="s">
        <v>14</v>
      </c>
      <c r="C238" s="7" t="s">
        <v>363</v>
      </c>
      <c r="D238" s="8">
        <v>2.2304948599999999</v>
      </c>
      <c r="E238" s="8">
        <v>-7.0006687000000003</v>
      </c>
      <c r="F238" s="7"/>
      <c r="G238" s="7" t="str">
        <f t="shared" si="0"/>
        <v>Inverse</v>
      </c>
      <c r="H238" s="7" t="s">
        <v>16</v>
      </c>
    </row>
    <row r="239" spans="1:8" x14ac:dyDescent="0.2">
      <c r="A239" s="5" t="s">
        <v>13</v>
      </c>
      <c r="B239" s="6" t="s">
        <v>14</v>
      </c>
      <c r="C239" s="7" t="s">
        <v>364</v>
      </c>
      <c r="D239" s="8">
        <v>-1.2721085000000001</v>
      </c>
      <c r="E239" s="8">
        <v>-2.7684432000000001</v>
      </c>
      <c r="F239" s="7"/>
      <c r="G239" s="7" t="str">
        <f t="shared" si="0"/>
        <v>Direct</v>
      </c>
      <c r="H239" s="7" t="s">
        <v>365</v>
      </c>
    </row>
    <row r="240" spans="1:8" x14ac:dyDescent="0.2">
      <c r="A240" s="5" t="s">
        <v>13</v>
      </c>
      <c r="B240" s="6" t="s">
        <v>14</v>
      </c>
      <c r="C240" s="7" t="s">
        <v>366</v>
      </c>
      <c r="D240" s="8">
        <v>-2.1669892000000002</v>
      </c>
      <c r="E240" s="8">
        <v>-2.8226849999999999</v>
      </c>
      <c r="F240" s="7"/>
      <c r="G240" s="7" t="str">
        <f t="shared" si="0"/>
        <v>Direct</v>
      </c>
      <c r="H240" s="7" t="s">
        <v>16</v>
      </c>
    </row>
    <row r="241" spans="1:8" x14ac:dyDescent="0.2">
      <c r="A241" s="5" t="s">
        <v>13</v>
      </c>
      <c r="B241" s="6" t="s">
        <v>14</v>
      </c>
      <c r="C241" s="7" t="s">
        <v>367</v>
      </c>
      <c r="D241" s="8">
        <v>-2.6871710000000002</v>
      </c>
      <c r="E241" s="8">
        <v>-1.3698824000000001</v>
      </c>
      <c r="F241" s="7"/>
      <c r="G241" s="7" t="str">
        <f t="shared" si="0"/>
        <v>Direct</v>
      </c>
      <c r="H241" s="7" t="s">
        <v>16</v>
      </c>
    </row>
    <row r="242" spans="1:8" x14ac:dyDescent="0.2">
      <c r="A242" s="5" t="s">
        <v>13</v>
      </c>
      <c r="B242" s="6" t="s">
        <v>14</v>
      </c>
      <c r="C242" s="7" t="s">
        <v>368</v>
      </c>
      <c r="D242" s="8">
        <v>1.6866862499999999</v>
      </c>
      <c r="E242" s="8">
        <v>-19.711349999999999</v>
      </c>
      <c r="F242" s="7"/>
      <c r="G242" s="7" t="str">
        <f t="shared" si="0"/>
        <v>Inverse</v>
      </c>
      <c r="H242" s="7" t="s">
        <v>16</v>
      </c>
    </row>
    <row r="243" spans="1:8" x14ac:dyDescent="0.2">
      <c r="A243" s="5" t="s">
        <v>13</v>
      </c>
      <c r="B243" s="6" t="s">
        <v>14</v>
      </c>
      <c r="C243" s="7" t="s">
        <v>369</v>
      </c>
      <c r="D243" s="8">
        <v>1.68597606</v>
      </c>
      <c r="E243" s="8">
        <v>-6.8078526000000004</v>
      </c>
      <c r="F243" s="7"/>
      <c r="G243" s="7" t="str">
        <f t="shared" si="0"/>
        <v>Inverse</v>
      </c>
      <c r="H243" s="7" t="s">
        <v>16</v>
      </c>
    </row>
    <row r="244" spans="1:8" x14ac:dyDescent="0.2">
      <c r="A244" s="5" t="s">
        <v>13</v>
      </c>
      <c r="B244" s="6" t="s">
        <v>14</v>
      </c>
      <c r="C244" s="7" t="s">
        <v>370</v>
      </c>
      <c r="D244" s="8">
        <v>2.50532127</v>
      </c>
      <c r="E244" s="8">
        <v>-9.9175359000000007</v>
      </c>
      <c r="F244" s="7"/>
      <c r="G244" s="7" t="str">
        <f t="shared" si="0"/>
        <v>Inverse</v>
      </c>
      <c r="H244" s="7" t="s">
        <v>16</v>
      </c>
    </row>
    <row r="245" spans="1:8" x14ac:dyDescent="0.2">
      <c r="A245" s="5" t="s">
        <v>13</v>
      </c>
      <c r="B245" s="6" t="s">
        <v>14</v>
      </c>
      <c r="C245" s="7" t="s">
        <v>371</v>
      </c>
      <c r="D245" s="8">
        <v>1.89621431</v>
      </c>
      <c r="E245" s="8">
        <v>-5.7703731999999999</v>
      </c>
      <c r="F245" s="7"/>
      <c r="G245" s="7" t="str">
        <f t="shared" si="0"/>
        <v>Inverse</v>
      </c>
      <c r="H245" s="7" t="s">
        <v>16</v>
      </c>
    </row>
    <row r="246" spans="1:8" x14ac:dyDescent="0.2">
      <c r="A246" s="5" t="s">
        <v>13</v>
      </c>
      <c r="B246" s="6" t="s">
        <v>14</v>
      </c>
      <c r="C246" s="7" t="s">
        <v>372</v>
      </c>
      <c r="D246" s="8">
        <v>1.460553</v>
      </c>
      <c r="E246" s="8">
        <v>-12.079803999999999</v>
      </c>
      <c r="F246" s="7"/>
      <c r="G246" s="7" t="str">
        <f t="shared" si="0"/>
        <v>Inverse</v>
      </c>
      <c r="H246" s="7" t="s">
        <v>16</v>
      </c>
    </row>
    <row r="247" spans="1:8" x14ac:dyDescent="0.2">
      <c r="A247" s="5" t="s">
        <v>13</v>
      </c>
      <c r="B247" s="6" t="s">
        <v>14</v>
      </c>
      <c r="C247" s="7" t="s">
        <v>373</v>
      </c>
      <c r="D247" s="8">
        <v>1.34978854</v>
      </c>
      <c r="E247" s="8">
        <v>-10.234959999999999</v>
      </c>
      <c r="F247" s="7"/>
      <c r="G247" s="7" t="str">
        <f t="shared" si="0"/>
        <v>Inverse</v>
      </c>
      <c r="H247" s="7" t="s">
        <v>16</v>
      </c>
    </row>
    <row r="248" spans="1:8" x14ac:dyDescent="0.2">
      <c r="A248" s="5" t="s">
        <v>13</v>
      </c>
      <c r="B248" s="6" t="s">
        <v>14</v>
      </c>
      <c r="C248" s="7" t="s">
        <v>374</v>
      </c>
      <c r="D248" s="8">
        <v>-1.2747702000000001</v>
      </c>
      <c r="E248" s="8">
        <v>-1.6543595</v>
      </c>
      <c r="F248" s="7"/>
      <c r="G248" s="7" t="str">
        <f t="shared" si="0"/>
        <v>Direct</v>
      </c>
      <c r="H248" s="7" t="s">
        <v>375</v>
      </c>
    </row>
    <row r="249" spans="1:8" x14ac:dyDescent="0.2">
      <c r="A249" s="5" t="s">
        <v>13</v>
      </c>
      <c r="B249" s="6" t="s">
        <v>14</v>
      </c>
      <c r="C249" s="7" t="s">
        <v>376</v>
      </c>
      <c r="D249" s="8">
        <v>3.55370951</v>
      </c>
      <c r="E249" s="8">
        <v>5.4926876299999998</v>
      </c>
      <c r="F249" s="7"/>
      <c r="G249" s="7" t="str">
        <f t="shared" si="0"/>
        <v>Direct</v>
      </c>
      <c r="H249" s="7" t="s">
        <v>377</v>
      </c>
    </row>
    <row r="250" spans="1:8" x14ac:dyDescent="0.2">
      <c r="A250" s="5" t="s">
        <v>13</v>
      </c>
      <c r="B250" s="6" t="s">
        <v>14</v>
      </c>
      <c r="C250" s="7" t="s">
        <v>378</v>
      </c>
      <c r="D250" s="8">
        <v>-1.8305925999999999</v>
      </c>
      <c r="E250" s="8">
        <v>-2.8536402000000001</v>
      </c>
      <c r="F250" s="7"/>
      <c r="G250" s="7" t="str">
        <f t="shared" si="0"/>
        <v>Direct</v>
      </c>
      <c r="H250" s="7" t="s">
        <v>379</v>
      </c>
    </row>
    <row r="251" spans="1:8" x14ac:dyDescent="0.2">
      <c r="A251" s="5" t="s">
        <v>13</v>
      </c>
      <c r="B251" s="6" t="s">
        <v>14</v>
      </c>
      <c r="C251" s="7" t="s">
        <v>380</v>
      </c>
      <c r="D251" s="8">
        <v>-2.7611254999999999</v>
      </c>
      <c r="E251" s="8">
        <v>-2.0045744000000001</v>
      </c>
      <c r="F251" s="7"/>
      <c r="G251" s="7" t="str">
        <f t="shared" si="0"/>
        <v>Direct</v>
      </c>
      <c r="H251" s="7" t="s">
        <v>381</v>
      </c>
    </row>
    <row r="252" spans="1:8" x14ac:dyDescent="0.2">
      <c r="A252" s="5" t="s">
        <v>13</v>
      </c>
      <c r="B252" s="6" t="s">
        <v>14</v>
      </c>
      <c r="C252" s="7" t="s">
        <v>382</v>
      </c>
      <c r="D252" s="8">
        <v>-1.5440096000000001</v>
      </c>
      <c r="E252" s="8">
        <v>-1.273971</v>
      </c>
      <c r="F252" s="7"/>
      <c r="G252" s="7" t="str">
        <f t="shared" si="0"/>
        <v>Direct</v>
      </c>
      <c r="H252" s="7" t="s">
        <v>383</v>
      </c>
    </row>
    <row r="253" spans="1:8" x14ac:dyDescent="0.2">
      <c r="A253" s="5" t="s">
        <v>13</v>
      </c>
      <c r="B253" s="6" t="s">
        <v>14</v>
      </c>
      <c r="C253" s="7" t="s">
        <v>384</v>
      </c>
      <c r="D253" s="8">
        <v>1.60355683</v>
      </c>
      <c r="E253" s="8">
        <v>-9.6895836000000006</v>
      </c>
      <c r="F253" s="7"/>
      <c r="G253" s="7" t="str">
        <f t="shared" si="0"/>
        <v>Inverse</v>
      </c>
      <c r="H253" s="7" t="s">
        <v>16</v>
      </c>
    </row>
    <row r="254" spans="1:8" x14ac:dyDescent="0.2">
      <c r="A254" s="5" t="s">
        <v>13</v>
      </c>
      <c r="B254" s="6" t="s">
        <v>14</v>
      </c>
      <c r="C254" s="7" t="s">
        <v>385</v>
      </c>
      <c r="D254" s="8">
        <v>1.7727359</v>
      </c>
      <c r="E254" s="8">
        <v>-9.9196059000000005</v>
      </c>
      <c r="F254" s="7"/>
      <c r="G254" s="7" t="str">
        <f t="shared" si="0"/>
        <v>Inverse</v>
      </c>
      <c r="H254" s="7" t="s">
        <v>16</v>
      </c>
    </row>
    <row r="255" spans="1:8" x14ac:dyDescent="0.2">
      <c r="A255" s="5" t="s">
        <v>13</v>
      </c>
      <c r="B255" s="6" t="s">
        <v>14</v>
      </c>
      <c r="C255" s="7" t="s">
        <v>386</v>
      </c>
      <c r="D255" s="8">
        <v>2.04182511</v>
      </c>
      <c r="E255" s="8">
        <v>-14.971496</v>
      </c>
      <c r="F255" s="7"/>
      <c r="G255" s="7" t="str">
        <f t="shared" si="0"/>
        <v>Inverse</v>
      </c>
      <c r="H255" s="7" t="s">
        <v>16</v>
      </c>
    </row>
    <row r="256" spans="1:8" x14ac:dyDescent="0.2">
      <c r="A256" s="5" t="s">
        <v>13</v>
      </c>
      <c r="B256" s="6" t="s">
        <v>14</v>
      </c>
      <c r="C256" s="7" t="s">
        <v>387</v>
      </c>
      <c r="D256" s="8">
        <v>1.13565217</v>
      </c>
      <c r="E256" s="8">
        <v>1.26224537</v>
      </c>
      <c r="F256" s="7"/>
      <c r="G256" s="7" t="str">
        <f t="shared" si="0"/>
        <v>Direct</v>
      </c>
      <c r="H256" s="7" t="s">
        <v>16</v>
      </c>
    </row>
    <row r="257" spans="1:8" x14ac:dyDescent="0.2">
      <c r="A257" s="5" t="s">
        <v>13</v>
      </c>
      <c r="B257" s="6" t="s">
        <v>14</v>
      </c>
      <c r="C257" s="7" t="s">
        <v>388</v>
      </c>
      <c r="D257" s="8">
        <v>2.2288473400000002</v>
      </c>
      <c r="E257" s="8">
        <v>-2.0024316999999998</v>
      </c>
      <c r="F257" s="7"/>
      <c r="G257" s="7" t="str">
        <f t="shared" ref="G257:G492" si="7">IF(OR(AND(D257&gt;0,E257&gt;0),AND(D257&lt;0,E257&lt;0)),"Direct","Inverse")</f>
        <v>Inverse</v>
      </c>
      <c r="H257" s="7" t="s">
        <v>16</v>
      </c>
    </row>
    <row r="258" spans="1:8" x14ac:dyDescent="0.2">
      <c r="A258" s="5" t="s">
        <v>13</v>
      </c>
      <c r="B258" s="6" t="s">
        <v>14</v>
      </c>
      <c r="C258" s="7" t="s">
        <v>389</v>
      </c>
      <c r="D258" s="8">
        <v>1.4495057899999999</v>
      </c>
      <c r="E258" s="8">
        <v>-1.0227808</v>
      </c>
      <c r="F258" s="7"/>
      <c r="G258" s="7" t="str">
        <f t="shared" si="7"/>
        <v>Inverse</v>
      </c>
      <c r="H258" s="7" t="s">
        <v>16</v>
      </c>
    </row>
    <row r="259" spans="1:8" x14ac:dyDescent="0.2">
      <c r="A259" s="5" t="s">
        <v>13</v>
      </c>
      <c r="B259" s="6" t="s">
        <v>14</v>
      </c>
      <c r="C259" s="7" t="s">
        <v>390</v>
      </c>
      <c r="D259" s="8">
        <v>1.28671359</v>
      </c>
      <c r="E259" s="8">
        <v>-18.67127</v>
      </c>
      <c r="F259" s="7"/>
      <c r="G259" s="7" t="str">
        <f t="shared" si="7"/>
        <v>Inverse</v>
      </c>
      <c r="H259" s="7" t="s">
        <v>16</v>
      </c>
    </row>
    <row r="260" spans="1:8" x14ac:dyDescent="0.2">
      <c r="A260" s="5" t="s">
        <v>13</v>
      </c>
      <c r="B260" s="6" t="s">
        <v>14</v>
      </c>
      <c r="C260" s="7" t="s">
        <v>391</v>
      </c>
      <c r="D260" s="8">
        <v>1.1842556099999999</v>
      </c>
      <c r="E260" s="8">
        <v>-19.400207000000002</v>
      </c>
      <c r="F260" s="7"/>
      <c r="G260" s="7" t="str">
        <f t="shared" si="7"/>
        <v>Inverse</v>
      </c>
      <c r="H260" s="7" t="s">
        <v>16</v>
      </c>
    </row>
    <row r="261" spans="1:8" x14ac:dyDescent="0.2">
      <c r="A261" s="5" t="s">
        <v>13</v>
      </c>
      <c r="B261" s="6" t="s">
        <v>14</v>
      </c>
      <c r="C261" s="7" t="s">
        <v>392</v>
      </c>
      <c r="D261" s="8">
        <v>1.3649359299999999</v>
      </c>
      <c r="E261" s="8">
        <v>-14.971496</v>
      </c>
      <c r="F261" s="7"/>
      <c r="G261" s="7" t="str">
        <f t="shared" si="7"/>
        <v>Inverse</v>
      </c>
      <c r="H261" s="7" t="s">
        <v>16</v>
      </c>
    </row>
    <row r="262" spans="1:8" x14ac:dyDescent="0.2">
      <c r="A262" s="5" t="s">
        <v>13</v>
      </c>
      <c r="B262" s="6" t="s">
        <v>14</v>
      </c>
      <c r="C262" s="7" t="s">
        <v>393</v>
      </c>
      <c r="D262" s="8">
        <v>1.34978854</v>
      </c>
      <c r="E262" s="8">
        <v>-20.502794000000002</v>
      </c>
      <c r="F262" s="7"/>
      <c r="G262" s="7" t="str">
        <f t="shared" si="7"/>
        <v>Inverse</v>
      </c>
      <c r="H262" s="7" t="s">
        <v>16</v>
      </c>
    </row>
    <row r="263" spans="1:8" x14ac:dyDescent="0.2">
      <c r="A263" s="5" t="s">
        <v>13</v>
      </c>
      <c r="B263" s="6" t="s">
        <v>14</v>
      </c>
      <c r="C263" s="7" t="s">
        <v>394</v>
      </c>
      <c r="D263" s="8">
        <v>1.31759816</v>
      </c>
      <c r="E263" s="8">
        <v>-13.907304999999999</v>
      </c>
      <c r="F263" s="7"/>
      <c r="G263" s="7" t="str">
        <f t="shared" si="7"/>
        <v>Inverse</v>
      </c>
      <c r="H263" s="7" t="s">
        <v>395</v>
      </c>
    </row>
    <row r="264" spans="1:8" x14ac:dyDescent="0.2">
      <c r="A264" s="5" t="s">
        <v>13</v>
      </c>
      <c r="B264" s="6" t="s">
        <v>14</v>
      </c>
      <c r="C264" s="7" t="s">
        <v>396</v>
      </c>
      <c r="D264" s="8">
        <v>1.2412964099999999</v>
      </c>
      <c r="E264" s="8">
        <v>1.2428602900000001</v>
      </c>
      <c r="F264" s="7"/>
      <c r="G264" s="7" t="str">
        <f t="shared" si="7"/>
        <v>Direct</v>
      </c>
      <c r="H264" s="7" t="s">
        <v>397</v>
      </c>
    </row>
    <row r="265" spans="1:8" x14ac:dyDescent="0.2">
      <c r="A265" s="5" t="s">
        <v>13</v>
      </c>
      <c r="B265" s="6" t="s">
        <v>14</v>
      </c>
      <c r="C265" s="7" t="s">
        <v>398</v>
      </c>
      <c r="D265" s="8">
        <v>-1.696089</v>
      </c>
      <c r="E265" s="8">
        <v>-2.6374094000000001</v>
      </c>
      <c r="F265" s="7"/>
      <c r="G265" s="7" t="str">
        <f t="shared" si="7"/>
        <v>Direct</v>
      </c>
      <c r="H265" s="7" t="s">
        <v>399</v>
      </c>
    </row>
    <row r="266" spans="1:8" x14ac:dyDescent="0.2">
      <c r="A266" s="5" t="s">
        <v>13</v>
      </c>
      <c r="B266" s="6" t="s">
        <v>14</v>
      </c>
      <c r="C266" s="7" t="s">
        <v>400</v>
      </c>
      <c r="D266" s="8">
        <v>-2.2020441000000002</v>
      </c>
      <c r="E266" s="8">
        <v>-3.1737582</v>
      </c>
      <c r="F266" s="7"/>
      <c r="G266" s="7" t="str">
        <f t="shared" si="7"/>
        <v>Direct</v>
      </c>
      <c r="H266" s="7" t="s">
        <v>401</v>
      </c>
    </row>
    <row r="267" spans="1:8" x14ac:dyDescent="0.2">
      <c r="A267" s="5" t="s">
        <v>13</v>
      </c>
      <c r="B267" s="6" t="s">
        <v>14</v>
      </c>
      <c r="C267" s="7" t="s">
        <v>402</v>
      </c>
      <c r="D267" s="8">
        <v>1.89395319</v>
      </c>
      <c r="E267" s="8">
        <v>1.69903114</v>
      </c>
      <c r="F267" s="7"/>
      <c r="G267" s="7" t="str">
        <f t="shared" si="7"/>
        <v>Direct</v>
      </c>
      <c r="H267" s="7" t="s">
        <v>403</v>
      </c>
    </row>
    <row r="268" spans="1:8" x14ac:dyDescent="0.2">
      <c r="A268" s="5" t="s">
        <v>13</v>
      </c>
      <c r="B268" s="6" t="s">
        <v>14</v>
      </c>
      <c r="C268" s="7" t="s">
        <v>404</v>
      </c>
      <c r="D268" s="8">
        <v>1.4170627600000001</v>
      </c>
      <c r="E268" s="8">
        <v>1.4927480099999999</v>
      </c>
      <c r="F268" s="7"/>
      <c r="G268" s="7" t="str">
        <f t="shared" si="7"/>
        <v>Direct</v>
      </c>
      <c r="H268" s="7" t="s">
        <v>16</v>
      </c>
    </row>
    <row r="269" spans="1:8" x14ac:dyDescent="0.2">
      <c r="A269" s="5" t="s">
        <v>13</v>
      </c>
      <c r="B269" s="6" t="s">
        <v>14</v>
      </c>
      <c r="C269" s="7" t="s">
        <v>405</v>
      </c>
      <c r="D269" s="8">
        <v>-2.1394112999999999</v>
      </c>
      <c r="E269" s="8">
        <v>-4.1501368000000003</v>
      </c>
      <c r="F269" s="7"/>
      <c r="G269" s="7" t="str">
        <f t="shared" si="7"/>
        <v>Direct</v>
      </c>
      <c r="H269" s="7" t="s">
        <v>16</v>
      </c>
    </row>
    <row r="270" spans="1:8" x14ac:dyDescent="0.2">
      <c r="A270" s="5" t="s">
        <v>13</v>
      </c>
      <c r="B270" s="6" t="s">
        <v>14</v>
      </c>
      <c r="C270" s="7" t="s">
        <v>406</v>
      </c>
      <c r="D270" s="8">
        <v>1.73685858</v>
      </c>
      <c r="E270" s="8">
        <v>4.4038841</v>
      </c>
      <c r="F270" s="7"/>
      <c r="G270" s="7" t="str">
        <f t="shared" si="7"/>
        <v>Direct</v>
      </c>
      <c r="H270" s="7" t="s">
        <v>407</v>
      </c>
    </row>
    <row r="271" spans="1:8" x14ac:dyDescent="0.2">
      <c r="A271" s="5" t="s">
        <v>13</v>
      </c>
      <c r="B271" s="6" t="s">
        <v>14</v>
      </c>
      <c r="C271" s="7" t="s">
        <v>408</v>
      </c>
      <c r="D271" s="8">
        <v>1.7802125099999999</v>
      </c>
      <c r="E271" s="8">
        <v>-7.8358587999999996</v>
      </c>
      <c r="F271" s="7"/>
      <c r="G271" s="7" t="str">
        <f t="shared" si="7"/>
        <v>Inverse</v>
      </c>
      <c r="H271" s="7" t="s">
        <v>16</v>
      </c>
    </row>
    <row r="272" spans="1:8" x14ac:dyDescent="0.2">
      <c r="A272" s="5" t="s">
        <v>13</v>
      </c>
      <c r="B272" s="6" t="s">
        <v>14</v>
      </c>
      <c r="C272" s="7" t="s">
        <v>409</v>
      </c>
      <c r="D272" s="8">
        <v>2.4520469899999999</v>
      </c>
      <c r="E272" s="8">
        <v>3.9137636499999999</v>
      </c>
      <c r="F272" s="7"/>
      <c r="G272" s="7" t="str">
        <f t="shared" si="7"/>
        <v>Direct</v>
      </c>
      <c r="H272" s="7" t="s">
        <v>16</v>
      </c>
    </row>
    <row r="273" spans="1:8" x14ac:dyDescent="0.2">
      <c r="A273" s="5" t="s">
        <v>13</v>
      </c>
      <c r="B273" s="6" t="s">
        <v>14</v>
      </c>
      <c r="C273" s="7" t="s">
        <v>410</v>
      </c>
      <c r="D273" s="8">
        <v>4.2525841900000003</v>
      </c>
      <c r="E273" s="8">
        <v>2.0949398700000001</v>
      </c>
      <c r="F273" s="7"/>
      <c r="G273" s="7" t="str">
        <f t="shared" si="7"/>
        <v>Direct</v>
      </c>
      <c r="H273" s="7" t="s">
        <v>16</v>
      </c>
    </row>
    <row r="274" spans="1:8" x14ac:dyDescent="0.2">
      <c r="A274" s="5" t="s">
        <v>13</v>
      </c>
      <c r="B274" s="6" t="s">
        <v>14</v>
      </c>
      <c r="C274" s="7" t="s">
        <v>411</v>
      </c>
      <c r="D274" s="8">
        <v>-3.2401225</v>
      </c>
      <c r="E274" s="8">
        <v>-1.2592911</v>
      </c>
      <c r="F274" s="7"/>
      <c r="G274" s="7" t="str">
        <f t="shared" si="7"/>
        <v>Direct</v>
      </c>
      <c r="H274" s="7" t="s">
        <v>16</v>
      </c>
    </row>
    <row r="275" spans="1:8" x14ac:dyDescent="0.2">
      <c r="A275" s="5" t="s">
        <v>13</v>
      </c>
      <c r="B275" s="6" t="s">
        <v>14</v>
      </c>
      <c r="C275" s="7" t="s">
        <v>412</v>
      </c>
      <c r="D275" s="8">
        <v>-1.8136269</v>
      </c>
      <c r="E275" s="8">
        <v>-1.7081550000000001</v>
      </c>
      <c r="F275" s="7"/>
      <c r="G275" s="7" t="str">
        <f t="shared" si="7"/>
        <v>Direct</v>
      </c>
      <c r="H275" s="7" t="s">
        <v>413</v>
      </c>
    </row>
    <row r="276" spans="1:8" x14ac:dyDescent="0.2">
      <c r="A276" s="5" t="s">
        <v>13</v>
      </c>
      <c r="B276" s="6" t="s">
        <v>14</v>
      </c>
      <c r="C276" s="7" t="s">
        <v>414</v>
      </c>
      <c r="D276" s="8">
        <v>-1.3613166999999999</v>
      </c>
      <c r="E276" s="8">
        <v>-1.1466117</v>
      </c>
      <c r="F276" s="7"/>
      <c r="G276" s="7" t="str">
        <f t="shared" si="7"/>
        <v>Direct</v>
      </c>
      <c r="H276" s="7" t="s">
        <v>415</v>
      </c>
    </row>
    <row r="277" spans="1:8" x14ac:dyDescent="0.2">
      <c r="A277" s="5" t="s">
        <v>13</v>
      </c>
      <c r="B277" s="6" t="s">
        <v>14</v>
      </c>
      <c r="C277" s="7" t="s">
        <v>416</v>
      </c>
      <c r="D277" s="8">
        <v>-2.7963003999999998</v>
      </c>
      <c r="E277" s="8">
        <v>-1.6849190999999999</v>
      </c>
      <c r="F277" s="7"/>
      <c r="G277" s="7" t="str">
        <f t="shared" si="7"/>
        <v>Direct</v>
      </c>
      <c r="H277" s="7" t="s">
        <v>417</v>
      </c>
    </row>
    <row r="278" spans="1:8" x14ac:dyDescent="0.2">
      <c r="A278" s="5" t="s">
        <v>13</v>
      </c>
      <c r="B278" s="6" t="s">
        <v>14</v>
      </c>
      <c r="C278" s="7" t="s">
        <v>418</v>
      </c>
      <c r="D278" s="8">
        <v>-1.0682400999999999</v>
      </c>
      <c r="E278" s="8">
        <v>-2.4354974999999999</v>
      </c>
      <c r="F278" s="7"/>
      <c r="G278" s="7" t="str">
        <f t="shared" si="7"/>
        <v>Direct</v>
      </c>
      <c r="H278" s="7" t="s">
        <v>419</v>
      </c>
    </row>
    <row r="279" spans="1:8" x14ac:dyDescent="0.2">
      <c r="A279" s="5" t="s">
        <v>13</v>
      </c>
      <c r="B279" s="6" t="s">
        <v>14</v>
      </c>
      <c r="C279" s="7" t="s">
        <v>420</v>
      </c>
      <c r="D279" s="8">
        <v>1.33737642</v>
      </c>
      <c r="E279" s="8">
        <v>-1.312006</v>
      </c>
      <c r="F279" s="7"/>
      <c r="G279" s="7" t="str">
        <f t="shared" si="7"/>
        <v>Inverse</v>
      </c>
      <c r="H279" s="7" t="s">
        <v>16</v>
      </c>
    </row>
    <row r="280" spans="1:8" x14ac:dyDescent="0.2">
      <c r="A280" s="5" t="s">
        <v>13</v>
      </c>
      <c r="B280" s="6" t="s">
        <v>14</v>
      </c>
      <c r="C280" s="7" t="s">
        <v>421</v>
      </c>
      <c r="D280" s="8">
        <v>-1.2495704000000001</v>
      </c>
      <c r="E280" s="8">
        <v>-1.0851105000000001</v>
      </c>
      <c r="F280" s="7"/>
      <c r="G280" s="7" t="str">
        <f t="shared" si="7"/>
        <v>Direct</v>
      </c>
      <c r="H280" s="7" t="s">
        <v>16</v>
      </c>
    </row>
    <row r="281" spans="1:8" x14ac:dyDescent="0.2">
      <c r="A281" s="5" t="s">
        <v>13</v>
      </c>
      <c r="B281" s="6" t="s">
        <v>14</v>
      </c>
      <c r="C281" s="7" t="s">
        <v>422</v>
      </c>
      <c r="D281" s="8">
        <v>-2.5900639999999999</v>
      </c>
      <c r="E281" s="8">
        <v>-3.7592257999999998</v>
      </c>
      <c r="F281" s="7"/>
      <c r="G281" s="7" t="str">
        <f t="shared" si="7"/>
        <v>Direct</v>
      </c>
      <c r="H281" s="7" t="s">
        <v>423</v>
      </c>
    </row>
    <row r="282" spans="1:8" x14ac:dyDescent="0.2">
      <c r="A282" s="5" t="s">
        <v>13</v>
      </c>
      <c r="B282" s="6" t="s">
        <v>14</v>
      </c>
      <c r="C282" s="7" t="s">
        <v>424</v>
      </c>
      <c r="D282" s="8">
        <v>1.8781043900000001</v>
      </c>
      <c r="E282" s="8">
        <v>-10.940806</v>
      </c>
      <c r="F282" s="7"/>
      <c r="G282" s="7" t="str">
        <f t="shared" si="7"/>
        <v>Inverse</v>
      </c>
      <c r="H282" s="7" t="s">
        <v>425</v>
      </c>
    </row>
    <row r="283" spans="1:8" x14ac:dyDescent="0.2">
      <c r="A283" s="5" t="s">
        <v>13</v>
      </c>
      <c r="B283" s="6" t="s">
        <v>14</v>
      </c>
      <c r="C283" s="7" t="s">
        <v>426</v>
      </c>
      <c r="D283" s="8">
        <v>1.1799358099999999</v>
      </c>
      <c r="E283" s="8">
        <v>-2.3794284000000001</v>
      </c>
      <c r="F283" s="7"/>
      <c r="G283" s="7" t="str">
        <f t="shared" si="7"/>
        <v>Inverse</v>
      </c>
      <c r="H283" s="7" t="s">
        <v>427</v>
      </c>
    </row>
    <row r="284" spans="1:8" x14ac:dyDescent="0.2">
      <c r="A284" s="5" t="s">
        <v>13</v>
      </c>
      <c r="B284" s="6" t="s">
        <v>14</v>
      </c>
      <c r="C284" s="7" t="s">
        <v>428</v>
      </c>
      <c r="D284" s="8">
        <v>-1.213171</v>
      </c>
      <c r="E284" s="8">
        <v>-1.6969584</v>
      </c>
      <c r="F284" s="7"/>
      <c r="G284" s="7" t="str">
        <f t="shared" si="7"/>
        <v>Direct</v>
      </c>
      <c r="H284" s="7" t="s">
        <v>429</v>
      </c>
    </row>
    <row r="285" spans="1:8" x14ac:dyDescent="0.2">
      <c r="A285" s="5" t="s">
        <v>13</v>
      </c>
      <c r="B285" s="6" t="s">
        <v>14</v>
      </c>
      <c r="C285" s="7" t="s">
        <v>430</v>
      </c>
      <c r="D285" s="8">
        <v>1.3754530199999999</v>
      </c>
      <c r="E285" s="8">
        <v>2.4931197900000002</v>
      </c>
      <c r="F285" s="7"/>
      <c r="G285" s="7" t="str">
        <f t="shared" si="7"/>
        <v>Direct</v>
      </c>
      <c r="H285" s="7" t="s">
        <v>16</v>
      </c>
    </row>
    <row r="286" spans="1:8" x14ac:dyDescent="0.2">
      <c r="A286" s="5" t="s">
        <v>13</v>
      </c>
      <c r="B286" s="6" t="s">
        <v>14</v>
      </c>
      <c r="C286" s="7" t="s">
        <v>431</v>
      </c>
      <c r="D286" s="8">
        <v>-1.3878238000000001</v>
      </c>
      <c r="E286" s="8">
        <v>-2.7210359999999998</v>
      </c>
      <c r="F286" s="7"/>
      <c r="G286" s="7" t="str">
        <f t="shared" si="7"/>
        <v>Direct</v>
      </c>
      <c r="H286" s="7" t="s">
        <v>432</v>
      </c>
    </row>
    <row r="287" spans="1:8" x14ac:dyDescent="0.2">
      <c r="A287" s="5" t="s">
        <v>13</v>
      </c>
      <c r="B287" s="6" t="s">
        <v>14</v>
      </c>
      <c r="C287" s="7" t="s">
        <v>433</v>
      </c>
      <c r="D287" s="8">
        <v>-1.1356522</v>
      </c>
      <c r="E287" s="8">
        <v>-1.6516077</v>
      </c>
      <c r="F287" s="7"/>
      <c r="G287" s="7" t="str">
        <f t="shared" si="7"/>
        <v>Direct</v>
      </c>
      <c r="H287" s="7" t="s">
        <v>434</v>
      </c>
    </row>
    <row r="288" spans="1:8" x14ac:dyDescent="0.2">
      <c r="A288" s="5" t="s">
        <v>13</v>
      </c>
      <c r="B288" s="6" t="s">
        <v>14</v>
      </c>
      <c r="C288" s="7" t="s">
        <v>435</v>
      </c>
      <c r="D288" s="8">
        <v>-1.1003290999999999</v>
      </c>
      <c r="E288" s="8">
        <v>-2.8414777999999998</v>
      </c>
      <c r="F288" s="7"/>
      <c r="G288" s="7" t="str">
        <f t="shared" si="7"/>
        <v>Direct</v>
      </c>
      <c r="H288" s="7" t="s">
        <v>436</v>
      </c>
    </row>
    <row r="289" spans="1:8" x14ac:dyDescent="0.2">
      <c r="A289" s="5" t="s">
        <v>13</v>
      </c>
      <c r="B289" s="6" t="s">
        <v>14</v>
      </c>
      <c r="C289" s="7" t="s">
        <v>437</v>
      </c>
      <c r="D289" s="8">
        <v>2.7429853300000002</v>
      </c>
      <c r="E289" s="8">
        <v>2.1884524700000001</v>
      </c>
      <c r="F289" s="7"/>
      <c r="G289" s="7" t="str">
        <f t="shared" si="7"/>
        <v>Direct</v>
      </c>
      <c r="H289" s="7" t="s">
        <v>438</v>
      </c>
    </row>
    <row r="290" spans="1:8" x14ac:dyDescent="0.2">
      <c r="A290" s="5" t="s">
        <v>13</v>
      </c>
      <c r="B290" s="6" t="s">
        <v>14</v>
      </c>
      <c r="C290" s="7" t="s">
        <v>439</v>
      </c>
      <c r="D290" s="8">
        <v>-2.5061377999999999</v>
      </c>
      <c r="E290" s="8">
        <v>-1.5956178000000001</v>
      </c>
      <c r="F290" s="7"/>
      <c r="G290" s="7" t="str">
        <f t="shared" si="7"/>
        <v>Direct</v>
      </c>
      <c r="H290" s="7" t="s">
        <v>440</v>
      </c>
    </row>
    <row r="291" spans="1:8" x14ac:dyDescent="0.2">
      <c r="A291" s="5" t="s">
        <v>13</v>
      </c>
      <c r="B291" s="6" t="s">
        <v>14</v>
      </c>
      <c r="C291" s="7" t="s">
        <v>441</v>
      </c>
      <c r="D291" s="8">
        <v>1.2188997699999999</v>
      </c>
      <c r="E291" s="8">
        <v>-1.7872665999999999</v>
      </c>
      <c r="F291" s="7"/>
      <c r="G291" s="7" t="str">
        <f t="shared" si="7"/>
        <v>Inverse</v>
      </c>
      <c r="H291" s="7" t="s">
        <v>442</v>
      </c>
    </row>
    <row r="292" spans="1:8" x14ac:dyDescent="0.2">
      <c r="A292" s="5" t="s">
        <v>13</v>
      </c>
      <c r="B292" s="6" t="s">
        <v>14</v>
      </c>
      <c r="C292" s="7" t="s">
        <v>443</v>
      </c>
      <c r="D292" s="8">
        <v>-2.5408322000000001</v>
      </c>
      <c r="E292" s="8">
        <v>-2.4473406</v>
      </c>
      <c r="F292" s="7"/>
      <c r="G292" s="7" t="str">
        <f t="shared" si="7"/>
        <v>Direct</v>
      </c>
      <c r="H292" s="7" t="s">
        <v>16</v>
      </c>
    </row>
    <row r="293" spans="1:8" x14ac:dyDescent="0.2">
      <c r="A293" s="5" t="s">
        <v>13</v>
      </c>
      <c r="B293" s="6" t="s">
        <v>14</v>
      </c>
      <c r="C293" s="7" t="s">
        <v>444</v>
      </c>
      <c r="D293" s="8">
        <v>3.6889655399999999</v>
      </c>
      <c r="E293" s="8">
        <v>4.37238521</v>
      </c>
      <c r="F293" s="7"/>
      <c r="G293" s="7" t="str">
        <f t="shared" si="7"/>
        <v>Direct</v>
      </c>
      <c r="H293" s="7" t="s">
        <v>445</v>
      </c>
    </row>
    <row r="294" spans="1:8" x14ac:dyDescent="0.2">
      <c r="A294" s="5" t="s">
        <v>13</v>
      </c>
      <c r="B294" s="6" t="s">
        <v>14</v>
      </c>
      <c r="C294" s="7" t="s">
        <v>446</v>
      </c>
      <c r="D294" s="8">
        <v>-1.5998196</v>
      </c>
      <c r="E294" s="8">
        <v>-1.3180149999999999</v>
      </c>
      <c r="F294" s="7"/>
      <c r="G294" s="7" t="str">
        <f t="shared" si="7"/>
        <v>Direct</v>
      </c>
      <c r="H294" s="7" t="s">
        <v>447</v>
      </c>
    </row>
    <row r="295" spans="1:8" x14ac:dyDescent="0.2">
      <c r="A295" s="5" t="s">
        <v>13</v>
      </c>
      <c r="B295" s="6" t="s">
        <v>14</v>
      </c>
      <c r="C295" s="7" t="s">
        <v>448</v>
      </c>
      <c r="D295" s="8">
        <v>1.1287674299999999</v>
      </c>
      <c r="E295" s="8">
        <v>-4.9713634999999998</v>
      </c>
      <c r="F295" s="7"/>
      <c r="G295" s="7" t="str">
        <f t="shared" si="7"/>
        <v>Inverse</v>
      </c>
      <c r="H295" s="7" t="s">
        <v>425</v>
      </c>
    </row>
    <row r="296" spans="1:8" x14ac:dyDescent="0.2">
      <c r="A296" s="5" t="s">
        <v>13</v>
      </c>
      <c r="B296" s="6" t="s">
        <v>14</v>
      </c>
      <c r="C296" s="7" t="s">
        <v>449</v>
      </c>
      <c r="D296" s="8">
        <v>1.1540910200000001</v>
      </c>
      <c r="E296" s="8">
        <v>1.2921486600000001</v>
      </c>
      <c r="F296" s="7"/>
      <c r="G296" s="7" t="str">
        <f t="shared" si="7"/>
        <v>Direct</v>
      </c>
      <c r="H296" s="7" t="s">
        <v>450</v>
      </c>
    </row>
    <row r="297" spans="1:8" x14ac:dyDescent="0.2">
      <c r="A297" s="5" t="s">
        <v>13</v>
      </c>
      <c r="B297" s="6" t="s">
        <v>14</v>
      </c>
      <c r="C297" s="7" t="s">
        <v>451</v>
      </c>
      <c r="D297" s="8">
        <v>-1.9663008</v>
      </c>
      <c r="E297" s="8">
        <v>-1.6697154000000001</v>
      </c>
      <c r="F297" s="7"/>
      <c r="G297" s="7" t="str">
        <f t="shared" si="7"/>
        <v>Direct</v>
      </c>
      <c r="H297" s="7" t="s">
        <v>16</v>
      </c>
    </row>
    <row r="298" spans="1:8" x14ac:dyDescent="0.2">
      <c r="A298" s="5" t="s">
        <v>13</v>
      </c>
      <c r="B298" s="6" t="s">
        <v>14</v>
      </c>
      <c r="C298" s="7" t="s">
        <v>452</v>
      </c>
      <c r="D298" s="8">
        <v>1.0417748</v>
      </c>
      <c r="E298" s="8">
        <v>-2.4670264</v>
      </c>
      <c r="F298" s="7"/>
      <c r="G298" s="7" t="str">
        <f t="shared" si="7"/>
        <v>Inverse</v>
      </c>
      <c r="H298" s="7" t="s">
        <v>453</v>
      </c>
    </row>
    <row r="299" spans="1:8" x14ac:dyDescent="0.2">
      <c r="A299" s="5" t="s">
        <v>13</v>
      </c>
      <c r="B299" s="6" t="s">
        <v>14</v>
      </c>
      <c r="C299" s="7" t="s">
        <v>454</v>
      </c>
      <c r="D299" s="8">
        <v>-2.3681633</v>
      </c>
      <c r="E299" s="8">
        <v>-1.0555729</v>
      </c>
      <c r="F299" s="7"/>
      <c r="G299" s="7" t="str">
        <f t="shared" si="7"/>
        <v>Direct</v>
      </c>
      <c r="H299" s="7" t="s">
        <v>455</v>
      </c>
    </row>
    <row r="300" spans="1:8" x14ac:dyDescent="0.2">
      <c r="A300" s="5" t="s">
        <v>13</v>
      </c>
      <c r="B300" s="6" t="s">
        <v>14</v>
      </c>
      <c r="C300" s="7" t="s">
        <v>456</v>
      </c>
      <c r="D300" s="8">
        <v>-1.1757225</v>
      </c>
      <c r="E300" s="8">
        <v>-1.4662358</v>
      </c>
      <c r="F300" s="7"/>
      <c r="G300" s="7" t="str">
        <f t="shared" si="7"/>
        <v>Direct</v>
      </c>
      <c r="H300" s="7" t="s">
        <v>16</v>
      </c>
    </row>
    <row r="301" spans="1:8" x14ac:dyDescent="0.2">
      <c r="A301" s="5" t="s">
        <v>13</v>
      </c>
      <c r="B301" s="6" t="s">
        <v>14</v>
      </c>
      <c r="C301" s="7" t="s">
        <v>457</v>
      </c>
      <c r="D301" s="8">
        <v>2.0431965499999998</v>
      </c>
      <c r="E301" s="8">
        <v>-4.0413569000000003</v>
      </c>
      <c r="F301" s="7"/>
      <c r="G301" s="7" t="str">
        <f t="shared" si="7"/>
        <v>Inverse</v>
      </c>
      <c r="H301" s="7" t="s">
        <v>458</v>
      </c>
    </row>
    <row r="302" spans="1:8" x14ac:dyDescent="0.2">
      <c r="A302" s="5" t="s">
        <v>13</v>
      </c>
      <c r="B302" s="6" t="s">
        <v>14</v>
      </c>
      <c r="C302" s="7" t="s">
        <v>459</v>
      </c>
      <c r="D302" s="8">
        <v>-1.9470774</v>
      </c>
      <c r="E302" s="8">
        <v>-1.591477</v>
      </c>
      <c r="F302" s="7"/>
      <c r="G302" s="7" t="str">
        <f t="shared" si="7"/>
        <v>Direct</v>
      </c>
      <c r="H302" s="7" t="s">
        <v>16</v>
      </c>
    </row>
    <row r="303" spans="1:8" x14ac:dyDescent="0.2">
      <c r="A303" s="5" t="s">
        <v>13</v>
      </c>
      <c r="B303" s="6" t="s">
        <v>14</v>
      </c>
      <c r="C303" s="7" t="s">
        <v>460</v>
      </c>
      <c r="D303" s="8">
        <v>-1.9426475000000001</v>
      </c>
      <c r="E303" s="8">
        <v>-1.6888996000000001</v>
      </c>
      <c r="F303" s="7"/>
      <c r="G303" s="7" t="str">
        <f t="shared" si="7"/>
        <v>Direct</v>
      </c>
      <c r="H303" s="7" t="s">
        <v>16</v>
      </c>
    </row>
    <row r="304" spans="1:8" x14ac:dyDescent="0.2">
      <c r="A304" s="5" t="s">
        <v>13</v>
      </c>
      <c r="B304" s="6" t="s">
        <v>14</v>
      </c>
      <c r="C304" s="7" t="s">
        <v>461</v>
      </c>
      <c r="D304" s="8">
        <v>-1.5123736999999999</v>
      </c>
      <c r="E304" s="8">
        <v>-1.4987945</v>
      </c>
      <c r="F304" s="7"/>
      <c r="G304" s="7" t="str">
        <f t="shared" si="7"/>
        <v>Direct</v>
      </c>
      <c r="H304" s="7" t="s">
        <v>462</v>
      </c>
    </row>
    <row r="305" spans="1:8" x14ac:dyDescent="0.2">
      <c r="A305" s="5" t="s">
        <v>13</v>
      </c>
      <c r="B305" s="6" t="s">
        <v>14</v>
      </c>
      <c r="C305" s="7" t="s">
        <v>463</v>
      </c>
      <c r="D305" s="8">
        <v>-1.6972299</v>
      </c>
      <c r="E305" s="8">
        <v>3.53735942</v>
      </c>
      <c r="F305" s="7"/>
      <c r="G305" s="7" t="str">
        <f t="shared" si="7"/>
        <v>Inverse</v>
      </c>
      <c r="H305" s="7" t="s">
        <v>464</v>
      </c>
    </row>
    <row r="306" spans="1:8" x14ac:dyDescent="0.2">
      <c r="A306" s="5" t="s">
        <v>13</v>
      </c>
      <c r="B306" s="6" t="s">
        <v>14</v>
      </c>
      <c r="C306" s="7" t="s">
        <v>465</v>
      </c>
      <c r="D306" s="8">
        <v>1.68597606</v>
      </c>
      <c r="E306" s="8">
        <v>-10.550367</v>
      </c>
      <c r="F306" s="7"/>
      <c r="G306" s="7" t="str">
        <f t="shared" si="7"/>
        <v>Inverse</v>
      </c>
      <c r="H306" s="7" t="s">
        <v>62</v>
      </c>
    </row>
    <row r="307" spans="1:8" x14ac:dyDescent="0.2">
      <c r="A307" s="5" t="s">
        <v>13</v>
      </c>
      <c r="B307" s="6" t="s">
        <v>14</v>
      </c>
      <c r="C307" s="7" t="s">
        <v>466</v>
      </c>
      <c r="D307" s="8">
        <v>-1.0960899</v>
      </c>
      <c r="E307" s="8">
        <v>-1.1366163</v>
      </c>
      <c r="F307" s="7"/>
      <c r="G307" s="7" t="str">
        <f t="shared" si="7"/>
        <v>Direct</v>
      </c>
      <c r="H307" s="7" t="s">
        <v>16</v>
      </c>
    </row>
    <row r="308" spans="1:8" x14ac:dyDescent="0.2">
      <c r="A308" s="5" t="s">
        <v>13</v>
      </c>
      <c r="B308" s="6" t="s">
        <v>14</v>
      </c>
      <c r="C308" s="7" t="s">
        <v>467</v>
      </c>
      <c r="D308" s="8">
        <v>-1.4950323999999999</v>
      </c>
      <c r="E308" s="8">
        <v>3.14536836</v>
      </c>
      <c r="F308" s="7"/>
      <c r="G308" s="7" t="str">
        <f t="shared" si="7"/>
        <v>Inverse</v>
      </c>
      <c r="H308" s="7" t="s">
        <v>16</v>
      </c>
    </row>
    <row r="309" spans="1:8" x14ac:dyDescent="0.2">
      <c r="A309" s="5" t="s">
        <v>13</v>
      </c>
      <c r="B309" s="6" t="s">
        <v>14</v>
      </c>
      <c r="C309" s="7" t="s">
        <v>468</v>
      </c>
      <c r="D309" s="8">
        <v>1.21830186</v>
      </c>
      <c r="E309" s="8">
        <v>-11.372134000000001</v>
      </c>
      <c r="F309" s="7"/>
      <c r="G309" s="7" t="str">
        <f t="shared" si="7"/>
        <v>Inverse</v>
      </c>
      <c r="H309" s="7" t="s">
        <v>16</v>
      </c>
    </row>
    <row r="310" spans="1:8" x14ac:dyDescent="0.2">
      <c r="A310" s="5" t="s">
        <v>13</v>
      </c>
      <c r="B310" s="6" t="s">
        <v>14</v>
      </c>
      <c r="C310" s="7" t="s">
        <v>469</v>
      </c>
      <c r="D310" s="8">
        <v>-1.1692564999999999</v>
      </c>
      <c r="E310" s="8">
        <v>-3.2761627</v>
      </c>
      <c r="F310" s="7"/>
      <c r="G310" s="7" t="str">
        <f t="shared" si="7"/>
        <v>Direct</v>
      </c>
      <c r="H310" s="7" t="s">
        <v>470</v>
      </c>
    </row>
    <row r="311" spans="1:8" x14ac:dyDescent="0.2">
      <c r="A311" s="5" t="s">
        <v>13</v>
      </c>
      <c r="B311" s="6" t="s">
        <v>14</v>
      </c>
      <c r="C311" s="7" t="s">
        <v>471</v>
      </c>
      <c r="D311" s="8">
        <v>-1.543504</v>
      </c>
      <c r="E311" s="8">
        <v>-1.4441181000000001</v>
      </c>
      <c r="F311" s="7"/>
      <c r="G311" s="7" t="str">
        <f t="shared" si="7"/>
        <v>Direct</v>
      </c>
      <c r="H311" s="7" t="s">
        <v>16</v>
      </c>
    </row>
    <row r="312" spans="1:8" x14ac:dyDescent="0.2">
      <c r="A312" s="5" t="s">
        <v>13</v>
      </c>
      <c r="B312" s="6" t="s">
        <v>14</v>
      </c>
      <c r="C312" s="7" t="s">
        <v>472</v>
      </c>
      <c r="D312" s="8">
        <v>2.3530242000000001</v>
      </c>
      <c r="E312" s="8">
        <v>-4.4759225999999996</v>
      </c>
      <c r="F312" s="7"/>
      <c r="G312" s="7" t="str">
        <f t="shared" si="7"/>
        <v>Inverse</v>
      </c>
      <c r="H312" s="7" t="s">
        <v>16</v>
      </c>
    </row>
    <row r="313" spans="1:8" x14ac:dyDescent="0.2">
      <c r="A313" s="5" t="s">
        <v>13</v>
      </c>
      <c r="B313" s="6" t="s">
        <v>14</v>
      </c>
      <c r="C313" s="7" t="s">
        <v>473</v>
      </c>
      <c r="D313" s="8">
        <v>1.6113242000000001</v>
      </c>
      <c r="E313" s="8">
        <v>-14.655351</v>
      </c>
      <c r="F313" s="7"/>
      <c r="G313" s="7" t="str">
        <f t="shared" si="7"/>
        <v>Inverse</v>
      </c>
      <c r="H313" s="7" t="s">
        <v>88</v>
      </c>
    </row>
    <row r="314" spans="1:8" x14ac:dyDescent="0.2">
      <c r="A314" s="5" t="s">
        <v>13</v>
      </c>
      <c r="B314" s="6" t="s">
        <v>14</v>
      </c>
      <c r="C314" s="7" t="s">
        <v>474</v>
      </c>
      <c r="D314" s="8">
        <v>1.68209933</v>
      </c>
      <c r="E314" s="8">
        <v>4.3851250799999999</v>
      </c>
      <c r="F314" s="7"/>
      <c r="G314" s="7" t="str">
        <f t="shared" si="7"/>
        <v>Direct</v>
      </c>
      <c r="H314" s="7" t="s">
        <v>16</v>
      </c>
    </row>
    <row r="315" spans="1:8" x14ac:dyDescent="0.2">
      <c r="A315" s="5" t="s">
        <v>13</v>
      </c>
      <c r="B315" s="6" t="s">
        <v>14</v>
      </c>
      <c r="C315" s="7" t="s">
        <v>475</v>
      </c>
      <c r="D315" s="8">
        <v>-1.2784701000000001</v>
      </c>
      <c r="E315" s="8">
        <v>-4.9421369999999998</v>
      </c>
      <c r="F315" s="7"/>
      <c r="G315" s="7" t="str">
        <f t="shared" si="7"/>
        <v>Direct</v>
      </c>
      <c r="H315" s="7" t="s">
        <v>476</v>
      </c>
    </row>
    <row r="316" spans="1:8" x14ac:dyDescent="0.2">
      <c r="A316" s="5" t="s">
        <v>13</v>
      </c>
      <c r="B316" s="6" t="s">
        <v>14</v>
      </c>
      <c r="C316" s="7" t="s">
        <v>477</v>
      </c>
      <c r="D316" s="8">
        <v>1.7658814599999999</v>
      </c>
      <c r="E316" s="8">
        <v>-6.6845083000000001</v>
      </c>
      <c r="F316" s="7"/>
      <c r="G316" s="7" t="str">
        <f t="shared" si="7"/>
        <v>Inverse</v>
      </c>
      <c r="H316" s="7" t="s">
        <v>351</v>
      </c>
    </row>
    <row r="317" spans="1:8" x14ac:dyDescent="0.2">
      <c r="A317" s="5" t="s">
        <v>13</v>
      </c>
      <c r="B317" s="6" t="s">
        <v>14</v>
      </c>
      <c r="C317" s="7" t="s">
        <v>478</v>
      </c>
      <c r="D317" s="8">
        <v>-1.2884635</v>
      </c>
      <c r="E317" s="8">
        <v>-3.0562406000000002</v>
      </c>
      <c r="F317" s="7"/>
      <c r="G317" s="7" t="str">
        <f t="shared" si="7"/>
        <v>Direct</v>
      </c>
      <c r="H317" s="7" t="s">
        <v>479</v>
      </c>
    </row>
    <row r="318" spans="1:8" x14ac:dyDescent="0.2">
      <c r="A318" s="5" t="s">
        <v>13</v>
      </c>
      <c r="B318" s="6" t="s">
        <v>14</v>
      </c>
      <c r="C318" s="7" t="s">
        <v>480</v>
      </c>
      <c r="D318" s="8">
        <v>-1.2504123</v>
      </c>
      <c r="E318" s="8">
        <v>-1.0564480999999999</v>
      </c>
      <c r="F318" s="7"/>
      <c r="G318" s="7" t="str">
        <f t="shared" si="7"/>
        <v>Direct</v>
      </c>
      <c r="H318" s="7" t="s">
        <v>481</v>
      </c>
    </row>
    <row r="319" spans="1:8" x14ac:dyDescent="0.2">
      <c r="A319" s="5" t="s">
        <v>13</v>
      </c>
      <c r="B319" s="6" t="s">
        <v>14</v>
      </c>
      <c r="C319" s="7" t="s">
        <v>482</v>
      </c>
      <c r="D319" s="8">
        <v>1.6564681400000001</v>
      </c>
      <c r="E319" s="8">
        <v>-1.8527594999999999</v>
      </c>
      <c r="F319" s="7"/>
      <c r="G319" s="7" t="str">
        <f t="shared" si="7"/>
        <v>Inverse</v>
      </c>
      <c r="H319" s="7" t="s">
        <v>42</v>
      </c>
    </row>
    <row r="320" spans="1:8" x14ac:dyDescent="0.2">
      <c r="A320" s="5" t="s">
        <v>13</v>
      </c>
      <c r="B320" s="6" t="s">
        <v>14</v>
      </c>
      <c r="C320" s="7" t="s">
        <v>483</v>
      </c>
      <c r="D320" s="8">
        <v>-1.1637297</v>
      </c>
      <c r="E320" s="8">
        <v>-2.0848787</v>
      </c>
      <c r="F320" s="7"/>
      <c r="G320" s="7" t="str">
        <f t="shared" si="7"/>
        <v>Direct</v>
      </c>
      <c r="H320" s="7" t="s">
        <v>42</v>
      </c>
    </row>
    <row r="321" spans="1:8" x14ac:dyDescent="0.2">
      <c r="A321" s="5" t="s">
        <v>13</v>
      </c>
      <c r="B321" s="6" t="s">
        <v>14</v>
      </c>
      <c r="C321" s="7" t="s">
        <v>484</v>
      </c>
      <c r="D321" s="8">
        <v>-1.4053112999999999</v>
      </c>
      <c r="E321" s="8">
        <v>-6.6482685999999998</v>
      </c>
      <c r="F321" s="7"/>
      <c r="G321" s="7" t="str">
        <f t="shared" si="7"/>
        <v>Direct</v>
      </c>
      <c r="H321" s="7" t="s">
        <v>485</v>
      </c>
    </row>
    <row r="322" spans="1:8" x14ac:dyDescent="0.2">
      <c r="A322" s="5" t="s">
        <v>13</v>
      </c>
      <c r="B322" s="6" t="s">
        <v>14</v>
      </c>
      <c r="C322" s="7" t="s">
        <v>486</v>
      </c>
      <c r="D322" s="8">
        <v>1.06751076</v>
      </c>
      <c r="E322" s="8">
        <v>-1.2505147999999999</v>
      </c>
      <c r="F322" s="7"/>
      <c r="G322" s="7" t="str">
        <f t="shared" si="7"/>
        <v>Inverse</v>
      </c>
      <c r="H322" s="7" t="s">
        <v>16</v>
      </c>
    </row>
    <row r="323" spans="1:8" x14ac:dyDescent="0.2">
      <c r="A323" s="5" t="s">
        <v>13</v>
      </c>
      <c r="B323" s="6" t="s">
        <v>14</v>
      </c>
      <c r="C323" s="7" t="s">
        <v>487</v>
      </c>
      <c r="D323" s="8">
        <v>1.2548796200000001</v>
      </c>
      <c r="E323" s="8">
        <v>-1.2325618</v>
      </c>
      <c r="F323" s="7"/>
      <c r="G323" s="7" t="str">
        <f t="shared" si="7"/>
        <v>Inverse</v>
      </c>
      <c r="H323" s="7" t="s">
        <v>488</v>
      </c>
    </row>
    <row r="324" spans="1:8" x14ac:dyDescent="0.2">
      <c r="A324" s="5" t="s">
        <v>13</v>
      </c>
      <c r="B324" s="6" t="s">
        <v>14</v>
      </c>
      <c r="C324" s="7" t="s">
        <v>489</v>
      </c>
      <c r="D324" s="8">
        <v>-1.2747702000000001</v>
      </c>
      <c r="E324" s="8">
        <v>1.1825251800000001</v>
      </c>
      <c r="F324" s="7"/>
      <c r="G324" s="7" t="str">
        <f t="shared" si="7"/>
        <v>Inverse</v>
      </c>
      <c r="H324" s="7" t="s">
        <v>490</v>
      </c>
    </row>
    <row r="325" spans="1:8" x14ac:dyDescent="0.2">
      <c r="A325" s="5" t="s">
        <v>13</v>
      </c>
      <c r="B325" s="6" t="s">
        <v>14</v>
      </c>
      <c r="C325" s="7" t="s">
        <v>491</v>
      </c>
      <c r="D325" s="8">
        <v>-1.5508306999999999</v>
      </c>
      <c r="E325" s="8">
        <v>1.6081963100000001</v>
      </c>
      <c r="F325" s="7"/>
      <c r="G325" s="7" t="str">
        <f t="shared" si="7"/>
        <v>Inverse</v>
      </c>
      <c r="H325" s="7" t="s">
        <v>492</v>
      </c>
    </row>
    <row r="326" spans="1:8" x14ac:dyDescent="0.2">
      <c r="A326" s="5" t="s">
        <v>13</v>
      </c>
      <c r="B326" s="6" t="s">
        <v>14</v>
      </c>
      <c r="C326" s="7" t="s">
        <v>493</v>
      </c>
      <c r="D326" s="8">
        <v>-1.6443255999999999</v>
      </c>
      <c r="E326" s="8">
        <v>-1.8446094</v>
      </c>
      <c r="F326" s="7"/>
      <c r="G326" s="7" t="str">
        <f t="shared" si="7"/>
        <v>Direct</v>
      </c>
      <c r="H326" s="7" t="s">
        <v>494</v>
      </c>
    </row>
    <row r="327" spans="1:8" x14ac:dyDescent="0.2">
      <c r="A327" s="5" t="s">
        <v>13</v>
      </c>
      <c r="B327" s="6" t="s">
        <v>14</v>
      </c>
      <c r="C327" s="7" t="s">
        <v>495</v>
      </c>
      <c r="D327" s="8">
        <v>-1.0438182</v>
      </c>
      <c r="E327" s="8">
        <v>-2.277952</v>
      </c>
      <c r="F327" s="7"/>
      <c r="G327" s="7" t="str">
        <f t="shared" si="7"/>
        <v>Direct</v>
      </c>
      <c r="H327" s="7" t="s">
        <v>496</v>
      </c>
    </row>
    <row r="328" spans="1:8" x14ac:dyDescent="0.2">
      <c r="A328" s="5" t="s">
        <v>13</v>
      </c>
      <c r="B328" s="6" t="s">
        <v>14</v>
      </c>
      <c r="C328" s="7" t="s">
        <v>497</v>
      </c>
      <c r="D328" s="8">
        <v>-1.3990826999999999</v>
      </c>
      <c r="E328" s="8">
        <v>-1.0027423</v>
      </c>
      <c r="F328" s="7"/>
      <c r="G328" s="7" t="str">
        <f t="shared" si="7"/>
        <v>Direct</v>
      </c>
      <c r="H328" s="7" t="s">
        <v>498</v>
      </c>
    </row>
    <row r="329" spans="1:8" x14ac:dyDescent="0.2">
      <c r="A329" s="5" t="s">
        <v>13</v>
      </c>
      <c r="B329" s="6" t="s">
        <v>14</v>
      </c>
      <c r="C329" s="7" t="s">
        <v>499</v>
      </c>
      <c r="D329" s="8">
        <v>1.68597606</v>
      </c>
      <c r="E329" s="8">
        <v>1.1825334300000001</v>
      </c>
      <c r="F329" s="7"/>
      <c r="G329" s="7" t="str">
        <f t="shared" si="7"/>
        <v>Direct</v>
      </c>
      <c r="H329" s="7" t="s">
        <v>16</v>
      </c>
    </row>
    <row r="330" spans="1:8" x14ac:dyDescent="0.2">
      <c r="A330" s="5" t="s">
        <v>13</v>
      </c>
      <c r="B330" s="6" t="s">
        <v>14</v>
      </c>
      <c r="C330" s="7" t="s">
        <v>500</v>
      </c>
      <c r="D330" s="8">
        <v>1.20597756</v>
      </c>
      <c r="E330" s="8">
        <v>2.7222619199999998</v>
      </c>
      <c r="F330" s="7"/>
      <c r="G330" s="7" t="str">
        <f t="shared" si="7"/>
        <v>Direct</v>
      </c>
      <c r="H330" s="7" t="s">
        <v>16</v>
      </c>
    </row>
    <row r="331" spans="1:8" x14ac:dyDescent="0.2">
      <c r="A331" s="5" t="s">
        <v>13</v>
      </c>
      <c r="B331" s="6" t="s">
        <v>14</v>
      </c>
      <c r="C331" s="7" t="s">
        <v>501</v>
      </c>
      <c r="D331" s="8">
        <v>-1.4052889</v>
      </c>
      <c r="E331" s="8">
        <v>-2.3847629000000001</v>
      </c>
      <c r="F331" s="7"/>
      <c r="G331" s="7" t="str">
        <f t="shared" si="7"/>
        <v>Direct</v>
      </c>
      <c r="H331" s="7" t="s">
        <v>502</v>
      </c>
    </row>
    <row r="332" spans="1:8" x14ac:dyDescent="0.2">
      <c r="A332" s="5" t="s">
        <v>13</v>
      </c>
      <c r="B332" s="6" t="s">
        <v>14</v>
      </c>
      <c r="C332" s="7" t="s">
        <v>503</v>
      </c>
      <c r="D332" s="8">
        <v>-1.1003586000000001</v>
      </c>
      <c r="E332" s="8">
        <v>-2.5436209999999999</v>
      </c>
      <c r="F332" s="7"/>
      <c r="G332" s="7" t="str">
        <f t="shared" si="7"/>
        <v>Direct</v>
      </c>
      <c r="H332" s="7" t="s">
        <v>504</v>
      </c>
    </row>
    <row r="333" spans="1:8" x14ac:dyDescent="0.2">
      <c r="A333" s="5" t="s">
        <v>13</v>
      </c>
      <c r="B333" s="6" t="s">
        <v>14</v>
      </c>
      <c r="C333" s="7" t="s">
        <v>505</v>
      </c>
      <c r="D333" s="8">
        <v>-1.5069942999999999</v>
      </c>
      <c r="E333" s="8">
        <v>3.9087286099999998</v>
      </c>
      <c r="F333" s="7"/>
      <c r="G333" s="7" t="str">
        <f t="shared" si="7"/>
        <v>Inverse</v>
      </c>
      <c r="H333" s="7" t="s">
        <v>506</v>
      </c>
    </row>
    <row r="334" spans="1:8" x14ac:dyDescent="0.2">
      <c r="A334" s="5" t="s">
        <v>13</v>
      </c>
      <c r="B334" s="6" t="s">
        <v>14</v>
      </c>
      <c r="C334" s="7" t="s">
        <v>507</v>
      </c>
      <c r="D334" s="8">
        <v>-2.3582261</v>
      </c>
      <c r="E334" s="8">
        <v>-1.0253456000000001</v>
      </c>
      <c r="F334" s="7"/>
      <c r="G334" s="7" t="str">
        <f t="shared" si="7"/>
        <v>Direct</v>
      </c>
      <c r="H334" s="7" t="s">
        <v>508</v>
      </c>
    </row>
    <row r="335" spans="1:8" x14ac:dyDescent="0.2">
      <c r="A335" s="5" t="s">
        <v>13</v>
      </c>
      <c r="B335" s="6" t="s">
        <v>14</v>
      </c>
      <c r="C335" s="7" t="s">
        <v>509</v>
      </c>
      <c r="D335" s="8">
        <v>-1.4283882999999999</v>
      </c>
      <c r="E335" s="8">
        <v>-6.6274819000000003</v>
      </c>
      <c r="F335" s="7"/>
      <c r="G335" s="7" t="str">
        <f t="shared" si="7"/>
        <v>Direct</v>
      </c>
      <c r="H335" s="7" t="s">
        <v>510</v>
      </c>
    </row>
    <row r="336" spans="1:8" x14ac:dyDescent="0.2">
      <c r="A336" s="5" t="s">
        <v>13</v>
      </c>
      <c r="B336" s="6" t="s">
        <v>14</v>
      </c>
      <c r="C336" s="7" t="s">
        <v>511</v>
      </c>
      <c r="D336" s="8">
        <v>1.2235559600000001</v>
      </c>
      <c r="E336" s="8">
        <v>1.52803322</v>
      </c>
      <c r="F336" s="7"/>
      <c r="G336" s="7" t="str">
        <f t="shared" si="7"/>
        <v>Direct</v>
      </c>
      <c r="H336" s="7" t="s">
        <v>16</v>
      </c>
    </row>
    <row r="337" spans="1:8" x14ac:dyDescent="0.2">
      <c r="A337" s="5" t="s">
        <v>13</v>
      </c>
      <c r="B337" s="6" t="s">
        <v>14</v>
      </c>
      <c r="C337" s="7" t="s">
        <v>512</v>
      </c>
      <c r="D337" s="8">
        <v>1.0682401399999999</v>
      </c>
      <c r="E337" s="8">
        <v>-4.8055031000000001</v>
      </c>
      <c r="F337" s="7"/>
      <c r="G337" s="7" t="str">
        <f t="shared" si="7"/>
        <v>Inverse</v>
      </c>
      <c r="H337" s="7" t="s">
        <v>513</v>
      </c>
    </row>
    <row r="338" spans="1:8" x14ac:dyDescent="0.2">
      <c r="A338" s="5" t="s">
        <v>13</v>
      </c>
      <c r="B338" s="6" t="s">
        <v>14</v>
      </c>
      <c r="C338" s="7" t="s">
        <v>514</v>
      </c>
      <c r="D338" s="8">
        <v>-2.6835155999999998</v>
      </c>
      <c r="E338" s="8">
        <v>-1.6995521</v>
      </c>
      <c r="F338" s="7"/>
      <c r="G338" s="7" t="str">
        <f t="shared" si="7"/>
        <v>Direct</v>
      </c>
      <c r="H338" s="7" t="s">
        <v>16</v>
      </c>
    </row>
    <row r="339" spans="1:8" x14ac:dyDescent="0.2">
      <c r="A339" s="5" t="s">
        <v>13</v>
      </c>
      <c r="B339" s="6" t="s">
        <v>14</v>
      </c>
      <c r="C339" s="7" t="s">
        <v>515</v>
      </c>
      <c r="D339" s="8">
        <v>-1.0593747</v>
      </c>
      <c r="E339" s="8">
        <v>-2.8541911</v>
      </c>
      <c r="F339" s="7"/>
      <c r="G339" s="7" t="str">
        <f t="shared" si="7"/>
        <v>Direct</v>
      </c>
      <c r="H339" s="7" t="s">
        <v>516</v>
      </c>
    </row>
    <row r="340" spans="1:8" x14ac:dyDescent="0.2">
      <c r="A340" s="5" t="s">
        <v>13</v>
      </c>
      <c r="B340" s="6" t="s">
        <v>14</v>
      </c>
      <c r="C340" s="7" t="s">
        <v>517</v>
      </c>
      <c r="D340" s="8">
        <v>-2.7611254999999999</v>
      </c>
      <c r="E340" s="8">
        <v>-1.1232385</v>
      </c>
      <c r="F340" s="7"/>
      <c r="G340" s="7" t="str">
        <f t="shared" si="7"/>
        <v>Direct</v>
      </c>
      <c r="H340" s="7" t="s">
        <v>518</v>
      </c>
    </row>
    <row r="341" spans="1:8" x14ac:dyDescent="0.2">
      <c r="A341" s="5" t="s">
        <v>13</v>
      </c>
      <c r="B341" s="6" t="s">
        <v>14</v>
      </c>
      <c r="C341" s="7" t="s">
        <v>519</v>
      </c>
      <c r="D341" s="8">
        <v>1.6403333099999999</v>
      </c>
      <c r="E341" s="8">
        <v>-1.0646183</v>
      </c>
      <c r="F341" s="7"/>
      <c r="G341" s="7" t="str">
        <f t="shared" si="7"/>
        <v>Inverse</v>
      </c>
      <c r="H341" s="7" t="s">
        <v>16</v>
      </c>
    </row>
    <row r="342" spans="1:8" x14ac:dyDescent="0.2">
      <c r="A342" s="5" t="s">
        <v>13</v>
      </c>
      <c r="B342" s="6" t="s">
        <v>14</v>
      </c>
      <c r="C342" s="7" t="s">
        <v>520</v>
      </c>
      <c r="D342" s="8">
        <v>1.17150471</v>
      </c>
      <c r="E342" s="8">
        <v>-2.4772813999999999</v>
      </c>
      <c r="F342" s="7"/>
      <c r="G342" s="7" t="str">
        <f t="shared" si="7"/>
        <v>Inverse</v>
      </c>
      <c r="H342" s="7" t="s">
        <v>16</v>
      </c>
    </row>
    <row r="343" spans="1:8" x14ac:dyDescent="0.2">
      <c r="A343" s="5" t="s">
        <v>13</v>
      </c>
      <c r="B343" s="6" t="s">
        <v>14</v>
      </c>
      <c r="C343" s="7" t="s">
        <v>521</v>
      </c>
      <c r="D343" s="8">
        <v>-1.6859761</v>
      </c>
      <c r="E343" s="8">
        <v>-8.7205638000000008</v>
      </c>
      <c r="F343" s="7"/>
      <c r="G343" s="7" t="str">
        <f t="shared" si="7"/>
        <v>Direct</v>
      </c>
      <c r="H343" s="7" t="s">
        <v>522</v>
      </c>
    </row>
    <row r="344" spans="1:8" x14ac:dyDescent="0.2">
      <c r="A344" s="5" t="s">
        <v>13</v>
      </c>
      <c r="B344" s="6" t="s">
        <v>14</v>
      </c>
      <c r="C344" s="7" t="s">
        <v>523</v>
      </c>
      <c r="D344" s="8">
        <v>1.68597606</v>
      </c>
      <c r="E344" s="8">
        <v>1.16847911</v>
      </c>
      <c r="F344" s="7"/>
      <c r="G344" s="7" t="str">
        <f t="shared" si="7"/>
        <v>Direct</v>
      </c>
      <c r="H344" s="7" t="s">
        <v>16</v>
      </c>
    </row>
    <row r="345" spans="1:8" x14ac:dyDescent="0.2">
      <c r="A345" s="5" t="s">
        <v>13</v>
      </c>
      <c r="B345" s="6" t="s">
        <v>14</v>
      </c>
      <c r="C345" s="7" t="s">
        <v>524</v>
      </c>
      <c r="D345" s="8">
        <v>-1.4176971</v>
      </c>
      <c r="E345" s="8">
        <v>-2.5436209999999999</v>
      </c>
      <c r="F345" s="7"/>
      <c r="G345" s="7" t="str">
        <f t="shared" si="7"/>
        <v>Direct</v>
      </c>
      <c r="H345" s="7" t="s">
        <v>525</v>
      </c>
    </row>
    <row r="346" spans="1:8" x14ac:dyDescent="0.2">
      <c r="A346" s="5" t="s">
        <v>13</v>
      </c>
      <c r="B346" s="6" t="s">
        <v>14</v>
      </c>
      <c r="C346" s="7" t="s">
        <v>526</v>
      </c>
      <c r="D346" s="8">
        <v>-2.5061377999999999</v>
      </c>
      <c r="E346" s="8">
        <v>-1.9776172000000001</v>
      </c>
      <c r="F346" s="7"/>
      <c r="G346" s="7" t="str">
        <f t="shared" si="7"/>
        <v>Direct</v>
      </c>
      <c r="H346" s="7" t="s">
        <v>16</v>
      </c>
    </row>
    <row r="347" spans="1:8" x14ac:dyDescent="0.2">
      <c r="A347" s="5" t="s">
        <v>13</v>
      </c>
      <c r="B347" s="6" t="s">
        <v>14</v>
      </c>
      <c r="C347" s="7" t="s">
        <v>527</v>
      </c>
      <c r="D347" s="8">
        <v>-1.6710048</v>
      </c>
      <c r="E347" s="8">
        <v>-1.216496</v>
      </c>
      <c r="F347" s="7"/>
      <c r="G347" s="7" t="str">
        <f t="shared" si="7"/>
        <v>Direct</v>
      </c>
      <c r="H347" s="7" t="s">
        <v>528</v>
      </c>
    </row>
    <row r="348" spans="1:8" x14ac:dyDescent="0.2">
      <c r="A348" s="5" t="s">
        <v>13</v>
      </c>
      <c r="B348" s="6" t="s">
        <v>14</v>
      </c>
      <c r="C348" s="7" t="s">
        <v>529</v>
      </c>
      <c r="D348" s="8">
        <v>-1.5465742</v>
      </c>
      <c r="E348" s="8">
        <v>-1.1848578000000001</v>
      </c>
      <c r="F348" s="7"/>
      <c r="G348" s="7" t="str">
        <f t="shared" si="7"/>
        <v>Direct</v>
      </c>
      <c r="H348" s="7" t="s">
        <v>530</v>
      </c>
    </row>
    <row r="349" spans="1:8" x14ac:dyDescent="0.2">
      <c r="A349" s="5" t="s">
        <v>13</v>
      </c>
      <c r="B349" s="6" t="s">
        <v>14</v>
      </c>
      <c r="C349" s="7" t="s">
        <v>531</v>
      </c>
      <c r="D349" s="8">
        <v>-2.7069619</v>
      </c>
      <c r="E349" s="8">
        <v>-2.5818401999999998</v>
      </c>
      <c r="F349" s="7"/>
      <c r="G349" s="7" t="str">
        <f t="shared" si="7"/>
        <v>Direct</v>
      </c>
      <c r="H349" s="7" t="s">
        <v>532</v>
      </c>
    </row>
    <row r="350" spans="1:8" x14ac:dyDescent="0.2">
      <c r="A350" s="5" t="s">
        <v>13</v>
      </c>
      <c r="B350" s="6" t="s">
        <v>14</v>
      </c>
      <c r="C350" s="7" t="s">
        <v>533</v>
      </c>
      <c r="D350" s="8">
        <v>-2.1011218999999999</v>
      </c>
      <c r="E350" s="8">
        <v>-1.2707135000000001</v>
      </c>
      <c r="F350" s="7"/>
      <c r="G350" s="7" t="str">
        <f t="shared" si="7"/>
        <v>Direct</v>
      </c>
      <c r="H350" s="7" t="s">
        <v>16</v>
      </c>
    </row>
    <row r="351" spans="1:8" x14ac:dyDescent="0.2">
      <c r="A351" s="5" t="s">
        <v>13</v>
      </c>
      <c r="B351" s="6" t="s">
        <v>14</v>
      </c>
      <c r="C351" s="7" t="s">
        <v>534</v>
      </c>
      <c r="D351" s="8">
        <v>-5.3664414000000003</v>
      </c>
      <c r="E351" s="8">
        <v>-3.1307757000000001</v>
      </c>
      <c r="F351" s="7"/>
      <c r="G351" s="7" t="str">
        <f t="shared" si="7"/>
        <v>Direct</v>
      </c>
      <c r="H351" s="7" t="s">
        <v>535</v>
      </c>
    </row>
    <row r="352" spans="1:8" x14ac:dyDescent="0.2">
      <c r="A352" s="5" t="s">
        <v>13</v>
      </c>
      <c r="B352" s="6" t="s">
        <v>14</v>
      </c>
      <c r="C352" s="7" t="s">
        <v>536</v>
      </c>
      <c r="D352" s="8">
        <v>1.0006306599999999</v>
      </c>
      <c r="E352" s="8">
        <v>1.3305730200000001</v>
      </c>
      <c r="F352" s="7"/>
      <c r="G352" s="7" t="str">
        <f t="shared" si="7"/>
        <v>Direct</v>
      </c>
      <c r="H352" s="7" t="s">
        <v>537</v>
      </c>
    </row>
    <row r="353" spans="1:8" x14ac:dyDescent="0.2">
      <c r="A353" s="5" t="s">
        <v>13</v>
      </c>
      <c r="B353" s="6" t="s">
        <v>14</v>
      </c>
      <c r="C353" s="7" t="s">
        <v>538</v>
      </c>
      <c r="D353" s="8">
        <v>-1.7182354</v>
      </c>
      <c r="E353" s="8">
        <v>-2.6054941</v>
      </c>
      <c r="F353" s="7"/>
      <c r="G353" s="7" t="str">
        <f t="shared" si="7"/>
        <v>Direct</v>
      </c>
      <c r="H353" s="7" t="s">
        <v>539</v>
      </c>
    </row>
    <row r="354" spans="1:8" x14ac:dyDescent="0.2">
      <c r="A354" s="5" t="s">
        <v>13</v>
      </c>
      <c r="B354" s="6" t="s">
        <v>14</v>
      </c>
      <c r="C354" s="7" t="s">
        <v>540</v>
      </c>
      <c r="D354" s="8">
        <v>2.63609619</v>
      </c>
      <c r="E354" s="8">
        <v>2.3839524299999999</v>
      </c>
      <c r="F354" s="7"/>
      <c r="G354" s="7" t="str">
        <f t="shared" si="7"/>
        <v>Direct</v>
      </c>
      <c r="H354" s="7" t="s">
        <v>16</v>
      </c>
    </row>
    <row r="355" spans="1:8" x14ac:dyDescent="0.2">
      <c r="A355" s="5" t="s">
        <v>13</v>
      </c>
      <c r="B355" s="6" t="s">
        <v>14</v>
      </c>
      <c r="C355" s="7" t="s">
        <v>541</v>
      </c>
      <c r="D355" s="8">
        <v>1.5429020899999999</v>
      </c>
      <c r="E355" s="8">
        <v>-3.2791481999999998</v>
      </c>
      <c r="F355" s="7"/>
      <c r="G355" s="7" t="str">
        <f t="shared" si="7"/>
        <v>Inverse</v>
      </c>
      <c r="H355" s="7" t="s">
        <v>16</v>
      </c>
    </row>
    <row r="356" spans="1:8" x14ac:dyDescent="0.2">
      <c r="A356" s="5" t="s">
        <v>13</v>
      </c>
      <c r="B356" s="6" t="s">
        <v>14</v>
      </c>
      <c r="C356" s="7" t="s">
        <v>542</v>
      </c>
      <c r="D356" s="8">
        <v>1.46844551</v>
      </c>
      <c r="E356" s="8">
        <v>-14.051104</v>
      </c>
      <c r="F356" s="7"/>
      <c r="G356" s="7" t="str">
        <f t="shared" si="7"/>
        <v>Inverse</v>
      </c>
      <c r="H356" s="7" t="s">
        <v>543</v>
      </c>
    </row>
    <row r="357" spans="1:8" x14ac:dyDescent="0.2">
      <c r="A357" s="5" t="s">
        <v>13</v>
      </c>
      <c r="B357" s="6" t="s">
        <v>14</v>
      </c>
      <c r="C357" s="7" t="s">
        <v>544</v>
      </c>
      <c r="D357" s="8">
        <v>1.0010637600000001</v>
      </c>
      <c r="E357" s="8">
        <v>-17.607279999999999</v>
      </c>
      <c r="F357" s="7"/>
      <c r="G357" s="7" t="str">
        <f t="shared" si="7"/>
        <v>Inverse</v>
      </c>
      <c r="H357" s="7" t="s">
        <v>543</v>
      </c>
    </row>
    <row r="358" spans="1:8" x14ac:dyDescent="0.2">
      <c r="A358" s="5" t="s">
        <v>13</v>
      </c>
      <c r="B358" s="6" t="s">
        <v>14</v>
      </c>
      <c r="C358" s="7" t="s">
        <v>545</v>
      </c>
      <c r="D358" s="8">
        <v>1.3558602099999999</v>
      </c>
      <c r="E358" s="8">
        <v>-14.422558</v>
      </c>
      <c r="F358" s="7"/>
      <c r="G358" s="7" t="str">
        <f t="shared" si="7"/>
        <v>Inverse</v>
      </c>
      <c r="H358" s="7" t="s">
        <v>543</v>
      </c>
    </row>
    <row r="359" spans="1:8" x14ac:dyDescent="0.2">
      <c r="A359" s="5" t="s">
        <v>13</v>
      </c>
      <c r="B359" s="6" t="s">
        <v>14</v>
      </c>
      <c r="C359" s="7" t="s">
        <v>546</v>
      </c>
      <c r="D359" s="8">
        <v>1.0417748</v>
      </c>
      <c r="E359" s="8">
        <v>2.0754229099999999</v>
      </c>
      <c r="F359" s="7"/>
      <c r="G359" s="7" t="str">
        <f t="shared" si="7"/>
        <v>Direct</v>
      </c>
      <c r="H359" s="7" t="s">
        <v>532</v>
      </c>
    </row>
    <row r="360" spans="1:8" x14ac:dyDescent="0.2">
      <c r="A360" s="5" t="s">
        <v>13</v>
      </c>
      <c r="B360" s="6" t="s">
        <v>14</v>
      </c>
      <c r="C360" s="7" t="s">
        <v>547</v>
      </c>
      <c r="D360" s="8">
        <v>1.74353165</v>
      </c>
      <c r="E360" s="8">
        <v>-4.3052590000000004</v>
      </c>
      <c r="F360" s="7"/>
      <c r="G360" s="7" t="str">
        <f t="shared" si="7"/>
        <v>Inverse</v>
      </c>
      <c r="H360" s="7" t="s">
        <v>16</v>
      </c>
    </row>
    <row r="361" spans="1:8" x14ac:dyDescent="0.2">
      <c r="A361" s="5" t="s">
        <v>13</v>
      </c>
      <c r="B361" s="6" t="s">
        <v>14</v>
      </c>
      <c r="C361" s="7" t="s">
        <v>548</v>
      </c>
      <c r="D361" s="8">
        <v>1.6672407199999999</v>
      </c>
      <c r="E361" s="8">
        <v>-13.868516</v>
      </c>
      <c r="F361" s="7"/>
      <c r="G361" s="7" t="str">
        <f t="shared" si="7"/>
        <v>Inverse</v>
      </c>
      <c r="H361" s="7" t="s">
        <v>42</v>
      </c>
    </row>
    <row r="362" spans="1:8" x14ac:dyDescent="0.2">
      <c r="A362" s="5" t="s">
        <v>13</v>
      </c>
      <c r="B362" s="6" t="s">
        <v>14</v>
      </c>
      <c r="C362" s="7" t="s">
        <v>549</v>
      </c>
      <c r="D362" s="8">
        <v>1.2621273900000001</v>
      </c>
      <c r="E362" s="8">
        <v>-3.6478514999999998</v>
      </c>
      <c r="F362" s="7"/>
      <c r="G362" s="7" t="str">
        <f t="shared" si="7"/>
        <v>Inverse</v>
      </c>
      <c r="H362" s="7" t="s">
        <v>92</v>
      </c>
    </row>
    <row r="363" spans="1:8" x14ac:dyDescent="0.2">
      <c r="A363" s="5" t="s">
        <v>13</v>
      </c>
      <c r="B363" s="6" t="s">
        <v>14</v>
      </c>
      <c r="C363" s="7" t="s">
        <v>550</v>
      </c>
      <c r="D363" s="8">
        <v>-1.4510318</v>
      </c>
      <c r="E363" s="8">
        <v>-2.1401656</v>
      </c>
      <c r="F363" s="7"/>
      <c r="G363" s="7" t="str">
        <f t="shared" si="7"/>
        <v>Direct</v>
      </c>
      <c r="H363" s="7" t="s">
        <v>551</v>
      </c>
    </row>
    <row r="364" spans="1:8" x14ac:dyDescent="0.2">
      <c r="A364" s="5" t="s">
        <v>13</v>
      </c>
      <c r="B364" s="6" t="s">
        <v>14</v>
      </c>
      <c r="C364" s="7" t="s">
        <v>552</v>
      </c>
      <c r="D364" s="8">
        <v>-1.6124366999999999</v>
      </c>
      <c r="E364" s="8">
        <v>-18.308727000000001</v>
      </c>
      <c r="F364" s="7"/>
      <c r="G364" s="7" t="str">
        <f t="shared" si="7"/>
        <v>Direct</v>
      </c>
      <c r="H364" s="7" t="s">
        <v>553</v>
      </c>
    </row>
    <row r="365" spans="1:8" x14ac:dyDescent="0.2">
      <c r="A365" s="5" t="s">
        <v>13</v>
      </c>
      <c r="B365" s="6" t="s">
        <v>14</v>
      </c>
      <c r="C365" s="7" t="s">
        <v>554</v>
      </c>
      <c r="D365" s="8">
        <v>6.0437872800000001</v>
      </c>
      <c r="E365" s="8">
        <v>1.8623094499999999</v>
      </c>
      <c r="F365" s="7"/>
      <c r="G365" s="7" t="str">
        <f t="shared" si="7"/>
        <v>Direct</v>
      </c>
      <c r="H365" s="7" t="s">
        <v>555</v>
      </c>
    </row>
    <row r="366" spans="1:8" x14ac:dyDescent="0.2">
      <c r="A366" s="5" t="s">
        <v>13</v>
      </c>
      <c r="B366" s="6" t="s">
        <v>14</v>
      </c>
      <c r="C366" s="7" t="s">
        <v>556</v>
      </c>
      <c r="D366" s="8">
        <v>-1.8451027</v>
      </c>
      <c r="E366" s="8">
        <v>-13.805263</v>
      </c>
      <c r="F366" s="7"/>
      <c r="G366" s="7" t="str">
        <f t="shared" si="7"/>
        <v>Direct</v>
      </c>
      <c r="H366" s="7" t="s">
        <v>16</v>
      </c>
    </row>
    <row r="367" spans="1:8" x14ac:dyDescent="0.2">
      <c r="A367" s="5" t="s">
        <v>13</v>
      </c>
      <c r="B367" s="6" t="s">
        <v>14</v>
      </c>
      <c r="C367" s="7" t="s">
        <v>557</v>
      </c>
      <c r="D367" s="8">
        <v>-1.0073852000000001</v>
      </c>
      <c r="E367" s="8">
        <v>-4.1945085999999998</v>
      </c>
      <c r="F367" s="7"/>
      <c r="G367" s="7" t="str">
        <f t="shared" si="7"/>
        <v>Direct</v>
      </c>
      <c r="H367" s="7" t="s">
        <v>558</v>
      </c>
    </row>
    <row r="368" spans="1:8" x14ac:dyDescent="0.2">
      <c r="A368" s="5" t="s">
        <v>13</v>
      </c>
      <c r="B368" s="6" t="s">
        <v>14</v>
      </c>
      <c r="C368" s="7" t="s">
        <v>559</v>
      </c>
      <c r="D368" s="8">
        <v>-1.2632587</v>
      </c>
      <c r="E368" s="8">
        <v>-3.8161233999999999</v>
      </c>
      <c r="F368" s="7"/>
      <c r="G368" s="7" t="str">
        <f t="shared" si="7"/>
        <v>Direct</v>
      </c>
      <c r="H368" s="7" t="s">
        <v>560</v>
      </c>
    </row>
    <row r="369" spans="1:8" x14ac:dyDescent="0.2">
      <c r="A369" s="5" t="s">
        <v>13</v>
      </c>
      <c r="B369" s="6" t="s">
        <v>14</v>
      </c>
      <c r="C369" s="7" t="s">
        <v>561</v>
      </c>
      <c r="D369" s="8">
        <v>-2.3250198000000002</v>
      </c>
      <c r="E369" s="8">
        <v>-1.8194953</v>
      </c>
      <c r="F369" s="7"/>
      <c r="G369" s="7" t="str">
        <f t="shared" si="7"/>
        <v>Direct</v>
      </c>
      <c r="H369" s="7" t="s">
        <v>16</v>
      </c>
    </row>
    <row r="370" spans="1:8" x14ac:dyDescent="0.2">
      <c r="A370" s="5" t="s">
        <v>13</v>
      </c>
      <c r="B370" s="6" t="s">
        <v>14</v>
      </c>
      <c r="C370" s="7" t="s">
        <v>562</v>
      </c>
      <c r="D370" s="8">
        <v>-5.0667216000000002</v>
      </c>
      <c r="E370" s="8">
        <v>-9.9479959000000004</v>
      </c>
      <c r="F370" s="7"/>
      <c r="G370" s="7" t="str">
        <f t="shared" si="7"/>
        <v>Direct</v>
      </c>
      <c r="H370" s="7" t="s">
        <v>563</v>
      </c>
    </row>
    <row r="371" spans="1:8" x14ac:dyDescent="0.2">
      <c r="A371" s="5" t="s">
        <v>13</v>
      </c>
      <c r="B371" s="6" t="s">
        <v>14</v>
      </c>
      <c r="C371" s="7" t="s">
        <v>564</v>
      </c>
      <c r="D371" s="8">
        <v>-2.7611254999999999</v>
      </c>
      <c r="E371" s="8">
        <v>-2.4480936</v>
      </c>
      <c r="F371" s="7"/>
      <c r="G371" s="7" t="str">
        <f t="shared" si="7"/>
        <v>Direct</v>
      </c>
      <c r="H371" s="7" t="s">
        <v>563</v>
      </c>
    </row>
    <row r="372" spans="1:8" x14ac:dyDescent="0.2">
      <c r="A372" s="5" t="s">
        <v>13</v>
      </c>
      <c r="B372" s="6" t="s">
        <v>14</v>
      </c>
      <c r="C372" s="7" t="s">
        <v>565</v>
      </c>
      <c r="D372" s="8">
        <v>-1.7301268000000001</v>
      </c>
      <c r="E372" s="8">
        <v>-1.8280320000000001</v>
      </c>
      <c r="F372" s="7"/>
      <c r="G372" s="7" t="str">
        <f t="shared" si="7"/>
        <v>Direct</v>
      </c>
      <c r="H372" s="7" t="s">
        <v>16</v>
      </c>
    </row>
    <row r="373" spans="1:8" x14ac:dyDescent="0.2">
      <c r="A373" s="5" t="s">
        <v>13</v>
      </c>
      <c r="B373" s="6" t="s">
        <v>14</v>
      </c>
      <c r="C373" s="7" t="s">
        <v>566</v>
      </c>
      <c r="D373" s="8">
        <v>-1.6706255000000001</v>
      </c>
      <c r="E373" s="8">
        <v>-2.2366174999999999</v>
      </c>
      <c r="F373" s="7"/>
      <c r="G373" s="7" t="str">
        <f t="shared" si="7"/>
        <v>Direct</v>
      </c>
      <c r="H373" s="7" t="s">
        <v>567</v>
      </c>
    </row>
    <row r="374" spans="1:8" x14ac:dyDescent="0.2">
      <c r="A374" s="5" t="s">
        <v>13</v>
      </c>
      <c r="B374" s="6" t="s">
        <v>14</v>
      </c>
      <c r="C374" s="7" t="s">
        <v>568</v>
      </c>
      <c r="D374" s="8">
        <v>2.0906941099999998</v>
      </c>
      <c r="E374" s="8">
        <v>1.8072035799999999</v>
      </c>
      <c r="F374" s="7"/>
      <c r="G374" s="7" t="str">
        <f t="shared" si="7"/>
        <v>Direct</v>
      </c>
      <c r="H374" s="7" t="s">
        <v>569</v>
      </c>
    </row>
    <row r="375" spans="1:8" x14ac:dyDescent="0.2">
      <c r="A375" s="5" t="s">
        <v>13</v>
      </c>
      <c r="B375" s="6" t="s">
        <v>14</v>
      </c>
      <c r="C375" s="7" t="s">
        <v>570</v>
      </c>
      <c r="D375" s="8">
        <v>-3.6418096000000002</v>
      </c>
      <c r="E375" s="8">
        <v>-1.5451447</v>
      </c>
      <c r="F375" s="7"/>
      <c r="G375" s="7" t="str">
        <f t="shared" si="7"/>
        <v>Direct</v>
      </c>
      <c r="H375" s="7" t="s">
        <v>571</v>
      </c>
    </row>
    <row r="376" spans="1:8" x14ac:dyDescent="0.2">
      <c r="A376" s="5" t="s">
        <v>13</v>
      </c>
      <c r="B376" s="6" t="s">
        <v>14</v>
      </c>
      <c r="C376" s="7" t="s">
        <v>572</v>
      </c>
      <c r="D376" s="8">
        <v>-4.6628183999999999</v>
      </c>
      <c r="E376" s="8">
        <v>-3.9198960999999999</v>
      </c>
      <c r="F376" s="7"/>
      <c r="G376" s="7" t="str">
        <f t="shared" si="7"/>
        <v>Direct</v>
      </c>
      <c r="H376" s="7" t="s">
        <v>16</v>
      </c>
    </row>
    <row r="377" spans="1:8" x14ac:dyDescent="0.2">
      <c r="A377" s="5" t="s">
        <v>13</v>
      </c>
      <c r="B377" s="6" t="s">
        <v>14</v>
      </c>
      <c r="C377" s="7" t="s">
        <v>573</v>
      </c>
      <c r="D377" s="8">
        <v>-3.1144319</v>
      </c>
      <c r="E377" s="8">
        <v>-1.4585303999999999</v>
      </c>
      <c r="F377" s="7"/>
      <c r="G377" s="7" t="str">
        <f t="shared" si="7"/>
        <v>Direct</v>
      </c>
      <c r="H377" s="7" t="s">
        <v>16</v>
      </c>
    </row>
    <row r="378" spans="1:8" x14ac:dyDescent="0.2">
      <c r="A378" s="5" t="s">
        <v>13</v>
      </c>
      <c r="B378" s="6" t="s">
        <v>14</v>
      </c>
      <c r="C378" s="7" t="s">
        <v>574</v>
      </c>
      <c r="D378" s="8">
        <v>-1.1234481000000001</v>
      </c>
      <c r="E378" s="8">
        <v>-1.1763162</v>
      </c>
      <c r="F378" s="7"/>
      <c r="G378" s="7" t="str">
        <f t="shared" si="7"/>
        <v>Direct</v>
      </c>
      <c r="H378" s="7" t="s">
        <v>16</v>
      </c>
    </row>
    <row r="379" spans="1:8" x14ac:dyDescent="0.2">
      <c r="A379" s="5" t="s">
        <v>13</v>
      </c>
      <c r="B379" s="6" t="s">
        <v>14</v>
      </c>
      <c r="C379" s="7" t="s">
        <v>575</v>
      </c>
      <c r="D379" s="8">
        <v>-1.6708156999999999</v>
      </c>
      <c r="E379" s="8">
        <v>-2.4630751000000002</v>
      </c>
      <c r="F379" s="7"/>
      <c r="G379" s="7" t="str">
        <f t="shared" si="7"/>
        <v>Direct</v>
      </c>
      <c r="H379" s="7" t="s">
        <v>576</v>
      </c>
    </row>
    <row r="380" spans="1:8" x14ac:dyDescent="0.2">
      <c r="A380" s="5" t="s">
        <v>13</v>
      </c>
      <c r="B380" s="6" t="s">
        <v>14</v>
      </c>
      <c r="C380" s="7" t="s">
        <v>577</v>
      </c>
      <c r="D380" s="8">
        <v>2.0564280699999999</v>
      </c>
      <c r="E380" s="8">
        <v>-3.3286699999999998</v>
      </c>
      <c r="F380" s="7"/>
      <c r="G380" s="7" t="str">
        <f t="shared" si="7"/>
        <v>Inverse</v>
      </c>
      <c r="H380" s="7" t="s">
        <v>16</v>
      </c>
    </row>
    <row r="381" spans="1:8" x14ac:dyDescent="0.2">
      <c r="A381" s="5" t="s">
        <v>13</v>
      </c>
      <c r="B381" s="6" t="s">
        <v>14</v>
      </c>
      <c r="C381" s="7" t="s">
        <v>578</v>
      </c>
      <c r="D381" s="8">
        <v>-1.5314055</v>
      </c>
      <c r="E381" s="8">
        <v>2.9463920199999998</v>
      </c>
      <c r="F381" s="7"/>
      <c r="G381" s="7" t="str">
        <f t="shared" si="7"/>
        <v>Inverse</v>
      </c>
      <c r="H381" s="7" t="s">
        <v>16</v>
      </c>
    </row>
    <row r="382" spans="1:8" x14ac:dyDescent="0.2">
      <c r="A382" s="5" t="s">
        <v>13</v>
      </c>
      <c r="B382" s="6" t="s">
        <v>14</v>
      </c>
      <c r="C382" s="7" t="s">
        <v>579</v>
      </c>
      <c r="D382" s="8">
        <v>1.89664915</v>
      </c>
      <c r="E382" s="8">
        <v>-2.7907993000000002</v>
      </c>
      <c r="F382" s="7"/>
      <c r="G382" s="7" t="str">
        <f t="shared" si="7"/>
        <v>Inverse</v>
      </c>
      <c r="H382" s="7" t="s">
        <v>580</v>
      </c>
    </row>
    <row r="383" spans="1:8" x14ac:dyDescent="0.2">
      <c r="A383" s="5" t="s">
        <v>13</v>
      </c>
      <c r="B383" s="6" t="s">
        <v>14</v>
      </c>
      <c r="C383" s="7" t="s">
        <v>581</v>
      </c>
      <c r="D383" s="8">
        <v>-1.556996</v>
      </c>
      <c r="E383" s="8">
        <v>1.4127939599999999</v>
      </c>
      <c r="F383" s="7"/>
      <c r="G383" s="7" t="str">
        <f t="shared" si="7"/>
        <v>Inverse</v>
      </c>
      <c r="H383" s="7" t="s">
        <v>582</v>
      </c>
    </row>
    <row r="384" spans="1:8" x14ac:dyDescent="0.2">
      <c r="A384" s="5" t="s">
        <v>13</v>
      </c>
      <c r="B384" s="6" t="s">
        <v>14</v>
      </c>
      <c r="C384" s="7" t="s">
        <v>583</v>
      </c>
      <c r="D384" s="8">
        <v>1.0154038299999999</v>
      </c>
      <c r="E384" s="8">
        <v>-4.6658397000000003</v>
      </c>
      <c r="F384" s="7"/>
      <c r="G384" s="7" t="str">
        <f t="shared" si="7"/>
        <v>Inverse</v>
      </c>
      <c r="H384" s="7" t="s">
        <v>584</v>
      </c>
    </row>
    <row r="385" spans="1:8" x14ac:dyDescent="0.2">
      <c r="A385" s="5" t="s">
        <v>13</v>
      </c>
      <c r="B385" s="6" t="s">
        <v>14</v>
      </c>
      <c r="C385" s="7" t="s">
        <v>585</v>
      </c>
      <c r="D385" s="8">
        <v>1.8986075200000001</v>
      </c>
      <c r="E385" s="8">
        <v>2.8131933899999999</v>
      </c>
      <c r="F385" s="7"/>
      <c r="G385" s="7" t="str">
        <f t="shared" si="7"/>
        <v>Direct</v>
      </c>
      <c r="H385" s="7" t="s">
        <v>16</v>
      </c>
    </row>
    <row r="386" spans="1:8" x14ac:dyDescent="0.2">
      <c r="A386" s="5" t="s">
        <v>13</v>
      </c>
      <c r="B386" s="6" t="s">
        <v>14</v>
      </c>
      <c r="C386" s="7" t="s">
        <v>586</v>
      </c>
      <c r="D386" s="8">
        <v>-1.866252</v>
      </c>
      <c r="E386" s="8">
        <v>-1.2047285000000001</v>
      </c>
      <c r="F386" s="7"/>
      <c r="G386" s="7" t="str">
        <f t="shared" si="7"/>
        <v>Direct</v>
      </c>
      <c r="H386" s="7" t="s">
        <v>587</v>
      </c>
    </row>
    <row r="387" spans="1:8" x14ac:dyDescent="0.2">
      <c r="A387" s="5" t="s">
        <v>13</v>
      </c>
      <c r="B387" s="6" t="s">
        <v>14</v>
      </c>
      <c r="C387" s="7" t="s">
        <v>588</v>
      </c>
      <c r="D387" s="8">
        <v>-1.5755858</v>
      </c>
      <c r="E387" s="8">
        <v>-1.7008601000000001</v>
      </c>
      <c r="F387" s="7"/>
      <c r="G387" s="7" t="str">
        <f t="shared" si="7"/>
        <v>Direct</v>
      </c>
      <c r="H387" s="7" t="s">
        <v>16</v>
      </c>
    </row>
    <row r="388" spans="1:8" x14ac:dyDescent="0.2">
      <c r="A388" s="5" t="s">
        <v>13</v>
      </c>
      <c r="B388" s="6" t="s">
        <v>14</v>
      </c>
      <c r="C388" s="7" t="s">
        <v>589</v>
      </c>
      <c r="D388" s="8">
        <v>-1.6859761</v>
      </c>
      <c r="E388" s="8">
        <v>-1.5143542000000001</v>
      </c>
      <c r="F388" s="7"/>
      <c r="G388" s="7" t="str">
        <f t="shared" si="7"/>
        <v>Direct</v>
      </c>
      <c r="H388" s="7" t="s">
        <v>590</v>
      </c>
    </row>
    <row r="389" spans="1:8" x14ac:dyDescent="0.2">
      <c r="A389" s="5" t="s">
        <v>13</v>
      </c>
      <c r="B389" s="6" t="s">
        <v>14</v>
      </c>
      <c r="C389" s="7" t="s">
        <v>591</v>
      </c>
      <c r="D389" s="8">
        <v>-1.2551999</v>
      </c>
      <c r="E389" s="8">
        <v>16.391345900000001</v>
      </c>
      <c r="F389" s="7"/>
      <c r="G389" s="7" t="str">
        <f t="shared" si="7"/>
        <v>Inverse</v>
      </c>
      <c r="H389" s="7" t="s">
        <v>16</v>
      </c>
    </row>
    <row r="390" spans="1:8" x14ac:dyDescent="0.2">
      <c r="A390" s="5" t="s">
        <v>13</v>
      </c>
      <c r="B390" s="6" t="s">
        <v>14</v>
      </c>
      <c r="C390" s="7" t="s">
        <v>592</v>
      </c>
      <c r="D390" s="8">
        <v>1.3949575000000001</v>
      </c>
      <c r="E390" s="8">
        <v>-19.641179999999999</v>
      </c>
      <c r="F390" s="7"/>
      <c r="G390" s="7" t="str">
        <f t="shared" si="7"/>
        <v>Inverse</v>
      </c>
      <c r="H390" s="7" t="s">
        <v>16</v>
      </c>
    </row>
    <row r="391" spans="1:8" x14ac:dyDescent="0.2">
      <c r="A391" s="5" t="s">
        <v>13</v>
      </c>
      <c r="B391" s="6" t="s">
        <v>14</v>
      </c>
      <c r="C391" s="7" t="s">
        <v>593</v>
      </c>
      <c r="D391" s="8">
        <v>-3.5433213000000001</v>
      </c>
      <c r="E391" s="8">
        <v>-2.3620418999999999</v>
      </c>
      <c r="F391" s="7"/>
      <c r="G391" s="7" t="str">
        <f t="shared" si="7"/>
        <v>Direct</v>
      </c>
      <c r="H391" s="7" t="s">
        <v>594</v>
      </c>
    </row>
    <row r="392" spans="1:8" x14ac:dyDescent="0.2">
      <c r="A392" s="5" t="s">
        <v>13</v>
      </c>
      <c r="B392" s="6" t="s">
        <v>14</v>
      </c>
      <c r="C392" s="7" t="s">
        <v>595</v>
      </c>
      <c r="D392" s="8">
        <v>-3.6005850000000001</v>
      </c>
      <c r="E392" s="8">
        <v>-7.6856337000000003</v>
      </c>
      <c r="F392" s="7"/>
      <c r="G392" s="7" t="str">
        <f t="shared" si="7"/>
        <v>Direct</v>
      </c>
      <c r="H392" s="7" t="s">
        <v>596</v>
      </c>
    </row>
    <row r="393" spans="1:8" x14ac:dyDescent="0.2">
      <c r="A393" s="5" t="s">
        <v>13</v>
      </c>
      <c r="B393" s="6" t="s">
        <v>14</v>
      </c>
      <c r="C393" s="7" t="s">
        <v>597</v>
      </c>
      <c r="D393" s="8">
        <v>-2.3282398999999998</v>
      </c>
      <c r="E393" s="8">
        <v>-2.4055485999999999</v>
      </c>
      <c r="F393" s="7"/>
      <c r="G393" s="7" t="str">
        <f t="shared" si="7"/>
        <v>Direct</v>
      </c>
      <c r="H393" s="7" t="s">
        <v>16</v>
      </c>
    </row>
    <row r="394" spans="1:8" x14ac:dyDescent="0.2">
      <c r="A394" s="5" t="s">
        <v>13</v>
      </c>
      <c r="B394" s="6" t="s">
        <v>14</v>
      </c>
      <c r="C394" s="7" t="s">
        <v>598</v>
      </c>
      <c r="D394" s="8">
        <v>1.2266015299999999</v>
      </c>
      <c r="E394" s="8">
        <v>-3.9756604000000002</v>
      </c>
      <c r="F394" s="7"/>
      <c r="G394" s="7" t="str">
        <f t="shared" si="7"/>
        <v>Inverse</v>
      </c>
      <c r="H394" s="7" t="s">
        <v>599</v>
      </c>
    </row>
    <row r="395" spans="1:8" x14ac:dyDescent="0.2">
      <c r="A395" s="5" t="s">
        <v>13</v>
      </c>
      <c r="B395" s="6" t="s">
        <v>14</v>
      </c>
      <c r="C395" s="7" t="s">
        <v>600</v>
      </c>
      <c r="D395" s="8">
        <v>-3.9593804000000001</v>
      </c>
      <c r="E395" s="8">
        <v>-3.8724382999999998</v>
      </c>
      <c r="F395" s="7"/>
      <c r="G395" s="7" t="str">
        <f t="shared" si="7"/>
        <v>Direct</v>
      </c>
      <c r="H395" s="7" t="s">
        <v>601</v>
      </c>
    </row>
    <row r="396" spans="1:8" x14ac:dyDescent="0.2">
      <c r="A396" s="5" t="s">
        <v>13</v>
      </c>
      <c r="B396" s="6" t="s">
        <v>14</v>
      </c>
      <c r="C396" s="7" t="s">
        <v>602</v>
      </c>
      <c r="D396" s="8">
        <v>-2.6360961999999999</v>
      </c>
      <c r="E396" s="8">
        <v>-1.3553329000000001</v>
      </c>
      <c r="F396" s="7"/>
      <c r="G396" s="7" t="str">
        <f t="shared" si="7"/>
        <v>Direct</v>
      </c>
      <c r="H396" s="7" t="s">
        <v>16</v>
      </c>
    </row>
    <row r="397" spans="1:8" x14ac:dyDescent="0.2">
      <c r="A397" s="5" t="s">
        <v>13</v>
      </c>
      <c r="B397" s="6" t="s">
        <v>14</v>
      </c>
      <c r="C397" s="7" t="s">
        <v>603</v>
      </c>
      <c r="D397" s="8">
        <v>-3.7273067000000002</v>
      </c>
      <c r="E397" s="8">
        <v>-7.0596560999999998</v>
      </c>
      <c r="F397" s="7"/>
      <c r="G397" s="7" t="str">
        <f t="shared" si="7"/>
        <v>Direct</v>
      </c>
      <c r="H397" s="7" t="s">
        <v>604</v>
      </c>
    </row>
    <row r="398" spans="1:8" x14ac:dyDescent="0.2">
      <c r="A398" s="5" t="s">
        <v>13</v>
      </c>
      <c r="B398" s="6" t="s">
        <v>14</v>
      </c>
      <c r="C398" s="7" t="s">
        <v>605</v>
      </c>
      <c r="D398" s="8">
        <v>-1.8404632999999999</v>
      </c>
      <c r="E398" s="8">
        <v>-2.7495402000000002</v>
      </c>
      <c r="F398" s="7"/>
      <c r="G398" s="7" t="str">
        <f t="shared" si="7"/>
        <v>Direct</v>
      </c>
      <c r="H398" s="7" t="s">
        <v>606</v>
      </c>
    </row>
    <row r="399" spans="1:8" x14ac:dyDescent="0.2">
      <c r="A399" s="5" t="s">
        <v>13</v>
      </c>
      <c r="B399" s="6" t="s">
        <v>14</v>
      </c>
      <c r="C399" s="7" t="s">
        <v>607</v>
      </c>
      <c r="D399" s="8">
        <v>-1.2280366</v>
      </c>
      <c r="E399" s="8">
        <v>-8.9641552999999998</v>
      </c>
      <c r="F399" s="7"/>
      <c r="G399" s="7" t="str">
        <f t="shared" si="7"/>
        <v>Direct</v>
      </c>
      <c r="H399" s="7" t="s">
        <v>608</v>
      </c>
    </row>
    <row r="400" spans="1:8" x14ac:dyDescent="0.2">
      <c r="A400" s="5" t="s">
        <v>13</v>
      </c>
      <c r="B400" s="6" t="s">
        <v>14</v>
      </c>
      <c r="C400" s="7" t="s">
        <v>609</v>
      </c>
      <c r="D400" s="8">
        <v>-1.3869393999999999</v>
      </c>
      <c r="E400" s="8">
        <v>-1.3166255</v>
      </c>
      <c r="F400" s="7"/>
      <c r="G400" s="7" t="str">
        <f t="shared" si="7"/>
        <v>Direct</v>
      </c>
      <c r="H400" s="7" t="s">
        <v>610</v>
      </c>
    </row>
    <row r="401" spans="1:8" x14ac:dyDescent="0.2">
      <c r="A401" s="5" t="s">
        <v>13</v>
      </c>
      <c r="B401" s="6" t="s">
        <v>14</v>
      </c>
      <c r="C401" s="7" t="s">
        <v>611</v>
      </c>
      <c r="D401" s="8">
        <v>2.9328114300000001</v>
      </c>
      <c r="E401" s="8">
        <v>1.9195696900000001</v>
      </c>
      <c r="F401" s="7"/>
      <c r="G401" s="7" t="str">
        <f t="shared" si="7"/>
        <v>Direct</v>
      </c>
      <c r="H401" s="7" t="s">
        <v>16</v>
      </c>
    </row>
    <row r="402" spans="1:8" x14ac:dyDescent="0.2">
      <c r="A402" s="5" t="s">
        <v>13</v>
      </c>
      <c r="B402" s="6" t="s">
        <v>14</v>
      </c>
      <c r="C402" s="7" t="s">
        <v>612</v>
      </c>
      <c r="D402" s="8">
        <v>-1.5379499999999999</v>
      </c>
      <c r="E402" s="8">
        <v>-3.3970425</v>
      </c>
      <c r="F402" s="7"/>
      <c r="G402" s="7" t="str">
        <f t="shared" si="7"/>
        <v>Direct</v>
      </c>
      <c r="H402" s="7" t="s">
        <v>613</v>
      </c>
    </row>
    <row r="403" spans="1:8" x14ac:dyDescent="0.2">
      <c r="A403" s="5" t="s">
        <v>13</v>
      </c>
      <c r="B403" s="6" t="s">
        <v>14</v>
      </c>
      <c r="C403" s="7" t="s">
        <v>614</v>
      </c>
      <c r="D403" s="8">
        <v>1.0960899</v>
      </c>
      <c r="E403" s="8">
        <v>1.6720692100000001</v>
      </c>
      <c r="F403" s="7"/>
      <c r="G403" s="7" t="str">
        <f t="shared" si="7"/>
        <v>Direct</v>
      </c>
      <c r="H403" s="7" t="s">
        <v>16</v>
      </c>
    </row>
    <row r="404" spans="1:8" x14ac:dyDescent="0.2">
      <c r="A404" s="5" t="s">
        <v>13</v>
      </c>
      <c r="B404" s="6" t="s">
        <v>14</v>
      </c>
      <c r="C404" s="7" t="s">
        <v>615</v>
      </c>
      <c r="D404" s="8">
        <v>1.7658814599999999</v>
      </c>
      <c r="E404" s="8">
        <v>1.4206129700000001</v>
      </c>
      <c r="F404" s="7"/>
      <c r="G404" s="7" t="str">
        <f t="shared" si="7"/>
        <v>Direct</v>
      </c>
      <c r="H404" s="7" t="s">
        <v>16</v>
      </c>
    </row>
    <row r="405" spans="1:8" x14ac:dyDescent="0.2">
      <c r="A405" s="5" t="s">
        <v>13</v>
      </c>
      <c r="B405" s="6" t="s">
        <v>14</v>
      </c>
      <c r="C405" s="7" t="s">
        <v>616</v>
      </c>
      <c r="D405" s="8">
        <v>2.4520469899999999</v>
      </c>
      <c r="E405" s="8">
        <v>4.8962046700000004</v>
      </c>
      <c r="F405" s="7"/>
      <c r="G405" s="7" t="str">
        <f t="shared" si="7"/>
        <v>Direct</v>
      </c>
      <c r="H405" s="7" t="s">
        <v>16</v>
      </c>
    </row>
    <row r="406" spans="1:8" x14ac:dyDescent="0.2">
      <c r="A406" s="5" t="s">
        <v>13</v>
      </c>
      <c r="B406" s="6" t="s">
        <v>14</v>
      </c>
      <c r="C406" s="7" t="s">
        <v>617</v>
      </c>
      <c r="D406" s="8">
        <v>-3.7552720000000002</v>
      </c>
      <c r="E406" s="8">
        <v>-2.0248203999999999</v>
      </c>
      <c r="F406" s="7"/>
      <c r="G406" s="7" t="str">
        <f t="shared" si="7"/>
        <v>Direct</v>
      </c>
      <c r="H406" s="7" t="s">
        <v>16</v>
      </c>
    </row>
    <row r="407" spans="1:8" x14ac:dyDescent="0.2">
      <c r="A407" s="5" t="s">
        <v>13</v>
      </c>
      <c r="B407" s="6" t="s">
        <v>14</v>
      </c>
      <c r="C407" s="7" t="s">
        <v>618</v>
      </c>
      <c r="D407" s="8">
        <v>-3.1954080999999999</v>
      </c>
      <c r="E407" s="8">
        <v>-3.1674627000000002</v>
      </c>
      <c r="F407" s="7"/>
      <c r="G407" s="7" t="str">
        <f t="shared" si="7"/>
        <v>Direct</v>
      </c>
      <c r="H407" s="7" t="s">
        <v>16</v>
      </c>
    </row>
    <row r="408" spans="1:8" x14ac:dyDescent="0.2">
      <c r="A408" s="5" t="s">
        <v>13</v>
      </c>
      <c r="B408" s="6" t="s">
        <v>14</v>
      </c>
      <c r="C408" s="7" t="s">
        <v>619</v>
      </c>
      <c r="D408" s="8">
        <v>-1.4450259999999999</v>
      </c>
      <c r="E408" s="8">
        <v>-1.0458589</v>
      </c>
      <c r="F408" s="7"/>
      <c r="G408" s="7" t="str">
        <f t="shared" si="7"/>
        <v>Direct</v>
      </c>
      <c r="H408" s="7" t="s">
        <v>16</v>
      </c>
    </row>
    <row r="409" spans="1:8" x14ac:dyDescent="0.2">
      <c r="A409" s="5" t="s">
        <v>13</v>
      </c>
      <c r="B409" s="6" t="s">
        <v>14</v>
      </c>
      <c r="C409" s="7" t="s">
        <v>620</v>
      </c>
      <c r="D409" s="8">
        <v>1.6421923700000001</v>
      </c>
      <c r="E409" s="8">
        <v>-4.8529466000000001</v>
      </c>
      <c r="F409" s="7"/>
      <c r="G409" s="7" t="str">
        <f t="shared" si="7"/>
        <v>Inverse</v>
      </c>
      <c r="H409" s="7" t="s">
        <v>621</v>
      </c>
    </row>
    <row r="410" spans="1:8" x14ac:dyDescent="0.2">
      <c r="A410" s="5" t="s">
        <v>13</v>
      </c>
      <c r="B410" s="6" t="s">
        <v>14</v>
      </c>
      <c r="C410" s="7" t="s">
        <v>622</v>
      </c>
      <c r="D410" s="8">
        <v>-1.1890114000000001</v>
      </c>
      <c r="E410" s="8">
        <v>-1.4417692</v>
      </c>
      <c r="F410" s="7"/>
      <c r="G410" s="7" t="str">
        <f t="shared" si="7"/>
        <v>Direct</v>
      </c>
      <c r="H410" s="7" t="s">
        <v>623</v>
      </c>
    </row>
    <row r="411" spans="1:8" x14ac:dyDescent="0.2">
      <c r="A411" s="5" t="s">
        <v>13</v>
      </c>
      <c r="B411" s="6" t="s">
        <v>14</v>
      </c>
      <c r="C411" s="7" t="s">
        <v>624</v>
      </c>
      <c r="D411" s="8">
        <v>2.2272648400000001</v>
      </c>
      <c r="E411" s="8">
        <v>1.63076789</v>
      </c>
      <c r="F411" s="7"/>
      <c r="G411" s="7" t="str">
        <f t="shared" si="7"/>
        <v>Direct</v>
      </c>
      <c r="H411" s="7" t="s">
        <v>625</v>
      </c>
    </row>
    <row r="412" spans="1:8" x14ac:dyDescent="0.2">
      <c r="A412" s="5" t="s">
        <v>13</v>
      </c>
      <c r="B412" s="6" t="s">
        <v>14</v>
      </c>
      <c r="C412" s="7" t="s">
        <v>626</v>
      </c>
      <c r="D412" s="8">
        <v>-1.8526328000000001</v>
      </c>
      <c r="E412" s="8">
        <v>1.63901462</v>
      </c>
      <c r="F412" s="7"/>
      <c r="G412" s="7" t="str">
        <f t="shared" si="7"/>
        <v>Inverse</v>
      </c>
      <c r="H412" s="7" t="s">
        <v>627</v>
      </c>
    </row>
    <row r="413" spans="1:8" x14ac:dyDescent="0.2">
      <c r="A413" s="5" t="s">
        <v>13</v>
      </c>
      <c r="B413" s="6" t="s">
        <v>14</v>
      </c>
      <c r="C413" s="7" t="s">
        <v>628</v>
      </c>
      <c r="D413" s="8">
        <v>-1.6235417000000001</v>
      </c>
      <c r="E413" s="8">
        <v>-1.4899340000000001</v>
      </c>
      <c r="F413" s="7"/>
      <c r="G413" s="7" t="str">
        <f t="shared" si="7"/>
        <v>Direct</v>
      </c>
      <c r="H413" s="7" t="s">
        <v>629</v>
      </c>
    </row>
    <row r="414" spans="1:8" x14ac:dyDescent="0.2">
      <c r="A414" s="5" t="s">
        <v>13</v>
      </c>
      <c r="B414" s="6" t="s">
        <v>14</v>
      </c>
      <c r="C414" s="7" t="s">
        <v>630</v>
      </c>
      <c r="D414" s="8">
        <v>-1.6836252</v>
      </c>
      <c r="E414" s="8">
        <v>-1.3673297</v>
      </c>
      <c r="F414" s="7"/>
      <c r="G414" s="7" t="str">
        <f t="shared" si="7"/>
        <v>Direct</v>
      </c>
      <c r="H414" s="7" t="s">
        <v>631</v>
      </c>
    </row>
    <row r="415" spans="1:8" x14ac:dyDescent="0.2">
      <c r="A415" s="5" t="s">
        <v>13</v>
      </c>
      <c r="B415" s="6" t="s">
        <v>14</v>
      </c>
      <c r="C415" s="7" t="s">
        <v>632</v>
      </c>
      <c r="D415" s="8">
        <v>-1.2747702000000001</v>
      </c>
      <c r="E415" s="8">
        <v>-2.6374094000000001</v>
      </c>
      <c r="F415" s="7"/>
      <c r="G415" s="7" t="str">
        <f t="shared" si="7"/>
        <v>Direct</v>
      </c>
      <c r="H415" s="7" t="s">
        <v>633</v>
      </c>
    </row>
    <row r="416" spans="1:8" x14ac:dyDescent="0.2">
      <c r="A416" s="5" t="s">
        <v>13</v>
      </c>
      <c r="B416" s="6" t="s">
        <v>14</v>
      </c>
      <c r="C416" s="7" t="s">
        <v>634</v>
      </c>
      <c r="D416" s="8">
        <v>1.055428</v>
      </c>
      <c r="E416" s="8">
        <v>-4.3264217</v>
      </c>
      <c r="F416" s="7"/>
      <c r="G416" s="7" t="str">
        <f t="shared" si="7"/>
        <v>Inverse</v>
      </c>
      <c r="H416" s="7" t="s">
        <v>16</v>
      </c>
    </row>
    <row r="417" spans="1:8" x14ac:dyDescent="0.2">
      <c r="A417" s="5" t="s">
        <v>13</v>
      </c>
      <c r="B417" s="6" t="s">
        <v>14</v>
      </c>
      <c r="C417" s="7" t="s">
        <v>635</v>
      </c>
      <c r="D417" s="8">
        <v>1.21830186</v>
      </c>
      <c r="E417" s="8">
        <v>-4.4191381999999999</v>
      </c>
      <c r="F417" s="7"/>
      <c r="G417" s="7" t="str">
        <f t="shared" si="7"/>
        <v>Inverse</v>
      </c>
      <c r="H417" s="7" t="s">
        <v>125</v>
      </c>
    </row>
    <row r="418" spans="1:8" x14ac:dyDescent="0.2">
      <c r="A418" s="5" t="s">
        <v>13</v>
      </c>
      <c r="B418" s="6" t="s">
        <v>14</v>
      </c>
      <c r="C418" s="7" t="s">
        <v>636</v>
      </c>
      <c r="D418" s="8">
        <v>-1.0750706000000001</v>
      </c>
      <c r="E418" s="8">
        <v>-1.5581011</v>
      </c>
      <c r="F418" s="7"/>
      <c r="G418" s="7" t="str">
        <f t="shared" si="7"/>
        <v>Direct</v>
      </c>
      <c r="H418" s="7" t="s">
        <v>637</v>
      </c>
    </row>
    <row r="419" spans="1:8" x14ac:dyDescent="0.2">
      <c r="A419" s="5" t="s">
        <v>13</v>
      </c>
      <c r="B419" s="6" t="s">
        <v>14</v>
      </c>
      <c r="C419" s="7" t="s">
        <v>638</v>
      </c>
      <c r="D419" s="8">
        <v>1.04148873</v>
      </c>
      <c r="E419" s="8">
        <v>1.0498960399999999</v>
      </c>
      <c r="F419" s="7"/>
      <c r="G419" s="7" t="str">
        <f t="shared" si="7"/>
        <v>Direct</v>
      </c>
      <c r="H419" s="7" t="s">
        <v>16</v>
      </c>
    </row>
    <row r="420" spans="1:8" x14ac:dyDescent="0.2">
      <c r="A420" s="5" t="s">
        <v>13</v>
      </c>
      <c r="B420" s="6" t="s">
        <v>14</v>
      </c>
      <c r="C420" s="7" t="s">
        <v>639</v>
      </c>
      <c r="D420" s="8">
        <v>-1.0263563</v>
      </c>
      <c r="E420" s="8">
        <v>-1.2473295</v>
      </c>
      <c r="F420" s="7"/>
      <c r="G420" s="7" t="str">
        <f t="shared" si="7"/>
        <v>Direct</v>
      </c>
      <c r="H420" s="7" t="s">
        <v>640</v>
      </c>
    </row>
    <row r="421" spans="1:8" x14ac:dyDescent="0.2">
      <c r="A421" s="5" t="s">
        <v>13</v>
      </c>
      <c r="B421" s="6" t="s">
        <v>14</v>
      </c>
      <c r="C421" s="7" t="s">
        <v>641</v>
      </c>
      <c r="D421" s="8">
        <v>-1.3579215</v>
      </c>
      <c r="E421" s="8">
        <v>-1.4374742</v>
      </c>
      <c r="F421" s="7"/>
      <c r="G421" s="7" t="str">
        <f t="shared" si="7"/>
        <v>Direct</v>
      </c>
      <c r="H421" s="7" t="s">
        <v>16</v>
      </c>
    </row>
    <row r="422" spans="1:8" x14ac:dyDescent="0.2">
      <c r="A422" s="5" t="s">
        <v>13</v>
      </c>
      <c r="B422" s="6" t="s">
        <v>14</v>
      </c>
      <c r="C422" s="7" t="s">
        <v>642</v>
      </c>
      <c r="D422" s="8">
        <v>-1.7375882</v>
      </c>
      <c r="E422" s="8">
        <v>6.4409224199999997</v>
      </c>
      <c r="F422" s="7"/>
      <c r="G422" s="7" t="str">
        <f t="shared" si="7"/>
        <v>Inverse</v>
      </c>
      <c r="H422" s="7" t="s">
        <v>643</v>
      </c>
    </row>
    <row r="423" spans="1:8" x14ac:dyDescent="0.2">
      <c r="A423" s="5" t="s">
        <v>13</v>
      </c>
      <c r="B423" s="6" t="s">
        <v>14</v>
      </c>
      <c r="C423" s="7" t="s">
        <v>644</v>
      </c>
      <c r="D423" s="8">
        <v>1.3000004300000001</v>
      </c>
      <c r="E423" s="8">
        <v>-1.7940498</v>
      </c>
      <c r="F423" s="7"/>
      <c r="G423" s="7" t="str">
        <f t="shared" si="7"/>
        <v>Inverse</v>
      </c>
      <c r="H423" s="7" t="s">
        <v>16</v>
      </c>
    </row>
    <row r="424" spans="1:8" x14ac:dyDescent="0.2">
      <c r="A424" s="5" t="s">
        <v>13</v>
      </c>
      <c r="B424" s="6" t="s">
        <v>14</v>
      </c>
      <c r="C424" s="7" t="s">
        <v>645</v>
      </c>
      <c r="D424" s="8">
        <v>1.5458071900000001</v>
      </c>
      <c r="E424" s="8">
        <v>-6.2632089999999998</v>
      </c>
      <c r="F424" s="7"/>
      <c r="G424" s="7" t="str">
        <f t="shared" si="7"/>
        <v>Inverse</v>
      </c>
      <c r="H424" s="7" t="s">
        <v>16</v>
      </c>
    </row>
    <row r="425" spans="1:8" x14ac:dyDescent="0.2">
      <c r="A425" s="5" t="s">
        <v>13</v>
      </c>
      <c r="B425" s="6" t="s">
        <v>14</v>
      </c>
      <c r="C425" s="7" t="s">
        <v>646</v>
      </c>
      <c r="D425" s="8">
        <v>1.0002678199999999</v>
      </c>
      <c r="E425" s="8">
        <v>-3.0281459000000002</v>
      </c>
      <c r="F425" s="7"/>
      <c r="G425" s="7" t="str">
        <f t="shared" si="7"/>
        <v>Inverse</v>
      </c>
      <c r="H425" s="7" t="s">
        <v>16</v>
      </c>
    </row>
    <row r="426" spans="1:8" x14ac:dyDescent="0.2">
      <c r="A426" s="5" t="s">
        <v>13</v>
      </c>
      <c r="B426" s="6" t="s">
        <v>14</v>
      </c>
      <c r="C426" s="7" t="s">
        <v>647</v>
      </c>
      <c r="D426" s="8">
        <v>-1.2137884999999999</v>
      </c>
      <c r="E426" s="8">
        <v>-2.0424088999999999</v>
      </c>
      <c r="F426" s="7"/>
      <c r="G426" s="7" t="str">
        <f t="shared" si="7"/>
        <v>Direct</v>
      </c>
      <c r="H426" s="7" t="s">
        <v>648</v>
      </c>
    </row>
    <row r="427" spans="1:8" x14ac:dyDescent="0.2">
      <c r="A427" s="5" t="s">
        <v>13</v>
      </c>
      <c r="B427" s="6" t="s">
        <v>14</v>
      </c>
      <c r="C427" s="7" t="s">
        <v>649</v>
      </c>
      <c r="D427" s="8">
        <v>-1.138709</v>
      </c>
      <c r="E427" s="8">
        <v>-3.1291863000000002</v>
      </c>
      <c r="F427" s="7"/>
      <c r="G427" s="7" t="str">
        <f t="shared" si="7"/>
        <v>Direct</v>
      </c>
      <c r="H427" s="7" t="s">
        <v>650</v>
      </c>
    </row>
    <row r="428" spans="1:8" x14ac:dyDescent="0.2">
      <c r="A428" s="5" t="s">
        <v>13</v>
      </c>
      <c r="B428" s="6" t="s">
        <v>14</v>
      </c>
      <c r="C428" s="7" t="s">
        <v>651</v>
      </c>
      <c r="D428" s="8">
        <v>-4.2041443000000003</v>
      </c>
      <c r="E428" s="8">
        <v>-6.0071488999999998</v>
      </c>
      <c r="F428" s="7"/>
      <c r="G428" s="7" t="str">
        <f t="shared" si="7"/>
        <v>Direct</v>
      </c>
      <c r="H428" s="7" t="s">
        <v>16</v>
      </c>
    </row>
    <row r="429" spans="1:8" x14ac:dyDescent="0.2">
      <c r="A429" s="5" t="s">
        <v>13</v>
      </c>
      <c r="B429" s="6" t="s">
        <v>14</v>
      </c>
      <c r="C429" s="7" t="s">
        <v>652</v>
      </c>
      <c r="D429" s="8">
        <v>4.0528592400000001</v>
      </c>
      <c r="E429" s="8">
        <v>-1.3736025000000001</v>
      </c>
      <c r="F429" s="7"/>
      <c r="G429" s="7" t="str">
        <f t="shared" si="7"/>
        <v>Inverse</v>
      </c>
      <c r="H429" s="7" t="s">
        <v>16</v>
      </c>
    </row>
    <row r="430" spans="1:8" x14ac:dyDescent="0.2">
      <c r="A430" s="5" t="s">
        <v>13</v>
      </c>
      <c r="B430" s="6" t="s">
        <v>14</v>
      </c>
      <c r="C430" s="7" t="s">
        <v>653</v>
      </c>
      <c r="D430" s="8">
        <v>-1.0196505</v>
      </c>
      <c r="E430" s="8">
        <v>-1.0610584000000001</v>
      </c>
      <c r="F430" s="7"/>
      <c r="G430" s="7" t="str">
        <f t="shared" si="7"/>
        <v>Direct</v>
      </c>
      <c r="H430" s="7" t="s">
        <v>16</v>
      </c>
    </row>
    <row r="431" spans="1:8" x14ac:dyDescent="0.2">
      <c r="A431" s="5" t="s">
        <v>13</v>
      </c>
      <c r="B431" s="6" t="s">
        <v>14</v>
      </c>
      <c r="C431" s="7" t="s">
        <v>654</v>
      </c>
      <c r="D431" s="8">
        <v>-1.7991476</v>
      </c>
      <c r="E431" s="8">
        <v>-2.2892187000000002</v>
      </c>
      <c r="F431" s="7"/>
      <c r="G431" s="7" t="str">
        <f t="shared" si="7"/>
        <v>Direct</v>
      </c>
      <c r="H431" s="7" t="s">
        <v>655</v>
      </c>
    </row>
    <row r="432" spans="1:8" x14ac:dyDescent="0.2">
      <c r="A432" s="5" t="s">
        <v>13</v>
      </c>
      <c r="B432" s="6" t="s">
        <v>14</v>
      </c>
      <c r="C432" s="7" t="s">
        <v>656</v>
      </c>
      <c r="D432" s="8">
        <v>-2.0788897</v>
      </c>
      <c r="E432" s="8">
        <v>-4.2735700999999997</v>
      </c>
      <c r="F432" s="7"/>
      <c r="G432" s="7" t="str">
        <f t="shared" si="7"/>
        <v>Direct</v>
      </c>
      <c r="H432" s="7" t="s">
        <v>657</v>
      </c>
    </row>
    <row r="433" spans="1:8" x14ac:dyDescent="0.2">
      <c r="A433" s="5" t="s">
        <v>13</v>
      </c>
      <c r="B433" s="6" t="s">
        <v>14</v>
      </c>
      <c r="C433" s="7" t="s">
        <v>658</v>
      </c>
      <c r="D433" s="8">
        <v>-1.1194097000000001</v>
      </c>
      <c r="E433" s="8">
        <v>-3.6617780999999998</v>
      </c>
      <c r="F433" s="7"/>
      <c r="G433" s="7" t="str">
        <f t="shared" si="7"/>
        <v>Direct</v>
      </c>
      <c r="H433" s="7" t="s">
        <v>659</v>
      </c>
    </row>
    <row r="434" spans="1:8" x14ac:dyDescent="0.2">
      <c r="A434" s="5" t="s">
        <v>13</v>
      </c>
      <c r="B434" s="6" t="s">
        <v>14</v>
      </c>
      <c r="C434" s="7" t="s">
        <v>660</v>
      </c>
      <c r="D434" s="8">
        <v>-1.2688177</v>
      </c>
      <c r="E434" s="8">
        <v>-3.9904259999999998</v>
      </c>
      <c r="F434" s="7"/>
      <c r="G434" s="7" t="str">
        <f t="shared" si="7"/>
        <v>Direct</v>
      </c>
      <c r="H434" s="7" t="s">
        <v>661</v>
      </c>
    </row>
    <row r="435" spans="1:8" x14ac:dyDescent="0.2">
      <c r="A435" s="5" t="s">
        <v>13</v>
      </c>
      <c r="B435" s="6" t="s">
        <v>14</v>
      </c>
      <c r="C435" s="7" t="s">
        <v>662</v>
      </c>
      <c r="D435" s="8">
        <v>1.6551252599999999</v>
      </c>
      <c r="E435" s="8">
        <v>1.6220417300000001</v>
      </c>
      <c r="F435" s="7"/>
      <c r="G435" s="7" t="str">
        <f t="shared" si="7"/>
        <v>Direct</v>
      </c>
      <c r="H435" s="7" t="s">
        <v>663</v>
      </c>
    </row>
    <row r="436" spans="1:8" x14ac:dyDescent="0.2">
      <c r="A436" s="5" t="s">
        <v>13</v>
      </c>
      <c r="B436" s="6" t="s">
        <v>14</v>
      </c>
      <c r="C436" s="7" t="s">
        <v>664</v>
      </c>
      <c r="D436" s="8">
        <v>2.1445750399999999</v>
      </c>
      <c r="E436" s="8">
        <v>-2.0506647</v>
      </c>
      <c r="F436" s="7"/>
      <c r="G436" s="7" t="str">
        <f t="shared" si="7"/>
        <v>Inverse</v>
      </c>
      <c r="H436" s="7" t="s">
        <v>665</v>
      </c>
    </row>
    <row r="437" spans="1:8" x14ac:dyDescent="0.2">
      <c r="A437" s="5" t="s">
        <v>13</v>
      </c>
      <c r="B437" s="6" t="s">
        <v>14</v>
      </c>
      <c r="C437" s="7" t="s">
        <v>666</v>
      </c>
      <c r="D437" s="8">
        <v>-4.6387466999999996</v>
      </c>
      <c r="E437" s="8">
        <v>-2.5818401999999998</v>
      </c>
      <c r="F437" s="7"/>
      <c r="G437" s="7" t="str">
        <f t="shared" si="7"/>
        <v>Direct</v>
      </c>
      <c r="H437" s="7" t="s">
        <v>417</v>
      </c>
    </row>
    <row r="438" spans="1:8" x14ac:dyDescent="0.2">
      <c r="A438" s="5" t="s">
        <v>13</v>
      </c>
      <c r="B438" s="6" t="s">
        <v>14</v>
      </c>
      <c r="C438" s="7" t="s">
        <v>667</v>
      </c>
      <c r="D438" s="8">
        <v>4.6387466899999996</v>
      </c>
      <c r="E438" s="8">
        <v>-1.5827253999999999</v>
      </c>
      <c r="F438" s="7"/>
      <c r="G438" s="7" t="str">
        <f t="shared" si="7"/>
        <v>Inverse</v>
      </c>
      <c r="H438" s="7" t="s">
        <v>16</v>
      </c>
    </row>
    <row r="439" spans="1:8" x14ac:dyDescent="0.2">
      <c r="A439" s="5" t="s">
        <v>13</v>
      </c>
      <c r="B439" s="6" t="s">
        <v>14</v>
      </c>
      <c r="C439" s="7" t="s">
        <v>668</v>
      </c>
      <c r="D439" s="8">
        <v>1.1730168000000001</v>
      </c>
      <c r="E439" s="8">
        <v>-1.7905180000000001</v>
      </c>
      <c r="F439" s="7"/>
      <c r="G439" s="7" t="str">
        <f t="shared" si="7"/>
        <v>Inverse</v>
      </c>
      <c r="H439" s="7" t="s">
        <v>16</v>
      </c>
    </row>
    <row r="440" spans="1:8" x14ac:dyDescent="0.2">
      <c r="A440" s="5" t="s">
        <v>13</v>
      </c>
      <c r="B440" s="6" t="s">
        <v>14</v>
      </c>
      <c r="C440" s="7" t="s">
        <v>669</v>
      </c>
      <c r="D440" s="8">
        <v>-1.2937749000000001</v>
      </c>
      <c r="E440" s="8">
        <v>-1.0393497</v>
      </c>
      <c r="F440" s="7"/>
      <c r="G440" s="7" t="str">
        <f t="shared" si="7"/>
        <v>Direct</v>
      </c>
      <c r="H440" s="7" t="s">
        <v>16</v>
      </c>
    </row>
    <row r="441" spans="1:8" x14ac:dyDescent="0.2">
      <c r="A441" s="5" t="s">
        <v>13</v>
      </c>
      <c r="B441" s="6" t="s">
        <v>14</v>
      </c>
      <c r="C441" s="7" t="s">
        <v>670</v>
      </c>
      <c r="D441" s="8">
        <v>-1.0140826000000001</v>
      </c>
      <c r="E441" s="8">
        <v>-5.1092858999999997</v>
      </c>
      <c r="F441" s="7"/>
      <c r="G441" s="7" t="str">
        <f t="shared" si="7"/>
        <v>Direct</v>
      </c>
      <c r="H441" s="7" t="s">
        <v>16</v>
      </c>
    </row>
    <row r="442" spans="1:8" x14ac:dyDescent="0.2">
      <c r="A442" s="5" t="s">
        <v>13</v>
      </c>
      <c r="B442" s="6" t="s">
        <v>14</v>
      </c>
      <c r="C442" s="7" t="s">
        <v>671</v>
      </c>
      <c r="D442" s="8">
        <v>-1.3366852</v>
      </c>
      <c r="E442" s="8">
        <v>-1.2633616000000001</v>
      </c>
      <c r="F442" s="7"/>
      <c r="G442" s="7" t="str">
        <f t="shared" si="7"/>
        <v>Direct</v>
      </c>
      <c r="H442" s="7" t="s">
        <v>16</v>
      </c>
    </row>
    <row r="443" spans="1:8" x14ac:dyDescent="0.2">
      <c r="A443" s="5" t="s">
        <v>13</v>
      </c>
      <c r="B443" s="6" t="s">
        <v>14</v>
      </c>
      <c r="C443" s="7" t="s">
        <v>672</v>
      </c>
      <c r="D443" s="8">
        <v>-1.7182354</v>
      </c>
      <c r="E443" s="8">
        <v>-2.3133374999999998</v>
      </c>
      <c r="F443" s="7"/>
      <c r="G443" s="7" t="str">
        <f t="shared" si="7"/>
        <v>Direct</v>
      </c>
      <c r="H443" s="7" t="s">
        <v>673</v>
      </c>
    </row>
    <row r="444" spans="1:8" x14ac:dyDescent="0.2">
      <c r="A444" s="5" t="s">
        <v>13</v>
      </c>
      <c r="B444" s="6" t="s">
        <v>14</v>
      </c>
      <c r="C444" s="7" t="s">
        <v>674</v>
      </c>
      <c r="D444" s="8">
        <v>-1.4103763</v>
      </c>
      <c r="E444" s="8">
        <v>-5.5877882999999997</v>
      </c>
      <c r="F444" s="7"/>
      <c r="G444" s="7" t="str">
        <f t="shared" si="7"/>
        <v>Direct</v>
      </c>
      <c r="H444" s="7" t="s">
        <v>675</v>
      </c>
    </row>
    <row r="445" spans="1:8" x14ac:dyDescent="0.2">
      <c r="A445" s="5" t="s">
        <v>13</v>
      </c>
      <c r="B445" s="6" t="s">
        <v>14</v>
      </c>
      <c r="C445" s="7" t="s">
        <v>676</v>
      </c>
      <c r="D445" s="8">
        <v>2.1132705500000002</v>
      </c>
      <c r="E445" s="8">
        <v>3.35039664</v>
      </c>
      <c r="F445" s="7"/>
      <c r="G445" s="7" t="str">
        <f t="shared" si="7"/>
        <v>Direct</v>
      </c>
      <c r="H445" s="7" t="s">
        <v>16</v>
      </c>
    </row>
    <row r="446" spans="1:8" x14ac:dyDescent="0.2">
      <c r="A446" s="5" t="s">
        <v>13</v>
      </c>
      <c r="B446" s="6" t="s">
        <v>14</v>
      </c>
      <c r="C446" s="7" t="s">
        <v>677</v>
      </c>
      <c r="D446" s="8">
        <v>-4.6141025999999998</v>
      </c>
      <c r="E446" s="8">
        <v>-3.3961947000000001</v>
      </c>
      <c r="F446" s="7"/>
      <c r="G446" s="7" t="str">
        <f t="shared" si="7"/>
        <v>Direct</v>
      </c>
      <c r="H446" s="7" t="s">
        <v>16</v>
      </c>
    </row>
    <row r="447" spans="1:8" x14ac:dyDescent="0.2">
      <c r="A447" s="5" t="s">
        <v>13</v>
      </c>
      <c r="B447" s="6" t="s">
        <v>14</v>
      </c>
      <c r="C447" s="7" t="s">
        <v>678</v>
      </c>
      <c r="D447" s="8">
        <v>1.23121992</v>
      </c>
      <c r="E447" s="8">
        <v>-2.3534095000000002</v>
      </c>
      <c r="F447" s="7"/>
      <c r="G447" s="7" t="str">
        <f t="shared" si="7"/>
        <v>Inverse</v>
      </c>
      <c r="H447" s="7" t="s">
        <v>16</v>
      </c>
    </row>
    <row r="448" spans="1:8" x14ac:dyDescent="0.2">
      <c r="A448" s="5" t="s">
        <v>13</v>
      </c>
      <c r="B448" s="6" t="s">
        <v>14</v>
      </c>
      <c r="C448" s="7" t="s">
        <v>679</v>
      </c>
      <c r="D448" s="8">
        <v>-1.1228952999999999</v>
      </c>
      <c r="E448" s="8">
        <v>-1.3336760999999999</v>
      </c>
      <c r="F448" s="7"/>
      <c r="G448" s="7" t="str">
        <f t="shared" si="7"/>
        <v>Direct</v>
      </c>
      <c r="H448" s="7" t="s">
        <v>16</v>
      </c>
    </row>
    <row r="449" spans="1:8" x14ac:dyDescent="0.2">
      <c r="A449" s="5" t="s">
        <v>13</v>
      </c>
      <c r="B449" s="6" t="s">
        <v>14</v>
      </c>
      <c r="C449" s="7" t="s">
        <v>680</v>
      </c>
      <c r="D449" s="8">
        <v>-1.213171</v>
      </c>
      <c r="E449" s="8">
        <v>-1.3385488999999999</v>
      </c>
      <c r="F449" s="7"/>
      <c r="G449" s="7" t="str">
        <f t="shared" si="7"/>
        <v>Direct</v>
      </c>
      <c r="H449" s="7" t="s">
        <v>681</v>
      </c>
    </row>
    <row r="450" spans="1:8" x14ac:dyDescent="0.2">
      <c r="A450" s="5" t="s">
        <v>13</v>
      </c>
      <c r="B450" s="6" t="s">
        <v>14</v>
      </c>
      <c r="C450" s="7" t="s">
        <v>682</v>
      </c>
      <c r="D450" s="8">
        <v>-1.2593761999999999</v>
      </c>
      <c r="E450" s="8">
        <v>-4.4959426999999996</v>
      </c>
      <c r="F450" s="7"/>
      <c r="G450" s="7" t="str">
        <f t="shared" si="7"/>
        <v>Direct</v>
      </c>
      <c r="H450" s="7" t="s">
        <v>683</v>
      </c>
    </row>
    <row r="451" spans="1:8" x14ac:dyDescent="0.2">
      <c r="A451" s="5" t="s">
        <v>13</v>
      </c>
      <c r="B451" s="6" t="s">
        <v>14</v>
      </c>
      <c r="C451" s="7" t="s">
        <v>684</v>
      </c>
      <c r="D451" s="8">
        <v>1.08521874</v>
      </c>
      <c r="E451" s="8">
        <v>3.0171209700000001</v>
      </c>
      <c r="F451" s="7"/>
      <c r="G451" s="7" t="str">
        <f t="shared" si="7"/>
        <v>Direct</v>
      </c>
      <c r="H451" s="7" t="s">
        <v>16</v>
      </c>
    </row>
    <row r="452" spans="1:8" x14ac:dyDescent="0.2">
      <c r="A452" s="5" t="s">
        <v>13</v>
      </c>
      <c r="B452" s="6" t="s">
        <v>14</v>
      </c>
      <c r="C452" s="7" t="s">
        <v>685</v>
      </c>
      <c r="D452" s="8">
        <v>1.4510317699999999</v>
      </c>
      <c r="E452" s="8">
        <v>-7.5127471999999997</v>
      </c>
      <c r="F452" s="7"/>
      <c r="G452" s="7" t="str">
        <f t="shared" si="7"/>
        <v>Inverse</v>
      </c>
      <c r="H452" s="7" t="s">
        <v>686</v>
      </c>
    </row>
    <row r="453" spans="1:8" x14ac:dyDescent="0.2">
      <c r="A453" s="5" t="s">
        <v>13</v>
      </c>
      <c r="B453" s="6" t="s">
        <v>14</v>
      </c>
      <c r="C453" s="7" t="s">
        <v>687</v>
      </c>
      <c r="D453" s="8">
        <v>-1.2288117999999999</v>
      </c>
      <c r="E453" s="8">
        <v>2.5695755</v>
      </c>
      <c r="F453" s="7"/>
      <c r="G453" s="7" t="str">
        <f t="shared" si="7"/>
        <v>Inverse</v>
      </c>
      <c r="H453" s="7" t="s">
        <v>688</v>
      </c>
    </row>
    <row r="454" spans="1:8" x14ac:dyDescent="0.2">
      <c r="A454" s="5" t="s">
        <v>13</v>
      </c>
      <c r="B454" s="6" t="s">
        <v>14</v>
      </c>
      <c r="C454" s="7" t="s">
        <v>689</v>
      </c>
      <c r="D454" s="8">
        <v>-1.7966527999999999</v>
      </c>
      <c r="E454" s="8">
        <v>-1.7542156</v>
      </c>
      <c r="F454" s="7"/>
      <c r="G454" s="7" t="str">
        <f t="shared" si="7"/>
        <v>Direct</v>
      </c>
      <c r="H454" s="7" t="s">
        <v>16</v>
      </c>
    </row>
    <row r="455" spans="1:8" x14ac:dyDescent="0.2">
      <c r="A455" s="5" t="s">
        <v>13</v>
      </c>
      <c r="B455" s="6" t="s">
        <v>14</v>
      </c>
      <c r="C455" s="7" t="s">
        <v>690</v>
      </c>
      <c r="D455" s="8">
        <v>-1.8277075</v>
      </c>
      <c r="E455" s="8">
        <v>-5.9037024000000002</v>
      </c>
      <c r="F455" s="7"/>
      <c r="G455" s="7" t="str">
        <f t="shared" si="7"/>
        <v>Direct</v>
      </c>
      <c r="H455" s="7" t="s">
        <v>16</v>
      </c>
    </row>
    <row r="456" spans="1:8" x14ac:dyDescent="0.2">
      <c r="A456" s="5" t="s">
        <v>13</v>
      </c>
      <c r="B456" s="6" t="s">
        <v>14</v>
      </c>
      <c r="C456" s="7" t="s">
        <v>691</v>
      </c>
      <c r="D456" s="8">
        <v>1.52039065</v>
      </c>
      <c r="E456" s="8">
        <v>1.9828622600000001</v>
      </c>
      <c r="F456" s="7"/>
      <c r="G456" s="7" t="str">
        <f t="shared" si="7"/>
        <v>Direct</v>
      </c>
      <c r="H456" s="7" t="s">
        <v>16</v>
      </c>
    </row>
    <row r="457" spans="1:8" x14ac:dyDescent="0.2">
      <c r="A457" s="5" t="s">
        <v>13</v>
      </c>
      <c r="B457" s="6" t="s">
        <v>14</v>
      </c>
      <c r="C457" s="7" t="s">
        <v>692</v>
      </c>
      <c r="D457" s="8">
        <v>-2.1589813000000002</v>
      </c>
      <c r="E457" s="8">
        <v>-1.0993333999999999</v>
      </c>
      <c r="F457" s="7"/>
      <c r="G457" s="7" t="str">
        <f t="shared" si="7"/>
        <v>Direct</v>
      </c>
      <c r="H457" s="7" t="s">
        <v>16</v>
      </c>
    </row>
    <row r="458" spans="1:8" x14ac:dyDescent="0.2">
      <c r="A458" s="5" t="s">
        <v>13</v>
      </c>
      <c r="B458" s="6" t="s">
        <v>14</v>
      </c>
      <c r="C458" s="7" t="s">
        <v>693</v>
      </c>
      <c r="D458" s="8">
        <v>1.94707736</v>
      </c>
      <c r="E458" s="8">
        <v>-2.3299634</v>
      </c>
      <c r="F458" s="7"/>
      <c r="G458" s="7" t="str">
        <f t="shared" si="7"/>
        <v>Inverse</v>
      </c>
      <c r="H458" s="7" t="s">
        <v>16</v>
      </c>
    </row>
    <row r="459" spans="1:8" x14ac:dyDescent="0.2">
      <c r="A459" s="5" t="s">
        <v>13</v>
      </c>
      <c r="B459" s="6" t="s">
        <v>14</v>
      </c>
      <c r="C459" s="7" t="s">
        <v>694</v>
      </c>
      <c r="D459" s="8">
        <v>-2.9919961000000002</v>
      </c>
      <c r="E459" s="8">
        <v>-3.6739025999999999</v>
      </c>
      <c r="F459" s="7"/>
      <c r="G459" s="7" t="str">
        <f t="shared" si="7"/>
        <v>Direct</v>
      </c>
      <c r="H459" s="7" t="s">
        <v>16</v>
      </c>
    </row>
    <row r="460" spans="1:8" x14ac:dyDescent="0.2">
      <c r="A460" s="5" t="s">
        <v>13</v>
      </c>
      <c r="B460" s="6" t="s">
        <v>14</v>
      </c>
      <c r="C460" s="7" t="s">
        <v>695</v>
      </c>
      <c r="D460" s="8">
        <v>2.2204967199999999</v>
      </c>
      <c r="E460" s="8">
        <v>-8.4721302999999999</v>
      </c>
      <c r="F460" s="7"/>
      <c r="G460" s="7" t="str">
        <f t="shared" si="7"/>
        <v>Inverse</v>
      </c>
      <c r="H460" s="7" t="s">
        <v>16</v>
      </c>
    </row>
    <row r="461" spans="1:8" x14ac:dyDescent="0.2">
      <c r="A461" s="5" t="s">
        <v>13</v>
      </c>
      <c r="B461" s="6" t="s">
        <v>14</v>
      </c>
      <c r="C461" s="7" t="s">
        <v>696</v>
      </c>
      <c r="D461" s="8">
        <v>3.9914660799999999</v>
      </c>
      <c r="E461" s="8">
        <v>-2.6688657999999998</v>
      </c>
      <c r="F461" s="7"/>
      <c r="G461" s="7" t="str">
        <f t="shared" si="7"/>
        <v>Inverse</v>
      </c>
      <c r="H461" s="7" t="s">
        <v>16</v>
      </c>
    </row>
    <row r="462" spans="1:8" x14ac:dyDescent="0.2">
      <c r="A462" s="5" t="s">
        <v>13</v>
      </c>
      <c r="B462" s="6" t="s">
        <v>14</v>
      </c>
      <c r="C462" s="7" t="s">
        <v>697</v>
      </c>
      <c r="D462" s="8">
        <v>-1.5156670999999999</v>
      </c>
      <c r="E462" s="8">
        <v>-2.5301241999999999</v>
      </c>
      <c r="F462" s="7"/>
      <c r="G462" s="7" t="str">
        <f t="shared" si="7"/>
        <v>Direct</v>
      </c>
      <c r="H462" s="7" t="s">
        <v>16</v>
      </c>
    </row>
    <row r="463" spans="1:8" x14ac:dyDescent="0.2">
      <c r="A463" s="5" t="s">
        <v>13</v>
      </c>
      <c r="B463" s="6" t="s">
        <v>14</v>
      </c>
      <c r="C463" s="7" t="s">
        <v>698</v>
      </c>
      <c r="D463" s="8">
        <v>-1.7528421999999999</v>
      </c>
      <c r="E463" s="8">
        <v>-1.6741626000000001</v>
      </c>
      <c r="F463" s="7"/>
      <c r="G463" s="7" t="str">
        <f t="shared" si="7"/>
        <v>Direct</v>
      </c>
      <c r="H463" s="7" t="s">
        <v>699</v>
      </c>
    </row>
    <row r="464" spans="1:8" x14ac:dyDescent="0.2">
      <c r="A464" s="5" t="s">
        <v>13</v>
      </c>
      <c r="B464" s="6" t="s">
        <v>14</v>
      </c>
      <c r="C464" s="7" t="s">
        <v>700</v>
      </c>
      <c r="D464" s="8">
        <v>-1.213171</v>
      </c>
      <c r="E464" s="8">
        <v>-1.0210051</v>
      </c>
      <c r="F464" s="7"/>
      <c r="G464" s="7" t="str">
        <f t="shared" si="7"/>
        <v>Direct</v>
      </c>
      <c r="H464" s="7" t="s">
        <v>701</v>
      </c>
    </row>
    <row r="465" spans="1:8" x14ac:dyDescent="0.2">
      <c r="A465" s="5" t="s">
        <v>13</v>
      </c>
      <c r="B465" s="6" t="s">
        <v>14</v>
      </c>
      <c r="C465" s="7" t="s">
        <v>702</v>
      </c>
      <c r="D465" s="8">
        <v>-1.0263563</v>
      </c>
      <c r="E465" s="8">
        <v>-2.9160533000000002</v>
      </c>
      <c r="F465" s="7"/>
      <c r="G465" s="7" t="str">
        <f t="shared" si="7"/>
        <v>Direct</v>
      </c>
      <c r="H465" s="7" t="s">
        <v>16</v>
      </c>
    </row>
    <row r="466" spans="1:8" x14ac:dyDescent="0.2">
      <c r="A466" s="5" t="s">
        <v>13</v>
      </c>
      <c r="B466" s="6" t="s">
        <v>14</v>
      </c>
      <c r="C466" s="7" t="s">
        <v>703</v>
      </c>
      <c r="D466" s="8">
        <v>1.38227239</v>
      </c>
      <c r="E466" s="8">
        <v>-2.6374094000000001</v>
      </c>
      <c r="F466" s="7"/>
      <c r="G466" s="7" t="str">
        <f t="shared" si="7"/>
        <v>Inverse</v>
      </c>
      <c r="H466" s="7" t="s">
        <v>16</v>
      </c>
    </row>
    <row r="467" spans="1:8" x14ac:dyDescent="0.2">
      <c r="A467" s="5" t="s">
        <v>13</v>
      </c>
      <c r="B467" s="6" t="s">
        <v>14</v>
      </c>
      <c r="C467" s="7" t="s">
        <v>704</v>
      </c>
      <c r="D467" s="8">
        <v>1.4130069000000001</v>
      </c>
      <c r="E467" s="8">
        <v>-2.8815219999999999</v>
      </c>
      <c r="F467" s="7"/>
      <c r="G467" s="7" t="str">
        <f t="shared" si="7"/>
        <v>Inverse</v>
      </c>
      <c r="H467" s="7" t="s">
        <v>16</v>
      </c>
    </row>
    <row r="468" spans="1:8" x14ac:dyDescent="0.2">
      <c r="A468" s="5" t="s">
        <v>13</v>
      </c>
      <c r="B468" s="6" t="s">
        <v>14</v>
      </c>
      <c r="C468" s="7" t="s">
        <v>705</v>
      </c>
      <c r="D468" s="8">
        <v>1.68597606</v>
      </c>
      <c r="E468" s="8">
        <v>-7.3384612999999996</v>
      </c>
      <c r="F468" s="7"/>
      <c r="G468" s="7" t="str">
        <f t="shared" si="7"/>
        <v>Inverse</v>
      </c>
      <c r="H468" s="7" t="s">
        <v>16</v>
      </c>
    </row>
    <row r="469" spans="1:8" x14ac:dyDescent="0.2">
      <c r="A469" s="5" t="s">
        <v>13</v>
      </c>
      <c r="B469" s="6" t="s">
        <v>14</v>
      </c>
      <c r="C469" s="7" t="s">
        <v>706</v>
      </c>
      <c r="D469" s="8">
        <v>1.07376998</v>
      </c>
      <c r="E469" s="8">
        <v>-1.4696273</v>
      </c>
      <c r="F469" s="7"/>
      <c r="G469" s="7" t="str">
        <f t="shared" si="7"/>
        <v>Inverse</v>
      </c>
      <c r="H469" s="7" t="s">
        <v>16</v>
      </c>
    </row>
    <row r="470" spans="1:8" x14ac:dyDescent="0.2">
      <c r="A470" s="5" t="s">
        <v>13</v>
      </c>
      <c r="B470" s="6" t="s">
        <v>14</v>
      </c>
      <c r="C470" s="7" t="s">
        <v>707</v>
      </c>
      <c r="D470" s="8">
        <v>-1.4950323999999999</v>
      </c>
      <c r="E470" s="8">
        <v>-1.9088181</v>
      </c>
      <c r="F470" s="7"/>
      <c r="G470" s="7" t="str">
        <f t="shared" si="7"/>
        <v>Direct</v>
      </c>
      <c r="H470" s="7" t="s">
        <v>708</v>
      </c>
    </row>
    <row r="471" spans="1:8" x14ac:dyDescent="0.2">
      <c r="A471" s="5" t="s">
        <v>13</v>
      </c>
      <c r="B471" s="6" t="s">
        <v>14</v>
      </c>
      <c r="C471" s="7" t="s">
        <v>709</v>
      </c>
      <c r="D471" s="8">
        <v>2.7611254600000001</v>
      </c>
      <c r="E471" s="8">
        <v>1.00549957</v>
      </c>
      <c r="F471" s="7"/>
      <c r="G471" s="7" t="str">
        <f t="shared" si="7"/>
        <v>Direct</v>
      </c>
      <c r="H471" s="7" t="s">
        <v>710</v>
      </c>
    </row>
    <row r="472" spans="1:8" x14ac:dyDescent="0.2">
      <c r="A472" s="5" t="s">
        <v>13</v>
      </c>
      <c r="B472" s="6" t="s">
        <v>14</v>
      </c>
      <c r="C472" s="7" t="s">
        <v>711</v>
      </c>
      <c r="D472" s="8">
        <v>2.7364300500000001</v>
      </c>
      <c r="E472" s="8">
        <v>2.3366361100000002</v>
      </c>
      <c r="F472" s="7"/>
      <c r="G472" s="7" t="str">
        <f t="shared" si="7"/>
        <v>Direct</v>
      </c>
      <c r="H472" s="7" t="s">
        <v>712</v>
      </c>
    </row>
    <row r="473" spans="1:8" x14ac:dyDescent="0.2">
      <c r="A473" s="5" t="s">
        <v>13</v>
      </c>
      <c r="B473" s="6" t="s">
        <v>14</v>
      </c>
      <c r="C473" s="7" t="s">
        <v>713</v>
      </c>
      <c r="D473" s="8">
        <v>-1.2495704000000001</v>
      </c>
      <c r="E473" s="8">
        <v>-1.6550965</v>
      </c>
      <c r="F473" s="7"/>
      <c r="G473" s="7" t="str">
        <f t="shared" si="7"/>
        <v>Direct</v>
      </c>
      <c r="H473" s="7" t="s">
        <v>16</v>
      </c>
    </row>
    <row r="474" spans="1:8" x14ac:dyDescent="0.2">
      <c r="A474" s="5" t="s">
        <v>13</v>
      </c>
      <c r="B474" s="6" t="s">
        <v>14</v>
      </c>
      <c r="C474" s="7" t="s">
        <v>714</v>
      </c>
      <c r="D474" s="8">
        <v>-2.9874234999999998</v>
      </c>
      <c r="E474" s="8">
        <v>-1.0908528</v>
      </c>
      <c r="F474" s="7"/>
      <c r="G474" s="7" t="str">
        <f t="shared" si="7"/>
        <v>Direct</v>
      </c>
      <c r="H474" s="7" t="s">
        <v>16</v>
      </c>
    </row>
    <row r="475" spans="1:8" x14ac:dyDescent="0.2">
      <c r="A475" s="5" t="s">
        <v>13</v>
      </c>
      <c r="B475" s="6" t="s">
        <v>14</v>
      </c>
      <c r="C475" s="7" t="s">
        <v>715</v>
      </c>
      <c r="D475" s="8">
        <v>-1.7658815000000001</v>
      </c>
      <c r="E475" s="8">
        <v>-5.4984925999999996</v>
      </c>
      <c r="F475" s="7"/>
      <c r="G475" s="7" t="str">
        <f t="shared" si="7"/>
        <v>Direct</v>
      </c>
      <c r="H475" s="7" t="s">
        <v>716</v>
      </c>
    </row>
    <row r="476" spans="1:8" x14ac:dyDescent="0.2">
      <c r="A476" s="5" t="s">
        <v>13</v>
      </c>
      <c r="B476" s="6" t="s">
        <v>14</v>
      </c>
      <c r="C476" s="7" t="s">
        <v>717</v>
      </c>
      <c r="D476" s="8">
        <v>-1.8680543000000001</v>
      </c>
      <c r="E476" s="8">
        <v>-5.2004900000000003</v>
      </c>
      <c r="F476" s="7"/>
      <c r="G476" s="7" t="str">
        <f t="shared" si="7"/>
        <v>Direct</v>
      </c>
      <c r="H476" s="7" t="s">
        <v>718</v>
      </c>
    </row>
    <row r="477" spans="1:8" x14ac:dyDescent="0.2">
      <c r="A477" s="5" t="s">
        <v>13</v>
      </c>
      <c r="B477" s="6" t="s">
        <v>14</v>
      </c>
      <c r="C477" s="7" t="s">
        <v>719</v>
      </c>
      <c r="D477" s="8">
        <v>1.3649359299999999</v>
      </c>
      <c r="E477" s="8">
        <v>-3.3392195999999998</v>
      </c>
      <c r="F477" s="7"/>
      <c r="G477" s="7" t="str">
        <f t="shared" si="7"/>
        <v>Inverse</v>
      </c>
      <c r="H477" s="7" t="s">
        <v>720</v>
      </c>
    </row>
    <row r="478" spans="1:8" x14ac:dyDescent="0.2">
      <c r="A478" s="5" t="s">
        <v>13</v>
      </c>
      <c r="B478" s="6" t="s">
        <v>14</v>
      </c>
      <c r="C478" s="7" t="s">
        <v>721</v>
      </c>
      <c r="D478" s="8">
        <v>1.2131710200000001</v>
      </c>
      <c r="E478" s="8">
        <v>-1.2110505</v>
      </c>
      <c r="F478" s="7"/>
      <c r="G478" s="7" t="str">
        <f t="shared" si="7"/>
        <v>Inverse</v>
      </c>
      <c r="H478" s="7" t="s">
        <v>722</v>
      </c>
    </row>
    <row r="479" spans="1:8" x14ac:dyDescent="0.2">
      <c r="A479" s="5" t="s">
        <v>13</v>
      </c>
      <c r="B479" s="6" t="s">
        <v>14</v>
      </c>
      <c r="C479" s="7" t="s">
        <v>723</v>
      </c>
      <c r="D479" s="8">
        <v>1.1467285599999999</v>
      </c>
      <c r="E479" s="8">
        <v>1.6970651400000001</v>
      </c>
      <c r="F479" s="7"/>
      <c r="G479" s="7" t="str">
        <f t="shared" si="7"/>
        <v>Direct</v>
      </c>
      <c r="H479" s="7" t="s">
        <v>724</v>
      </c>
    </row>
    <row r="480" spans="1:8" x14ac:dyDescent="0.2">
      <c r="A480" s="5" t="s">
        <v>13</v>
      </c>
      <c r="B480" s="6" t="s">
        <v>14</v>
      </c>
      <c r="C480" s="7" t="s">
        <v>725</v>
      </c>
      <c r="D480" s="8">
        <v>1.1524041</v>
      </c>
      <c r="E480" s="8">
        <v>-8.1493011000000006</v>
      </c>
      <c r="F480" s="7"/>
      <c r="G480" s="7" t="str">
        <f t="shared" si="7"/>
        <v>Inverse</v>
      </c>
      <c r="H480" s="7" t="s">
        <v>16</v>
      </c>
    </row>
    <row r="481" spans="1:8" x14ac:dyDescent="0.2">
      <c r="A481" s="5" t="s">
        <v>13</v>
      </c>
      <c r="B481" s="6" t="s">
        <v>14</v>
      </c>
      <c r="C481" s="7" t="s">
        <v>726</v>
      </c>
      <c r="D481" s="8">
        <v>-3.2466121000000001</v>
      </c>
      <c r="E481" s="8">
        <v>-9.7235800999999995</v>
      </c>
      <c r="F481" s="7"/>
      <c r="G481" s="7" t="str">
        <f t="shared" si="7"/>
        <v>Direct</v>
      </c>
      <c r="H481" s="7" t="s">
        <v>333</v>
      </c>
    </row>
    <row r="482" spans="1:8" x14ac:dyDescent="0.2">
      <c r="A482" s="5" t="s">
        <v>13</v>
      </c>
      <c r="B482" s="6" t="s">
        <v>14</v>
      </c>
      <c r="C482" s="7" t="s">
        <v>727</v>
      </c>
      <c r="D482" s="8">
        <v>-1.2632587</v>
      </c>
      <c r="E482" s="8">
        <v>2.37362831</v>
      </c>
      <c r="F482" s="7"/>
      <c r="G482" s="7" t="str">
        <f t="shared" si="7"/>
        <v>Inverse</v>
      </c>
      <c r="H482" s="7" t="s">
        <v>728</v>
      </c>
    </row>
    <row r="483" spans="1:8" x14ac:dyDescent="0.2">
      <c r="A483" s="5" t="s">
        <v>13</v>
      </c>
      <c r="B483" s="6" t="s">
        <v>14</v>
      </c>
      <c r="C483" s="7" t="s">
        <v>729</v>
      </c>
      <c r="D483" s="8">
        <v>-1.2292065999999999</v>
      </c>
      <c r="E483" s="8">
        <v>-1.989554</v>
      </c>
      <c r="F483" s="7"/>
      <c r="G483" s="7" t="str">
        <f t="shared" si="7"/>
        <v>Direct</v>
      </c>
      <c r="H483" s="7" t="s">
        <v>730</v>
      </c>
    </row>
    <row r="484" spans="1:8" x14ac:dyDescent="0.2">
      <c r="A484" s="5" t="s">
        <v>13</v>
      </c>
      <c r="B484" s="6" t="s">
        <v>14</v>
      </c>
      <c r="C484" s="7" t="s">
        <v>731</v>
      </c>
      <c r="D484" s="8">
        <v>-3.7560595999999999</v>
      </c>
      <c r="E484" s="8">
        <v>-1.4460618999999999</v>
      </c>
      <c r="F484" s="7"/>
      <c r="G484" s="7" t="str">
        <f t="shared" si="7"/>
        <v>Direct</v>
      </c>
      <c r="H484" s="7" t="s">
        <v>732</v>
      </c>
    </row>
    <row r="485" spans="1:8" x14ac:dyDescent="0.2">
      <c r="A485" s="5" t="s">
        <v>13</v>
      </c>
      <c r="B485" s="6" t="s">
        <v>14</v>
      </c>
      <c r="C485" s="7" t="s">
        <v>733</v>
      </c>
      <c r="D485" s="8">
        <v>-2.7187036</v>
      </c>
      <c r="E485" s="8">
        <v>-4.0335339000000001</v>
      </c>
      <c r="F485" s="7"/>
      <c r="G485" s="7" t="str">
        <f t="shared" si="7"/>
        <v>Direct</v>
      </c>
      <c r="H485" s="7" t="s">
        <v>139</v>
      </c>
    </row>
    <row r="486" spans="1:8" x14ac:dyDescent="0.2">
      <c r="A486" s="5" t="s">
        <v>13</v>
      </c>
      <c r="B486" s="6" t="s">
        <v>14</v>
      </c>
      <c r="C486" s="7" t="s">
        <v>734</v>
      </c>
      <c r="D486" s="8">
        <v>-1.4103763</v>
      </c>
      <c r="E486" s="8">
        <v>-1.3122274</v>
      </c>
      <c r="F486" s="7"/>
      <c r="G486" s="7" t="str">
        <f t="shared" si="7"/>
        <v>Direct</v>
      </c>
      <c r="H486" s="7" t="s">
        <v>139</v>
      </c>
    </row>
    <row r="487" spans="1:8" x14ac:dyDescent="0.2">
      <c r="A487" s="5" t="s">
        <v>13</v>
      </c>
      <c r="B487" s="6" t="s">
        <v>14</v>
      </c>
      <c r="C487" s="7" t="s">
        <v>735</v>
      </c>
      <c r="D487" s="8">
        <v>-5.3664414000000003</v>
      </c>
      <c r="E487" s="8">
        <v>-1.1872933999999999</v>
      </c>
      <c r="F487" s="7"/>
      <c r="G487" s="7" t="str">
        <f t="shared" si="7"/>
        <v>Direct</v>
      </c>
      <c r="H487" s="7" t="s">
        <v>139</v>
      </c>
    </row>
    <row r="488" spans="1:8" x14ac:dyDescent="0.2">
      <c r="A488" s="5" t="s">
        <v>13</v>
      </c>
      <c r="B488" s="6" t="s">
        <v>14</v>
      </c>
      <c r="C488" s="7" t="s">
        <v>736</v>
      </c>
      <c r="D488" s="8">
        <v>-2.3509698999999999</v>
      </c>
      <c r="E488" s="8">
        <v>-1.3734162999999999</v>
      </c>
      <c r="F488" s="7"/>
      <c r="G488" s="7" t="str">
        <f t="shared" si="7"/>
        <v>Direct</v>
      </c>
      <c r="H488" s="7" t="s">
        <v>139</v>
      </c>
    </row>
    <row r="489" spans="1:8" x14ac:dyDescent="0.2">
      <c r="A489" s="5" t="s">
        <v>13</v>
      </c>
      <c r="B489" s="6" t="s">
        <v>14</v>
      </c>
      <c r="C489" s="7" t="s">
        <v>737</v>
      </c>
      <c r="D489" s="8">
        <v>-4.2129962000000001</v>
      </c>
      <c r="E489" s="8">
        <v>-14.422558</v>
      </c>
      <c r="F489" s="7"/>
      <c r="G489" s="7" t="str">
        <f t="shared" si="7"/>
        <v>Direct</v>
      </c>
      <c r="H489" s="7" t="s">
        <v>139</v>
      </c>
    </row>
    <row r="490" spans="1:8" x14ac:dyDescent="0.2">
      <c r="A490" s="5" t="s">
        <v>13</v>
      </c>
      <c r="B490" s="6" t="s">
        <v>14</v>
      </c>
      <c r="C490" s="7" t="s">
        <v>738</v>
      </c>
      <c r="D490" s="8">
        <v>2.5169011999999999</v>
      </c>
      <c r="E490" s="8">
        <v>-2.0171866000000001</v>
      </c>
      <c r="F490" s="7"/>
      <c r="G490" s="7" t="str">
        <f t="shared" si="7"/>
        <v>Inverse</v>
      </c>
      <c r="H490" s="7" t="s">
        <v>16</v>
      </c>
    </row>
    <row r="491" spans="1:8" x14ac:dyDescent="0.2">
      <c r="A491" s="5" t="s">
        <v>13</v>
      </c>
      <c r="B491" s="6" t="s">
        <v>14</v>
      </c>
      <c r="C491" s="7" t="s">
        <v>739</v>
      </c>
      <c r="D491" s="8">
        <v>1.71823536</v>
      </c>
      <c r="E491" s="8">
        <v>-4.8271569999999997</v>
      </c>
      <c r="F491" s="7"/>
      <c r="G491" s="7" t="str">
        <f t="shared" si="7"/>
        <v>Inverse</v>
      </c>
      <c r="H491" s="7" t="s">
        <v>16</v>
      </c>
    </row>
    <row r="492" spans="1:8" x14ac:dyDescent="0.2">
      <c r="A492" s="5" t="s">
        <v>13</v>
      </c>
      <c r="B492" s="6" t="s">
        <v>14</v>
      </c>
      <c r="C492" s="7" t="s">
        <v>740</v>
      </c>
      <c r="D492" s="8">
        <v>-3.12378</v>
      </c>
      <c r="E492" s="8">
        <v>-1.7619062000000001</v>
      </c>
      <c r="F492" s="7"/>
      <c r="G492" s="7" t="str">
        <f t="shared" si="7"/>
        <v>Direct</v>
      </c>
      <c r="H492" s="7" t="s">
        <v>741</v>
      </c>
    </row>
    <row r="493" spans="1:8" x14ac:dyDescent="0.2">
      <c r="A493" s="5" t="s">
        <v>13</v>
      </c>
      <c r="B493" s="6" t="s">
        <v>22</v>
      </c>
      <c r="C493" s="7" t="s">
        <v>15</v>
      </c>
      <c r="D493" s="8">
        <v>2.7082834600000001</v>
      </c>
      <c r="E493" s="7"/>
      <c r="F493" s="8">
        <v>9.8755729799999994</v>
      </c>
      <c r="G493" s="7" t="str">
        <f t="shared" ref="G493:G747" si="8">IF(OR(AND(D493&gt;0,F493&gt;0),AND(D493&lt;0,F493&lt;0)),"Direct","Inverse")</f>
        <v>Direct</v>
      </c>
      <c r="H493" s="7" t="s">
        <v>16</v>
      </c>
    </row>
    <row r="494" spans="1:8" x14ac:dyDescent="0.2">
      <c r="A494" s="5" t="s">
        <v>13</v>
      </c>
      <c r="B494" s="6" t="s">
        <v>22</v>
      </c>
      <c r="C494" s="7" t="s">
        <v>17</v>
      </c>
      <c r="D494" s="8">
        <v>1.26238049</v>
      </c>
      <c r="E494" s="7"/>
      <c r="F494" s="8">
        <v>1.09576425</v>
      </c>
      <c r="G494" s="7" t="str">
        <f t="shared" si="8"/>
        <v>Direct</v>
      </c>
      <c r="H494" s="7" t="s">
        <v>18</v>
      </c>
    </row>
    <row r="495" spans="1:8" x14ac:dyDescent="0.2">
      <c r="A495" s="5" t="s">
        <v>13</v>
      </c>
      <c r="B495" s="6" t="s">
        <v>22</v>
      </c>
      <c r="C495" s="7" t="s">
        <v>20</v>
      </c>
      <c r="D495" s="8">
        <v>2.7094085699999999</v>
      </c>
      <c r="E495" s="7"/>
      <c r="F495" s="8">
        <v>-4.7599233999999999</v>
      </c>
      <c r="G495" s="7" t="str">
        <f t="shared" si="8"/>
        <v>Inverse</v>
      </c>
      <c r="H495" s="7" t="s">
        <v>21</v>
      </c>
    </row>
    <row r="496" spans="1:8" x14ac:dyDescent="0.2">
      <c r="A496" s="5" t="s">
        <v>13</v>
      </c>
      <c r="B496" s="6" t="s">
        <v>22</v>
      </c>
      <c r="C496" s="7" t="s">
        <v>23</v>
      </c>
      <c r="D496" s="8">
        <v>-2.6639482000000001</v>
      </c>
      <c r="E496" s="7"/>
      <c r="F496" s="8">
        <v>-2.5034470999999998</v>
      </c>
      <c r="G496" s="7" t="str">
        <f t="shared" si="8"/>
        <v>Direct</v>
      </c>
      <c r="H496" s="7" t="s">
        <v>24</v>
      </c>
    </row>
    <row r="497" spans="1:8" x14ac:dyDescent="0.2">
      <c r="A497" s="5" t="s">
        <v>13</v>
      </c>
      <c r="B497" s="6" t="s">
        <v>22</v>
      </c>
      <c r="C497" s="7" t="s">
        <v>26</v>
      </c>
      <c r="D497" s="8">
        <v>-1.3894434</v>
      </c>
      <c r="E497" s="7"/>
      <c r="F497" s="8">
        <v>-1.6734382999999999</v>
      </c>
      <c r="G497" s="7" t="str">
        <f t="shared" si="8"/>
        <v>Direct</v>
      </c>
      <c r="H497" s="7" t="s">
        <v>16</v>
      </c>
    </row>
    <row r="498" spans="1:8" x14ac:dyDescent="0.2">
      <c r="A498" s="5" t="s">
        <v>13</v>
      </c>
      <c r="B498" s="6" t="s">
        <v>22</v>
      </c>
      <c r="C498" s="7" t="s">
        <v>30</v>
      </c>
      <c r="D498" s="8">
        <v>-1.0005109999999999</v>
      </c>
      <c r="E498" s="7"/>
      <c r="F498" s="8">
        <v>-1.052238</v>
      </c>
      <c r="G498" s="7" t="str">
        <f t="shared" si="8"/>
        <v>Direct</v>
      </c>
      <c r="H498" s="7" t="s">
        <v>16</v>
      </c>
    </row>
    <row r="499" spans="1:8" x14ac:dyDescent="0.2">
      <c r="A499" s="5" t="s">
        <v>13</v>
      </c>
      <c r="B499" s="6" t="s">
        <v>22</v>
      </c>
      <c r="C499" s="7" t="s">
        <v>31</v>
      </c>
      <c r="D499" s="8">
        <v>1.9404219300000001</v>
      </c>
      <c r="E499" s="7"/>
      <c r="F499" s="8">
        <v>-8.6631537999999999</v>
      </c>
      <c r="G499" s="7" t="str">
        <f t="shared" si="8"/>
        <v>Inverse</v>
      </c>
      <c r="H499" s="7" t="s">
        <v>32</v>
      </c>
    </row>
    <row r="500" spans="1:8" x14ac:dyDescent="0.2">
      <c r="A500" s="5" t="s">
        <v>13</v>
      </c>
      <c r="B500" s="6" t="s">
        <v>22</v>
      </c>
      <c r="C500" s="7" t="s">
        <v>34</v>
      </c>
      <c r="D500" s="8">
        <v>-1.8071542</v>
      </c>
      <c r="E500" s="7"/>
      <c r="F500" s="8">
        <v>-3.1596090999999999</v>
      </c>
      <c r="G500" s="7" t="str">
        <f t="shared" si="8"/>
        <v>Direct</v>
      </c>
      <c r="H500" s="7" t="s">
        <v>35</v>
      </c>
    </row>
    <row r="501" spans="1:8" x14ac:dyDescent="0.2">
      <c r="A501" s="5" t="s">
        <v>13</v>
      </c>
      <c r="B501" s="6" t="s">
        <v>22</v>
      </c>
      <c r="C501" s="7" t="s">
        <v>41</v>
      </c>
      <c r="D501" s="8">
        <v>1.5308279300000001</v>
      </c>
      <c r="E501" s="7"/>
      <c r="F501" s="8">
        <v>-1.3866202999999999</v>
      </c>
      <c r="G501" s="7" t="str">
        <f t="shared" si="8"/>
        <v>Inverse</v>
      </c>
      <c r="H501" s="7" t="s">
        <v>42</v>
      </c>
    </row>
    <row r="502" spans="1:8" x14ac:dyDescent="0.2">
      <c r="A502" s="5" t="s">
        <v>13</v>
      </c>
      <c r="B502" s="6" t="s">
        <v>22</v>
      </c>
      <c r="C502" s="7" t="s">
        <v>43</v>
      </c>
      <c r="D502" s="8">
        <v>1.2138961100000001</v>
      </c>
      <c r="E502" s="7"/>
      <c r="F502" s="8">
        <v>2.4620991999999999</v>
      </c>
      <c r="G502" s="7" t="str">
        <f t="shared" si="8"/>
        <v>Direct</v>
      </c>
      <c r="H502" s="7" t="s">
        <v>44</v>
      </c>
    </row>
    <row r="503" spans="1:8" x14ac:dyDescent="0.2">
      <c r="A503" s="5" t="s">
        <v>13</v>
      </c>
      <c r="B503" s="6" t="s">
        <v>22</v>
      </c>
      <c r="C503" s="7" t="s">
        <v>45</v>
      </c>
      <c r="D503" s="8">
        <v>-1.1438497999999999</v>
      </c>
      <c r="E503" s="7"/>
      <c r="F503" s="8">
        <v>-2.0135564000000001</v>
      </c>
      <c r="G503" s="7" t="str">
        <f t="shared" si="8"/>
        <v>Direct</v>
      </c>
      <c r="H503" s="7" t="s">
        <v>46</v>
      </c>
    </row>
    <row r="504" spans="1:8" x14ac:dyDescent="0.2">
      <c r="A504" s="5" t="s">
        <v>13</v>
      </c>
      <c r="B504" s="6" t="s">
        <v>22</v>
      </c>
      <c r="C504" s="7" t="s">
        <v>47</v>
      </c>
      <c r="D504" s="8">
        <v>3.2401225199999999</v>
      </c>
      <c r="E504" s="7"/>
      <c r="F504" s="8">
        <v>-1.7362534999999999</v>
      </c>
      <c r="G504" s="7" t="str">
        <f t="shared" si="8"/>
        <v>Inverse</v>
      </c>
      <c r="H504" s="7" t="s">
        <v>16</v>
      </c>
    </row>
    <row r="505" spans="1:8" x14ac:dyDescent="0.2">
      <c r="A505" s="5" t="s">
        <v>13</v>
      </c>
      <c r="B505" s="6" t="s">
        <v>22</v>
      </c>
      <c r="C505" s="7" t="s">
        <v>49</v>
      </c>
      <c r="D505" s="8">
        <v>1.61827315</v>
      </c>
      <c r="E505" s="7"/>
      <c r="F505" s="8">
        <v>-5.7932905999999997</v>
      </c>
      <c r="G505" s="7" t="str">
        <f t="shared" si="8"/>
        <v>Inverse</v>
      </c>
      <c r="H505" s="7" t="s">
        <v>16</v>
      </c>
    </row>
    <row r="506" spans="1:8" x14ac:dyDescent="0.2">
      <c r="A506" s="5" t="s">
        <v>13</v>
      </c>
      <c r="B506" s="6" t="s">
        <v>22</v>
      </c>
      <c r="C506" s="7" t="s">
        <v>51</v>
      </c>
      <c r="D506" s="8">
        <v>2.4446342599999999</v>
      </c>
      <c r="E506" s="7"/>
      <c r="F506" s="8">
        <v>-7.8708074000000003</v>
      </c>
      <c r="G506" s="7" t="str">
        <f t="shared" si="8"/>
        <v>Inverse</v>
      </c>
      <c r="H506" s="7" t="s">
        <v>16</v>
      </c>
    </row>
    <row r="507" spans="1:8" x14ac:dyDescent="0.2">
      <c r="A507" s="5" t="s">
        <v>13</v>
      </c>
      <c r="B507" s="6" t="s">
        <v>22</v>
      </c>
      <c r="C507" s="7" t="s">
        <v>53</v>
      </c>
      <c r="D507" s="8">
        <v>-1.8384864000000001</v>
      </c>
      <c r="E507" s="7"/>
      <c r="F507" s="8">
        <v>-2.7181746000000002</v>
      </c>
      <c r="G507" s="7" t="str">
        <f t="shared" si="8"/>
        <v>Direct</v>
      </c>
      <c r="H507" s="7" t="s">
        <v>16</v>
      </c>
    </row>
    <row r="508" spans="1:8" x14ac:dyDescent="0.2">
      <c r="A508" s="5" t="s">
        <v>13</v>
      </c>
      <c r="B508" s="6" t="s">
        <v>22</v>
      </c>
      <c r="C508" s="7" t="s">
        <v>54</v>
      </c>
      <c r="D508" s="8">
        <v>-3.9849408999999998</v>
      </c>
      <c r="E508" s="7"/>
      <c r="F508" s="8">
        <v>-5.7731380000000003</v>
      </c>
      <c r="G508" s="7" t="str">
        <f t="shared" si="8"/>
        <v>Direct</v>
      </c>
      <c r="H508" s="7" t="s">
        <v>16</v>
      </c>
    </row>
    <row r="509" spans="1:8" x14ac:dyDescent="0.2">
      <c r="A509" s="5" t="s">
        <v>13</v>
      </c>
      <c r="B509" s="6" t="s">
        <v>22</v>
      </c>
      <c r="C509" s="7" t="s">
        <v>742</v>
      </c>
      <c r="D509" s="8">
        <v>-1.1549493</v>
      </c>
      <c r="E509" s="7"/>
      <c r="F509" s="8">
        <v>-1.0998595</v>
      </c>
      <c r="G509" s="7" t="str">
        <f t="shared" si="8"/>
        <v>Direct</v>
      </c>
      <c r="H509" s="7" t="s">
        <v>328</v>
      </c>
    </row>
    <row r="510" spans="1:8" x14ac:dyDescent="0.2">
      <c r="A510" s="5" t="s">
        <v>13</v>
      </c>
      <c r="B510" s="6" t="s">
        <v>22</v>
      </c>
      <c r="C510" s="7" t="s">
        <v>55</v>
      </c>
      <c r="D510" s="8">
        <v>-2.7001355999999999</v>
      </c>
      <c r="E510" s="7"/>
      <c r="F510" s="8">
        <v>-2.0029452999999999</v>
      </c>
      <c r="G510" s="7" t="str">
        <f t="shared" si="8"/>
        <v>Direct</v>
      </c>
      <c r="H510" s="7" t="s">
        <v>56</v>
      </c>
    </row>
    <row r="511" spans="1:8" x14ac:dyDescent="0.2">
      <c r="A511" s="5" t="s">
        <v>13</v>
      </c>
      <c r="B511" s="6" t="s">
        <v>22</v>
      </c>
      <c r="C511" s="7" t="s">
        <v>57</v>
      </c>
      <c r="D511" s="8">
        <v>1.0334759</v>
      </c>
      <c r="E511" s="7"/>
      <c r="F511" s="8">
        <v>-1.7529893999999999</v>
      </c>
      <c r="G511" s="7" t="str">
        <f t="shared" si="8"/>
        <v>Inverse</v>
      </c>
      <c r="H511" s="7" t="s">
        <v>58</v>
      </c>
    </row>
    <row r="512" spans="1:8" x14ac:dyDescent="0.2">
      <c r="A512" s="5" t="s">
        <v>13</v>
      </c>
      <c r="B512" s="6" t="s">
        <v>22</v>
      </c>
      <c r="C512" s="7" t="s">
        <v>59</v>
      </c>
      <c r="D512" s="8">
        <v>-1.3700123</v>
      </c>
      <c r="E512" s="7"/>
      <c r="F512" s="8">
        <v>-2.1435973000000001</v>
      </c>
      <c r="G512" s="7" t="str">
        <f t="shared" si="8"/>
        <v>Direct</v>
      </c>
      <c r="H512" s="7" t="s">
        <v>60</v>
      </c>
    </row>
    <row r="513" spans="1:8" x14ac:dyDescent="0.2">
      <c r="A513" s="5" t="s">
        <v>13</v>
      </c>
      <c r="B513" s="6" t="s">
        <v>22</v>
      </c>
      <c r="C513" s="7" t="s">
        <v>63</v>
      </c>
      <c r="D513" s="8">
        <v>-2.5145298999999999</v>
      </c>
      <c r="E513" s="7"/>
      <c r="F513" s="8">
        <v>-6.9089273999999996</v>
      </c>
      <c r="G513" s="7" t="str">
        <f t="shared" si="8"/>
        <v>Direct</v>
      </c>
      <c r="H513" s="7" t="s">
        <v>64</v>
      </c>
    </row>
    <row r="514" spans="1:8" x14ac:dyDescent="0.2">
      <c r="A514" s="5" t="s">
        <v>13</v>
      </c>
      <c r="B514" s="6" t="s">
        <v>22</v>
      </c>
      <c r="C514" s="7" t="s">
        <v>743</v>
      </c>
      <c r="D514" s="8">
        <v>-1.8015764999999999</v>
      </c>
      <c r="E514" s="7"/>
      <c r="F514" s="8">
        <v>-1.3298217000000001</v>
      </c>
      <c r="G514" s="7" t="str">
        <f t="shared" si="8"/>
        <v>Direct</v>
      </c>
      <c r="H514" s="7" t="s">
        <v>744</v>
      </c>
    </row>
    <row r="515" spans="1:8" x14ac:dyDescent="0.2">
      <c r="A515" s="5" t="s">
        <v>13</v>
      </c>
      <c r="B515" s="6" t="s">
        <v>22</v>
      </c>
      <c r="C515" s="7" t="s">
        <v>65</v>
      </c>
      <c r="D515" s="8">
        <v>1.01965046</v>
      </c>
      <c r="E515" s="7"/>
      <c r="F515" s="8">
        <v>-7.5156109000000004</v>
      </c>
      <c r="G515" s="7" t="str">
        <f t="shared" si="8"/>
        <v>Inverse</v>
      </c>
      <c r="H515" s="7" t="s">
        <v>16</v>
      </c>
    </row>
    <row r="516" spans="1:8" x14ac:dyDescent="0.2">
      <c r="A516" s="5" t="s">
        <v>13</v>
      </c>
      <c r="B516" s="6" t="s">
        <v>22</v>
      </c>
      <c r="C516" s="7" t="s">
        <v>66</v>
      </c>
      <c r="D516" s="8">
        <v>1.5440095700000001</v>
      </c>
      <c r="E516" s="7"/>
      <c r="F516" s="8">
        <v>-3.0647764</v>
      </c>
      <c r="G516" s="7" t="str">
        <f t="shared" si="8"/>
        <v>Inverse</v>
      </c>
      <c r="H516" s="7" t="s">
        <v>16</v>
      </c>
    </row>
    <row r="517" spans="1:8" x14ac:dyDescent="0.2">
      <c r="A517" s="5" t="s">
        <v>13</v>
      </c>
      <c r="B517" s="6" t="s">
        <v>22</v>
      </c>
      <c r="C517" s="7" t="s">
        <v>67</v>
      </c>
      <c r="D517" s="8">
        <v>-1.2405374</v>
      </c>
      <c r="E517" s="7"/>
      <c r="F517" s="8">
        <v>-5.7572292000000003</v>
      </c>
      <c r="G517" s="7" t="str">
        <f t="shared" si="8"/>
        <v>Direct</v>
      </c>
      <c r="H517" s="7" t="s">
        <v>68</v>
      </c>
    </row>
    <row r="518" spans="1:8" x14ac:dyDescent="0.2">
      <c r="A518" s="5" t="s">
        <v>13</v>
      </c>
      <c r="B518" s="6" t="s">
        <v>22</v>
      </c>
      <c r="C518" s="7" t="s">
        <v>70</v>
      </c>
      <c r="D518" s="8">
        <v>1.50699432</v>
      </c>
      <c r="E518" s="7"/>
      <c r="F518" s="8">
        <v>-8.3374106999999995</v>
      </c>
      <c r="G518" s="7" t="str">
        <f t="shared" si="8"/>
        <v>Inverse</v>
      </c>
      <c r="H518" s="7" t="s">
        <v>16</v>
      </c>
    </row>
    <row r="519" spans="1:8" x14ac:dyDescent="0.2">
      <c r="A519" s="5" t="s">
        <v>13</v>
      </c>
      <c r="B519" s="6" t="s">
        <v>22</v>
      </c>
      <c r="C519" s="7" t="s">
        <v>71</v>
      </c>
      <c r="D519" s="8">
        <v>1.71528189</v>
      </c>
      <c r="E519" s="7"/>
      <c r="F519" s="8">
        <v>-8.2252702000000006</v>
      </c>
      <c r="G519" s="7" t="str">
        <f t="shared" si="8"/>
        <v>Inverse</v>
      </c>
      <c r="H519" s="7" t="s">
        <v>16</v>
      </c>
    </row>
    <row r="520" spans="1:8" x14ac:dyDescent="0.2">
      <c r="A520" s="5" t="s">
        <v>13</v>
      </c>
      <c r="B520" s="6" t="s">
        <v>22</v>
      </c>
      <c r="C520" s="7" t="s">
        <v>72</v>
      </c>
      <c r="D520" s="8">
        <v>2.1885144300000001</v>
      </c>
      <c r="E520" s="7"/>
      <c r="F520" s="8">
        <v>-8.0054543000000002</v>
      </c>
      <c r="G520" s="7" t="str">
        <f t="shared" si="8"/>
        <v>Inverse</v>
      </c>
      <c r="H520" s="7" t="s">
        <v>16</v>
      </c>
    </row>
    <row r="521" spans="1:8" x14ac:dyDescent="0.2">
      <c r="A521" s="5" t="s">
        <v>13</v>
      </c>
      <c r="B521" s="6" t="s">
        <v>22</v>
      </c>
      <c r="C521" s="7" t="s">
        <v>73</v>
      </c>
      <c r="D521" s="8">
        <v>1.84745377</v>
      </c>
      <c r="E521" s="7"/>
      <c r="F521" s="8">
        <v>-5.3574219999999997</v>
      </c>
      <c r="G521" s="7" t="str">
        <f t="shared" si="8"/>
        <v>Inverse</v>
      </c>
      <c r="H521" s="7" t="s">
        <v>16</v>
      </c>
    </row>
    <row r="522" spans="1:8" x14ac:dyDescent="0.2">
      <c r="A522" s="5" t="s">
        <v>13</v>
      </c>
      <c r="B522" s="6" t="s">
        <v>22</v>
      </c>
      <c r="C522" s="7" t="s">
        <v>74</v>
      </c>
      <c r="D522" s="8">
        <v>1.0470809700000001</v>
      </c>
      <c r="E522" s="7"/>
      <c r="F522" s="8">
        <v>-4.6303134000000004</v>
      </c>
      <c r="G522" s="7" t="str">
        <f t="shared" si="8"/>
        <v>Inverse</v>
      </c>
      <c r="H522" s="7" t="s">
        <v>16</v>
      </c>
    </row>
    <row r="523" spans="1:8" x14ac:dyDescent="0.2">
      <c r="A523" s="5" t="s">
        <v>13</v>
      </c>
      <c r="B523" s="6" t="s">
        <v>22</v>
      </c>
      <c r="C523" s="7" t="s">
        <v>75</v>
      </c>
      <c r="D523" s="8">
        <v>2.1756774000000001</v>
      </c>
      <c r="E523" s="7"/>
      <c r="F523" s="8">
        <v>-4.9191928000000003</v>
      </c>
      <c r="G523" s="7" t="str">
        <f t="shared" si="8"/>
        <v>Inverse</v>
      </c>
      <c r="H523" s="7" t="s">
        <v>16</v>
      </c>
    </row>
    <row r="524" spans="1:8" x14ac:dyDescent="0.2">
      <c r="A524" s="5" t="s">
        <v>13</v>
      </c>
      <c r="B524" s="6" t="s">
        <v>22</v>
      </c>
      <c r="C524" s="7" t="s">
        <v>76</v>
      </c>
      <c r="D524" s="8">
        <v>1.46247215</v>
      </c>
      <c r="E524" s="7"/>
      <c r="F524" s="8">
        <v>-8.1607398999999994</v>
      </c>
      <c r="G524" s="7" t="str">
        <f t="shared" si="8"/>
        <v>Inverse</v>
      </c>
      <c r="H524" s="7" t="s">
        <v>16</v>
      </c>
    </row>
    <row r="525" spans="1:8" x14ac:dyDescent="0.2">
      <c r="A525" s="5" t="s">
        <v>13</v>
      </c>
      <c r="B525" s="6" t="s">
        <v>22</v>
      </c>
      <c r="C525" s="7" t="s">
        <v>77</v>
      </c>
      <c r="D525" s="8">
        <v>1.7658814599999999</v>
      </c>
      <c r="E525" s="7"/>
      <c r="F525" s="8">
        <v>-7.4991197999999999</v>
      </c>
      <c r="G525" s="7" t="str">
        <f t="shared" si="8"/>
        <v>Inverse</v>
      </c>
      <c r="H525" s="7" t="s">
        <v>16</v>
      </c>
    </row>
    <row r="526" spans="1:8" x14ac:dyDescent="0.2">
      <c r="A526" s="5" t="s">
        <v>13</v>
      </c>
      <c r="B526" s="6" t="s">
        <v>22</v>
      </c>
      <c r="C526" s="7" t="s">
        <v>78</v>
      </c>
      <c r="D526" s="8">
        <v>1.9692564699999999</v>
      </c>
      <c r="E526" s="7"/>
      <c r="F526" s="8">
        <v>-8.0329210999999994</v>
      </c>
      <c r="G526" s="7" t="str">
        <f t="shared" si="8"/>
        <v>Inverse</v>
      </c>
      <c r="H526" s="7" t="s">
        <v>16</v>
      </c>
    </row>
    <row r="527" spans="1:8" x14ac:dyDescent="0.2">
      <c r="A527" s="5" t="s">
        <v>13</v>
      </c>
      <c r="B527" s="6" t="s">
        <v>22</v>
      </c>
      <c r="C527" s="7" t="s">
        <v>79</v>
      </c>
      <c r="D527" s="8">
        <v>2.5748107</v>
      </c>
      <c r="E527" s="7"/>
      <c r="F527" s="8">
        <v>-11.274386</v>
      </c>
      <c r="G527" s="7" t="str">
        <f t="shared" si="8"/>
        <v>Inverse</v>
      </c>
      <c r="H527" s="7" t="s">
        <v>16</v>
      </c>
    </row>
    <row r="528" spans="1:8" x14ac:dyDescent="0.2">
      <c r="A528" s="5" t="s">
        <v>13</v>
      </c>
      <c r="B528" s="6" t="s">
        <v>22</v>
      </c>
      <c r="C528" s="7" t="s">
        <v>80</v>
      </c>
      <c r="D528" s="8">
        <v>1.0436867400000001</v>
      </c>
      <c r="E528" s="7"/>
      <c r="F528" s="8">
        <v>4.3733429199999998</v>
      </c>
      <c r="G528" s="7" t="str">
        <f t="shared" si="8"/>
        <v>Direct</v>
      </c>
      <c r="H528" s="7" t="s">
        <v>81</v>
      </c>
    </row>
    <row r="529" spans="1:8" x14ac:dyDescent="0.2">
      <c r="A529" s="5" t="s">
        <v>13</v>
      </c>
      <c r="B529" s="6" t="s">
        <v>22</v>
      </c>
      <c r="C529" s="7" t="s">
        <v>84</v>
      </c>
      <c r="D529" s="8">
        <v>1.86805427</v>
      </c>
      <c r="E529" s="7"/>
      <c r="F529" s="8">
        <v>-4.9790489000000004</v>
      </c>
      <c r="G529" s="7" t="str">
        <f t="shared" si="8"/>
        <v>Inverse</v>
      </c>
      <c r="H529" s="7" t="s">
        <v>85</v>
      </c>
    </row>
    <row r="530" spans="1:8" x14ac:dyDescent="0.2">
      <c r="A530" s="5" t="s">
        <v>13</v>
      </c>
      <c r="B530" s="6" t="s">
        <v>22</v>
      </c>
      <c r="C530" s="7" t="s">
        <v>86</v>
      </c>
      <c r="D530" s="8">
        <v>1.68408797</v>
      </c>
      <c r="E530" s="7"/>
      <c r="F530" s="8">
        <v>-4.1831223</v>
      </c>
      <c r="G530" s="7" t="str">
        <f t="shared" si="8"/>
        <v>Inverse</v>
      </c>
      <c r="H530" s="7" t="s">
        <v>16</v>
      </c>
    </row>
    <row r="531" spans="1:8" x14ac:dyDescent="0.2">
      <c r="A531" s="5" t="s">
        <v>13</v>
      </c>
      <c r="B531" s="6" t="s">
        <v>22</v>
      </c>
      <c r="C531" s="7" t="s">
        <v>745</v>
      </c>
      <c r="D531" s="8">
        <v>-1.3649359000000001</v>
      </c>
      <c r="E531" s="7"/>
      <c r="F531" s="8">
        <v>-1.0957642999999999</v>
      </c>
      <c r="G531" s="7" t="str">
        <f t="shared" si="8"/>
        <v>Direct</v>
      </c>
      <c r="H531" s="7" t="s">
        <v>746</v>
      </c>
    </row>
    <row r="532" spans="1:8" x14ac:dyDescent="0.2">
      <c r="A532" s="5" t="s">
        <v>13</v>
      </c>
      <c r="B532" s="6" t="s">
        <v>22</v>
      </c>
      <c r="C532" s="7" t="s">
        <v>747</v>
      </c>
      <c r="D532" s="8">
        <v>-3.4901863</v>
      </c>
      <c r="E532" s="7"/>
      <c r="F532" s="8">
        <v>-2.1334032999999999</v>
      </c>
      <c r="G532" s="7" t="str">
        <f t="shared" si="8"/>
        <v>Direct</v>
      </c>
      <c r="H532" s="7" t="s">
        <v>748</v>
      </c>
    </row>
    <row r="533" spans="1:8" x14ac:dyDescent="0.2">
      <c r="A533" s="5" t="s">
        <v>13</v>
      </c>
      <c r="B533" s="6" t="s">
        <v>22</v>
      </c>
      <c r="C533" s="7" t="s">
        <v>89</v>
      </c>
      <c r="D533" s="8">
        <v>1.0609191</v>
      </c>
      <c r="E533" s="7"/>
      <c r="F533" s="8">
        <v>-2.7916514000000001</v>
      </c>
      <c r="G533" s="7" t="str">
        <f t="shared" si="8"/>
        <v>Inverse</v>
      </c>
      <c r="H533" s="7" t="s">
        <v>90</v>
      </c>
    </row>
    <row r="534" spans="1:8" x14ac:dyDescent="0.2">
      <c r="A534" s="5" t="s">
        <v>13</v>
      </c>
      <c r="B534" s="6" t="s">
        <v>22</v>
      </c>
      <c r="C534" s="7" t="s">
        <v>93</v>
      </c>
      <c r="D534" s="8">
        <v>-1.2668394000000001</v>
      </c>
      <c r="E534" s="7"/>
      <c r="F534" s="8">
        <v>-3.1636586000000002</v>
      </c>
      <c r="G534" s="7" t="str">
        <f t="shared" si="8"/>
        <v>Direct</v>
      </c>
      <c r="H534" s="7" t="s">
        <v>94</v>
      </c>
    </row>
    <row r="535" spans="1:8" x14ac:dyDescent="0.2">
      <c r="A535" s="5" t="s">
        <v>13</v>
      </c>
      <c r="B535" s="6" t="s">
        <v>22</v>
      </c>
      <c r="C535" s="7" t="s">
        <v>95</v>
      </c>
      <c r="D535" s="8">
        <v>-2.5169011999999999</v>
      </c>
      <c r="E535" s="7"/>
      <c r="F535" s="8">
        <v>-4.5682492000000003</v>
      </c>
      <c r="G535" s="7" t="str">
        <f t="shared" si="8"/>
        <v>Direct</v>
      </c>
      <c r="H535" s="7" t="s">
        <v>96</v>
      </c>
    </row>
    <row r="536" spans="1:8" x14ac:dyDescent="0.2">
      <c r="A536" s="5" t="s">
        <v>13</v>
      </c>
      <c r="B536" s="6" t="s">
        <v>22</v>
      </c>
      <c r="C536" s="7" t="s">
        <v>97</v>
      </c>
      <c r="D536" s="8">
        <v>1.7811513999999999</v>
      </c>
      <c r="E536" s="7"/>
      <c r="F536" s="8">
        <v>-1.9106091000000001</v>
      </c>
      <c r="G536" s="7" t="str">
        <f t="shared" si="8"/>
        <v>Inverse</v>
      </c>
      <c r="H536" s="7" t="s">
        <v>16</v>
      </c>
    </row>
    <row r="537" spans="1:8" x14ac:dyDescent="0.2">
      <c r="A537" s="5" t="s">
        <v>13</v>
      </c>
      <c r="B537" s="6" t="s">
        <v>22</v>
      </c>
      <c r="C537" s="7" t="s">
        <v>98</v>
      </c>
      <c r="D537" s="8">
        <v>1.51002696</v>
      </c>
      <c r="E537" s="7"/>
      <c r="F537" s="8">
        <v>-2.1603036000000002</v>
      </c>
      <c r="G537" s="7" t="str">
        <f t="shared" si="8"/>
        <v>Inverse</v>
      </c>
      <c r="H537" s="7" t="s">
        <v>16</v>
      </c>
    </row>
    <row r="538" spans="1:8" x14ac:dyDescent="0.2">
      <c r="A538" s="5" t="s">
        <v>13</v>
      </c>
      <c r="B538" s="6" t="s">
        <v>22</v>
      </c>
      <c r="C538" s="7" t="s">
        <v>99</v>
      </c>
      <c r="D538" s="8">
        <v>-1.2551999</v>
      </c>
      <c r="E538" s="7"/>
      <c r="F538" s="8">
        <v>-2.8998290999999998</v>
      </c>
      <c r="G538" s="7" t="str">
        <f t="shared" si="8"/>
        <v>Direct</v>
      </c>
      <c r="H538" s="7" t="s">
        <v>100</v>
      </c>
    </row>
    <row r="539" spans="1:8" x14ac:dyDescent="0.2">
      <c r="A539" s="5" t="s">
        <v>13</v>
      </c>
      <c r="B539" s="6" t="s">
        <v>22</v>
      </c>
      <c r="C539" s="7" t="s">
        <v>101</v>
      </c>
      <c r="D539" s="8">
        <v>1.76768937</v>
      </c>
      <c r="E539" s="7"/>
      <c r="F539" s="8">
        <v>-9.9916944000000001</v>
      </c>
      <c r="G539" s="7" t="str">
        <f t="shared" si="8"/>
        <v>Inverse</v>
      </c>
      <c r="H539" s="7" t="s">
        <v>16</v>
      </c>
    </row>
    <row r="540" spans="1:8" x14ac:dyDescent="0.2">
      <c r="A540" s="5" t="s">
        <v>13</v>
      </c>
      <c r="B540" s="6" t="s">
        <v>22</v>
      </c>
      <c r="C540" s="7" t="s">
        <v>102</v>
      </c>
      <c r="D540" s="8">
        <v>-1.9404219</v>
      </c>
      <c r="E540" s="7"/>
      <c r="F540" s="8">
        <v>-3.3763665999999999</v>
      </c>
      <c r="G540" s="7" t="str">
        <f t="shared" si="8"/>
        <v>Direct</v>
      </c>
      <c r="H540" s="7" t="s">
        <v>16</v>
      </c>
    </row>
    <row r="541" spans="1:8" x14ac:dyDescent="0.2">
      <c r="A541" s="5" t="s">
        <v>13</v>
      </c>
      <c r="B541" s="6" t="s">
        <v>22</v>
      </c>
      <c r="C541" s="7" t="s">
        <v>749</v>
      </c>
      <c r="D541" s="8">
        <v>-1.9904888999999999</v>
      </c>
      <c r="E541" s="7"/>
      <c r="F541" s="8">
        <v>-1.4696198</v>
      </c>
      <c r="G541" s="7" t="str">
        <f t="shared" si="8"/>
        <v>Direct</v>
      </c>
      <c r="H541" s="7" t="s">
        <v>16</v>
      </c>
    </row>
    <row r="542" spans="1:8" x14ac:dyDescent="0.2">
      <c r="A542" s="5" t="s">
        <v>13</v>
      </c>
      <c r="B542" s="6" t="s">
        <v>22</v>
      </c>
      <c r="C542" s="7" t="s">
        <v>103</v>
      </c>
      <c r="D542" s="8">
        <v>-2.2238429000000002</v>
      </c>
      <c r="E542" s="7"/>
      <c r="F542" s="8">
        <v>-1.8079599</v>
      </c>
      <c r="G542" s="7" t="str">
        <f t="shared" si="8"/>
        <v>Direct</v>
      </c>
      <c r="H542" s="7" t="s">
        <v>16</v>
      </c>
    </row>
    <row r="543" spans="1:8" x14ac:dyDescent="0.2">
      <c r="A543" s="5" t="s">
        <v>13</v>
      </c>
      <c r="B543" s="6" t="s">
        <v>22</v>
      </c>
      <c r="C543" s="7" t="s">
        <v>750</v>
      </c>
      <c r="D543" s="8">
        <v>-1.7753175000000001</v>
      </c>
      <c r="E543" s="7"/>
      <c r="F543" s="8">
        <v>-1.1578358</v>
      </c>
      <c r="G543" s="7" t="str">
        <f t="shared" si="8"/>
        <v>Direct</v>
      </c>
      <c r="H543" s="7" t="s">
        <v>751</v>
      </c>
    </row>
    <row r="544" spans="1:8" x14ac:dyDescent="0.2">
      <c r="A544" s="5" t="s">
        <v>13</v>
      </c>
      <c r="B544" s="6" t="s">
        <v>22</v>
      </c>
      <c r="C544" s="7" t="s">
        <v>104</v>
      </c>
      <c r="D544" s="8">
        <v>-2.0366371000000001</v>
      </c>
      <c r="E544" s="7"/>
      <c r="F544" s="8">
        <v>-4.5003602000000003</v>
      </c>
      <c r="G544" s="7" t="str">
        <f t="shared" si="8"/>
        <v>Direct</v>
      </c>
      <c r="H544" s="7" t="s">
        <v>16</v>
      </c>
    </row>
    <row r="545" spans="1:8" x14ac:dyDescent="0.2">
      <c r="A545" s="5" t="s">
        <v>13</v>
      </c>
      <c r="B545" s="6" t="s">
        <v>22</v>
      </c>
      <c r="C545" s="7" t="s">
        <v>105</v>
      </c>
      <c r="D545" s="8">
        <v>1.3676691400000001</v>
      </c>
      <c r="E545" s="7"/>
      <c r="F545" s="8">
        <v>-5.4063771999999997</v>
      </c>
      <c r="G545" s="7" t="str">
        <f t="shared" si="8"/>
        <v>Inverse</v>
      </c>
      <c r="H545" s="7" t="s">
        <v>16</v>
      </c>
    </row>
    <row r="546" spans="1:8" x14ac:dyDescent="0.2">
      <c r="A546" s="5" t="s">
        <v>13</v>
      </c>
      <c r="B546" s="6" t="s">
        <v>22</v>
      </c>
      <c r="C546" s="7" t="s">
        <v>106</v>
      </c>
      <c r="D546" s="8">
        <v>-1.0216837999999999</v>
      </c>
      <c r="E546" s="7"/>
      <c r="F546" s="8">
        <v>-1.1981295999999999</v>
      </c>
      <c r="G546" s="7" t="str">
        <f t="shared" si="8"/>
        <v>Direct</v>
      </c>
      <c r="H546" s="7" t="s">
        <v>107</v>
      </c>
    </row>
    <row r="547" spans="1:8" x14ac:dyDescent="0.2">
      <c r="A547" s="5" t="s">
        <v>13</v>
      </c>
      <c r="B547" s="6" t="s">
        <v>22</v>
      </c>
      <c r="C547" s="7" t="s">
        <v>108</v>
      </c>
      <c r="D547" s="8">
        <v>-1.1480262000000001</v>
      </c>
      <c r="E547" s="7"/>
      <c r="F547" s="8">
        <v>-1.5730624</v>
      </c>
      <c r="G547" s="7" t="str">
        <f t="shared" si="8"/>
        <v>Direct</v>
      </c>
      <c r="H547" s="7" t="s">
        <v>16</v>
      </c>
    </row>
    <row r="548" spans="1:8" x14ac:dyDescent="0.2">
      <c r="A548" s="5" t="s">
        <v>13</v>
      </c>
      <c r="B548" s="6" t="s">
        <v>22</v>
      </c>
      <c r="C548" s="7" t="s">
        <v>109</v>
      </c>
      <c r="D548" s="8">
        <v>-2.8924541000000001</v>
      </c>
      <c r="E548" s="7"/>
      <c r="F548" s="8">
        <v>-2.4525117999999999</v>
      </c>
      <c r="G548" s="7" t="str">
        <f t="shared" si="8"/>
        <v>Direct</v>
      </c>
      <c r="H548" s="7" t="s">
        <v>110</v>
      </c>
    </row>
    <row r="549" spans="1:8" x14ac:dyDescent="0.2">
      <c r="A549" s="5" t="s">
        <v>13</v>
      </c>
      <c r="B549" s="6" t="s">
        <v>22</v>
      </c>
      <c r="C549" s="7" t="s">
        <v>114</v>
      </c>
      <c r="D549" s="8">
        <v>-1.0471661999999999</v>
      </c>
      <c r="E549" s="7"/>
      <c r="F549" s="8">
        <v>-9.7423488000000003</v>
      </c>
      <c r="G549" s="7" t="str">
        <f t="shared" si="8"/>
        <v>Direct</v>
      </c>
      <c r="H549" s="7" t="s">
        <v>16</v>
      </c>
    </row>
    <row r="550" spans="1:8" x14ac:dyDescent="0.2">
      <c r="A550" s="5" t="s">
        <v>13</v>
      </c>
      <c r="B550" s="6" t="s">
        <v>22</v>
      </c>
      <c r="C550" s="7" t="s">
        <v>115</v>
      </c>
      <c r="D550" s="8">
        <v>-1.3649359000000001</v>
      </c>
      <c r="E550" s="7"/>
      <c r="F550" s="8">
        <v>-6.2430747000000002</v>
      </c>
      <c r="G550" s="7" t="str">
        <f t="shared" si="8"/>
        <v>Direct</v>
      </c>
      <c r="H550" s="7" t="s">
        <v>16</v>
      </c>
    </row>
    <row r="551" spans="1:8" x14ac:dyDescent="0.2">
      <c r="A551" s="5" t="s">
        <v>13</v>
      </c>
      <c r="B551" s="6" t="s">
        <v>22</v>
      </c>
      <c r="C551" s="7" t="s">
        <v>116</v>
      </c>
      <c r="D551" s="8">
        <v>1.3403444900000001</v>
      </c>
      <c r="E551" s="7"/>
      <c r="F551" s="8">
        <v>-4.8299216999999999</v>
      </c>
      <c r="G551" s="7" t="str">
        <f t="shared" si="8"/>
        <v>Inverse</v>
      </c>
      <c r="H551" s="7" t="s">
        <v>16</v>
      </c>
    </row>
    <row r="552" spans="1:8" x14ac:dyDescent="0.2">
      <c r="A552" s="5" t="s">
        <v>13</v>
      </c>
      <c r="B552" s="6" t="s">
        <v>22</v>
      </c>
      <c r="C552" s="7" t="s">
        <v>117</v>
      </c>
      <c r="D552" s="8">
        <v>1.5755857900000001</v>
      </c>
      <c r="E552" s="7"/>
      <c r="F552" s="8">
        <v>-11.10711</v>
      </c>
      <c r="G552" s="7" t="str">
        <f t="shared" si="8"/>
        <v>Inverse</v>
      </c>
      <c r="H552" s="7" t="s">
        <v>16</v>
      </c>
    </row>
    <row r="553" spans="1:8" x14ac:dyDescent="0.2">
      <c r="A553" s="5" t="s">
        <v>13</v>
      </c>
      <c r="B553" s="6" t="s">
        <v>22</v>
      </c>
      <c r="C553" s="7" t="s">
        <v>118</v>
      </c>
      <c r="D553" s="8">
        <v>5.06672163</v>
      </c>
      <c r="E553" s="7"/>
      <c r="F553" s="8">
        <v>-1.636147</v>
      </c>
      <c r="G553" s="7" t="str">
        <f t="shared" si="8"/>
        <v>Inverse</v>
      </c>
      <c r="H553" s="7" t="s">
        <v>16</v>
      </c>
    </row>
    <row r="554" spans="1:8" x14ac:dyDescent="0.2">
      <c r="A554" s="5" t="s">
        <v>13</v>
      </c>
      <c r="B554" s="6" t="s">
        <v>22</v>
      </c>
      <c r="C554" s="7" t="s">
        <v>752</v>
      </c>
      <c r="D554" s="8">
        <v>-1.0093875000000001</v>
      </c>
      <c r="E554" s="7"/>
      <c r="F554" s="8">
        <v>-1.1756438</v>
      </c>
      <c r="G554" s="7" t="str">
        <f t="shared" si="8"/>
        <v>Direct</v>
      </c>
      <c r="H554" s="7" t="s">
        <v>16</v>
      </c>
    </row>
    <row r="555" spans="1:8" x14ac:dyDescent="0.2">
      <c r="A555" s="5" t="s">
        <v>13</v>
      </c>
      <c r="B555" s="6" t="s">
        <v>22</v>
      </c>
      <c r="C555" s="7" t="s">
        <v>119</v>
      </c>
      <c r="D555" s="8">
        <v>-1.8777121000000001</v>
      </c>
      <c r="E555" s="7"/>
      <c r="F555" s="8">
        <v>-4.4091345000000004</v>
      </c>
      <c r="G555" s="7" t="str">
        <f t="shared" si="8"/>
        <v>Direct</v>
      </c>
      <c r="H555" s="7" t="s">
        <v>16</v>
      </c>
    </row>
    <row r="556" spans="1:8" x14ac:dyDescent="0.2">
      <c r="A556" s="5" t="s">
        <v>13</v>
      </c>
      <c r="B556" s="6" t="s">
        <v>22</v>
      </c>
      <c r="C556" s="7" t="s">
        <v>753</v>
      </c>
      <c r="D556" s="8">
        <v>-1.2231506000000001</v>
      </c>
      <c r="E556" s="7"/>
      <c r="F556" s="8">
        <v>-1.0126945000000001</v>
      </c>
      <c r="G556" s="7" t="str">
        <f t="shared" si="8"/>
        <v>Direct</v>
      </c>
      <c r="H556" s="7" t="s">
        <v>754</v>
      </c>
    </row>
    <row r="557" spans="1:8" x14ac:dyDescent="0.2">
      <c r="A557" s="5" t="s">
        <v>13</v>
      </c>
      <c r="B557" s="6" t="s">
        <v>22</v>
      </c>
      <c r="C557" s="7" t="s">
        <v>755</v>
      </c>
      <c r="D557" s="8">
        <v>1.5550084200000001</v>
      </c>
      <c r="E557" s="7"/>
      <c r="F557" s="8">
        <v>1.02256999</v>
      </c>
      <c r="G557" s="7" t="str">
        <f t="shared" si="8"/>
        <v>Direct</v>
      </c>
      <c r="H557" s="7" t="s">
        <v>756</v>
      </c>
    </row>
    <row r="558" spans="1:8" x14ac:dyDescent="0.2">
      <c r="A558" s="5" t="s">
        <v>13</v>
      </c>
      <c r="B558" s="6" t="s">
        <v>22</v>
      </c>
      <c r="C558" s="7" t="s">
        <v>120</v>
      </c>
      <c r="D558" s="8">
        <v>1.8788538299999999</v>
      </c>
      <c r="E558" s="7"/>
      <c r="F558" s="8">
        <v>-9.1710580999999998</v>
      </c>
      <c r="G558" s="7" t="str">
        <f t="shared" si="8"/>
        <v>Inverse</v>
      </c>
      <c r="H558" s="7" t="s">
        <v>16</v>
      </c>
    </row>
    <row r="559" spans="1:8" x14ac:dyDescent="0.2">
      <c r="A559" s="5" t="s">
        <v>13</v>
      </c>
      <c r="B559" s="6" t="s">
        <v>22</v>
      </c>
      <c r="C559" s="7" t="s">
        <v>121</v>
      </c>
      <c r="D559" s="8">
        <v>1.74353165</v>
      </c>
      <c r="E559" s="7"/>
      <c r="F559" s="8">
        <v>-5.6978428000000001</v>
      </c>
      <c r="G559" s="7" t="str">
        <f t="shared" si="8"/>
        <v>Inverse</v>
      </c>
      <c r="H559" s="7" t="s">
        <v>16</v>
      </c>
    </row>
    <row r="560" spans="1:8" x14ac:dyDescent="0.2">
      <c r="A560" s="5" t="s">
        <v>13</v>
      </c>
      <c r="B560" s="6" t="s">
        <v>22</v>
      </c>
      <c r="C560" s="7" t="s">
        <v>122</v>
      </c>
      <c r="D560" s="8">
        <v>-3.7584266</v>
      </c>
      <c r="E560" s="7"/>
      <c r="F560" s="8">
        <v>-2.3481583000000001</v>
      </c>
      <c r="G560" s="7" t="str">
        <f t="shared" si="8"/>
        <v>Direct</v>
      </c>
      <c r="H560" s="7" t="s">
        <v>123</v>
      </c>
    </row>
    <row r="561" spans="1:8" x14ac:dyDescent="0.2">
      <c r="A561" s="5" t="s">
        <v>13</v>
      </c>
      <c r="B561" s="6" t="s">
        <v>22</v>
      </c>
      <c r="C561" s="7" t="s">
        <v>124</v>
      </c>
      <c r="D561" s="8">
        <v>2.1342811400000001</v>
      </c>
      <c r="E561" s="7"/>
      <c r="F561" s="8">
        <v>-3.1783622999999999</v>
      </c>
      <c r="G561" s="7" t="str">
        <f t="shared" si="8"/>
        <v>Inverse</v>
      </c>
      <c r="H561" s="7" t="s">
        <v>125</v>
      </c>
    </row>
    <row r="562" spans="1:8" x14ac:dyDescent="0.2">
      <c r="A562" s="5" t="s">
        <v>13</v>
      </c>
      <c r="B562" s="6" t="s">
        <v>22</v>
      </c>
      <c r="C562" s="7" t="s">
        <v>126</v>
      </c>
      <c r="D562" s="8">
        <v>1.0755802699999999</v>
      </c>
      <c r="E562" s="7"/>
      <c r="F562" s="8">
        <v>-5.3543075</v>
      </c>
      <c r="G562" s="7" t="str">
        <f t="shared" si="8"/>
        <v>Inverse</v>
      </c>
      <c r="H562" s="7" t="s">
        <v>16</v>
      </c>
    </row>
    <row r="563" spans="1:8" x14ac:dyDescent="0.2">
      <c r="A563" s="5" t="s">
        <v>13</v>
      </c>
      <c r="B563" s="6" t="s">
        <v>22</v>
      </c>
      <c r="C563" s="7" t="s">
        <v>127</v>
      </c>
      <c r="D563" s="8">
        <v>1.1093750200000001</v>
      </c>
      <c r="E563" s="7"/>
      <c r="F563" s="8">
        <v>-5.9442370999999996</v>
      </c>
      <c r="G563" s="7" t="str">
        <f t="shared" si="8"/>
        <v>Inverse</v>
      </c>
      <c r="H563" s="7" t="s">
        <v>16</v>
      </c>
    </row>
    <row r="564" spans="1:8" x14ac:dyDescent="0.2">
      <c r="A564" s="5" t="s">
        <v>13</v>
      </c>
      <c r="B564" s="6" t="s">
        <v>22</v>
      </c>
      <c r="C564" s="7" t="s">
        <v>128</v>
      </c>
      <c r="D564" s="8">
        <v>-1.6421924000000001</v>
      </c>
      <c r="E564" s="7"/>
      <c r="F564" s="8">
        <v>-2.4636181000000001</v>
      </c>
      <c r="G564" s="7" t="str">
        <f t="shared" si="8"/>
        <v>Direct</v>
      </c>
      <c r="H564" s="7" t="s">
        <v>129</v>
      </c>
    </row>
    <row r="565" spans="1:8" x14ac:dyDescent="0.2">
      <c r="A565" s="5" t="s">
        <v>13</v>
      </c>
      <c r="B565" s="6" t="s">
        <v>22</v>
      </c>
      <c r="C565" s="7" t="s">
        <v>757</v>
      </c>
      <c r="D565" s="8">
        <v>-1.4869334000000001</v>
      </c>
      <c r="E565" s="7"/>
      <c r="F565" s="8">
        <v>-1.1370178</v>
      </c>
      <c r="G565" s="7" t="str">
        <f t="shared" si="8"/>
        <v>Direct</v>
      </c>
      <c r="H565" s="7" t="s">
        <v>16</v>
      </c>
    </row>
    <row r="566" spans="1:8" x14ac:dyDescent="0.2">
      <c r="A566" s="5" t="s">
        <v>13</v>
      </c>
      <c r="B566" s="6" t="s">
        <v>22</v>
      </c>
      <c r="C566" s="7" t="s">
        <v>758</v>
      </c>
      <c r="D566" s="8">
        <v>-1.2100453</v>
      </c>
      <c r="E566" s="7"/>
      <c r="F566" s="8">
        <v>1.58304643</v>
      </c>
      <c r="G566" s="7" t="str">
        <f t="shared" si="8"/>
        <v>Inverse</v>
      </c>
      <c r="H566" s="7" t="s">
        <v>759</v>
      </c>
    </row>
    <row r="567" spans="1:8" x14ac:dyDescent="0.2">
      <c r="A567" s="5" t="s">
        <v>13</v>
      </c>
      <c r="B567" s="6" t="s">
        <v>22</v>
      </c>
      <c r="C567" s="7" t="s">
        <v>132</v>
      </c>
      <c r="D567" s="8">
        <v>-1.6859761</v>
      </c>
      <c r="E567" s="7"/>
      <c r="F567" s="8">
        <v>-4.7512853000000002</v>
      </c>
      <c r="G567" s="7" t="str">
        <f t="shared" si="8"/>
        <v>Direct</v>
      </c>
      <c r="H567" s="7" t="s">
        <v>133</v>
      </c>
    </row>
    <row r="568" spans="1:8" x14ac:dyDescent="0.2">
      <c r="A568" s="5" t="s">
        <v>13</v>
      </c>
      <c r="B568" s="6" t="s">
        <v>22</v>
      </c>
      <c r="C568" s="7" t="s">
        <v>134</v>
      </c>
      <c r="D568" s="8">
        <v>1.1048708300000001</v>
      </c>
      <c r="E568" s="7"/>
      <c r="F568" s="8">
        <v>-2.990529</v>
      </c>
      <c r="G568" s="7" t="str">
        <f t="shared" si="8"/>
        <v>Inverse</v>
      </c>
      <c r="H568" s="7" t="s">
        <v>16</v>
      </c>
    </row>
    <row r="569" spans="1:8" x14ac:dyDescent="0.2">
      <c r="A569" s="5" t="s">
        <v>13</v>
      </c>
      <c r="B569" s="6" t="s">
        <v>22</v>
      </c>
      <c r="C569" s="7" t="s">
        <v>760</v>
      </c>
      <c r="D569" s="8">
        <v>-1.5031030000000001</v>
      </c>
      <c r="E569" s="7"/>
      <c r="F569" s="8">
        <v>-1.7234408999999999</v>
      </c>
      <c r="G569" s="7" t="str">
        <f t="shared" si="8"/>
        <v>Direct</v>
      </c>
      <c r="H569" s="7" t="s">
        <v>137</v>
      </c>
    </row>
    <row r="570" spans="1:8" x14ac:dyDescent="0.2">
      <c r="A570" s="5" t="s">
        <v>13</v>
      </c>
      <c r="B570" s="6" t="s">
        <v>22</v>
      </c>
      <c r="C570" s="7" t="s">
        <v>136</v>
      </c>
      <c r="D570" s="8">
        <v>-3.3115488000000002</v>
      </c>
      <c r="E570" s="7"/>
      <c r="F570" s="8">
        <v>-6.2272334999999996</v>
      </c>
      <c r="G570" s="7" t="str">
        <f t="shared" si="8"/>
        <v>Direct</v>
      </c>
      <c r="H570" s="7" t="s">
        <v>137</v>
      </c>
    </row>
    <row r="571" spans="1:8" x14ac:dyDescent="0.2">
      <c r="A571" s="5" t="s">
        <v>13</v>
      </c>
      <c r="B571" s="6" t="s">
        <v>22</v>
      </c>
      <c r="C571" s="7" t="s">
        <v>138</v>
      </c>
      <c r="D571" s="8">
        <v>2.4520469899999999</v>
      </c>
      <c r="E571" s="7"/>
      <c r="F571" s="8">
        <v>-1.8213790999999999</v>
      </c>
      <c r="G571" s="7" t="str">
        <f t="shared" si="8"/>
        <v>Inverse</v>
      </c>
      <c r="H571" s="7" t="s">
        <v>139</v>
      </c>
    </row>
    <row r="572" spans="1:8" x14ac:dyDescent="0.2">
      <c r="A572" s="5" t="s">
        <v>13</v>
      </c>
      <c r="B572" s="6" t="s">
        <v>22</v>
      </c>
      <c r="C572" s="7" t="s">
        <v>140</v>
      </c>
      <c r="D572" s="8">
        <v>1.46013737</v>
      </c>
      <c r="E572" s="7"/>
      <c r="F572" s="8">
        <v>-6.9494702999999998</v>
      </c>
      <c r="G572" s="7" t="str">
        <f t="shared" si="8"/>
        <v>Inverse</v>
      </c>
      <c r="H572" s="7" t="s">
        <v>139</v>
      </c>
    </row>
    <row r="573" spans="1:8" x14ac:dyDescent="0.2">
      <c r="A573" s="5" t="s">
        <v>13</v>
      </c>
      <c r="B573" s="6" t="s">
        <v>22</v>
      </c>
      <c r="C573" s="7" t="s">
        <v>141</v>
      </c>
      <c r="D573" s="8">
        <v>1.460553</v>
      </c>
      <c r="E573" s="7"/>
      <c r="F573" s="8">
        <v>-2.3130614</v>
      </c>
      <c r="G573" s="7" t="str">
        <f t="shared" si="8"/>
        <v>Inverse</v>
      </c>
      <c r="H573" s="7" t="s">
        <v>142</v>
      </c>
    </row>
    <row r="574" spans="1:8" x14ac:dyDescent="0.2">
      <c r="A574" s="5" t="s">
        <v>13</v>
      </c>
      <c r="B574" s="6" t="s">
        <v>22</v>
      </c>
      <c r="C574" s="7" t="s">
        <v>143</v>
      </c>
      <c r="D574" s="8">
        <v>1.8950327</v>
      </c>
      <c r="E574" s="7"/>
      <c r="F574" s="8">
        <v>3.8233547400000001</v>
      </c>
      <c r="G574" s="7" t="str">
        <f t="shared" si="8"/>
        <v>Direct</v>
      </c>
      <c r="H574" s="7" t="s">
        <v>144</v>
      </c>
    </row>
    <row r="575" spans="1:8" x14ac:dyDescent="0.2">
      <c r="A575" s="5" t="s">
        <v>13</v>
      </c>
      <c r="B575" s="6" t="s">
        <v>22</v>
      </c>
      <c r="C575" s="7" t="s">
        <v>145</v>
      </c>
      <c r="D575" s="8">
        <v>1.6319367899999999</v>
      </c>
      <c r="E575" s="7"/>
      <c r="F575" s="8">
        <v>-1.0145465</v>
      </c>
      <c r="G575" s="7" t="str">
        <f t="shared" si="8"/>
        <v>Inverse</v>
      </c>
      <c r="H575" s="7" t="s">
        <v>16</v>
      </c>
    </row>
    <row r="576" spans="1:8" x14ac:dyDescent="0.2">
      <c r="A576" s="5" t="s">
        <v>13</v>
      </c>
      <c r="B576" s="6" t="s">
        <v>22</v>
      </c>
      <c r="C576" s="7" t="s">
        <v>146</v>
      </c>
      <c r="D576" s="8">
        <v>-2.5061377999999999</v>
      </c>
      <c r="E576" s="7"/>
      <c r="F576" s="8">
        <v>-1.2246884</v>
      </c>
      <c r="G576" s="7" t="str">
        <f t="shared" si="8"/>
        <v>Direct</v>
      </c>
      <c r="H576" s="7" t="s">
        <v>147</v>
      </c>
    </row>
    <row r="577" spans="1:8" x14ac:dyDescent="0.2">
      <c r="A577" s="5" t="s">
        <v>13</v>
      </c>
      <c r="B577" s="6" t="s">
        <v>22</v>
      </c>
      <c r="C577" s="7" t="s">
        <v>148</v>
      </c>
      <c r="D577" s="8">
        <v>-1.4950323999999999</v>
      </c>
      <c r="E577" s="7"/>
      <c r="F577" s="8">
        <v>-1.0982787000000001</v>
      </c>
      <c r="G577" s="7" t="str">
        <f t="shared" si="8"/>
        <v>Direct</v>
      </c>
      <c r="H577" s="7" t="s">
        <v>16</v>
      </c>
    </row>
    <row r="578" spans="1:8" x14ac:dyDescent="0.2">
      <c r="A578" s="5" t="s">
        <v>13</v>
      </c>
      <c r="B578" s="6" t="s">
        <v>22</v>
      </c>
      <c r="C578" s="7" t="s">
        <v>150</v>
      </c>
      <c r="D578" s="8">
        <v>-2.4520469999999999</v>
      </c>
      <c r="E578" s="7"/>
      <c r="F578" s="8">
        <v>-1.7615905999999999</v>
      </c>
      <c r="G578" s="7" t="str">
        <f t="shared" si="8"/>
        <v>Direct</v>
      </c>
      <c r="H578" s="7" t="s">
        <v>16</v>
      </c>
    </row>
    <row r="579" spans="1:8" x14ac:dyDescent="0.2">
      <c r="A579" s="5" t="s">
        <v>13</v>
      </c>
      <c r="B579" s="6" t="s">
        <v>22</v>
      </c>
      <c r="C579" s="7" t="s">
        <v>151</v>
      </c>
      <c r="D579" s="8">
        <v>-1.6027899000000001</v>
      </c>
      <c r="E579" s="7"/>
      <c r="F579" s="8">
        <v>1.4768663900000001</v>
      </c>
      <c r="G579" s="7" t="str">
        <f t="shared" si="8"/>
        <v>Inverse</v>
      </c>
      <c r="H579" s="7" t="s">
        <v>16</v>
      </c>
    </row>
    <row r="580" spans="1:8" x14ac:dyDescent="0.2">
      <c r="A580" s="5" t="s">
        <v>13</v>
      </c>
      <c r="B580" s="6" t="s">
        <v>22</v>
      </c>
      <c r="C580" s="7" t="s">
        <v>152</v>
      </c>
      <c r="D580" s="8">
        <v>-3.5030622999999999</v>
      </c>
      <c r="E580" s="7"/>
      <c r="F580" s="8">
        <v>-5.9316244999999999</v>
      </c>
      <c r="G580" s="7" t="str">
        <f t="shared" si="8"/>
        <v>Direct</v>
      </c>
      <c r="H580" s="7" t="s">
        <v>16</v>
      </c>
    </row>
    <row r="581" spans="1:8" x14ac:dyDescent="0.2">
      <c r="A581" s="5" t="s">
        <v>13</v>
      </c>
      <c r="B581" s="6" t="s">
        <v>22</v>
      </c>
      <c r="C581" s="7" t="s">
        <v>154</v>
      </c>
      <c r="D581" s="8">
        <v>-1.6564681000000001</v>
      </c>
      <c r="E581" s="7"/>
      <c r="F581" s="8">
        <v>-1.4044270000000001</v>
      </c>
      <c r="G581" s="7" t="str">
        <f t="shared" si="8"/>
        <v>Direct</v>
      </c>
      <c r="H581" s="7" t="s">
        <v>155</v>
      </c>
    </row>
    <row r="582" spans="1:8" x14ac:dyDescent="0.2">
      <c r="A582" s="5" t="s">
        <v>13</v>
      </c>
      <c r="B582" s="6" t="s">
        <v>22</v>
      </c>
      <c r="C582" s="7" t="s">
        <v>761</v>
      </c>
      <c r="D582" s="8">
        <v>2.63609619</v>
      </c>
      <c r="E582" s="7"/>
      <c r="F582" s="8">
        <v>2.0102743799999998</v>
      </c>
      <c r="G582" s="7" t="str">
        <f t="shared" si="8"/>
        <v>Direct</v>
      </c>
      <c r="H582" s="7" t="s">
        <v>762</v>
      </c>
    </row>
    <row r="583" spans="1:8" x14ac:dyDescent="0.2">
      <c r="A583" s="5" t="s">
        <v>13</v>
      </c>
      <c r="B583" s="6" t="s">
        <v>22</v>
      </c>
      <c r="C583" s="7" t="s">
        <v>156</v>
      </c>
      <c r="D583" s="8">
        <v>-1.4437431000000001</v>
      </c>
      <c r="E583" s="7"/>
      <c r="F583" s="8">
        <v>-1.0592686</v>
      </c>
      <c r="G583" s="7" t="str">
        <f t="shared" si="8"/>
        <v>Direct</v>
      </c>
      <c r="H583" s="7" t="s">
        <v>157</v>
      </c>
    </row>
    <row r="584" spans="1:8" x14ac:dyDescent="0.2">
      <c r="A584" s="5" t="s">
        <v>13</v>
      </c>
      <c r="B584" s="6" t="s">
        <v>22</v>
      </c>
      <c r="C584" s="7" t="s">
        <v>158</v>
      </c>
      <c r="D584" s="8">
        <v>-1.0518035999999999</v>
      </c>
      <c r="E584" s="7"/>
      <c r="F584" s="8">
        <v>-3.3749215000000001</v>
      </c>
      <c r="G584" s="7" t="str">
        <f t="shared" si="8"/>
        <v>Direct</v>
      </c>
      <c r="H584" s="7" t="s">
        <v>16</v>
      </c>
    </row>
    <row r="585" spans="1:8" x14ac:dyDescent="0.2">
      <c r="A585" s="5" t="s">
        <v>13</v>
      </c>
      <c r="B585" s="6" t="s">
        <v>22</v>
      </c>
      <c r="C585" s="7" t="s">
        <v>159</v>
      </c>
      <c r="D585" s="8">
        <v>-1.1991885</v>
      </c>
      <c r="E585" s="7"/>
      <c r="F585" s="8">
        <v>-1.7736155</v>
      </c>
      <c r="G585" s="7" t="str">
        <f t="shared" si="8"/>
        <v>Direct</v>
      </c>
      <c r="H585" s="7" t="s">
        <v>160</v>
      </c>
    </row>
    <row r="586" spans="1:8" x14ac:dyDescent="0.2">
      <c r="A586" s="5" t="s">
        <v>13</v>
      </c>
      <c r="B586" s="6" t="s">
        <v>22</v>
      </c>
      <c r="C586" s="7" t="s">
        <v>763</v>
      </c>
      <c r="D586" s="8">
        <v>-2.326025</v>
      </c>
      <c r="E586" s="7"/>
      <c r="F586" s="8">
        <v>-2.7569971</v>
      </c>
      <c r="G586" s="7" t="str">
        <f t="shared" si="8"/>
        <v>Direct</v>
      </c>
      <c r="H586" s="7" t="s">
        <v>16</v>
      </c>
    </row>
    <row r="587" spans="1:8" x14ac:dyDescent="0.2">
      <c r="A587" s="5" t="s">
        <v>13</v>
      </c>
      <c r="B587" s="6" t="s">
        <v>22</v>
      </c>
      <c r="C587" s="7" t="s">
        <v>164</v>
      </c>
      <c r="D587" s="8">
        <v>-1.7494856999999999</v>
      </c>
      <c r="E587" s="7"/>
      <c r="F587" s="8">
        <v>2.6109064399999999</v>
      </c>
      <c r="G587" s="7" t="str">
        <f t="shared" si="8"/>
        <v>Inverse</v>
      </c>
      <c r="H587" s="7" t="s">
        <v>16</v>
      </c>
    </row>
    <row r="588" spans="1:8" x14ac:dyDescent="0.2">
      <c r="A588" s="5" t="s">
        <v>13</v>
      </c>
      <c r="B588" s="6" t="s">
        <v>22</v>
      </c>
      <c r="C588" s="7" t="s">
        <v>165</v>
      </c>
      <c r="D588" s="8">
        <v>-3.1144319</v>
      </c>
      <c r="E588" s="7"/>
      <c r="F588" s="8">
        <v>-2.1651099</v>
      </c>
      <c r="G588" s="7" t="str">
        <f t="shared" si="8"/>
        <v>Direct</v>
      </c>
      <c r="H588" s="7" t="s">
        <v>16</v>
      </c>
    </row>
    <row r="589" spans="1:8" x14ac:dyDescent="0.2">
      <c r="A589" s="5" t="s">
        <v>13</v>
      </c>
      <c r="B589" s="6" t="s">
        <v>22</v>
      </c>
      <c r="C589" s="7" t="s">
        <v>166</v>
      </c>
      <c r="D589" s="8">
        <v>-1.532977</v>
      </c>
      <c r="E589" s="7"/>
      <c r="F589" s="8">
        <v>-1.3903958000000001</v>
      </c>
      <c r="G589" s="7" t="str">
        <f t="shared" si="8"/>
        <v>Direct</v>
      </c>
      <c r="H589" s="7" t="s">
        <v>16</v>
      </c>
    </row>
    <row r="590" spans="1:8" x14ac:dyDescent="0.2">
      <c r="A590" s="5" t="s">
        <v>13</v>
      </c>
      <c r="B590" s="6" t="s">
        <v>22</v>
      </c>
      <c r="C590" s="7" t="s">
        <v>167</v>
      </c>
      <c r="D590" s="8">
        <v>-1.1991885</v>
      </c>
      <c r="E590" s="7"/>
      <c r="F590" s="8">
        <v>-2.1348970999999999</v>
      </c>
      <c r="G590" s="7" t="str">
        <f t="shared" si="8"/>
        <v>Direct</v>
      </c>
      <c r="H590" s="7" t="s">
        <v>16</v>
      </c>
    </row>
    <row r="591" spans="1:8" x14ac:dyDescent="0.2">
      <c r="A591" s="5" t="s">
        <v>13</v>
      </c>
      <c r="B591" s="6" t="s">
        <v>22</v>
      </c>
      <c r="C591" s="7" t="s">
        <v>168</v>
      </c>
      <c r="D591" s="8">
        <v>1.6053809699999999</v>
      </c>
      <c r="E591" s="7"/>
      <c r="F591" s="8">
        <v>-8.0849633000000001</v>
      </c>
      <c r="G591" s="7" t="str">
        <f t="shared" si="8"/>
        <v>Inverse</v>
      </c>
      <c r="H591" s="7" t="s">
        <v>16</v>
      </c>
    </row>
    <row r="592" spans="1:8" x14ac:dyDescent="0.2">
      <c r="A592" s="5" t="s">
        <v>13</v>
      </c>
      <c r="B592" s="6" t="s">
        <v>22</v>
      </c>
      <c r="C592" s="7" t="s">
        <v>170</v>
      </c>
      <c r="D592" s="8">
        <v>1.35922286</v>
      </c>
      <c r="E592" s="7"/>
      <c r="F592" s="8">
        <v>-5.7540063999999997</v>
      </c>
      <c r="G592" s="7" t="str">
        <f t="shared" si="8"/>
        <v>Inverse</v>
      </c>
      <c r="H592" s="7" t="s">
        <v>16</v>
      </c>
    </row>
    <row r="593" spans="1:8" x14ac:dyDescent="0.2">
      <c r="A593" s="5" t="s">
        <v>13</v>
      </c>
      <c r="B593" s="6" t="s">
        <v>22</v>
      </c>
      <c r="C593" s="7" t="s">
        <v>171</v>
      </c>
      <c r="D593" s="8">
        <v>-1.1937677</v>
      </c>
      <c r="E593" s="7"/>
      <c r="F593" s="8">
        <v>-2.1960316999999998</v>
      </c>
      <c r="G593" s="7" t="str">
        <f t="shared" si="8"/>
        <v>Direct</v>
      </c>
      <c r="H593" s="7" t="s">
        <v>172</v>
      </c>
    </row>
    <row r="594" spans="1:8" x14ac:dyDescent="0.2">
      <c r="A594" s="5" t="s">
        <v>13</v>
      </c>
      <c r="B594" s="6" t="s">
        <v>22</v>
      </c>
      <c r="C594" s="7" t="s">
        <v>173</v>
      </c>
      <c r="D594" s="8">
        <v>1.49062191</v>
      </c>
      <c r="E594" s="7"/>
      <c r="F594" s="8">
        <v>-4.4670538999999998</v>
      </c>
      <c r="G594" s="7" t="str">
        <f t="shared" si="8"/>
        <v>Inverse</v>
      </c>
      <c r="H594" s="7" t="s">
        <v>174</v>
      </c>
    </row>
    <row r="595" spans="1:8" x14ac:dyDescent="0.2">
      <c r="A595" s="5" t="s">
        <v>13</v>
      </c>
      <c r="B595" s="6" t="s">
        <v>22</v>
      </c>
      <c r="C595" s="7" t="s">
        <v>175</v>
      </c>
      <c r="D595" s="8">
        <v>-1.7509361999999999</v>
      </c>
      <c r="E595" s="7"/>
      <c r="F595" s="8">
        <v>-3.3103343999999999</v>
      </c>
      <c r="G595" s="7" t="str">
        <f t="shared" si="8"/>
        <v>Direct</v>
      </c>
      <c r="H595" s="7" t="s">
        <v>176</v>
      </c>
    </row>
    <row r="596" spans="1:8" x14ac:dyDescent="0.2">
      <c r="A596" s="5" t="s">
        <v>13</v>
      </c>
      <c r="B596" s="6" t="s">
        <v>22</v>
      </c>
      <c r="C596" s="7" t="s">
        <v>177</v>
      </c>
      <c r="D596" s="8">
        <v>-2.7069619</v>
      </c>
      <c r="E596" s="7"/>
      <c r="F596" s="8">
        <v>-5.7048078000000002</v>
      </c>
      <c r="G596" s="7" t="str">
        <f t="shared" si="8"/>
        <v>Direct</v>
      </c>
      <c r="H596" s="7" t="s">
        <v>178</v>
      </c>
    </row>
    <row r="597" spans="1:8" x14ac:dyDescent="0.2">
      <c r="A597" s="5" t="s">
        <v>13</v>
      </c>
      <c r="B597" s="6" t="s">
        <v>22</v>
      </c>
      <c r="C597" s="7" t="s">
        <v>179</v>
      </c>
      <c r="D597" s="8">
        <v>-1.4375876000000001</v>
      </c>
      <c r="E597" s="7"/>
      <c r="F597" s="8">
        <v>-4.7158123999999999</v>
      </c>
      <c r="G597" s="7" t="str">
        <f t="shared" si="8"/>
        <v>Direct</v>
      </c>
      <c r="H597" s="7" t="s">
        <v>180</v>
      </c>
    </row>
    <row r="598" spans="1:8" x14ac:dyDescent="0.2">
      <c r="A598" s="5" t="s">
        <v>13</v>
      </c>
      <c r="B598" s="6" t="s">
        <v>22</v>
      </c>
      <c r="C598" s="7" t="s">
        <v>181</v>
      </c>
      <c r="D598" s="8">
        <v>-2.379489</v>
      </c>
      <c r="E598" s="7"/>
      <c r="F598" s="8">
        <v>-4.5880786999999996</v>
      </c>
      <c r="G598" s="7" t="str">
        <f t="shared" si="8"/>
        <v>Direct</v>
      </c>
      <c r="H598" s="7" t="s">
        <v>182</v>
      </c>
    </row>
    <row r="599" spans="1:8" x14ac:dyDescent="0.2">
      <c r="A599" s="5" t="s">
        <v>13</v>
      </c>
      <c r="B599" s="6" t="s">
        <v>22</v>
      </c>
      <c r="C599" s="7" t="s">
        <v>183</v>
      </c>
      <c r="D599" s="8">
        <v>-2.6639482000000001</v>
      </c>
      <c r="E599" s="7"/>
      <c r="F599" s="8">
        <v>-4.5094564999999998</v>
      </c>
      <c r="G599" s="7" t="str">
        <f t="shared" si="8"/>
        <v>Direct</v>
      </c>
      <c r="H599" s="7" t="s">
        <v>182</v>
      </c>
    </row>
    <row r="600" spans="1:8" x14ac:dyDescent="0.2">
      <c r="A600" s="5" t="s">
        <v>13</v>
      </c>
      <c r="B600" s="6" t="s">
        <v>22</v>
      </c>
      <c r="C600" s="7" t="s">
        <v>764</v>
      </c>
      <c r="D600" s="8">
        <v>-1.6131257999999999</v>
      </c>
      <c r="E600" s="7"/>
      <c r="F600" s="8">
        <v>-1.3693295999999999</v>
      </c>
      <c r="G600" s="7" t="str">
        <f t="shared" si="8"/>
        <v>Direct</v>
      </c>
      <c r="H600" s="7" t="s">
        <v>16</v>
      </c>
    </row>
    <row r="601" spans="1:8" x14ac:dyDescent="0.2">
      <c r="A601" s="5" t="s">
        <v>13</v>
      </c>
      <c r="B601" s="6" t="s">
        <v>22</v>
      </c>
      <c r="C601" s="7" t="s">
        <v>184</v>
      </c>
      <c r="D601" s="8">
        <v>-2.5581782</v>
      </c>
      <c r="E601" s="7"/>
      <c r="F601" s="8">
        <v>-5.3052636</v>
      </c>
      <c r="G601" s="7" t="str">
        <f t="shared" si="8"/>
        <v>Direct</v>
      </c>
      <c r="H601" s="7" t="s">
        <v>185</v>
      </c>
    </row>
    <row r="602" spans="1:8" x14ac:dyDescent="0.2">
      <c r="A602" s="5" t="s">
        <v>13</v>
      </c>
      <c r="B602" s="6" t="s">
        <v>22</v>
      </c>
      <c r="C602" s="7" t="s">
        <v>765</v>
      </c>
      <c r="D602" s="8">
        <v>1.1663553099999999</v>
      </c>
      <c r="E602" s="7"/>
      <c r="F602" s="8">
        <v>-2.0617022999999999</v>
      </c>
      <c r="G602" s="7" t="str">
        <f t="shared" si="8"/>
        <v>Inverse</v>
      </c>
      <c r="H602" s="7" t="s">
        <v>16</v>
      </c>
    </row>
    <row r="603" spans="1:8" x14ac:dyDescent="0.2">
      <c r="A603" s="5" t="s">
        <v>13</v>
      </c>
      <c r="B603" s="6" t="s">
        <v>22</v>
      </c>
      <c r="C603" s="7" t="s">
        <v>186</v>
      </c>
      <c r="D603" s="8">
        <v>-1.3983029</v>
      </c>
      <c r="E603" s="7"/>
      <c r="F603" s="8">
        <v>-1.0366668000000001</v>
      </c>
      <c r="G603" s="7" t="str">
        <f t="shared" si="8"/>
        <v>Direct</v>
      </c>
      <c r="H603" s="7" t="s">
        <v>187</v>
      </c>
    </row>
    <row r="604" spans="1:8" x14ac:dyDescent="0.2">
      <c r="A604" s="5" t="s">
        <v>13</v>
      </c>
      <c r="B604" s="6" t="s">
        <v>22</v>
      </c>
      <c r="C604" s="7" t="s">
        <v>188</v>
      </c>
      <c r="D604" s="8">
        <v>-1.1671794</v>
      </c>
      <c r="E604" s="7"/>
      <c r="F604" s="8">
        <v>-2.7710477999999998</v>
      </c>
      <c r="G604" s="7" t="str">
        <f t="shared" si="8"/>
        <v>Direct</v>
      </c>
      <c r="H604" s="7" t="s">
        <v>16</v>
      </c>
    </row>
    <row r="605" spans="1:8" x14ac:dyDescent="0.2">
      <c r="A605" s="5" t="s">
        <v>13</v>
      </c>
      <c r="B605" s="6" t="s">
        <v>22</v>
      </c>
      <c r="C605" s="7" t="s">
        <v>189</v>
      </c>
      <c r="D605" s="8">
        <v>1.94707736</v>
      </c>
      <c r="E605" s="7"/>
      <c r="F605" s="8">
        <v>-1.4890428</v>
      </c>
      <c r="G605" s="7" t="str">
        <f t="shared" si="8"/>
        <v>Inverse</v>
      </c>
      <c r="H605" s="7" t="s">
        <v>190</v>
      </c>
    </row>
    <row r="606" spans="1:8" x14ac:dyDescent="0.2">
      <c r="A606" s="5" t="s">
        <v>13</v>
      </c>
      <c r="B606" s="6" t="s">
        <v>22</v>
      </c>
      <c r="C606" s="7" t="s">
        <v>191</v>
      </c>
      <c r="D606" s="8">
        <v>-2.7611254999999999</v>
      </c>
      <c r="E606" s="7"/>
      <c r="F606" s="8">
        <v>-7.2786657999999997</v>
      </c>
      <c r="G606" s="7" t="str">
        <f t="shared" si="8"/>
        <v>Direct</v>
      </c>
      <c r="H606" s="7" t="s">
        <v>192</v>
      </c>
    </row>
    <row r="607" spans="1:8" x14ac:dyDescent="0.2">
      <c r="A607" s="5" t="s">
        <v>13</v>
      </c>
      <c r="B607" s="6" t="s">
        <v>22</v>
      </c>
      <c r="C607" s="7" t="s">
        <v>193</v>
      </c>
      <c r="D607" s="8">
        <v>-1.7721214000000001</v>
      </c>
      <c r="E607" s="7"/>
      <c r="F607" s="8">
        <v>-2.0432020999999998</v>
      </c>
      <c r="G607" s="7" t="str">
        <f t="shared" si="8"/>
        <v>Direct</v>
      </c>
      <c r="H607" s="7" t="s">
        <v>194</v>
      </c>
    </row>
    <row r="608" spans="1:8" x14ac:dyDescent="0.2">
      <c r="A608" s="5" t="s">
        <v>13</v>
      </c>
      <c r="B608" s="6" t="s">
        <v>22</v>
      </c>
      <c r="C608" s="7" t="s">
        <v>195</v>
      </c>
      <c r="D608" s="8">
        <v>-2.473563</v>
      </c>
      <c r="E608" s="7"/>
      <c r="F608" s="8">
        <v>-1.1125571999999999</v>
      </c>
      <c r="G608" s="7" t="str">
        <f t="shared" si="8"/>
        <v>Direct</v>
      </c>
      <c r="H608" s="7" t="s">
        <v>196</v>
      </c>
    </row>
    <row r="609" spans="1:8" x14ac:dyDescent="0.2">
      <c r="A609" s="5" t="s">
        <v>13</v>
      </c>
      <c r="B609" s="6" t="s">
        <v>22</v>
      </c>
      <c r="C609" s="7" t="s">
        <v>766</v>
      </c>
      <c r="D609" s="8">
        <v>-1.9156964999999999</v>
      </c>
      <c r="E609" s="7"/>
      <c r="F609" s="8">
        <v>-1.9158017000000001</v>
      </c>
      <c r="G609" s="7" t="str">
        <f t="shared" si="8"/>
        <v>Direct</v>
      </c>
      <c r="H609" s="7" t="s">
        <v>196</v>
      </c>
    </row>
    <row r="610" spans="1:8" x14ac:dyDescent="0.2">
      <c r="A610" s="5" t="s">
        <v>13</v>
      </c>
      <c r="B610" s="6" t="s">
        <v>22</v>
      </c>
      <c r="C610" s="7" t="s">
        <v>197</v>
      </c>
      <c r="D610" s="8">
        <v>2.2204967199999999</v>
      </c>
      <c r="E610" s="7"/>
      <c r="F610" s="8">
        <v>1.2629336600000001</v>
      </c>
      <c r="G610" s="7" t="str">
        <f t="shared" si="8"/>
        <v>Direct</v>
      </c>
      <c r="H610" s="7" t="s">
        <v>142</v>
      </c>
    </row>
    <row r="611" spans="1:8" x14ac:dyDescent="0.2">
      <c r="A611" s="5" t="s">
        <v>13</v>
      </c>
      <c r="B611" s="6" t="s">
        <v>22</v>
      </c>
      <c r="C611" s="7" t="s">
        <v>198</v>
      </c>
      <c r="D611" s="8">
        <v>1.77173391</v>
      </c>
      <c r="E611" s="7"/>
      <c r="F611" s="8">
        <v>1.9401130200000001</v>
      </c>
      <c r="G611" s="7" t="str">
        <f t="shared" si="8"/>
        <v>Direct</v>
      </c>
      <c r="H611" s="7" t="s">
        <v>199</v>
      </c>
    </row>
    <row r="612" spans="1:8" x14ac:dyDescent="0.2">
      <c r="A612" s="5" t="s">
        <v>13</v>
      </c>
      <c r="B612" s="6" t="s">
        <v>22</v>
      </c>
      <c r="C612" s="7" t="s">
        <v>200</v>
      </c>
      <c r="D612" s="8">
        <v>-2.5276131999999998</v>
      </c>
      <c r="E612" s="7"/>
      <c r="F612" s="8">
        <v>-3.9635571999999999</v>
      </c>
      <c r="G612" s="7" t="str">
        <f t="shared" si="8"/>
        <v>Direct</v>
      </c>
      <c r="H612" s="7" t="s">
        <v>201</v>
      </c>
    </row>
    <row r="613" spans="1:8" x14ac:dyDescent="0.2">
      <c r="A613" s="5" t="s">
        <v>13</v>
      </c>
      <c r="B613" s="6" t="s">
        <v>22</v>
      </c>
      <c r="C613" s="7" t="s">
        <v>202</v>
      </c>
      <c r="D613" s="8">
        <v>-1.2183018999999999</v>
      </c>
      <c r="E613" s="7"/>
      <c r="F613" s="8">
        <v>-2.7064200999999999</v>
      </c>
      <c r="G613" s="7" t="str">
        <f t="shared" si="8"/>
        <v>Direct</v>
      </c>
      <c r="H613" s="7" t="s">
        <v>16</v>
      </c>
    </row>
    <row r="614" spans="1:8" x14ac:dyDescent="0.2">
      <c r="A614" s="5" t="s">
        <v>13</v>
      </c>
      <c r="B614" s="6" t="s">
        <v>22</v>
      </c>
      <c r="C614" s="7" t="s">
        <v>203</v>
      </c>
      <c r="D614" s="8">
        <v>1.7528422400000001</v>
      </c>
      <c r="E614" s="7"/>
      <c r="F614" s="8">
        <v>-5.5217682999999997</v>
      </c>
      <c r="G614" s="7" t="str">
        <f t="shared" si="8"/>
        <v>Inverse</v>
      </c>
      <c r="H614" s="7" t="s">
        <v>16</v>
      </c>
    </row>
    <row r="615" spans="1:8" x14ac:dyDescent="0.2">
      <c r="A615" s="5" t="s">
        <v>13</v>
      </c>
      <c r="B615" s="6" t="s">
        <v>22</v>
      </c>
      <c r="C615" s="7" t="s">
        <v>767</v>
      </c>
      <c r="D615" s="8">
        <v>-2.0906940999999999</v>
      </c>
      <c r="E615" s="7"/>
      <c r="F615" s="8">
        <v>-1.0231376999999999</v>
      </c>
      <c r="G615" s="7" t="str">
        <f t="shared" si="8"/>
        <v>Direct</v>
      </c>
      <c r="H615" s="7" t="s">
        <v>16</v>
      </c>
    </row>
    <row r="616" spans="1:8" x14ac:dyDescent="0.2">
      <c r="A616" s="5" t="s">
        <v>13</v>
      </c>
      <c r="B616" s="6" t="s">
        <v>22</v>
      </c>
      <c r="C616" s="7" t="s">
        <v>205</v>
      </c>
      <c r="D616" s="8">
        <v>1.73685858</v>
      </c>
      <c r="E616" s="7"/>
      <c r="F616" s="8">
        <v>2.02918237</v>
      </c>
      <c r="G616" s="7" t="str">
        <f t="shared" si="8"/>
        <v>Direct</v>
      </c>
      <c r="H616" s="7" t="s">
        <v>206</v>
      </c>
    </row>
    <row r="617" spans="1:8" x14ac:dyDescent="0.2">
      <c r="A617" s="5" t="s">
        <v>13</v>
      </c>
      <c r="B617" s="6" t="s">
        <v>22</v>
      </c>
      <c r="C617" s="7" t="s">
        <v>207</v>
      </c>
      <c r="D617" s="8">
        <v>1.6858593799999999</v>
      </c>
      <c r="E617" s="7"/>
      <c r="F617" s="8">
        <v>-18.000022999999999</v>
      </c>
      <c r="G617" s="7" t="str">
        <f t="shared" si="8"/>
        <v>Inverse</v>
      </c>
      <c r="H617" s="7" t="s">
        <v>16</v>
      </c>
    </row>
    <row r="618" spans="1:8" x14ac:dyDescent="0.2">
      <c r="A618" s="5" t="s">
        <v>13</v>
      </c>
      <c r="B618" s="6" t="s">
        <v>22</v>
      </c>
      <c r="C618" s="7" t="s">
        <v>208</v>
      </c>
      <c r="D618" s="8">
        <v>-1.7717339000000001</v>
      </c>
      <c r="E618" s="7"/>
      <c r="F618" s="8">
        <v>-2.3010587</v>
      </c>
      <c r="G618" s="7" t="str">
        <f t="shared" si="8"/>
        <v>Direct</v>
      </c>
      <c r="H618" s="7" t="s">
        <v>16</v>
      </c>
    </row>
    <row r="619" spans="1:8" x14ac:dyDescent="0.2">
      <c r="A619" s="5" t="s">
        <v>13</v>
      </c>
      <c r="B619" s="6" t="s">
        <v>22</v>
      </c>
      <c r="C619" s="7" t="s">
        <v>768</v>
      </c>
      <c r="D619" s="8">
        <v>-2.0991352999999999</v>
      </c>
      <c r="E619" s="7"/>
      <c r="F619" s="8">
        <v>-2.0477740999999998</v>
      </c>
      <c r="G619" s="7" t="str">
        <f t="shared" si="8"/>
        <v>Direct</v>
      </c>
      <c r="H619" s="7" t="s">
        <v>16</v>
      </c>
    </row>
    <row r="620" spans="1:8" x14ac:dyDescent="0.2">
      <c r="A620" s="5" t="s">
        <v>13</v>
      </c>
      <c r="B620" s="6" t="s">
        <v>22</v>
      </c>
      <c r="C620" s="7" t="s">
        <v>209</v>
      </c>
      <c r="D620" s="8">
        <v>1.2534106599999999</v>
      </c>
      <c r="E620" s="7"/>
      <c r="F620" s="8">
        <v>2.6462789299999998</v>
      </c>
      <c r="G620" s="7" t="str">
        <f t="shared" si="8"/>
        <v>Direct</v>
      </c>
      <c r="H620" s="7" t="s">
        <v>16</v>
      </c>
    </row>
    <row r="621" spans="1:8" x14ac:dyDescent="0.2">
      <c r="A621" s="5" t="s">
        <v>13</v>
      </c>
      <c r="B621" s="6" t="s">
        <v>22</v>
      </c>
      <c r="C621" s="7" t="s">
        <v>210</v>
      </c>
      <c r="D621" s="8">
        <v>-1.1318204000000001</v>
      </c>
      <c r="E621" s="7"/>
      <c r="F621" s="8">
        <v>-1.4068578</v>
      </c>
      <c r="G621" s="7" t="str">
        <f t="shared" si="8"/>
        <v>Direct</v>
      </c>
      <c r="H621" s="7" t="s">
        <v>16</v>
      </c>
    </row>
    <row r="622" spans="1:8" x14ac:dyDescent="0.2">
      <c r="A622" s="5" t="s">
        <v>13</v>
      </c>
      <c r="B622" s="6" t="s">
        <v>22</v>
      </c>
      <c r="C622" s="7" t="s">
        <v>211</v>
      </c>
      <c r="D622" s="8">
        <v>-2.6360961999999999</v>
      </c>
      <c r="E622" s="7"/>
      <c r="F622" s="8">
        <v>-5.0524354999999996</v>
      </c>
      <c r="G622" s="7" t="str">
        <f t="shared" si="8"/>
        <v>Direct</v>
      </c>
      <c r="H622" s="7" t="s">
        <v>212</v>
      </c>
    </row>
    <row r="623" spans="1:8" x14ac:dyDescent="0.2">
      <c r="A623" s="5" t="s">
        <v>13</v>
      </c>
      <c r="B623" s="6" t="s">
        <v>22</v>
      </c>
      <c r="C623" s="7" t="s">
        <v>215</v>
      </c>
      <c r="D623" s="8">
        <v>-1.5674733000000001</v>
      </c>
      <c r="E623" s="7"/>
      <c r="F623" s="8">
        <v>-1.8079599</v>
      </c>
      <c r="G623" s="7" t="str">
        <f t="shared" si="8"/>
        <v>Direct</v>
      </c>
      <c r="H623" s="7" t="s">
        <v>216</v>
      </c>
    </row>
    <row r="624" spans="1:8" x14ac:dyDescent="0.2">
      <c r="A624" s="5" t="s">
        <v>13</v>
      </c>
      <c r="B624" s="6" t="s">
        <v>22</v>
      </c>
      <c r="C624" s="7" t="s">
        <v>769</v>
      </c>
      <c r="D624" s="8">
        <v>-2.6639482000000001</v>
      </c>
      <c r="E624" s="7"/>
      <c r="F624" s="8">
        <v>-2.0518366000000001</v>
      </c>
      <c r="G624" s="7" t="str">
        <f t="shared" si="8"/>
        <v>Direct</v>
      </c>
      <c r="H624" s="7" t="s">
        <v>770</v>
      </c>
    </row>
    <row r="625" spans="1:8" x14ac:dyDescent="0.2">
      <c r="A625" s="5" t="s">
        <v>13</v>
      </c>
      <c r="B625" s="6" t="s">
        <v>22</v>
      </c>
      <c r="C625" s="7" t="s">
        <v>217</v>
      </c>
      <c r="D625" s="8">
        <v>-1.2100453</v>
      </c>
      <c r="E625" s="7"/>
      <c r="F625" s="8">
        <v>-1.9667110000000001</v>
      </c>
      <c r="G625" s="7" t="str">
        <f t="shared" si="8"/>
        <v>Direct</v>
      </c>
      <c r="H625" s="7" t="s">
        <v>16</v>
      </c>
    </row>
    <row r="626" spans="1:8" x14ac:dyDescent="0.2">
      <c r="A626" s="5" t="s">
        <v>13</v>
      </c>
      <c r="B626" s="6" t="s">
        <v>22</v>
      </c>
      <c r="C626" s="7" t="s">
        <v>218</v>
      </c>
      <c r="D626" s="8">
        <v>-3.7552720000000002</v>
      </c>
      <c r="E626" s="7"/>
      <c r="F626" s="8">
        <v>-13.537568</v>
      </c>
      <c r="G626" s="7" t="str">
        <f t="shared" si="8"/>
        <v>Direct</v>
      </c>
      <c r="H626" s="7" t="s">
        <v>16</v>
      </c>
    </row>
    <row r="627" spans="1:8" x14ac:dyDescent="0.2">
      <c r="A627" s="5" t="s">
        <v>13</v>
      </c>
      <c r="B627" s="6" t="s">
        <v>22</v>
      </c>
      <c r="C627" s="7" t="s">
        <v>219</v>
      </c>
      <c r="D627" s="8">
        <v>2.69860473</v>
      </c>
      <c r="E627" s="7"/>
      <c r="F627" s="8">
        <v>-1.0058069000000001</v>
      </c>
      <c r="G627" s="7" t="str">
        <f t="shared" si="8"/>
        <v>Inverse</v>
      </c>
      <c r="H627" s="7" t="s">
        <v>220</v>
      </c>
    </row>
    <row r="628" spans="1:8" x14ac:dyDescent="0.2">
      <c r="A628" s="5" t="s">
        <v>13</v>
      </c>
      <c r="B628" s="6" t="s">
        <v>22</v>
      </c>
      <c r="C628" s="7" t="s">
        <v>771</v>
      </c>
      <c r="D628" s="8">
        <v>-2.0991352999999999</v>
      </c>
      <c r="E628" s="7"/>
      <c r="F628" s="8">
        <v>-2.7625410000000001</v>
      </c>
      <c r="G628" s="7" t="str">
        <f t="shared" si="8"/>
        <v>Direct</v>
      </c>
      <c r="H628" s="7" t="s">
        <v>772</v>
      </c>
    </row>
    <row r="629" spans="1:8" x14ac:dyDescent="0.2">
      <c r="A629" s="5" t="s">
        <v>13</v>
      </c>
      <c r="B629" s="6" t="s">
        <v>22</v>
      </c>
      <c r="C629" s="7" t="s">
        <v>773</v>
      </c>
      <c r="D629" s="8">
        <v>1.06997484</v>
      </c>
      <c r="E629" s="7"/>
      <c r="F629" s="8">
        <v>1.1385464199999999</v>
      </c>
      <c r="G629" s="7" t="str">
        <f t="shared" si="8"/>
        <v>Direct</v>
      </c>
      <c r="H629" s="7" t="s">
        <v>774</v>
      </c>
    </row>
    <row r="630" spans="1:8" x14ac:dyDescent="0.2">
      <c r="A630" s="5" t="s">
        <v>13</v>
      </c>
      <c r="B630" s="6" t="s">
        <v>22</v>
      </c>
      <c r="C630" s="7" t="s">
        <v>221</v>
      </c>
      <c r="D630" s="8">
        <v>-1.2253166</v>
      </c>
      <c r="E630" s="7"/>
      <c r="F630" s="8">
        <v>-3.7445648</v>
      </c>
      <c r="G630" s="7" t="str">
        <f t="shared" si="8"/>
        <v>Direct</v>
      </c>
      <c r="H630" s="7" t="s">
        <v>222</v>
      </c>
    </row>
    <row r="631" spans="1:8" x14ac:dyDescent="0.2">
      <c r="A631" s="5" t="s">
        <v>13</v>
      </c>
      <c r="B631" s="6" t="s">
        <v>22</v>
      </c>
      <c r="C631" s="7" t="s">
        <v>223</v>
      </c>
      <c r="D631" s="8">
        <v>1.5350208000000001</v>
      </c>
      <c r="E631" s="7"/>
      <c r="F631" s="8">
        <v>13.5590796</v>
      </c>
      <c r="G631" s="7" t="str">
        <f t="shared" si="8"/>
        <v>Direct</v>
      </c>
      <c r="H631" s="7" t="s">
        <v>224</v>
      </c>
    </row>
    <row r="632" spans="1:8" x14ac:dyDescent="0.2">
      <c r="A632" s="5" t="s">
        <v>13</v>
      </c>
      <c r="B632" s="6" t="s">
        <v>22</v>
      </c>
      <c r="C632" s="7" t="s">
        <v>225</v>
      </c>
      <c r="D632" s="8">
        <v>-1.1699387999999999</v>
      </c>
      <c r="E632" s="7"/>
      <c r="F632" s="8">
        <v>-1.594708</v>
      </c>
      <c r="G632" s="7" t="str">
        <f t="shared" si="8"/>
        <v>Direct</v>
      </c>
      <c r="H632" s="7" t="s">
        <v>16</v>
      </c>
    </row>
    <row r="633" spans="1:8" x14ac:dyDescent="0.2">
      <c r="A633" s="5" t="s">
        <v>13</v>
      </c>
      <c r="B633" s="6" t="s">
        <v>22</v>
      </c>
      <c r="C633" s="7" t="s">
        <v>775</v>
      </c>
      <c r="D633" s="8">
        <v>-1.2012977</v>
      </c>
      <c r="E633" s="7"/>
      <c r="F633" s="8">
        <v>-1.0092445000000001</v>
      </c>
      <c r="G633" s="7" t="str">
        <f t="shared" si="8"/>
        <v>Direct</v>
      </c>
      <c r="H633" s="7" t="s">
        <v>776</v>
      </c>
    </row>
    <row r="634" spans="1:8" x14ac:dyDescent="0.2">
      <c r="A634" s="5" t="s">
        <v>13</v>
      </c>
      <c r="B634" s="6" t="s">
        <v>22</v>
      </c>
      <c r="C634" s="7" t="s">
        <v>777</v>
      </c>
      <c r="D634" s="8">
        <v>-1.0070675</v>
      </c>
      <c r="E634" s="7"/>
      <c r="F634" s="8">
        <v>-1.1651841999999999</v>
      </c>
      <c r="G634" s="7" t="str">
        <f t="shared" si="8"/>
        <v>Direct</v>
      </c>
      <c r="H634" s="7" t="s">
        <v>778</v>
      </c>
    </row>
    <row r="635" spans="1:8" x14ac:dyDescent="0.2">
      <c r="A635" s="5" t="s">
        <v>13</v>
      </c>
      <c r="B635" s="6" t="s">
        <v>22</v>
      </c>
      <c r="C635" s="7" t="s">
        <v>228</v>
      </c>
      <c r="D635" s="8">
        <v>-3.1144319</v>
      </c>
      <c r="E635" s="7"/>
      <c r="F635" s="8">
        <v>-2.990529</v>
      </c>
      <c r="G635" s="7" t="str">
        <f t="shared" si="8"/>
        <v>Direct</v>
      </c>
      <c r="H635" s="7" t="s">
        <v>229</v>
      </c>
    </row>
    <row r="636" spans="1:8" x14ac:dyDescent="0.2">
      <c r="A636" s="5" t="s">
        <v>13</v>
      </c>
      <c r="B636" s="6" t="s">
        <v>22</v>
      </c>
      <c r="C636" s="7" t="s">
        <v>230</v>
      </c>
      <c r="D636" s="8">
        <v>1.376493</v>
      </c>
      <c r="E636" s="7"/>
      <c r="F636" s="8">
        <v>-1.6037656</v>
      </c>
      <c r="G636" s="7" t="str">
        <f t="shared" si="8"/>
        <v>Inverse</v>
      </c>
      <c r="H636" s="7" t="s">
        <v>231</v>
      </c>
    </row>
    <row r="637" spans="1:8" x14ac:dyDescent="0.2">
      <c r="A637" s="5" t="s">
        <v>13</v>
      </c>
      <c r="B637" s="6" t="s">
        <v>22</v>
      </c>
      <c r="C637" s="7" t="s">
        <v>232</v>
      </c>
      <c r="D637" s="8">
        <v>-1.7721214000000001</v>
      </c>
      <c r="E637" s="7"/>
      <c r="F637" s="8">
        <v>-1.8517576</v>
      </c>
      <c r="G637" s="7" t="str">
        <f t="shared" si="8"/>
        <v>Direct</v>
      </c>
      <c r="H637" s="7" t="s">
        <v>233</v>
      </c>
    </row>
    <row r="638" spans="1:8" x14ac:dyDescent="0.2">
      <c r="A638" s="5" t="s">
        <v>13</v>
      </c>
      <c r="B638" s="6" t="s">
        <v>22</v>
      </c>
      <c r="C638" s="7" t="s">
        <v>235</v>
      </c>
      <c r="D638" s="8">
        <v>-1.0436867000000001</v>
      </c>
      <c r="E638" s="7"/>
      <c r="F638" s="8">
        <v>-3.9434942999999998</v>
      </c>
      <c r="G638" s="7" t="str">
        <f t="shared" si="8"/>
        <v>Direct</v>
      </c>
      <c r="H638" s="7" t="s">
        <v>236</v>
      </c>
    </row>
    <row r="639" spans="1:8" x14ac:dyDescent="0.2">
      <c r="A639" s="5" t="s">
        <v>13</v>
      </c>
      <c r="B639" s="6" t="s">
        <v>22</v>
      </c>
      <c r="C639" s="7" t="s">
        <v>237</v>
      </c>
      <c r="D639" s="8">
        <v>-1.2059776</v>
      </c>
      <c r="E639" s="7"/>
      <c r="F639" s="8">
        <v>-1.7143113999999999</v>
      </c>
      <c r="G639" s="7" t="str">
        <f t="shared" si="8"/>
        <v>Direct</v>
      </c>
      <c r="H639" s="7" t="s">
        <v>16</v>
      </c>
    </row>
    <row r="640" spans="1:8" x14ac:dyDescent="0.2">
      <c r="A640" s="5" t="s">
        <v>13</v>
      </c>
      <c r="B640" s="6" t="s">
        <v>22</v>
      </c>
      <c r="C640" s="7" t="s">
        <v>238</v>
      </c>
      <c r="D640" s="8">
        <v>-1.5069942999999999</v>
      </c>
      <c r="E640" s="7"/>
      <c r="F640" s="8">
        <v>-5.6995142000000003</v>
      </c>
      <c r="G640" s="7" t="str">
        <f t="shared" si="8"/>
        <v>Direct</v>
      </c>
      <c r="H640" s="7" t="s">
        <v>16</v>
      </c>
    </row>
    <row r="641" spans="1:8" x14ac:dyDescent="0.2">
      <c r="A641" s="5" t="s">
        <v>13</v>
      </c>
      <c r="B641" s="6" t="s">
        <v>22</v>
      </c>
      <c r="C641" s="7" t="s">
        <v>239</v>
      </c>
      <c r="D641" s="8">
        <v>1.5329769499999999</v>
      </c>
      <c r="E641" s="7"/>
      <c r="F641" s="8">
        <v>-4.8122166999999996</v>
      </c>
      <c r="G641" s="7" t="str">
        <f t="shared" si="8"/>
        <v>Inverse</v>
      </c>
      <c r="H641" s="7" t="s">
        <v>16</v>
      </c>
    </row>
    <row r="642" spans="1:8" x14ac:dyDescent="0.2">
      <c r="A642" s="5" t="s">
        <v>13</v>
      </c>
      <c r="B642" s="6" t="s">
        <v>22</v>
      </c>
      <c r="C642" s="7" t="s">
        <v>240</v>
      </c>
      <c r="D642" s="8">
        <v>1.03087653</v>
      </c>
      <c r="E642" s="7"/>
      <c r="F642" s="8">
        <v>-1.9324325</v>
      </c>
      <c r="G642" s="7" t="str">
        <f t="shared" si="8"/>
        <v>Inverse</v>
      </c>
      <c r="H642" s="7" t="s">
        <v>241</v>
      </c>
    </row>
    <row r="643" spans="1:8" x14ac:dyDescent="0.2">
      <c r="A643" s="5" t="s">
        <v>13</v>
      </c>
      <c r="B643" s="6" t="s">
        <v>22</v>
      </c>
      <c r="C643" s="7" t="s">
        <v>242</v>
      </c>
      <c r="D643" s="8">
        <v>2.09913528</v>
      </c>
      <c r="E643" s="7"/>
      <c r="F643" s="8">
        <v>-18.395230000000002</v>
      </c>
      <c r="G643" s="7" t="str">
        <f t="shared" si="8"/>
        <v>Inverse</v>
      </c>
      <c r="H643" s="7" t="s">
        <v>243</v>
      </c>
    </row>
    <row r="644" spans="1:8" x14ac:dyDescent="0.2">
      <c r="A644" s="5" t="s">
        <v>13</v>
      </c>
      <c r="B644" s="6" t="s">
        <v>22</v>
      </c>
      <c r="C644" s="7" t="s">
        <v>244</v>
      </c>
      <c r="D644" s="8">
        <v>2.1565563700000001</v>
      </c>
      <c r="E644" s="7"/>
      <c r="F644" s="8">
        <v>-1.3266332000000001</v>
      </c>
      <c r="G644" s="7" t="str">
        <f t="shared" si="8"/>
        <v>Inverse</v>
      </c>
      <c r="H644" s="7" t="s">
        <v>16</v>
      </c>
    </row>
    <row r="645" spans="1:8" x14ac:dyDescent="0.2">
      <c r="A645" s="5" t="s">
        <v>13</v>
      </c>
      <c r="B645" s="6" t="s">
        <v>22</v>
      </c>
      <c r="C645" s="7" t="s">
        <v>779</v>
      </c>
      <c r="D645" s="8">
        <v>-1.1571118</v>
      </c>
      <c r="E645" s="7"/>
      <c r="F645" s="8">
        <v>-1.6802238</v>
      </c>
      <c r="G645" s="7" t="str">
        <f t="shared" si="8"/>
        <v>Direct</v>
      </c>
      <c r="H645" s="7" t="s">
        <v>16</v>
      </c>
    </row>
    <row r="646" spans="1:8" x14ac:dyDescent="0.2">
      <c r="A646" s="5" t="s">
        <v>13</v>
      </c>
      <c r="B646" s="6" t="s">
        <v>22</v>
      </c>
      <c r="C646" s="7" t="s">
        <v>245</v>
      </c>
      <c r="D646" s="8">
        <v>1.0406690999999999</v>
      </c>
      <c r="E646" s="7"/>
      <c r="F646" s="8">
        <v>-2.7710477999999998</v>
      </c>
      <c r="G646" s="7" t="str">
        <f t="shared" si="8"/>
        <v>Inverse</v>
      </c>
      <c r="H646" s="7" t="s">
        <v>16</v>
      </c>
    </row>
    <row r="647" spans="1:8" x14ac:dyDescent="0.2">
      <c r="A647" s="5" t="s">
        <v>13</v>
      </c>
      <c r="B647" s="6" t="s">
        <v>22</v>
      </c>
      <c r="C647" s="7" t="s">
        <v>246</v>
      </c>
      <c r="D647" s="8">
        <v>1.26196218</v>
      </c>
      <c r="E647" s="7"/>
      <c r="F647" s="8">
        <v>-1.6798005</v>
      </c>
      <c r="G647" s="7" t="str">
        <f t="shared" si="8"/>
        <v>Inverse</v>
      </c>
      <c r="H647" s="7" t="s">
        <v>16</v>
      </c>
    </row>
    <row r="648" spans="1:8" x14ac:dyDescent="0.2">
      <c r="A648" s="5" t="s">
        <v>13</v>
      </c>
      <c r="B648" s="6" t="s">
        <v>22</v>
      </c>
      <c r="C648" s="7" t="s">
        <v>249</v>
      </c>
      <c r="D648" s="8">
        <v>2.5061378300000001</v>
      </c>
      <c r="E648" s="7"/>
      <c r="F648" s="8">
        <v>-1.0488978</v>
      </c>
      <c r="G648" s="7" t="str">
        <f t="shared" si="8"/>
        <v>Inverse</v>
      </c>
      <c r="H648" s="7" t="s">
        <v>250</v>
      </c>
    </row>
    <row r="649" spans="1:8" x14ac:dyDescent="0.2">
      <c r="A649" s="5" t="s">
        <v>13</v>
      </c>
      <c r="B649" s="6" t="s">
        <v>22</v>
      </c>
      <c r="C649" s="7" t="s">
        <v>251</v>
      </c>
      <c r="D649" s="8">
        <v>2.5145299099999998</v>
      </c>
      <c r="E649" s="7"/>
      <c r="F649" s="8">
        <v>-5.9181343999999996</v>
      </c>
      <c r="G649" s="7" t="str">
        <f t="shared" si="8"/>
        <v>Inverse</v>
      </c>
      <c r="H649" s="7" t="s">
        <v>252</v>
      </c>
    </row>
    <row r="650" spans="1:8" x14ac:dyDescent="0.2">
      <c r="A650" s="5" t="s">
        <v>13</v>
      </c>
      <c r="B650" s="6" t="s">
        <v>22</v>
      </c>
      <c r="C650" s="7" t="s">
        <v>253</v>
      </c>
      <c r="D650" s="8">
        <v>-1.2268368999999999</v>
      </c>
      <c r="E650" s="7"/>
      <c r="F650" s="8">
        <v>-3.8425375000000002</v>
      </c>
      <c r="G650" s="7" t="str">
        <f t="shared" si="8"/>
        <v>Direct</v>
      </c>
      <c r="H650" s="7" t="s">
        <v>16</v>
      </c>
    </row>
    <row r="651" spans="1:8" x14ac:dyDescent="0.2">
      <c r="A651" s="5" t="s">
        <v>13</v>
      </c>
      <c r="B651" s="6" t="s">
        <v>22</v>
      </c>
      <c r="C651" s="7" t="s">
        <v>254</v>
      </c>
      <c r="D651" s="8">
        <v>-1.2676099999999999</v>
      </c>
      <c r="E651" s="7"/>
      <c r="F651" s="8">
        <v>-3.8267601999999998</v>
      </c>
      <c r="G651" s="7" t="str">
        <f t="shared" si="8"/>
        <v>Direct</v>
      </c>
      <c r="H651" s="7" t="s">
        <v>248</v>
      </c>
    </row>
    <row r="652" spans="1:8" x14ac:dyDescent="0.2">
      <c r="A652" s="5" t="s">
        <v>13</v>
      </c>
      <c r="B652" s="6" t="s">
        <v>22</v>
      </c>
      <c r="C652" s="7" t="s">
        <v>255</v>
      </c>
      <c r="D652" s="8">
        <v>-2.4520469999999999</v>
      </c>
      <c r="E652" s="7"/>
      <c r="F652" s="8">
        <v>2.2747872199999999</v>
      </c>
      <c r="G652" s="7" t="str">
        <f t="shared" si="8"/>
        <v>Inverse</v>
      </c>
      <c r="H652" s="7" t="s">
        <v>16</v>
      </c>
    </row>
    <row r="653" spans="1:8" x14ac:dyDescent="0.2">
      <c r="A653" s="5" t="s">
        <v>13</v>
      </c>
      <c r="B653" s="6" t="s">
        <v>22</v>
      </c>
      <c r="C653" s="7" t="s">
        <v>256</v>
      </c>
      <c r="D653" s="8">
        <v>-1.4450259999999999</v>
      </c>
      <c r="E653" s="7"/>
      <c r="F653" s="8">
        <v>-1.8822901999999999</v>
      </c>
      <c r="G653" s="7" t="str">
        <f t="shared" si="8"/>
        <v>Direct</v>
      </c>
      <c r="H653" s="7" t="s">
        <v>16</v>
      </c>
    </row>
    <row r="654" spans="1:8" x14ac:dyDescent="0.2">
      <c r="A654" s="5" t="s">
        <v>13</v>
      </c>
      <c r="B654" s="6" t="s">
        <v>22</v>
      </c>
      <c r="C654" s="7" t="s">
        <v>259</v>
      </c>
      <c r="D654" s="8">
        <v>-1.0436867000000001</v>
      </c>
      <c r="E654" s="7"/>
      <c r="F654" s="8">
        <v>-1.2836917000000001</v>
      </c>
      <c r="G654" s="7" t="str">
        <f t="shared" si="8"/>
        <v>Direct</v>
      </c>
      <c r="H654" s="7" t="s">
        <v>16</v>
      </c>
    </row>
    <row r="655" spans="1:8" x14ac:dyDescent="0.2">
      <c r="A655" s="5" t="s">
        <v>13</v>
      </c>
      <c r="B655" s="6" t="s">
        <v>22</v>
      </c>
      <c r="C655" s="7" t="s">
        <v>780</v>
      </c>
      <c r="D655" s="8">
        <v>-1.5314217999999999</v>
      </c>
      <c r="E655" s="7"/>
      <c r="F655" s="8">
        <v>-1.0492614</v>
      </c>
      <c r="G655" s="7" t="str">
        <f t="shared" si="8"/>
        <v>Direct</v>
      </c>
      <c r="H655" s="7" t="s">
        <v>16</v>
      </c>
    </row>
    <row r="656" spans="1:8" x14ac:dyDescent="0.2">
      <c r="A656" s="5" t="s">
        <v>13</v>
      </c>
      <c r="B656" s="6" t="s">
        <v>22</v>
      </c>
      <c r="C656" s="7" t="s">
        <v>260</v>
      </c>
      <c r="D656" s="8">
        <v>-1.4560892000000001</v>
      </c>
      <c r="E656" s="7"/>
      <c r="F656" s="8">
        <v>1.84582713</v>
      </c>
      <c r="G656" s="7" t="str">
        <f t="shared" si="8"/>
        <v>Inverse</v>
      </c>
      <c r="H656" s="7" t="s">
        <v>16</v>
      </c>
    </row>
    <row r="657" spans="1:8" x14ac:dyDescent="0.2">
      <c r="A657" s="5" t="s">
        <v>13</v>
      </c>
      <c r="B657" s="6" t="s">
        <v>22</v>
      </c>
      <c r="C657" s="7" t="s">
        <v>781</v>
      </c>
      <c r="D657" s="8">
        <v>-2.0078133</v>
      </c>
      <c r="E657" s="7"/>
      <c r="F657" s="8">
        <v>-2.0094834000000001</v>
      </c>
      <c r="G657" s="7" t="str">
        <f t="shared" si="8"/>
        <v>Direct</v>
      </c>
      <c r="H657" s="7" t="s">
        <v>782</v>
      </c>
    </row>
    <row r="658" spans="1:8" x14ac:dyDescent="0.2">
      <c r="A658" s="5" t="s">
        <v>13</v>
      </c>
      <c r="B658" s="6" t="s">
        <v>22</v>
      </c>
      <c r="C658" s="7" t="s">
        <v>261</v>
      </c>
      <c r="D658" s="8">
        <v>2.4498564799999998</v>
      </c>
      <c r="E658" s="7"/>
      <c r="F658" s="8">
        <v>4.1339861200000003</v>
      </c>
      <c r="G658" s="7" t="str">
        <f t="shared" si="8"/>
        <v>Direct</v>
      </c>
      <c r="H658" s="7" t="s">
        <v>262</v>
      </c>
    </row>
    <row r="659" spans="1:8" x14ac:dyDescent="0.2">
      <c r="A659" s="5" t="s">
        <v>13</v>
      </c>
      <c r="B659" s="6" t="s">
        <v>22</v>
      </c>
      <c r="C659" s="7" t="s">
        <v>263</v>
      </c>
      <c r="D659" s="8">
        <v>2.7611254600000001</v>
      </c>
      <c r="E659" s="7"/>
      <c r="F659" s="8">
        <v>-3.5088650000000001</v>
      </c>
      <c r="G659" s="7" t="str">
        <f t="shared" si="8"/>
        <v>Inverse</v>
      </c>
      <c r="H659" s="7" t="s">
        <v>16</v>
      </c>
    </row>
    <row r="660" spans="1:8" x14ac:dyDescent="0.2">
      <c r="A660" s="5" t="s">
        <v>13</v>
      </c>
      <c r="B660" s="6" t="s">
        <v>22</v>
      </c>
      <c r="C660" s="7" t="s">
        <v>265</v>
      </c>
      <c r="D660" s="8">
        <v>-1.6027899000000001</v>
      </c>
      <c r="E660" s="7"/>
      <c r="F660" s="8">
        <v>-3.4375494</v>
      </c>
      <c r="G660" s="7" t="str">
        <f t="shared" si="8"/>
        <v>Direct</v>
      </c>
      <c r="H660" s="7" t="s">
        <v>266</v>
      </c>
    </row>
    <row r="661" spans="1:8" x14ac:dyDescent="0.2">
      <c r="A661" s="5" t="s">
        <v>13</v>
      </c>
      <c r="B661" s="6" t="s">
        <v>22</v>
      </c>
      <c r="C661" s="7" t="s">
        <v>267</v>
      </c>
      <c r="D661" s="8">
        <v>-2.2365955</v>
      </c>
      <c r="E661" s="7"/>
      <c r="F661" s="8">
        <v>-3.2152856000000001</v>
      </c>
      <c r="G661" s="7" t="str">
        <f t="shared" si="8"/>
        <v>Direct</v>
      </c>
      <c r="H661" s="7" t="s">
        <v>268</v>
      </c>
    </row>
    <row r="662" spans="1:8" x14ac:dyDescent="0.2">
      <c r="A662" s="5" t="s">
        <v>13</v>
      </c>
      <c r="B662" s="6" t="s">
        <v>22</v>
      </c>
      <c r="C662" s="7" t="s">
        <v>269</v>
      </c>
      <c r="D662" s="8">
        <v>-1.0852187</v>
      </c>
      <c r="E662" s="7"/>
      <c r="F662" s="8">
        <v>-1.3661818999999999</v>
      </c>
      <c r="G662" s="7" t="str">
        <f t="shared" si="8"/>
        <v>Direct</v>
      </c>
      <c r="H662" s="7" t="s">
        <v>270</v>
      </c>
    </row>
    <row r="663" spans="1:8" x14ac:dyDescent="0.2">
      <c r="A663" s="5" t="s">
        <v>13</v>
      </c>
      <c r="B663" s="6" t="s">
        <v>22</v>
      </c>
      <c r="C663" s="7" t="s">
        <v>271</v>
      </c>
      <c r="D663" s="8">
        <v>-1.9920993</v>
      </c>
      <c r="E663" s="7"/>
      <c r="F663" s="8">
        <v>-4.147691</v>
      </c>
      <c r="G663" s="7" t="str">
        <f t="shared" si="8"/>
        <v>Direct</v>
      </c>
      <c r="H663" s="7" t="s">
        <v>16</v>
      </c>
    </row>
    <row r="664" spans="1:8" x14ac:dyDescent="0.2">
      <c r="A664" s="5" t="s">
        <v>13</v>
      </c>
      <c r="B664" s="6" t="s">
        <v>22</v>
      </c>
      <c r="C664" s="7" t="s">
        <v>272</v>
      </c>
      <c r="D664" s="8">
        <v>1.7467672299999999</v>
      </c>
      <c r="E664" s="7"/>
      <c r="F664" s="8">
        <v>-2.0909224000000002</v>
      </c>
      <c r="G664" s="7" t="str">
        <f t="shared" si="8"/>
        <v>Inverse</v>
      </c>
      <c r="H664" s="7" t="s">
        <v>16</v>
      </c>
    </row>
    <row r="665" spans="1:8" x14ac:dyDescent="0.2">
      <c r="A665" s="5" t="s">
        <v>13</v>
      </c>
      <c r="B665" s="6" t="s">
        <v>22</v>
      </c>
      <c r="C665" s="7" t="s">
        <v>783</v>
      </c>
      <c r="D665" s="8">
        <v>-1.5818232000000001</v>
      </c>
      <c r="E665" s="7"/>
      <c r="F665" s="8">
        <v>-2.0869531000000001</v>
      </c>
      <c r="G665" s="7" t="str">
        <f t="shared" si="8"/>
        <v>Direct</v>
      </c>
      <c r="H665" s="7" t="s">
        <v>784</v>
      </c>
    </row>
    <row r="666" spans="1:8" x14ac:dyDescent="0.2">
      <c r="A666" s="5" t="s">
        <v>13</v>
      </c>
      <c r="B666" s="6" t="s">
        <v>22</v>
      </c>
      <c r="C666" s="7" t="s">
        <v>785</v>
      </c>
      <c r="D666" s="8">
        <v>-1.9168095000000001</v>
      </c>
      <c r="E666" s="7"/>
      <c r="F666" s="8">
        <v>-1.5654151000000001</v>
      </c>
      <c r="G666" s="7" t="str">
        <f t="shared" si="8"/>
        <v>Direct</v>
      </c>
      <c r="H666" s="7" t="s">
        <v>16</v>
      </c>
    </row>
    <row r="667" spans="1:8" x14ac:dyDescent="0.2">
      <c r="A667" s="5" t="s">
        <v>13</v>
      </c>
      <c r="B667" s="6" t="s">
        <v>22</v>
      </c>
      <c r="C667" s="7" t="s">
        <v>786</v>
      </c>
      <c r="D667" s="8">
        <v>1.21378849</v>
      </c>
      <c r="E667" s="7"/>
      <c r="F667" s="8">
        <v>2.5595469099999999</v>
      </c>
      <c r="G667" s="7" t="str">
        <f t="shared" si="8"/>
        <v>Direct</v>
      </c>
      <c r="H667" s="7" t="s">
        <v>787</v>
      </c>
    </row>
    <row r="668" spans="1:8" x14ac:dyDescent="0.2">
      <c r="A668" s="5" t="s">
        <v>13</v>
      </c>
      <c r="B668" s="6" t="s">
        <v>22</v>
      </c>
      <c r="C668" s="7" t="s">
        <v>273</v>
      </c>
      <c r="D668" s="8">
        <v>-1.7360164</v>
      </c>
      <c r="E668" s="7"/>
      <c r="F668" s="8">
        <v>-2.4087553000000002</v>
      </c>
      <c r="G668" s="7" t="str">
        <f t="shared" si="8"/>
        <v>Direct</v>
      </c>
      <c r="H668" s="7" t="s">
        <v>274</v>
      </c>
    </row>
    <row r="669" spans="1:8" x14ac:dyDescent="0.2">
      <c r="A669" s="5" t="s">
        <v>13</v>
      </c>
      <c r="B669" s="6" t="s">
        <v>22</v>
      </c>
      <c r="C669" s="7" t="s">
        <v>275</v>
      </c>
      <c r="D669" s="8">
        <v>-1.0960899</v>
      </c>
      <c r="E669" s="7"/>
      <c r="F669" s="8">
        <v>1.0907804299999999</v>
      </c>
      <c r="G669" s="7" t="str">
        <f t="shared" si="8"/>
        <v>Inverse</v>
      </c>
      <c r="H669" s="7" t="s">
        <v>276</v>
      </c>
    </row>
    <row r="670" spans="1:8" x14ac:dyDescent="0.2">
      <c r="A670" s="5" t="s">
        <v>13</v>
      </c>
      <c r="B670" s="6" t="s">
        <v>22</v>
      </c>
      <c r="C670" s="7" t="s">
        <v>277</v>
      </c>
      <c r="D670" s="8">
        <v>1.4685670200000001</v>
      </c>
      <c r="E670" s="7"/>
      <c r="F670" s="8">
        <v>-4.805294</v>
      </c>
      <c r="G670" s="7" t="str">
        <f t="shared" si="8"/>
        <v>Inverse</v>
      </c>
      <c r="H670" s="7" t="s">
        <v>278</v>
      </c>
    </row>
    <row r="671" spans="1:8" x14ac:dyDescent="0.2">
      <c r="A671" s="5" t="s">
        <v>13</v>
      </c>
      <c r="B671" s="6" t="s">
        <v>22</v>
      </c>
      <c r="C671" s="7" t="s">
        <v>788</v>
      </c>
      <c r="D671" s="8">
        <v>-1.2101868</v>
      </c>
      <c r="E671" s="7"/>
      <c r="F671" s="8">
        <v>-1.8645148</v>
      </c>
      <c r="G671" s="7" t="str">
        <f t="shared" si="8"/>
        <v>Direct</v>
      </c>
      <c r="H671" s="7" t="s">
        <v>789</v>
      </c>
    </row>
    <row r="672" spans="1:8" x14ac:dyDescent="0.2">
      <c r="A672" s="5" t="s">
        <v>13</v>
      </c>
      <c r="B672" s="6" t="s">
        <v>22</v>
      </c>
      <c r="C672" s="7" t="s">
        <v>790</v>
      </c>
      <c r="D672" s="8">
        <v>-1.0422556999999999</v>
      </c>
      <c r="E672" s="7"/>
      <c r="F672" s="8">
        <v>-1.9666332</v>
      </c>
      <c r="G672" s="7" t="str">
        <f t="shared" si="8"/>
        <v>Direct</v>
      </c>
      <c r="H672" s="7" t="s">
        <v>791</v>
      </c>
    </row>
    <row r="673" spans="1:8" x14ac:dyDescent="0.2">
      <c r="A673" s="5" t="s">
        <v>13</v>
      </c>
      <c r="B673" s="6" t="s">
        <v>22</v>
      </c>
      <c r="C673" s="7" t="s">
        <v>792</v>
      </c>
      <c r="D673" s="8">
        <v>-2.2839616</v>
      </c>
      <c r="E673" s="7"/>
      <c r="F673" s="8">
        <v>-2.0899200000000002</v>
      </c>
      <c r="G673" s="7" t="str">
        <f t="shared" si="8"/>
        <v>Direct</v>
      </c>
      <c r="H673" s="7" t="s">
        <v>793</v>
      </c>
    </row>
    <row r="674" spans="1:8" x14ac:dyDescent="0.2">
      <c r="A674" s="5" t="s">
        <v>13</v>
      </c>
      <c r="B674" s="6" t="s">
        <v>22</v>
      </c>
      <c r="C674" s="7" t="s">
        <v>280</v>
      </c>
      <c r="D674" s="8">
        <v>3.7552719699999999</v>
      </c>
      <c r="E674" s="7"/>
      <c r="F674" s="8">
        <v>1.4881518499999999</v>
      </c>
      <c r="G674" s="7" t="str">
        <f t="shared" si="8"/>
        <v>Direct</v>
      </c>
      <c r="H674" s="7" t="s">
        <v>281</v>
      </c>
    </row>
    <row r="675" spans="1:8" x14ac:dyDescent="0.2">
      <c r="A675" s="5" t="s">
        <v>13</v>
      </c>
      <c r="B675" s="6" t="s">
        <v>22</v>
      </c>
      <c r="C675" s="7" t="s">
        <v>282</v>
      </c>
      <c r="D675" s="8">
        <v>-2.7069619</v>
      </c>
      <c r="E675" s="7"/>
      <c r="F675" s="8">
        <v>-3.7191633999999998</v>
      </c>
      <c r="G675" s="7" t="str">
        <f t="shared" si="8"/>
        <v>Direct</v>
      </c>
      <c r="H675" s="7" t="s">
        <v>283</v>
      </c>
    </row>
    <row r="676" spans="1:8" x14ac:dyDescent="0.2">
      <c r="A676" s="5" t="s">
        <v>13</v>
      </c>
      <c r="B676" s="6" t="s">
        <v>22</v>
      </c>
      <c r="C676" s="7" t="s">
        <v>284</v>
      </c>
      <c r="D676" s="8">
        <v>-1.2747702000000001</v>
      </c>
      <c r="E676" s="7"/>
      <c r="F676" s="8">
        <v>-1.8683814999999999</v>
      </c>
      <c r="G676" s="7" t="str">
        <f t="shared" si="8"/>
        <v>Direct</v>
      </c>
      <c r="H676" s="7" t="s">
        <v>285</v>
      </c>
    </row>
    <row r="677" spans="1:8" x14ac:dyDescent="0.2">
      <c r="A677" s="5" t="s">
        <v>13</v>
      </c>
      <c r="B677" s="6" t="s">
        <v>22</v>
      </c>
      <c r="C677" s="7" t="s">
        <v>286</v>
      </c>
      <c r="D677" s="8">
        <v>-2.5027183000000002</v>
      </c>
      <c r="E677" s="7"/>
      <c r="F677" s="8">
        <v>-4.2433977000000001</v>
      </c>
      <c r="G677" s="7" t="str">
        <f t="shared" si="8"/>
        <v>Direct</v>
      </c>
      <c r="H677" s="7" t="s">
        <v>287</v>
      </c>
    </row>
    <row r="678" spans="1:8" x14ac:dyDescent="0.2">
      <c r="A678" s="5" t="s">
        <v>13</v>
      </c>
      <c r="B678" s="6" t="s">
        <v>22</v>
      </c>
      <c r="C678" s="7" t="s">
        <v>288</v>
      </c>
      <c r="D678" s="8">
        <v>-1.0593208999999999</v>
      </c>
      <c r="E678" s="7"/>
      <c r="F678" s="8">
        <v>-1.607605</v>
      </c>
      <c r="G678" s="7" t="str">
        <f t="shared" si="8"/>
        <v>Direct</v>
      </c>
      <c r="H678" s="7" t="s">
        <v>16</v>
      </c>
    </row>
    <row r="679" spans="1:8" x14ac:dyDescent="0.2">
      <c r="A679" s="5" t="s">
        <v>13</v>
      </c>
      <c r="B679" s="6" t="s">
        <v>22</v>
      </c>
      <c r="C679" s="7" t="s">
        <v>794</v>
      </c>
      <c r="D679" s="8">
        <v>-1.3187907999999999</v>
      </c>
      <c r="E679" s="7"/>
      <c r="F679" s="8">
        <v>-1.5497471</v>
      </c>
      <c r="G679" s="7" t="str">
        <f t="shared" si="8"/>
        <v>Direct</v>
      </c>
      <c r="H679" s="7" t="s">
        <v>795</v>
      </c>
    </row>
    <row r="680" spans="1:8" x14ac:dyDescent="0.2">
      <c r="A680" s="5" t="s">
        <v>13</v>
      </c>
      <c r="B680" s="6" t="s">
        <v>22</v>
      </c>
      <c r="C680" s="7" t="s">
        <v>796</v>
      </c>
      <c r="D680" s="8">
        <v>-1.2668394000000001</v>
      </c>
      <c r="E680" s="7"/>
      <c r="F680" s="8">
        <v>-2.0862847000000002</v>
      </c>
      <c r="G680" s="7" t="str">
        <f t="shared" si="8"/>
        <v>Direct</v>
      </c>
      <c r="H680" s="7" t="s">
        <v>797</v>
      </c>
    </row>
    <row r="681" spans="1:8" x14ac:dyDescent="0.2">
      <c r="A681" s="5" t="s">
        <v>13</v>
      </c>
      <c r="B681" s="6" t="s">
        <v>22</v>
      </c>
      <c r="C681" s="7" t="s">
        <v>289</v>
      </c>
      <c r="D681" s="8">
        <v>2.0702497499999999</v>
      </c>
      <c r="E681" s="7"/>
      <c r="F681" s="8">
        <v>-3.9788549999999998</v>
      </c>
      <c r="G681" s="7" t="str">
        <f t="shared" si="8"/>
        <v>Inverse</v>
      </c>
      <c r="H681" s="7" t="s">
        <v>16</v>
      </c>
    </row>
    <row r="682" spans="1:8" x14ac:dyDescent="0.2">
      <c r="A682" s="5" t="s">
        <v>13</v>
      </c>
      <c r="B682" s="6" t="s">
        <v>22</v>
      </c>
      <c r="C682" s="7" t="s">
        <v>290</v>
      </c>
      <c r="D682" s="8">
        <v>1.3306383900000001</v>
      </c>
      <c r="E682" s="7"/>
      <c r="F682" s="8">
        <v>-2.0840926</v>
      </c>
      <c r="G682" s="7" t="str">
        <f t="shared" si="8"/>
        <v>Inverse</v>
      </c>
      <c r="H682" s="7" t="s">
        <v>178</v>
      </c>
    </row>
    <row r="683" spans="1:8" x14ac:dyDescent="0.2">
      <c r="A683" s="5" t="s">
        <v>13</v>
      </c>
      <c r="B683" s="6" t="s">
        <v>22</v>
      </c>
      <c r="C683" s="7" t="s">
        <v>291</v>
      </c>
      <c r="D683" s="8">
        <v>1.3322797799999999</v>
      </c>
      <c r="E683" s="7"/>
      <c r="F683" s="8">
        <v>-10.826692</v>
      </c>
      <c r="G683" s="7" t="str">
        <f t="shared" si="8"/>
        <v>Inverse</v>
      </c>
      <c r="H683" s="7" t="s">
        <v>16</v>
      </c>
    </row>
    <row r="684" spans="1:8" x14ac:dyDescent="0.2">
      <c r="A684" s="5" t="s">
        <v>13</v>
      </c>
      <c r="B684" s="6" t="s">
        <v>22</v>
      </c>
      <c r="C684" s="7" t="s">
        <v>798</v>
      </c>
      <c r="D684" s="8">
        <v>1.99801567</v>
      </c>
      <c r="E684" s="7"/>
      <c r="F684" s="8">
        <v>1.3755117100000001</v>
      </c>
      <c r="G684" s="7" t="str">
        <f t="shared" si="8"/>
        <v>Direct</v>
      </c>
      <c r="H684" s="7" t="s">
        <v>799</v>
      </c>
    </row>
    <row r="685" spans="1:8" x14ac:dyDescent="0.2">
      <c r="A685" s="5" t="s">
        <v>13</v>
      </c>
      <c r="B685" s="6" t="s">
        <v>22</v>
      </c>
      <c r="C685" s="7" t="s">
        <v>292</v>
      </c>
      <c r="D685" s="8">
        <v>2.3582261500000001</v>
      </c>
      <c r="E685" s="7"/>
      <c r="F685" s="8">
        <v>-1.0241787</v>
      </c>
      <c r="G685" s="7" t="str">
        <f t="shared" si="8"/>
        <v>Inverse</v>
      </c>
      <c r="H685" s="7" t="s">
        <v>16</v>
      </c>
    </row>
    <row r="686" spans="1:8" x14ac:dyDescent="0.2">
      <c r="A686" s="5" t="s">
        <v>13</v>
      </c>
      <c r="B686" s="6" t="s">
        <v>22</v>
      </c>
      <c r="C686" s="7" t="s">
        <v>293</v>
      </c>
      <c r="D686" s="8">
        <v>1.9243410599999999</v>
      </c>
      <c r="E686" s="7"/>
      <c r="F686" s="8">
        <v>-1.3498490999999999</v>
      </c>
      <c r="G686" s="7" t="str">
        <f t="shared" si="8"/>
        <v>Inverse</v>
      </c>
      <c r="H686" s="7" t="s">
        <v>16</v>
      </c>
    </row>
    <row r="687" spans="1:8" x14ac:dyDescent="0.2">
      <c r="A687" s="5" t="s">
        <v>13</v>
      </c>
      <c r="B687" s="6" t="s">
        <v>22</v>
      </c>
      <c r="C687" s="7" t="s">
        <v>294</v>
      </c>
      <c r="D687" s="8">
        <v>1.1865764299999999</v>
      </c>
      <c r="E687" s="7"/>
      <c r="F687" s="8">
        <v>-6.3992154000000001</v>
      </c>
      <c r="G687" s="7" t="str">
        <f t="shared" si="8"/>
        <v>Inverse</v>
      </c>
      <c r="H687" s="7" t="s">
        <v>16</v>
      </c>
    </row>
    <row r="688" spans="1:8" x14ac:dyDescent="0.2">
      <c r="A688" s="5" t="s">
        <v>13</v>
      </c>
      <c r="B688" s="6" t="s">
        <v>22</v>
      </c>
      <c r="C688" s="7" t="s">
        <v>295</v>
      </c>
      <c r="D688" s="8">
        <v>1.0116907100000001</v>
      </c>
      <c r="E688" s="7"/>
      <c r="F688" s="8">
        <v>-2.1636302999999999</v>
      </c>
      <c r="G688" s="7" t="str">
        <f t="shared" si="8"/>
        <v>Inverse</v>
      </c>
      <c r="H688" s="7" t="s">
        <v>16</v>
      </c>
    </row>
    <row r="689" spans="1:8" x14ac:dyDescent="0.2">
      <c r="A689" s="5" t="s">
        <v>13</v>
      </c>
      <c r="B689" s="6" t="s">
        <v>22</v>
      </c>
      <c r="C689" s="7" t="s">
        <v>296</v>
      </c>
      <c r="D689" s="8">
        <v>1.3137764199999999</v>
      </c>
      <c r="E689" s="7"/>
      <c r="F689" s="8">
        <v>-5.2882609</v>
      </c>
      <c r="G689" s="7" t="str">
        <f t="shared" si="8"/>
        <v>Inverse</v>
      </c>
      <c r="H689" s="7" t="s">
        <v>16</v>
      </c>
    </row>
    <row r="690" spans="1:8" x14ac:dyDescent="0.2">
      <c r="A690" s="5" t="s">
        <v>13</v>
      </c>
      <c r="B690" s="6" t="s">
        <v>22</v>
      </c>
      <c r="C690" s="7" t="s">
        <v>297</v>
      </c>
      <c r="D690" s="8">
        <v>-1.213171</v>
      </c>
      <c r="E690" s="7"/>
      <c r="F690" s="8">
        <v>-1.9734088000000001</v>
      </c>
      <c r="G690" s="7" t="str">
        <f t="shared" si="8"/>
        <v>Direct</v>
      </c>
      <c r="H690" s="7" t="s">
        <v>16</v>
      </c>
    </row>
    <row r="691" spans="1:8" x14ac:dyDescent="0.2">
      <c r="A691" s="5" t="s">
        <v>13</v>
      </c>
      <c r="B691" s="6" t="s">
        <v>22</v>
      </c>
      <c r="C691" s="7" t="s">
        <v>298</v>
      </c>
      <c r="D691" s="8">
        <v>1.89395319</v>
      </c>
      <c r="E691" s="7"/>
      <c r="F691" s="8">
        <v>2.2614345299999998</v>
      </c>
      <c r="G691" s="7" t="str">
        <f t="shared" si="8"/>
        <v>Direct</v>
      </c>
      <c r="H691" s="7" t="s">
        <v>16</v>
      </c>
    </row>
    <row r="692" spans="1:8" x14ac:dyDescent="0.2">
      <c r="A692" s="5" t="s">
        <v>13</v>
      </c>
      <c r="B692" s="6" t="s">
        <v>22</v>
      </c>
      <c r="C692" s="7" t="s">
        <v>299</v>
      </c>
      <c r="D692" s="8">
        <v>-1.7026707000000001</v>
      </c>
      <c r="E692" s="7"/>
      <c r="F692" s="8">
        <v>-2.2377034999999998</v>
      </c>
      <c r="G692" s="7" t="str">
        <f t="shared" si="8"/>
        <v>Direct</v>
      </c>
      <c r="H692" s="7" t="s">
        <v>16</v>
      </c>
    </row>
    <row r="693" spans="1:8" x14ac:dyDescent="0.2">
      <c r="A693" s="5" t="s">
        <v>13</v>
      </c>
      <c r="B693" s="6" t="s">
        <v>22</v>
      </c>
      <c r="C693" s="7" t="s">
        <v>800</v>
      </c>
      <c r="D693" s="8">
        <v>-1.0828853000000001</v>
      </c>
      <c r="E693" s="7"/>
      <c r="F693" s="8">
        <v>-2.2257017000000001</v>
      </c>
      <c r="G693" s="7" t="str">
        <f t="shared" si="8"/>
        <v>Direct</v>
      </c>
      <c r="H693" s="7" t="s">
        <v>16</v>
      </c>
    </row>
    <row r="694" spans="1:8" x14ac:dyDescent="0.2">
      <c r="A694" s="5" t="s">
        <v>13</v>
      </c>
      <c r="B694" s="6" t="s">
        <v>22</v>
      </c>
      <c r="C694" s="7" t="s">
        <v>300</v>
      </c>
      <c r="D694" s="8">
        <v>1.4892896799999999</v>
      </c>
      <c r="E694" s="7"/>
      <c r="F694" s="8">
        <v>-1.9349544999999999</v>
      </c>
      <c r="G694" s="7" t="str">
        <f t="shared" si="8"/>
        <v>Inverse</v>
      </c>
      <c r="H694" s="7" t="s">
        <v>301</v>
      </c>
    </row>
    <row r="695" spans="1:8" x14ac:dyDescent="0.2">
      <c r="A695" s="5" t="s">
        <v>13</v>
      </c>
      <c r="B695" s="6" t="s">
        <v>22</v>
      </c>
      <c r="C695" s="7" t="s">
        <v>302</v>
      </c>
      <c r="D695" s="8">
        <v>-1.5031030000000001</v>
      </c>
      <c r="E695" s="7"/>
      <c r="F695" s="8">
        <v>-1.0541026</v>
      </c>
      <c r="G695" s="7" t="str">
        <f t="shared" si="8"/>
        <v>Direct</v>
      </c>
      <c r="H695" s="7" t="s">
        <v>303</v>
      </c>
    </row>
    <row r="696" spans="1:8" x14ac:dyDescent="0.2">
      <c r="A696" s="5" t="s">
        <v>13</v>
      </c>
      <c r="B696" s="6" t="s">
        <v>22</v>
      </c>
      <c r="C696" s="7" t="s">
        <v>304</v>
      </c>
      <c r="D696" s="8">
        <v>-1.2183018999999999</v>
      </c>
      <c r="E696" s="7"/>
      <c r="F696" s="8">
        <v>-7.6526468000000003</v>
      </c>
      <c r="G696" s="7" t="str">
        <f t="shared" si="8"/>
        <v>Direct</v>
      </c>
      <c r="H696" s="7" t="s">
        <v>16</v>
      </c>
    </row>
    <row r="697" spans="1:8" x14ac:dyDescent="0.2">
      <c r="A697" s="5" t="s">
        <v>13</v>
      </c>
      <c r="B697" s="6" t="s">
        <v>22</v>
      </c>
      <c r="C697" s="7" t="s">
        <v>307</v>
      </c>
      <c r="D697" s="8">
        <v>-1.9019946999999999</v>
      </c>
      <c r="E697" s="7"/>
      <c r="F697" s="8">
        <v>9.9425992599999997</v>
      </c>
      <c r="G697" s="7" t="str">
        <f t="shared" si="8"/>
        <v>Inverse</v>
      </c>
      <c r="H697" s="7" t="s">
        <v>172</v>
      </c>
    </row>
    <row r="698" spans="1:8" x14ac:dyDescent="0.2">
      <c r="A698" s="5" t="s">
        <v>13</v>
      </c>
      <c r="B698" s="6" t="s">
        <v>22</v>
      </c>
      <c r="C698" s="7" t="s">
        <v>308</v>
      </c>
      <c r="D698" s="8">
        <v>-2.7305784000000002</v>
      </c>
      <c r="E698" s="7"/>
      <c r="F698" s="8">
        <v>-8.9971692999999995</v>
      </c>
      <c r="G698" s="7" t="str">
        <f t="shared" si="8"/>
        <v>Direct</v>
      </c>
      <c r="H698" s="7" t="s">
        <v>16</v>
      </c>
    </row>
    <row r="699" spans="1:8" x14ac:dyDescent="0.2">
      <c r="A699" s="5" t="s">
        <v>13</v>
      </c>
      <c r="B699" s="6" t="s">
        <v>22</v>
      </c>
      <c r="C699" s="7" t="s">
        <v>801</v>
      </c>
      <c r="D699" s="8">
        <v>2.0220831700000002</v>
      </c>
      <c r="E699" s="7"/>
      <c r="F699" s="8">
        <v>-1.7515202000000001</v>
      </c>
      <c r="G699" s="7" t="str">
        <f t="shared" si="8"/>
        <v>Inverse</v>
      </c>
      <c r="H699" s="7" t="s">
        <v>802</v>
      </c>
    </row>
    <row r="700" spans="1:8" x14ac:dyDescent="0.2">
      <c r="A700" s="5" t="s">
        <v>13</v>
      </c>
      <c r="B700" s="6" t="s">
        <v>22</v>
      </c>
      <c r="C700" s="7" t="s">
        <v>310</v>
      </c>
      <c r="D700" s="8">
        <v>-1.0977144999999999</v>
      </c>
      <c r="E700" s="7"/>
      <c r="F700" s="8">
        <v>-3.6264740999999998</v>
      </c>
      <c r="G700" s="7" t="str">
        <f t="shared" si="8"/>
        <v>Direct</v>
      </c>
      <c r="H700" s="7" t="s">
        <v>311</v>
      </c>
    </row>
    <row r="701" spans="1:8" x14ac:dyDescent="0.2">
      <c r="A701" s="5" t="s">
        <v>13</v>
      </c>
      <c r="B701" s="6" t="s">
        <v>22</v>
      </c>
      <c r="C701" s="7" t="s">
        <v>313</v>
      </c>
      <c r="D701" s="8">
        <v>-1.0343720999999999</v>
      </c>
      <c r="E701" s="7"/>
      <c r="F701" s="8">
        <v>-3.6987323000000001</v>
      </c>
      <c r="G701" s="7" t="str">
        <f t="shared" si="8"/>
        <v>Direct</v>
      </c>
      <c r="H701" s="7" t="s">
        <v>16</v>
      </c>
    </row>
    <row r="702" spans="1:8" x14ac:dyDescent="0.2">
      <c r="A702" s="5" t="s">
        <v>13</v>
      </c>
      <c r="B702" s="6" t="s">
        <v>22</v>
      </c>
      <c r="C702" s="7" t="s">
        <v>314</v>
      </c>
      <c r="D702" s="8">
        <v>-2.6539016000000002</v>
      </c>
      <c r="E702" s="7"/>
      <c r="F702" s="8">
        <v>-6.0830446</v>
      </c>
      <c r="G702" s="7" t="str">
        <f t="shared" si="8"/>
        <v>Direct</v>
      </c>
      <c r="H702" s="7" t="s">
        <v>16</v>
      </c>
    </row>
    <row r="703" spans="1:8" x14ac:dyDescent="0.2">
      <c r="A703" s="5" t="s">
        <v>13</v>
      </c>
      <c r="B703" s="6" t="s">
        <v>22</v>
      </c>
      <c r="C703" s="7" t="s">
        <v>315</v>
      </c>
      <c r="D703" s="8">
        <v>-2.7570404000000002</v>
      </c>
      <c r="E703" s="7"/>
      <c r="F703" s="8">
        <v>-6.2832705000000004</v>
      </c>
      <c r="G703" s="7" t="str">
        <f t="shared" si="8"/>
        <v>Direct</v>
      </c>
      <c r="H703" s="7" t="s">
        <v>16</v>
      </c>
    </row>
    <row r="704" spans="1:8" x14ac:dyDescent="0.2">
      <c r="A704" s="5" t="s">
        <v>13</v>
      </c>
      <c r="B704" s="6" t="s">
        <v>22</v>
      </c>
      <c r="C704" s="7" t="s">
        <v>316</v>
      </c>
      <c r="D704" s="8">
        <v>-2.3530242000000001</v>
      </c>
      <c r="E704" s="7"/>
      <c r="F704" s="8">
        <v>-1.7711796</v>
      </c>
      <c r="G704" s="7" t="str">
        <f t="shared" si="8"/>
        <v>Direct</v>
      </c>
      <c r="H704" s="7" t="s">
        <v>16</v>
      </c>
    </row>
    <row r="705" spans="1:8" x14ac:dyDescent="0.2">
      <c r="A705" s="5" t="s">
        <v>13</v>
      </c>
      <c r="B705" s="6" t="s">
        <v>22</v>
      </c>
      <c r="C705" s="7" t="s">
        <v>317</v>
      </c>
      <c r="D705" s="8">
        <v>-1.9306455</v>
      </c>
      <c r="E705" s="7"/>
      <c r="F705" s="8">
        <v>-2.6872262</v>
      </c>
      <c r="G705" s="7" t="str">
        <f t="shared" si="8"/>
        <v>Direct</v>
      </c>
      <c r="H705" s="7" t="s">
        <v>318</v>
      </c>
    </row>
    <row r="706" spans="1:8" x14ac:dyDescent="0.2">
      <c r="A706" s="5" t="s">
        <v>13</v>
      </c>
      <c r="B706" s="6" t="s">
        <v>22</v>
      </c>
      <c r="C706" s="7" t="s">
        <v>803</v>
      </c>
      <c r="D706" s="8">
        <v>1.62570126</v>
      </c>
      <c r="E706" s="7"/>
      <c r="F706" s="8">
        <v>-1.7479104000000001</v>
      </c>
      <c r="G706" s="7" t="str">
        <f t="shared" si="8"/>
        <v>Inverse</v>
      </c>
      <c r="H706" s="7" t="s">
        <v>804</v>
      </c>
    </row>
    <row r="707" spans="1:8" x14ac:dyDescent="0.2">
      <c r="A707" s="5" t="s">
        <v>13</v>
      </c>
      <c r="B707" s="6" t="s">
        <v>22</v>
      </c>
      <c r="C707" s="7" t="s">
        <v>805</v>
      </c>
      <c r="D707" s="8">
        <v>-1.7721214000000001</v>
      </c>
      <c r="E707" s="7"/>
      <c r="F707" s="8">
        <v>-3.7351646000000001</v>
      </c>
      <c r="G707" s="7" t="str">
        <f t="shared" si="8"/>
        <v>Direct</v>
      </c>
      <c r="H707" s="7" t="s">
        <v>16</v>
      </c>
    </row>
    <row r="708" spans="1:8" x14ac:dyDescent="0.2">
      <c r="A708" s="5" t="s">
        <v>13</v>
      </c>
      <c r="B708" s="6" t="s">
        <v>22</v>
      </c>
      <c r="C708" s="7" t="s">
        <v>319</v>
      </c>
      <c r="D708" s="8">
        <v>-1.2600363000000001</v>
      </c>
      <c r="E708" s="7"/>
      <c r="F708" s="8">
        <v>-3.0929649000000001</v>
      </c>
      <c r="G708" s="7" t="str">
        <f t="shared" si="8"/>
        <v>Direct</v>
      </c>
      <c r="H708" s="7" t="s">
        <v>16</v>
      </c>
    </row>
    <row r="709" spans="1:8" x14ac:dyDescent="0.2">
      <c r="A709" s="5" t="s">
        <v>13</v>
      </c>
      <c r="B709" s="6" t="s">
        <v>22</v>
      </c>
      <c r="C709" s="7" t="s">
        <v>320</v>
      </c>
      <c r="D709" s="8">
        <v>-1.2252367</v>
      </c>
      <c r="E709" s="7"/>
      <c r="F709" s="8">
        <v>-6.9626174000000001</v>
      </c>
      <c r="G709" s="7" t="str">
        <f t="shared" si="8"/>
        <v>Direct</v>
      </c>
      <c r="H709" s="7" t="s">
        <v>321</v>
      </c>
    </row>
    <row r="710" spans="1:8" x14ac:dyDescent="0.2">
      <c r="A710" s="5" t="s">
        <v>13</v>
      </c>
      <c r="B710" s="6" t="s">
        <v>22</v>
      </c>
      <c r="C710" s="7" t="s">
        <v>322</v>
      </c>
      <c r="D710" s="8">
        <v>-2.5281747000000001</v>
      </c>
      <c r="E710" s="7"/>
      <c r="F710" s="8">
        <v>-2.2736776000000001</v>
      </c>
      <c r="G710" s="7" t="str">
        <f t="shared" si="8"/>
        <v>Direct</v>
      </c>
      <c r="H710" s="7" t="s">
        <v>323</v>
      </c>
    </row>
    <row r="711" spans="1:8" x14ac:dyDescent="0.2">
      <c r="A711" s="5" t="s">
        <v>13</v>
      </c>
      <c r="B711" s="6" t="s">
        <v>22</v>
      </c>
      <c r="C711" s="7" t="s">
        <v>806</v>
      </c>
      <c r="D711" s="8">
        <v>2.1858620800000002</v>
      </c>
      <c r="E711" s="7"/>
      <c r="F711" s="8">
        <v>2.7605315500000001</v>
      </c>
      <c r="G711" s="7" t="str">
        <f t="shared" si="8"/>
        <v>Direct</v>
      </c>
      <c r="H711" s="7" t="s">
        <v>16</v>
      </c>
    </row>
    <row r="712" spans="1:8" x14ac:dyDescent="0.2">
      <c r="A712" s="5" t="s">
        <v>13</v>
      </c>
      <c r="B712" s="6" t="s">
        <v>22</v>
      </c>
      <c r="C712" s="7" t="s">
        <v>326</v>
      </c>
      <c r="D712" s="8">
        <v>-1.5465742</v>
      </c>
      <c r="E712" s="7"/>
      <c r="F712" s="8">
        <v>-2.0840926</v>
      </c>
      <c r="G712" s="7" t="str">
        <f t="shared" si="8"/>
        <v>Direct</v>
      </c>
      <c r="H712" s="7" t="s">
        <v>16</v>
      </c>
    </row>
    <row r="713" spans="1:8" x14ac:dyDescent="0.2">
      <c r="A713" s="5" t="s">
        <v>13</v>
      </c>
      <c r="B713" s="6" t="s">
        <v>22</v>
      </c>
      <c r="C713" s="7" t="s">
        <v>327</v>
      </c>
      <c r="D713" s="8">
        <v>1.8451027499999999</v>
      </c>
      <c r="E713" s="7"/>
      <c r="F713" s="8">
        <v>-2.1051313999999999</v>
      </c>
      <c r="G713" s="7" t="str">
        <f t="shared" si="8"/>
        <v>Inverse</v>
      </c>
      <c r="H713" s="7" t="s">
        <v>328</v>
      </c>
    </row>
    <row r="714" spans="1:8" x14ac:dyDescent="0.2">
      <c r="A714" s="5" t="s">
        <v>13</v>
      </c>
      <c r="B714" s="6" t="s">
        <v>22</v>
      </c>
      <c r="C714" s="7" t="s">
        <v>329</v>
      </c>
      <c r="D714" s="8">
        <v>-1.2038884000000001</v>
      </c>
      <c r="E714" s="7"/>
      <c r="F714" s="8">
        <v>-2.0518366000000001</v>
      </c>
      <c r="G714" s="7" t="str">
        <f t="shared" si="8"/>
        <v>Direct</v>
      </c>
      <c r="H714" s="7" t="s">
        <v>16</v>
      </c>
    </row>
    <row r="715" spans="1:8" x14ac:dyDescent="0.2">
      <c r="A715" s="5" t="s">
        <v>13</v>
      </c>
      <c r="B715" s="6" t="s">
        <v>22</v>
      </c>
      <c r="C715" s="7" t="s">
        <v>330</v>
      </c>
      <c r="D715" s="8">
        <v>-1.261706</v>
      </c>
      <c r="E715" s="7"/>
      <c r="F715" s="8">
        <v>-3.5067168</v>
      </c>
      <c r="G715" s="7" t="str">
        <f t="shared" si="8"/>
        <v>Direct</v>
      </c>
      <c r="H715" s="7" t="s">
        <v>331</v>
      </c>
    </row>
    <row r="716" spans="1:8" x14ac:dyDescent="0.2">
      <c r="A716" s="5" t="s">
        <v>13</v>
      </c>
      <c r="B716" s="6" t="s">
        <v>22</v>
      </c>
      <c r="C716" s="7" t="s">
        <v>807</v>
      </c>
      <c r="D716" s="8">
        <v>-1.4510318</v>
      </c>
      <c r="E716" s="7"/>
      <c r="F716" s="8">
        <v>-1.3545141999999999</v>
      </c>
      <c r="G716" s="7" t="str">
        <f t="shared" si="8"/>
        <v>Direct</v>
      </c>
      <c r="H716" s="7" t="s">
        <v>808</v>
      </c>
    </row>
    <row r="717" spans="1:8" x14ac:dyDescent="0.2">
      <c r="A717" s="5" t="s">
        <v>13</v>
      </c>
      <c r="B717" s="6" t="s">
        <v>22</v>
      </c>
      <c r="C717" s="7" t="s">
        <v>332</v>
      </c>
      <c r="D717" s="8">
        <v>-1.2268368999999999</v>
      </c>
      <c r="E717" s="7"/>
      <c r="F717" s="8">
        <v>-2.5731856</v>
      </c>
      <c r="G717" s="7" t="str">
        <f t="shared" si="8"/>
        <v>Direct</v>
      </c>
      <c r="H717" s="7" t="s">
        <v>333</v>
      </c>
    </row>
    <row r="718" spans="1:8" x14ac:dyDescent="0.2">
      <c r="A718" s="5" t="s">
        <v>13</v>
      </c>
      <c r="B718" s="6" t="s">
        <v>22</v>
      </c>
      <c r="C718" s="7" t="s">
        <v>809</v>
      </c>
      <c r="D718" s="8">
        <v>5.9609222700000002</v>
      </c>
      <c r="E718" s="7"/>
      <c r="F718" s="8">
        <v>3.9679333300000001</v>
      </c>
      <c r="G718" s="7" t="str">
        <f t="shared" si="8"/>
        <v>Direct</v>
      </c>
      <c r="H718" s="7" t="s">
        <v>810</v>
      </c>
    </row>
    <row r="719" spans="1:8" x14ac:dyDescent="0.2">
      <c r="A719" s="5" t="s">
        <v>13</v>
      </c>
      <c r="B719" s="6" t="s">
        <v>22</v>
      </c>
      <c r="C719" s="7" t="s">
        <v>334</v>
      </c>
      <c r="D719" s="8">
        <v>2.3233525500000001</v>
      </c>
      <c r="E719" s="7"/>
      <c r="F719" s="8">
        <v>-1.4233359000000001</v>
      </c>
      <c r="G719" s="7" t="str">
        <f t="shared" si="8"/>
        <v>Inverse</v>
      </c>
      <c r="H719" s="7" t="s">
        <v>335</v>
      </c>
    </row>
    <row r="720" spans="1:8" x14ac:dyDescent="0.2">
      <c r="A720" s="5" t="s">
        <v>13</v>
      </c>
      <c r="B720" s="6" t="s">
        <v>22</v>
      </c>
      <c r="C720" s="7" t="s">
        <v>336</v>
      </c>
      <c r="D720" s="8">
        <v>-1.6657090999999999</v>
      </c>
      <c r="E720" s="7"/>
      <c r="F720" s="8">
        <v>-2.1639097</v>
      </c>
      <c r="G720" s="7" t="str">
        <f t="shared" si="8"/>
        <v>Direct</v>
      </c>
      <c r="H720" s="7" t="s">
        <v>337</v>
      </c>
    </row>
    <row r="721" spans="1:8" x14ac:dyDescent="0.2">
      <c r="A721" s="5" t="s">
        <v>13</v>
      </c>
      <c r="B721" s="6" t="s">
        <v>22</v>
      </c>
      <c r="C721" s="7" t="s">
        <v>338</v>
      </c>
      <c r="D721" s="8">
        <v>2.0868259199999999</v>
      </c>
      <c r="E721" s="7"/>
      <c r="F721" s="8">
        <v>-6.5186299999999999</v>
      </c>
      <c r="G721" s="7" t="str">
        <f t="shared" si="8"/>
        <v>Inverse</v>
      </c>
      <c r="H721" s="7" t="s">
        <v>16</v>
      </c>
    </row>
    <row r="722" spans="1:8" x14ac:dyDescent="0.2">
      <c r="A722" s="5" t="s">
        <v>13</v>
      </c>
      <c r="B722" s="6" t="s">
        <v>22</v>
      </c>
      <c r="C722" s="7" t="s">
        <v>339</v>
      </c>
      <c r="D722" s="8">
        <v>-1.2446740000000001</v>
      </c>
      <c r="E722" s="7"/>
      <c r="F722" s="8">
        <v>-1.7929423</v>
      </c>
      <c r="G722" s="7" t="str">
        <f t="shared" si="8"/>
        <v>Direct</v>
      </c>
      <c r="H722" s="7" t="s">
        <v>340</v>
      </c>
    </row>
    <row r="723" spans="1:8" x14ac:dyDescent="0.2">
      <c r="A723" s="5" t="s">
        <v>13</v>
      </c>
      <c r="B723" s="6" t="s">
        <v>22</v>
      </c>
      <c r="C723" s="7" t="s">
        <v>341</v>
      </c>
      <c r="D723" s="8">
        <v>-1.4103763</v>
      </c>
      <c r="E723" s="7"/>
      <c r="F723" s="8">
        <v>-9.9448503000000006</v>
      </c>
      <c r="G723" s="7" t="str">
        <f t="shared" si="8"/>
        <v>Direct</v>
      </c>
      <c r="H723" s="7" t="s">
        <v>16</v>
      </c>
    </row>
    <row r="724" spans="1:8" x14ac:dyDescent="0.2">
      <c r="A724" s="5" t="s">
        <v>13</v>
      </c>
      <c r="B724" s="6" t="s">
        <v>22</v>
      </c>
      <c r="C724" s="7" t="s">
        <v>342</v>
      </c>
      <c r="D724" s="8">
        <v>-1.0553081</v>
      </c>
      <c r="E724" s="7"/>
      <c r="F724" s="8">
        <v>-1.2316579000000001</v>
      </c>
      <c r="G724" s="7" t="str">
        <f t="shared" si="8"/>
        <v>Direct</v>
      </c>
      <c r="H724" s="7" t="s">
        <v>343</v>
      </c>
    </row>
    <row r="725" spans="1:8" x14ac:dyDescent="0.2">
      <c r="A725" s="5" t="s">
        <v>13</v>
      </c>
      <c r="B725" s="6" t="s">
        <v>22</v>
      </c>
      <c r="C725" s="7" t="s">
        <v>344</v>
      </c>
      <c r="D725" s="8">
        <v>-1.0260505</v>
      </c>
      <c r="E725" s="7"/>
      <c r="F725" s="8">
        <v>-4.805294</v>
      </c>
      <c r="G725" s="7" t="str">
        <f t="shared" si="8"/>
        <v>Direct</v>
      </c>
      <c r="H725" s="7" t="s">
        <v>345</v>
      </c>
    </row>
    <row r="726" spans="1:8" x14ac:dyDescent="0.2">
      <c r="A726" s="5" t="s">
        <v>13</v>
      </c>
      <c r="B726" s="6" t="s">
        <v>22</v>
      </c>
      <c r="C726" s="7" t="s">
        <v>346</v>
      </c>
      <c r="D726" s="8">
        <v>-1.3132554000000001</v>
      </c>
      <c r="E726" s="7"/>
      <c r="F726" s="8">
        <v>-1.5775071000000001</v>
      </c>
      <c r="G726" s="7" t="str">
        <f t="shared" si="8"/>
        <v>Direct</v>
      </c>
      <c r="H726" s="7" t="s">
        <v>16</v>
      </c>
    </row>
    <row r="727" spans="1:8" x14ac:dyDescent="0.2">
      <c r="A727" s="5" t="s">
        <v>13</v>
      </c>
      <c r="B727" s="6" t="s">
        <v>22</v>
      </c>
      <c r="C727" s="7" t="s">
        <v>347</v>
      </c>
      <c r="D727" s="8">
        <v>-1.2738265</v>
      </c>
      <c r="E727" s="7"/>
      <c r="F727" s="8">
        <v>1.76116607</v>
      </c>
      <c r="G727" s="7" t="str">
        <f t="shared" si="8"/>
        <v>Inverse</v>
      </c>
      <c r="H727" s="7" t="s">
        <v>16</v>
      </c>
    </row>
    <row r="728" spans="1:8" x14ac:dyDescent="0.2">
      <c r="A728" s="5" t="s">
        <v>13</v>
      </c>
      <c r="B728" s="6" t="s">
        <v>22</v>
      </c>
      <c r="C728" s="7" t="s">
        <v>348</v>
      </c>
      <c r="D728" s="8">
        <v>-1.4115255</v>
      </c>
      <c r="E728" s="7"/>
      <c r="F728" s="8">
        <v>-1.6153369</v>
      </c>
      <c r="G728" s="7" t="str">
        <f t="shared" si="8"/>
        <v>Direct</v>
      </c>
      <c r="H728" s="7" t="s">
        <v>349</v>
      </c>
    </row>
    <row r="729" spans="1:8" x14ac:dyDescent="0.2">
      <c r="A729" s="5" t="s">
        <v>13</v>
      </c>
      <c r="B729" s="6" t="s">
        <v>22</v>
      </c>
      <c r="C729" s="7" t="s">
        <v>350</v>
      </c>
      <c r="D729" s="8">
        <v>-1.6859761</v>
      </c>
      <c r="E729" s="7"/>
      <c r="F729" s="8">
        <v>-1.1522363</v>
      </c>
      <c r="G729" s="7" t="str">
        <f t="shared" si="8"/>
        <v>Direct</v>
      </c>
      <c r="H729" s="7" t="s">
        <v>351</v>
      </c>
    </row>
    <row r="730" spans="1:8" x14ac:dyDescent="0.2">
      <c r="A730" s="5" t="s">
        <v>13</v>
      </c>
      <c r="B730" s="6" t="s">
        <v>22</v>
      </c>
      <c r="C730" s="7" t="s">
        <v>352</v>
      </c>
      <c r="D730" s="8">
        <v>-8.9395906000000007</v>
      </c>
      <c r="E730" s="7"/>
      <c r="F730" s="8">
        <v>-5.0130694</v>
      </c>
      <c r="G730" s="7" t="str">
        <f t="shared" si="8"/>
        <v>Direct</v>
      </c>
      <c r="H730" s="7" t="s">
        <v>16</v>
      </c>
    </row>
    <row r="731" spans="1:8" x14ac:dyDescent="0.2">
      <c r="A731" s="5" t="s">
        <v>13</v>
      </c>
      <c r="B731" s="6" t="s">
        <v>22</v>
      </c>
      <c r="C731" s="7" t="s">
        <v>353</v>
      </c>
      <c r="D731" s="8">
        <v>1.7016554100000001</v>
      </c>
      <c r="E731" s="7"/>
      <c r="F731" s="8">
        <v>5.2943685199999999</v>
      </c>
      <c r="G731" s="7" t="str">
        <f t="shared" si="8"/>
        <v>Direct</v>
      </c>
      <c r="H731" s="7" t="s">
        <v>287</v>
      </c>
    </row>
    <row r="732" spans="1:8" x14ac:dyDescent="0.2">
      <c r="A732" s="5" t="s">
        <v>13</v>
      </c>
      <c r="B732" s="6" t="s">
        <v>22</v>
      </c>
      <c r="C732" s="7" t="s">
        <v>354</v>
      </c>
      <c r="D732" s="8">
        <v>1.05475911</v>
      </c>
      <c r="E732" s="7"/>
      <c r="F732" s="8">
        <v>-5.0773902</v>
      </c>
      <c r="G732" s="7" t="str">
        <f t="shared" si="8"/>
        <v>Inverse</v>
      </c>
      <c r="H732" s="7" t="s">
        <v>16</v>
      </c>
    </row>
    <row r="733" spans="1:8" x14ac:dyDescent="0.2">
      <c r="A733" s="5" t="s">
        <v>13</v>
      </c>
      <c r="B733" s="6" t="s">
        <v>22</v>
      </c>
      <c r="C733" s="7" t="s">
        <v>355</v>
      </c>
      <c r="D733" s="8">
        <v>-1.0963083</v>
      </c>
      <c r="E733" s="7"/>
      <c r="F733" s="8">
        <v>-5.9054278</v>
      </c>
      <c r="G733" s="7" t="str">
        <f t="shared" si="8"/>
        <v>Direct</v>
      </c>
      <c r="H733" s="7" t="s">
        <v>16</v>
      </c>
    </row>
    <row r="734" spans="1:8" x14ac:dyDescent="0.2">
      <c r="A734" s="5" t="s">
        <v>13</v>
      </c>
      <c r="B734" s="6" t="s">
        <v>22</v>
      </c>
      <c r="C734" s="7" t="s">
        <v>359</v>
      </c>
      <c r="D734" s="8">
        <v>1.0334759</v>
      </c>
      <c r="E734" s="7"/>
      <c r="F734" s="8">
        <v>-3.4872413999999998</v>
      </c>
      <c r="G734" s="7" t="str">
        <f t="shared" si="8"/>
        <v>Inverse</v>
      </c>
      <c r="H734" s="7" t="s">
        <v>16</v>
      </c>
    </row>
    <row r="735" spans="1:8" x14ac:dyDescent="0.2">
      <c r="A735" s="5" t="s">
        <v>13</v>
      </c>
      <c r="B735" s="6" t="s">
        <v>22</v>
      </c>
      <c r="C735" s="7" t="s">
        <v>360</v>
      </c>
      <c r="D735" s="8">
        <v>1.56512082</v>
      </c>
      <c r="E735" s="7"/>
      <c r="F735" s="8">
        <v>-1.4802917</v>
      </c>
      <c r="G735" s="7" t="str">
        <f t="shared" si="8"/>
        <v>Inverse</v>
      </c>
      <c r="H735" s="7" t="s">
        <v>16</v>
      </c>
    </row>
    <row r="736" spans="1:8" x14ac:dyDescent="0.2">
      <c r="A736" s="5" t="s">
        <v>13</v>
      </c>
      <c r="B736" s="6" t="s">
        <v>22</v>
      </c>
      <c r="C736" s="7" t="s">
        <v>361</v>
      </c>
      <c r="D736" s="8">
        <v>2.0906941099999998</v>
      </c>
      <c r="E736" s="7"/>
      <c r="F736" s="8">
        <v>-1.2110082</v>
      </c>
      <c r="G736" s="7" t="str">
        <f t="shared" si="8"/>
        <v>Inverse</v>
      </c>
      <c r="H736" s="7" t="s">
        <v>16</v>
      </c>
    </row>
    <row r="737" spans="1:8" x14ac:dyDescent="0.2">
      <c r="A737" s="5" t="s">
        <v>13</v>
      </c>
      <c r="B737" s="6" t="s">
        <v>22</v>
      </c>
      <c r="C737" s="7" t="s">
        <v>362</v>
      </c>
      <c r="D737" s="8">
        <v>2.3260250500000001</v>
      </c>
      <c r="E737" s="7"/>
      <c r="F737" s="8">
        <v>-7.5453058000000004</v>
      </c>
      <c r="G737" s="7" t="str">
        <f t="shared" si="8"/>
        <v>Inverse</v>
      </c>
      <c r="H737" s="7" t="s">
        <v>16</v>
      </c>
    </row>
    <row r="738" spans="1:8" x14ac:dyDescent="0.2">
      <c r="A738" s="5" t="s">
        <v>13</v>
      </c>
      <c r="B738" s="6" t="s">
        <v>22</v>
      </c>
      <c r="C738" s="7" t="s">
        <v>363</v>
      </c>
      <c r="D738" s="8">
        <v>2.2304948599999999</v>
      </c>
      <c r="E738" s="7"/>
      <c r="F738" s="8">
        <v>-3.4466915</v>
      </c>
      <c r="G738" s="7" t="str">
        <f t="shared" si="8"/>
        <v>Inverse</v>
      </c>
      <c r="H738" s="7" t="s">
        <v>16</v>
      </c>
    </row>
    <row r="739" spans="1:8" x14ac:dyDescent="0.2">
      <c r="A739" s="5" t="s">
        <v>13</v>
      </c>
      <c r="B739" s="6" t="s">
        <v>22</v>
      </c>
      <c r="C739" s="7" t="s">
        <v>364</v>
      </c>
      <c r="D739" s="8">
        <v>-1.2721085000000001</v>
      </c>
      <c r="E739" s="7"/>
      <c r="F739" s="8">
        <v>-3.5079950000000002</v>
      </c>
      <c r="G739" s="7" t="str">
        <f t="shared" si="8"/>
        <v>Direct</v>
      </c>
      <c r="H739" s="7" t="s">
        <v>365</v>
      </c>
    </row>
    <row r="740" spans="1:8" x14ac:dyDescent="0.2">
      <c r="A740" s="5" t="s">
        <v>13</v>
      </c>
      <c r="B740" s="6" t="s">
        <v>22</v>
      </c>
      <c r="C740" s="7" t="s">
        <v>366</v>
      </c>
      <c r="D740" s="8">
        <v>-2.1669892000000002</v>
      </c>
      <c r="E740" s="7"/>
      <c r="F740" s="8">
        <v>-2.347505</v>
      </c>
      <c r="G740" s="7" t="str">
        <f t="shared" si="8"/>
        <v>Direct</v>
      </c>
      <c r="H740" s="7" t="s">
        <v>16</v>
      </c>
    </row>
    <row r="741" spans="1:8" x14ac:dyDescent="0.2">
      <c r="A741" s="5" t="s">
        <v>13</v>
      </c>
      <c r="B741" s="6" t="s">
        <v>22</v>
      </c>
      <c r="C741" s="7" t="s">
        <v>367</v>
      </c>
      <c r="D741" s="8">
        <v>-2.6871710000000002</v>
      </c>
      <c r="E741" s="7"/>
      <c r="F741" s="8">
        <v>-3.1334545</v>
      </c>
      <c r="G741" s="7" t="str">
        <f t="shared" si="8"/>
        <v>Direct</v>
      </c>
      <c r="H741" s="7" t="s">
        <v>16</v>
      </c>
    </row>
    <row r="742" spans="1:8" x14ac:dyDescent="0.2">
      <c r="A742" s="5" t="s">
        <v>13</v>
      </c>
      <c r="B742" s="6" t="s">
        <v>22</v>
      </c>
      <c r="C742" s="7" t="s">
        <v>368</v>
      </c>
      <c r="D742" s="8">
        <v>1.6866862499999999</v>
      </c>
      <c r="E742" s="7"/>
      <c r="F742" s="8">
        <v>-13.810053</v>
      </c>
      <c r="G742" s="7" t="str">
        <f t="shared" si="8"/>
        <v>Inverse</v>
      </c>
      <c r="H742" s="7" t="s">
        <v>16</v>
      </c>
    </row>
    <row r="743" spans="1:8" x14ac:dyDescent="0.2">
      <c r="A743" s="5" t="s">
        <v>13</v>
      </c>
      <c r="B743" s="6" t="s">
        <v>22</v>
      </c>
      <c r="C743" s="7" t="s">
        <v>369</v>
      </c>
      <c r="D743" s="8">
        <v>1.68597606</v>
      </c>
      <c r="E743" s="7"/>
      <c r="F743" s="8">
        <v>-4.4139945999999997</v>
      </c>
      <c r="G743" s="7" t="str">
        <f t="shared" si="8"/>
        <v>Inverse</v>
      </c>
      <c r="H743" s="7" t="s">
        <v>16</v>
      </c>
    </row>
    <row r="744" spans="1:8" x14ac:dyDescent="0.2">
      <c r="A744" s="5" t="s">
        <v>13</v>
      </c>
      <c r="B744" s="6" t="s">
        <v>22</v>
      </c>
      <c r="C744" s="7" t="s">
        <v>370</v>
      </c>
      <c r="D744" s="8">
        <v>2.50532127</v>
      </c>
      <c r="E744" s="7"/>
      <c r="F744" s="8">
        <v>-7.3825368999999998</v>
      </c>
      <c r="G744" s="7" t="str">
        <f t="shared" si="8"/>
        <v>Inverse</v>
      </c>
      <c r="H744" s="7" t="s">
        <v>16</v>
      </c>
    </row>
    <row r="745" spans="1:8" x14ac:dyDescent="0.2">
      <c r="A745" s="5" t="s">
        <v>13</v>
      </c>
      <c r="B745" s="6" t="s">
        <v>22</v>
      </c>
      <c r="C745" s="7" t="s">
        <v>371</v>
      </c>
      <c r="D745" s="8">
        <v>1.89621431</v>
      </c>
      <c r="E745" s="7"/>
      <c r="F745" s="8">
        <v>-3.3825886000000001</v>
      </c>
      <c r="G745" s="7" t="str">
        <f t="shared" si="8"/>
        <v>Inverse</v>
      </c>
      <c r="H745" s="7" t="s">
        <v>16</v>
      </c>
    </row>
    <row r="746" spans="1:8" x14ac:dyDescent="0.2">
      <c r="A746" s="5" t="s">
        <v>13</v>
      </c>
      <c r="B746" s="6" t="s">
        <v>22</v>
      </c>
      <c r="C746" s="7" t="s">
        <v>372</v>
      </c>
      <c r="D746" s="8">
        <v>1.460553</v>
      </c>
      <c r="E746" s="7"/>
      <c r="F746" s="8">
        <v>-9.5079930000000008</v>
      </c>
      <c r="G746" s="7" t="str">
        <f t="shared" si="8"/>
        <v>Inverse</v>
      </c>
      <c r="H746" s="7" t="s">
        <v>16</v>
      </c>
    </row>
    <row r="747" spans="1:8" x14ac:dyDescent="0.2">
      <c r="A747" s="5" t="s">
        <v>13</v>
      </c>
      <c r="B747" s="6" t="s">
        <v>22</v>
      </c>
      <c r="C747" s="7" t="s">
        <v>373</v>
      </c>
      <c r="D747" s="8">
        <v>1.34978854</v>
      </c>
      <c r="E747" s="7"/>
      <c r="F747" s="8">
        <v>-6.7710894000000001</v>
      </c>
      <c r="G747" s="7" t="str">
        <f t="shared" si="8"/>
        <v>Inverse</v>
      </c>
      <c r="H747" s="7" t="s">
        <v>16</v>
      </c>
    </row>
    <row r="748" spans="1:8" x14ac:dyDescent="0.2">
      <c r="A748" s="5" t="s">
        <v>13</v>
      </c>
      <c r="B748" s="6" t="s">
        <v>22</v>
      </c>
      <c r="C748" s="7" t="s">
        <v>374</v>
      </c>
      <c r="D748" s="8">
        <v>-1.2747702000000001</v>
      </c>
      <c r="E748" s="7"/>
      <c r="F748" s="8">
        <v>-2.5002469999999999</v>
      </c>
      <c r="G748" s="7" t="str">
        <f t="shared" ref="G748:G972" si="9">IF(OR(AND(D748&gt;0,F748&gt;0),AND(D748&lt;0,F748&lt;0)),"Direct","Inverse")</f>
        <v>Direct</v>
      </c>
      <c r="H748" s="7" t="s">
        <v>375</v>
      </c>
    </row>
    <row r="749" spans="1:8" x14ac:dyDescent="0.2">
      <c r="A749" s="5" t="s">
        <v>13</v>
      </c>
      <c r="B749" s="6" t="s">
        <v>22</v>
      </c>
      <c r="C749" s="7" t="s">
        <v>376</v>
      </c>
      <c r="D749" s="8">
        <v>3.55370951</v>
      </c>
      <c r="E749" s="7"/>
      <c r="F749" s="8">
        <v>3.1384842100000001</v>
      </c>
      <c r="G749" s="7" t="str">
        <f t="shared" si="9"/>
        <v>Direct</v>
      </c>
      <c r="H749" s="7" t="s">
        <v>377</v>
      </c>
    </row>
    <row r="750" spans="1:8" x14ac:dyDescent="0.2">
      <c r="A750" s="5" t="s">
        <v>13</v>
      </c>
      <c r="B750" s="6" t="s">
        <v>22</v>
      </c>
      <c r="C750" s="7" t="s">
        <v>811</v>
      </c>
      <c r="D750" s="8">
        <v>-1.2405374</v>
      </c>
      <c r="E750" s="7"/>
      <c r="F750" s="8">
        <v>-1.3937539999999999</v>
      </c>
      <c r="G750" s="7" t="str">
        <f t="shared" si="9"/>
        <v>Direct</v>
      </c>
      <c r="H750" s="7" t="s">
        <v>16</v>
      </c>
    </row>
    <row r="751" spans="1:8" x14ac:dyDescent="0.2">
      <c r="A751" s="5" t="s">
        <v>13</v>
      </c>
      <c r="B751" s="6" t="s">
        <v>22</v>
      </c>
      <c r="C751" s="7" t="s">
        <v>378</v>
      </c>
      <c r="D751" s="8">
        <v>-1.8305925999999999</v>
      </c>
      <c r="E751" s="7"/>
      <c r="F751" s="8">
        <v>-6.0644499999999999</v>
      </c>
      <c r="G751" s="7" t="str">
        <f t="shared" si="9"/>
        <v>Direct</v>
      </c>
      <c r="H751" s="7" t="s">
        <v>379</v>
      </c>
    </row>
    <row r="752" spans="1:8" x14ac:dyDescent="0.2">
      <c r="A752" s="5" t="s">
        <v>13</v>
      </c>
      <c r="B752" s="6" t="s">
        <v>22</v>
      </c>
      <c r="C752" s="7" t="s">
        <v>380</v>
      </c>
      <c r="D752" s="8">
        <v>-2.7611254999999999</v>
      </c>
      <c r="E752" s="7"/>
      <c r="F752" s="8">
        <v>-2.3943992999999999</v>
      </c>
      <c r="G752" s="7" t="str">
        <f t="shared" si="9"/>
        <v>Direct</v>
      </c>
      <c r="H752" s="7" t="s">
        <v>381</v>
      </c>
    </row>
    <row r="753" spans="1:8" x14ac:dyDescent="0.2">
      <c r="A753" s="5" t="s">
        <v>13</v>
      </c>
      <c r="B753" s="6" t="s">
        <v>22</v>
      </c>
      <c r="C753" s="7" t="s">
        <v>384</v>
      </c>
      <c r="D753" s="8">
        <v>1.60355683</v>
      </c>
      <c r="E753" s="7"/>
      <c r="F753" s="8">
        <v>-3.5140226999999999</v>
      </c>
      <c r="G753" s="7" t="str">
        <f t="shared" si="9"/>
        <v>Inverse</v>
      </c>
      <c r="H753" s="7" t="s">
        <v>16</v>
      </c>
    </row>
    <row r="754" spans="1:8" x14ac:dyDescent="0.2">
      <c r="A754" s="5" t="s">
        <v>13</v>
      </c>
      <c r="B754" s="6" t="s">
        <v>22</v>
      </c>
      <c r="C754" s="7" t="s">
        <v>385</v>
      </c>
      <c r="D754" s="8">
        <v>1.7727359</v>
      </c>
      <c r="E754" s="7"/>
      <c r="F754" s="8">
        <v>-7.6146982999999997</v>
      </c>
      <c r="G754" s="7" t="str">
        <f t="shared" si="9"/>
        <v>Inverse</v>
      </c>
      <c r="H754" s="7" t="s">
        <v>16</v>
      </c>
    </row>
    <row r="755" spans="1:8" x14ac:dyDescent="0.2">
      <c r="A755" s="5" t="s">
        <v>13</v>
      </c>
      <c r="B755" s="6" t="s">
        <v>22</v>
      </c>
      <c r="C755" s="7" t="s">
        <v>386</v>
      </c>
      <c r="D755" s="8">
        <v>2.04182511</v>
      </c>
      <c r="E755" s="7"/>
      <c r="F755" s="8">
        <v>-10.05564</v>
      </c>
      <c r="G755" s="7" t="str">
        <f t="shared" si="9"/>
        <v>Inverse</v>
      </c>
      <c r="H755" s="7" t="s">
        <v>16</v>
      </c>
    </row>
    <row r="756" spans="1:8" x14ac:dyDescent="0.2">
      <c r="A756" s="5" t="s">
        <v>13</v>
      </c>
      <c r="B756" s="6" t="s">
        <v>22</v>
      </c>
      <c r="C756" s="7" t="s">
        <v>388</v>
      </c>
      <c r="D756" s="8">
        <v>2.2288473400000002</v>
      </c>
      <c r="E756" s="7"/>
      <c r="F756" s="8">
        <v>-1.0760124</v>
      </c>
      <c r="G756" s="7" t="str">
        <f t="shared" si="9"/>
        <v>Inverse</v>
      </c>
      <c r="H756" s="7" t="s">
        <v>16</v>
      </c>
    </row>
    <row r="757" spans="1:8" x14ac:dyDescent="0.2">
      <c r="A757" s="5" t="s">
        <v>13</v>
      </c>
      <c r="B757" s="6" t="s">
        <v>22</v>
      </c>
      <c r="C757" s="7" t="s">
        <v>390</v>
      </c>
      <c r="D757" s="8">
        <v>1.28671359</v>
      </c>
      <c r="E757" s="7"/>
      <c r="F757" s="8">
        <v>-12.996027</v>
      </c>
      <c r="G757" s="7" t="str">
        <f t="shared" si="9"/>
        <v>Inverse</v>
      </c>
      <c r="H757" s="7" t="s">
        <v>16</v>
      </c>
    </row>
    <row r="758" spans="1:8" x14ac:dyDescent="0.2">
      <c r="A758" s="5" t="s">
        <v>13</v>
      </c>
      <c r="B758" s="6" t="s">
        <v>22</v>
      </c>
      <c r="C758" s="7" t="s">
        <v>391</v>
      </c>
      <c r="D758" s="8">
        <v>1.1842556099999999</v>
      </c>
      <c r="E758" s="7"/>
      <c r="F758" s="8">
        <v>-12.970672</v>
      </c>
      <c r="G758" s="7" t="str">
        <f t="shared" si="9"/>
        <v>Inverse</v>
      </c>
      <c r="H758" s="7" t="s">
        <v>16</v>
      </c>
    </row>
    <row r="759" spans="1:8" x14ac:dyDescent="0.2">
      <c r="A759" s="5" t="s">
        <v>13</v>
      </c>
      <c r="B759" s="6" t="s">
        <v>22</v>
      </c>
      <c r="C759" s="7" t="s">
        <v>392</v>
      </c>
      <c r="D759" s="8">
        <v>1.3649359299999999</v>
      </c>
      <c r="E759" s="7"/>
      <c r="F759" s="8">
        <v>-7.9065285000000003</v>
      </c>
      <c r="G759" s="7" t="str">
        <f t="shared" si="9"/>
        <v>Inverse</v>
      </c>
      <c r="H759" s="7" t="s">
        <v>16</v>
      </c>
    </row>
    <row r="760" spans="1:8" x14ac:dyDescent="0.2">
      <c r="A760" s="5" t="s">
        <v>13</v>
      </c>
      <c r="B760" s="6" t="s">
        <v>22</v>
      </c>
      <c r="C760" s="7" t="s">
        <v>393</v>
      </c>
      <c r="D760" s="8">
        <v>1.34978854</v>
      </c>
      <c r="E760" s="7"/>
      <c r="F760" s="8">
        <v>-13.060452</v>
      </c>
      <c r="G760" s="7" t="str">
        <f t="shared" si="9"/>
        <v>Inverse</v>
      </c>
      <c r="H760" s="7" t="s">
        <v>16</v>
      </c>
    </row>
    <row r="761" spans="1:8" x14ac:dyDescent="0.2">
      <c r="A761" s="5" t="s">
        <v>13</v>
      </c>
      <c r="B761" s="6" t="s">
        <v>22</v>
      </c>
      <c r="C761" s="7" t="s">
        <v>394</v>
      </c>
      <c r="D761" s="8">
        <v>1.31759816</v>
      </c>
      <c r="E761" s="7"/>
      <c r="F761" s="8">
        <v>-10.286545</v>
      </c>
      <c r="G761" s="7" t="str">
        <f t="shared" si="9"/>
        <v>Inverse</v>
      </c>
      <c r="H761" s="7" t="s">
        <v>395</v>
      </c>
    </row>
    <row r="762" spans="1:8" x14ac:dyDescent="0.2">
      <c r="A762" s="5" t="s">
        <v>13</v>
      </c>
      <c r="B762" s="6" t="s">
        <v>22</v>
      </c>
      <c r="C762" s="7" t="s">
        <v>396</v>
      </c>
      <c r="D762" s="8">
        <v>1.2412964099999999</v>
      </c>
      <c r="E762" s="7"/>
      <c r="F762" s="8">
        <v>1.8071671899999999</v>
      </c>
      <c r="G762" s="7" t="str">
        <f t="shared" si="9"/>
        <v>Direct</v>
      </c>
      <c r="H762" s="7" t="s">
        <v>397</v>
      </c>
    </row>
    <row r="763" spans="1:8" x14ac:dyDescent="0.2">
      <c r="A763" s="5" t="s">
        <v>13</v>
      </c>
      <c r="B763" s="6" t="s">
        <v>22</v>
      </c>
      <c r="C763" s="7" t="s">
        <v>398</v>
      </c>
      <c r="D763" s="8">
        <v>-1.696089</v>
      </c>
      <c r="E763" s="7"/>
      <c r="F763" s="8">
        <v>-4.4264622999999998</v>
      </c>
      <c r="G763" s="7" t="str">
        <f t="shared" si="9"/>
        <v>Direct</v>
      </c>
      <c r="H763" s="7" t="s">
        <v>399</v>
      </c>
    </row>
    <row r="764" spans="1:8" x14ac:dyDescent="0.2">
      <c r="A764" s="5" t="s">
        <v>13</v>
      </c>
      <c r="B764" s="6" t="s">
        <v>22</v>
      </c>
      <c r="C764" s="7" t="s">
        <v>400</v>
      </c>
      <c r="D764" s="8">
        <v>-2.2020441000000002</v>
      </c>
      <c r="E764" s="7"/>
      <c r="F764" s="8">
        <v>-3.5176460000000001</v>
      </c>
      <c r="G764" s="7" t="str">
        <f t="shared" si="9"/>
        <v>Direct</v>
      </c>
      <c r="H764" s="7" t="s">
        <v>401</v>
      </c>
    </row>
    <row r="765" spans="1:8" x14ac:dyDescent="0.2">
      <c r="A765" s="5" t="s">
        <v>13</v>
      </c>
      <c r="B765" s="6" t="s">
        <v>22</v>
      </c>
      <c r="C765" s="7" t="s">
        <v>405</v>
      </c>
      <c r="D765" s="8">
        <v>-2.1394112999999999</v>
      </c>
      <c r="E765" s="7"/>
      <c r="F765" s="8">
        <v>-2.6127302000000001</v>
      </c>
      <c r="G765" s="7" t="str">
        <f t="shared" si="9"/>
        <v>Direct</v>
      </c>
      <c r="H765" s="7" t="s">
        <v>16</v>
      </c>
    </row>
    <row r="766" spans="1:8" x14ac:dyDescent="0.2">
      <c r="A766" s="5" t="s">
        <v>13</v>
      </c>
      <c r="B766" s="6" t="s">
        <v>22</v>
      </c>
      <c r="C766" s="7" t="s">
        <v>812</v>
      </c>
      <c r="D766" s="8">
        <v>-1.1356908999999999</v>
      </c>
      <c r="E766" s="7"/>
      <c r="F766" s="8">
        <v>-1.0708606000000001</v>
      </c>
      <c r="G766" s="7" t="str">
        <f t="shared" si="9"/>
        <v>Direct</v>
      </c>
      <c r="H766" s="7" t="s">
        <v>16</v>
      </c>
    </row>
    <row r="767" spans="1:8" x14ac:dyDescent="0.2">
      <c r="A767" s="5" t="s">
        <v>13</v>
      </c>
      <c r="B767" s="6" t="s">
        <v>22</v>
      </c>
      <c r="C767" s="7" t="s">
        <v>408</v>
      </c>
      <c r="D767" s="8">
        <v>1.7802125099999999</v>
      </c>
      <c r="E767" s="7"/>
      <c r="F767" s="8">
        <v>-8.2927152</v>
      </c>
      <c r="G767" s="7" t="str">
        <f t="shared" si="9"/>
        <v>Inverse</v>
      </c>
      <c r="H767" s="7" t="s">
        <v>16</v>
      </c>
    </row>
    <row r="768" spans="1:8" x14ac:dyDescent="0.2">
      <c r="A768" s="5" t="s">
        <v>13</v>
      </c>
      <c r="B768" s="6" t="s">
        <v>22</v>
      </c>
      <c r="C768" s="7" t="s">
        <v>409</v>
      </c>
      <c r="D768" s="8">
        <v>2.4520469899999999</v>
      </c>
      <c r="E768" s="7"/>
      <c r="F768" s="8">
        <v>2.9449754800000001</v>
      </c>
      <c r="G768" s="7" t="str">
        <f t="shared" si="9"/>
        <v>Direct</v>
      </c>
      <c r="H768" s="7" t="s">
        <v>16</v>
      </c>
    </row>
    <row r="769" spans="1:8" x14ac:dyDescent="0.2">
      <c r="A769" s="5" t="s">
        <v>13</v>
      </c>
      <c r="B769" s="6" t="s">
        <v>22</v>
      </c>
      <c r="C769" s="7" t="s">
        <v>410</v>
      </c>
      <c r="D769" s="8">
        <v>4.2525841900000003</v>
      </c>
      <c r="E769" s="7"/>
      <c r="F769" s="8">
        <v>1.9755650600000001</v>
      </c>
      <c r="G769" s="7" t="str">
        <f t="shared" si="9"/>
        <v>Direct</v>
      </c>
      <c r="H769" s="7" t="s">
        <v>16</v>
      </c>
    </row>
    <row r="770" spans="1:8" x14ac:dyDescent="0.2">
      <c r="A770" s="5" t="s">
        <v>13</v>
      </c>
      <c r="B770" s="6" t="s">
        <v>22</v>
      </c>
      <c r="C770" s="7" t="s">
        <v>411</v>
      </c>
      <c r="D770" s="8">
        <v>-3.2401225</v>
      </c>
      <c r="E770" s="7"/>
      <c r="F770" s="8">
        <v>-1.9381358</v>
      </c>
      <c r="G770" s="7" t="str">
        <f t="shared" si="9"/>
        <v>Direct</v>
      </c>
      <c r="H770" s="7" t="s">
        <v>16</v>
      </c>
    </row>
    <row r="771" spans="1:8" x14ac:dyDescent="0.2">
      <c r="A771" s="5" t="s">
        <v>13</v>
      </c>
      <c r="B771" s="6" t="s">
        <v>22</v>
      </c>
      <c r="C771" s="7" t="s">
        <v>412</v>
      </c>
      <c r="D771" s="8">
        <v>-1.8136269</v>
      </c>
      <c r="E771" s="7"/>
      <c r="F771" s="8">
        <v>-2.2066759999999999</v>
      </c>
      <c r="G771" s="7" t="str">
        <f t="shared" si="9"/>
        <v>Direct</v>
      </c>
      <c r="H771" s="7" t="s">
        <v>413</v>
      </c>
    </row>
    <row r="772" spans="1:8" x14ac:dyDescent="0.2">
      <c r="A772" s="5" t="s">
        <v>13</v>
      </c>
      <c r="B772" s="6" t="s">
        <v>22</v>
      </c>
      <c r="C772" s="7" t="s">
        <v>416</v>
      </c>
      <c r="D772" s="8">
        <v>-2.7963003999999998</v>
      </c>
      <c r="E772" s="7"/>
      <c r="F772" s="8">
        <v>-1.1194554000000001</v>
      </c>
      <c r="G772" s="7" t="str">
        <f t="shared" si="9"/>
        <v>Direct</v>
      </c>
      <c r="H772" s="7" t="s">
        <v>417</v>
      </c>
    </row>
    <row r="773" spans="1:8" x14ac:dyDescent="0.2">
      <c r="A773" s="5" t="s">
        <v>13</v>
      </c>
      <c r="B773" s="6" t="s">
        <v>22</v>
      </c>
      <c r="C773" s="7" t="s">
        <v>418</v>
      </c>
      <c r="D773" s="8">
        <v>-1.0682400999999999</v>
      </c>
      <c r="E773" s="7"/>
      <c r="F773" s="8">
        <v>-5.4580209999999996</v>
      </c>
      <c r="G773" s="7" t="str">
        <f t="shared" si="9"/>
        <v>Direct</v>
      </c>
      <c r="H773" s="7" t="s">
        <v>419</v>
      </c>
    </row>
    <row r="774" spans="1:8" x14ac:dyDescent="0.2">
      <c r="A774" s="5" t="s">
        <v>13</v>
      </c>
      <c r="B774" s="6" t="s">
        <v>22</v>
      </c>
      <c r="C774" s="7" t="s">
        <v>421</v>
      </c>
      <c r="D774" s="8">
        <v>-1.2495704000000001</v>
      </c>
      <c r="E774" s="7"/>
      <c r="F774" s="8">
        <v>-1.1461737999999999</v>
      </c>
      <c r="G774" s="7" t="str">
        <f t="shared" si="9"/>
        <v>Direct</v>
      </c>
      <c r="H774" s="7" t="s">
        <v>16</v>
      </c>
    </row>
    <row r="775" spans="1:8" x14ac:dyDescent="0.2">
      <c r="A775" s="5" t="s">
        <v>13</v>
      </c>
      <c r="B775" s="6" t="s">
        <v>22</v>
      </c>
      <c r="C775" s="7" t="s">
        <v>422</v>
      </c>
      <c r="D775" s="8">
        <v>-2.5900639999999999</v>
      </c>
      <c r="E775" s="7"/>
      <c r="F775" s="8">
        <v>-4.7146046999999998</v>
      </c>
      <c r="G775" s="7" t="str">
        <f t="shared" si="9"/>
        <v>Direct</v>
      </c>
      <c r="H775" s="7" t="s">
        <v>423</v>
      </c>
    </row>
    <row r="776" spans="1:8" x14ac:dyDescent="0.2">
      <c r="A776" s="5" t="s">
        <v>13</v>
      </c>
      <c r="B776" s="6" t="s">
        <v>22</v>
      </c>
      <c r="C776" s="7" t="s">
        <v>424</v>
      </c>
      <c r="D776" s="8">
        <v>1.8781043900000001</v>
      </c>
      <c r="E776" s="7"/>
      <c r="F776" s="8">
        <v>-9.8755729999999993</v>
      </c>
      <c r="G776" s="7" t="str">
        <f t="shared" si="9"/>
        <v>Inverse</v>
      </c>
      <c r="H776" s="7" t="s">
        <v>425</v>
      </c>
    </row>
    <row r="777" spans="1:8" x14ac:dyDescent="0.2">
      <c r="A777" s="5" t="s">
        <v>13</v>
      </c>
      <c r="B777" s="6" t="s">
        <v>22</v>
      </c>
      <c r="C777" s="7" t="s">
        <v>431</v>
      </c>
      <c r="D777" s="8">
        <v>-1.3878238000000001</v>
      </c>
      <c r="E777" s="7"/>
      <c r="F777" s="8">
        <v>-2.3240902000000001</v>
      </c>
      <c r="G777" s="7" t="str">
        <f t="shared" si="9"/>
        <v>Direct</v>
      </c>
      <c r="H777" s="7" t="s">
        <v>432</v>
      </c>
    </row>
    <row r="778" spans="1:8" x14ac:dyDescent="0.2">
      <c r="A778" s="5" t="s">
        <v>13</v>
      </c>
      <c r="B778" s="6" t="s">
        <v>22</v>
      </c>
      <c r="C778" s="7" t="s">
        <v>435</v>
      </c>
      <c r="D778" s="8">
        <v>-1.1003290999999999</v>
      </c>
      <c r="E778" s="7"/>
      <c r="F778" s="8">
        <v>-4.0700136999999996</v>
      </c>
      <c r="G778" s="7" t="str">
        <f t="shared" si="9"/>
        <v>Direct</v>
      </c>
      <c r="H778" s="7" t="s">
        <v>436</v>
      </c>
    </row>
    <row r="779" spans="1:8" x14ac:dyDescent="0.2">
      <c r="A779" s="5" t="s">
        <v>13</v>
      </c>
      <c r="B779" s="6" t="s">
        <v>22</v>
      </c>
      <c r="C779" s="7" t="s">
        <v>437</v>
      </c>
      <c r="D779" s="8">
        <v>2.7429853300000002</v>
      </c>
      <c r="E779" s="7"/>
      <c r="F779" s="8">
        <v>2.50089081</v>
      </c>
      <c r="G779" s="7" t="str">
        <f t="shared" si="9"/>
        <v>Direct</v>
      </c>
      <c r="H779" s="7" t="s">
        <v>438</v>
      </c>
    </row>
    <row r="780" spans="1:8" x14ac:dyDescent="0.2">
      <c r="A780" s="5" t="s">
        <v>13</v>
      </c>
      <c r="B780" s="6" t="s">
        <v>22</v>
      </c>
      <c r="C780" s="7" t="s">
        <v>443</v>
      </c>
      <c r="D780" s="8">
        <v>-2.5408322000000001</v>
      </c>
      <c r="E780" s="7"/>
      <c r="F780" s="8">
        <v>-1.4730736</v>
      </c>
      <c r="G780" s="7" t="str">
        <f t="shared" si="9"/>
        <v>Direct</v>
      </c>
      <c r="H780" s="7" t="s">
        <v>16</v>
      </c>
    </row>
    <row r="781" spans="1:8" x14ac:dyDescent="0.2">
      <c r="A781" s="5" t="s">
        <v>13</v>
      </c>
      <c r="B781" s="6" t="s">
        <v>22</v>
      </c>
      <c r="C781" s="7" t="s">
        <v>444</v>
      </c>
      <c r="D781" s="8">
        <v>3.6889655399999999</v>
      </c>
      <c r="E781" s="7"/>
      <c r="F781" s="8">
        <v>3.67328038</v>
      </c>
      <c r="G781" s="7" t="str">
        <f t="shared" si="9"/>
        <v>Direct</v>
      </c>
      <c r="H781" s="7" t="s">
        <v>445</v>
      </c>
    </row>
    <row r="782" spans="1:8" x14ac:dyDescent="0.2">
      <c r="A782" s="5" t="s">
        <v>13</v>
      </c>
      <c r="B782" s="6" t="s">
        <v>22</v>
      </c>
      <c r="C782" s="7" t="s">
        <v>446</v>
      </c>
      <c r="D782" s="8">
        <v>-1.5998196</v>
      </c>
      <c r="E782" s="7"/>
      <c r="F782" s="8">
        <v>-2.2977405000000002</v>
      </c>
      <c r="G782" s="7" t="str">
        <f t="shared" si="9"/>
        <v>Direct</v>
      </c>
      <c r="H782" s="7" t="s">
        <v>447</v>
      </c>
    </row>
    <row r="783" spans="1:8" x14ac:dyDescent="0.2">
      <c r="A783" s="5" t="s">
        <v>13</v>
      </c>
      <c r="B783" s="6" t="s">
        <v>22</v>
      </c>
      <c r="C783" s="7" t="s">
        <v>448</v>
      </c>
      <c r="D783" s="8">
        <v>1.1287674299999999</v>
      </c>
      <c r="E783" s="7"/>
      <c r="F783" s="8">
        <v>-3.1914245999999999</v>
      </c>
      <c r="G783" s="7" t="str">
        <f t="shared" si="9"/>
        <v>Inverse</v>
      </c>
      <c r="H783" s="7" t="s">
        <v>425</v>
      </c>
    </row>
    <row r="784" spans="1:8" x14ac:dyDescent="0.2">
      <c r="A784" s="5" t="s">
        <v>13</v>
      </c>
      <c r="B784" s="6" t="s">
        <v>22</v>
      </c>
      <c r="C784" s="7" t="s">
        <v>813</v>
      </c>
      <c r="D784" s="8">
        <v>-1.9671597999999999</v>
      </c>
      <c r="E784" s="7"/>
      <c r="F784" s="8">
        <v>-2.0899200000000002</v>
      </c>
      <c r="G784" s="7" t="str">
        <f t="shared" si="9"/>
        <v>Direct</v>
      </c>
      <c r="H784" s="7" t="s">
        <v>814</v>
      </c>
    </row>
    <row r="785" spans="1:8" x14ac:dyDescent="0.2">
      <c r="A785" s="5" t="s">
        <v>13</v>
      </c>
      <c r="B785" s="6" t="s">
        <v>22</v>
      </c>
      <c r="C785" s="7" t="s">
        <v>452</v>
      </c>
      <c r="D785" s="8">
        <v>1.0417748</v>
      </c>
      <c r="E785" s="7"/>
      <c r="F785" s="8">
        <v>-1.4819252999999999</v>
      </c>
      <c r="G785" s="7" t="str">
        <f t="shared" si="9"/>
        <v>Inverse</v>
      </c>
      <c r="H785" s="7" t="s">
        <v>453</v>
      </c>
    </row>
    <row r="786" spans="1:8" x14ac:dyDescent="0.2">
      <c r="A786" s="5" t="s">
        <v>13</v>
      </c>
      <c r="B786" s="6" t="s">
        <v>22</v>
      </c>
      <c r="C786" s="7" t="s">
        <v>457</v>
      </c>
      <c r="D786" s="8">
        <v>2.0431965499999998</v>
      </c>
      <c r="E786" s="7"/>
      <c r="F786" s="8">
        <v>-2.7561027999999999</v>
      </c>
      <c r="G786" s="7" t="str">
        <f t="shared" si="9"/>
        <v>Inverse</v>
      </c>
      <c r="H786" s="7" t="s">
        <v>458</v>
      </c>
    </row>
    <row r="787" spans="1:8" x14ac:dyDescent="0.2">
      <c r="A787" s="5" t="s">
        <v>13</v>
      </c>
      <c r="B787" s="6" t="s">
        <v>22</v>
      </c>
      <c r="C787" s="7" t="s">
        <v>459</v>
      </c>
      <c r="D787" s="8">
        <v>-1.9470774</v>
      </c>
      <c r="E787" s="7"/>
      <c r="F787" s="8">
        <v>-3.3878770999999999</v>
      </c>
      <c r="G787" s="7" t="str">
        <f t="shared" si="9"/>
        <v>Direct</v>
      </c>
      <c r="H787" s="7" t="s">
        <v>16</v>
      </c>
    </row>
    <row r="788" spans="1:8" x14ac:dyDescent="0.2">
      <c r="A788" s="5" t="s">
        <v>13</v>
      </c>
      <c r="B788" s="6" t="s">
        <v>22</v>
      </c>
      <c r="C788" s="7" t="s">
        <v>815</v>
      </c>
      <c r="D788" s="8">
        <v>-1.0537498000000001</v>
      </c>
      <c r="E788" s="7"/>
      <c r="F788" s="8">
        <v>-1.8457553</v>
      </c>
      <c r="G788" s="7" t="str">
        <f t="shared" si="9"/>
        <v>Direct</v>
      </c>
      <c r="H788" s="7" t="s">
        <v>816</v>
      </c>
    </row>
    <row r="789" spans="1:8" x14ac:dyDescent="0.2">
      <c r="A789" s="5" t="s">
        <v>13</v>
      </c>
      <c r="B789" s="6" t="s">
        <v>22</v>
      </c>
      <c r="C789" s="7" t="s">
        <v>461</v>
      </c>
      <c r="D789" s="8">
        <v>-1.5123736999999999</v>
      </c>
      <c r="E789" s="7"/>
      <c r="F789" s="8">
        <v>-3.1483574999999999</v>
      </c>
      <c r="G789" s="7" t="str">
        <f t="shared" si="9"/>
        <v>Direct</v>
      </c>
      <c r="H789" s="7" t="s">
        <v>462</v>
      </c>
    </row>
    <row r="790" spans="1:8" x14ac:dyDescent="0.2">
      <c r="A790" s="5" t="s">
        <v>13</v>
      </c>
      <c r="B790" s="6" t="s">
        <v>22</v>
      </c>
      <c r="C790" s="7" t="s">
        <v>817</v>
      </c>
      <c r="D790" s="8">
        <v>-4.321231</v>
      </c>
      <c r="E790" s="7"/>
      <c r="F790" s="8">
        <v>-1.5473361999999999</v>
      </c>
      <c r="G790" s="7" t="str">
        <f t="shared" si="9"/>
        <v>Direct</v>
      </c>
      <c r="H790" s="7" t="s">
        <v>818</v>
      </c>
    </row>
    <row r="791" spans="1:8" x14ac:dyDescent="0.2">
      <c r="A791" s="5" t="s">
        <v>13</v>
      </c>
      <c r="B791" s="6" t="s">
        <v>22</v>
      </c>
      <c r="C791" s="7" t="s">
        <v>463</v>
      </c>
      <c r="D791" s="8">
        <v>-1.6972299</v>
      </c>
      <c r="E791" s="7"/>
      <c r="F791" s="8">
        <v>2.5253434000000001</v>
      </c>
      <c r="G791" s="7" t="str">
        <f t="shared" si="9"/>
        <v>Inverse</v>
      </c>
      <c r="H791" s="7" t="s">
        <v>464</v>
      </c>
    </row>
    <row r="792" spans="1:8" x14ac:dyDescent="0.2">
      <c r="A792" s="5" t="s">
        <v>13</v>
      </c>
      <c r="B792" s="6" t="s">
        <v>22</v>
      </c>
      <c r="C792" s="7" t="s">
        <v>465</v>
      </c>
      <c r="D792" s="8">
        <v>1.68597606</v>
      </c>
      <c r="E792" s="7"/>
      <c r="F792" s="8">
        <v>-6.9494702999999998</v>
      </c>
      <c r="G792" s="7" t="str">
        <f t="shared" si="9"/>
        <v>Inverse</v>
      </c>
      <c r="H792" s="7" t="s">
        <v>62</v>
      </c>
    </row>
    <row r="793" spans="1:8" x14ac:dyDescent="0.2">
      <c r="A793" s="5" t="s">
        <v>13</v>
      </c>
      <c r="B793" s="6" t="s">
        <v>22</v>
      </c>
      <c r="C793" s="7" t="s">
        <v>467</v>
      </c>
      <c r="D793" s="8">
        <v>-1.4950323999999999</v>
      </c>
      <c r="E793" s="7"/>
      <c r="F793" s="8">
        <v>1.3328892400000001</v>
      </c>
      <c r="G793" s="7" t="str">
        <f t="shared" si="9"/>
        <v>Inverse</v>
      </c>
      <c r="H793" s="7" t="s">
        <v>16</v>
      </c>
    </row>
    <row r="794" spans="1:8" x14ac:dyDescent="0.2">
      <c r="A794" s="5" t="s">
        <v>13</v>
      </c>
      <c r="B794" s="6" t="s">
        <v>22</v>
      </c>
      <c r="C794" s="7" t="s">
        <v>468</v>
      </c>
      <c r="D794" s="8">
        <v>1.21830186</v>
      </c>
      <c r="E794" s="7"/>
      <c r="F794" s="8">
        <v>-6.2984951000000002</v>
      </c>
      <c r="G794" s="7" t="str">
        <f t="shared" si="9"/>
        <v>Inverse</v>
      </c>
      <c r="H794" s="7" t="s">
        <v>16</v>
      </c>
    </row>
    <row r="795" spans="1:8" x14ac:dyDescent="0.2">
      <c r="A795" s="5" t="s">
        <v>13</v>
      </c>
      <c r="B795" s="6" t="s">
        <v>22</v>
      </c>
      <c r="C795" s="7" t="s">
        <v>469</v>
      </c>
      <c r="D795" s="8">
        <v>-1.1692564999999999</v>
      </c>
      <c r="E795" s="7"/>
      <c r="F795" s="8">
        <v>-5.3543075</v>
      </c>
      <c r="G795" s="7" t="str">
        <f t="shared" si="9"/>
        <v>Direct</v>
      </c>
      <c r="H795" s="7" t="s">
        <v>470</v>
      </c>
    </row>
    <row r="796" spans="1:8" x14ac:dyDescent="0.2">
      <c r="A796" s="5" t="s">
        <v>13</v>
      </c>
      <c r="B796" s="6" t="s">
        <v>22</v>
      </c>
      <c r="C796" s="7" t="s">
        <v>471</v>
      </c>
      <c r="D796" s="8">
        <v>-1.543504</v>
      </c>
      <c r="E796" s="7"/>
      <c r="F796" s="8">
        <v>-1.2403294</v>
      </c>
      <c r="G796" s="7" t="str">
        <f t="shared" si="9"/>
        <v>Direct</v>
      </c>
      <c r="H796" s="7" t="s">
        <v>16</v>
      </c>
    </row>
    <row r="797" spans="1:8" x14ac:dyDescent="0.2">
      <c r="A797" s="5" t="s">
        <v>13</v>
      </c>
      <c r="B797" s="6" t="s">
        <v>22</v>
      </c>
      <c r="C797" s="7" t="s">
        <v>472</v>
      </c>
      <c r="D797" s="8">
        <v>2.3530242000000001</v>
      </c>
      <c r="E797" s="7"/>
      <c r="F797" s="8">
        <v>-2.8227954</v>
      </c>
      <c r="G797" s="7" t="str">
        <f t="shared" si="9"/>
        <v>Inverse</v>
      </c>
      <c r="H797" s="7" t="s">
        <v>16</v>
      </c>
    </row>
    <row r="798" spans="1:8" x14ac:dyDescent="0.2">
      <c r="A798" s="5" t="s">
        <v>13</v>
      </c>
      <c r="B798" s="6" t="s">
        <v>22</v>
      </c>
      <c r="C798" s="7" t="s">
        <v>473</v>
      </c>
      <c r="D798" s="8">
        <v>1.6113242000000001</v>
      </c>
      <c r="E798" s="7"/>
      <c r="F798" s="8">
        <v>-7.0070126000000004</v>
      </c>
      <c r="G798" s="7" t="str">
        <f t="shared" si="9"/>
        <v>Inverse</v>
      </c>
      <c r="H798" s="7" t="s">
        <v>88</v>
      </c>
    </row>
    <row r="799" spans="1:8" x14ac:dyDescent="0.2">
      <c r="A799" s="5" t="s">
        <v>13</v>
      </c>
      <c r="B799" s="6" t="s">
        <v>22</v>
      </c>
      <c r="C799" s="7" t="s">
        <v>474</v>
      </c>
      <c r="D799" s="8">
        <v>1.68209933</v>
      </c>
      <c r="E799" s="7"/>
      <c r="F799" s="8">
        <v>2.2669048300000001</v>
      </c>
      <c r="G799" s="7" t="str">
        <f t="shared" si="9"/>
        <v>Direct</v>
      </c>
      <c r="H799" s="7" t="s">
        <v>16</v>
      </c>
    </row>
    <row r="800" spans="1:8" x14ac:dyDescent="0.2">
      <c r="A800" s="5" t="s">
        <v>13</v>
      </c>
      <c r="B800" s="6" t="s">
        <v>22</v>
      </c>
      <c r="C800" s="7" t="s">
        <v>475</v>
      </c>
      <c r="D800" s="8">
        <v>-1.2784701000000001</v>
      </c>
      <c r="E800" s="7"/>
      <c r="F800" s="8">
        <v>-6.9191104000000001</v>
      </c>
      <c r="G800" s="7" t="str">
        <f t="shared" si="9"/>
        <v>Direct</v>
      </c>
      <c r="H800" s="7" t="s">
        <v>476</v>
      </c>
    </row>
    <row r="801" spans="1:8" x14ac:dyDescent="0.2">
      <c r="A801" s="5" t="s">
        <v>13</v>
      </c>
      <c r="B801" s="6" t="s">
        <v>22</v>
      </c>
      <c r="C801" s="7" t="s">
        <v>819</v>
      </c>
      <c r="D801" s="8">
        <v>3.3115488399999999</v>
      </c>
      <c r="E801" s="7"/>
      <c r="F801" s="8">
        <v>-2.1243504999999998</v>
      </c>
      <c r="G801" s="7" t="str">
        <f t="shared" si="9"/>
        <v>Inverse</v>
      </c>
      <c r="H801" s="7" t="s">
        <v>820</v>
      </c>
    </row>
    <row r="802" spans="1:8" x14ac:dyDescent="0.2">
      <c r="A802" s="5" t="s">
        <v>13</v>
      </c>
      <c r="B802" s="6" t="s">
        <v>22</v>
      </c>
      <c r="C802" s="7" t="s">
        <v>477</v>
      </c>
      <c r="D802" s="8">
        <v>1.7658814599999999</v>
      </c>
      <c r="E802" s="7"/>
      <c r="F802" s="8">
        <v>-4.2828894000000002</v>
      </c>
      <c r="G802" s="7" t="str">
        <f t="shared" si="9"/>
        <v>Inverse</v>
      </c>
      <c r="H802" s="7" t="s">
        <v>351</v>
      </c>
    </row>
    <row r="803" spans="1:8" x14ac:dyDescent="0.2">
      <c r="A803" s="5" t="s">
        <v>13</v>
      </c>
      <c r="B803" s="6" t="s">
        <v>22</v>
      </c>
      <c r="C803" s="7" t="s">
        <v>478</v>
      </c>
      <c r="D803" s="8">
        <v>-1.2884635</v>
      </c>
      <c r="E803" s="7"/>
      <c r="F803" s="8">
        <v>-3.7912124999999999</v>
      </c>
      <c r="G803" s="7" t="str">
        <f t="shared" si="9"/>
        <v>Direct</v>
      </c>
      <c r="H803" s="7" t="s">
        <v>479</v>
      </c>
    </row>
    <row r="804" spans="1:8" x14ac:dyDescent="0.2">
      <c r="A804" s="5" t="s">
        <v>13</v>
      </c>
      <c r="B804" s="6" t="s">
        <v>22</v>
      </c>
      <c r="C804" s="7" t="s">
        <v>480</v>
      </c>
      <c r="D804" s="8">
        <v>-1.2504123</v>
      </c>
      <c r="E804" s="7"/>
      <c r="F804" s="8">
        <v>-1.2866739</v>
      </c>
      <c r="G804" s="7" t="str">
        <f t="shared" si="9"/>
        <v>Direct</v>
      </c>
      <c r="H804" s="7" t="s">
        <v>481</v>
      </c>
    </row>
    <row r="805" spans="1:8" x14ac:dyDescent="0.2">
      <c r="A805" s="5" t="s">
        <v>13</v>
      </c>
      <c r="B805" s="6" t="s">
        <v>22</v>
      </c>
      <c r="C805" s="7" t="s">
        <v>483</v>
      </c>
      <c r="D805" s="8">
        <v>-1.1637297</v>
      </c>
      <c r="E805" s="7"/>
      <c r="F805" s="8">
        <v>-4.2665366999999996</v>
      </c>
      <c r="G805" s="7" t="str">
        <f t="shared" si="9"/>
        <v>Direct</v>
      </c>
      <c r="H805" s="7" t="s">
        <v>42</v>
      </c>
    </row>
    <row r="806" spans="1:8" x14ac:dyDescent="0.2">
      <c r="A806" s="5" t="s">
        <v>13</v>
      </c>
      <c r="B806" s="6" t="s">
        <v>22</v>
      </c>
      <c r="C806" s="7" t="s">
        <v>484</v>
      </c>
      <c r="D806" s="8">
        <v>-1.4053112999999999</v>
      </c>
      <c r="E806" s="7"/>
      <c r="F806" s="8">
        <v>-5.0535182000000001</v>
      </c>
      <c r="G806" s="7" t="str">
        <f t="shared" si="9"/>
        <v>Direct</v>
      </c>
      <c r="H806" s="7" t="s">
        <v>485</v>
      </c>
    </row>
    <row r="807" spans="1:8" x14ac:dyDescent="0.2">
      <c r="A807" s="5" t="s">
        <v>13</v>
      </c>
      <c r="B807" s="6" t="s">
        <v>22</v>
      </c>
      <c r="C807" s="7" t="s">
        <v>486</v>
      </c>
      <c r="D807" s="8">
        <v>1.06751076</v>
      </c>
      <c r="E807" s="7"/>
      <c r="F807" s="8">
        <v>-1.6740701</v>
      </c>
      <c r="G807" s="7" t="str">
        <f t="shared" si="9"/>
        <v>Inverse</v>
      </c>
      <c r="H807" s="7" t="s">
        <v>16</v>
      </c>
    </row>
    <row r="808" spans="1:8" x14ac:dyDescent="0.2">
      <c r="A808" s="5" t="s">
        <v>13</v>
      </c>
      <c r="B808" s="6" t="s">
        <v>22</v>
      </c>
      <c r="C808" s="7" t="s">
        <v>487</v>
      </c>
      <c r="D808" s="8">
        <v>1.2548796200000001</v>
      </c>
      <c r="E808" s="7"/>
      <c r="F808" s="8">
        <v>-2.7491750000000001</v>
      </c>
      <c r="G808" s="7" t="str">
        <f t="shared" si="9"/>
        <v>Inverse</v>
      </c>
      <c r="H808" s="7" t="s">
        <v>488</v>
      </c>
    </row>
    <row r="809" spans="1:8" x14ac:dyDescent="0.2">
      <c r="A809" s="5" t="s">
        <v>13</v>
      </c>
      <c r="B809" s="6" t="s">
        <v>22</v>
      </c>
      <c r="C809" s="7" t="s">
        <v>821</v>
      </c>
      <c r="D809" s="8">
        <v>-1.5508306999999999</v>
      </c>
      <c r="E809" s="7"/>
      <c r="F809" s="8">
        <v>-3.3069994</v>
      </c>
      <c r="G809" s="7" t="str">
        <f t="shared" si="9"/>
        <v>Direct</v>
      </c>
      <c r="H809" s="7" t="s">
        <v>822</v>
      </c>
    </row>
    <row r="810" spans="1:8" x14ac:dyDescent="0.2">
      <c r="A810" s="5" t="s">
        <v>13</v>
      </c>
      <c r="B810" s="6" t="s">
        <v>22</v>
      </c>
      <c r="C810" s="7" t="s">
        <v>493</v>
      </c>
      <c r="D810" s="8">
        <v>-1.6443255999999999</v>
      </c>
      <c r="E810" s="7"/>
      <c r="F810" s="8">
        <v>-5.9433430999999999</v>
      </c>
      <c r="G810" s="7" t="str">
        <f t="shared" si="9"/>
        <v>Direct</v>
      </c>
      <c r="H810" s="7" t="s">
        <v>494</v>
      </c>
    </row>
    <row r="811" spans="1:8" x14ac:dyDescent="0.2">
      <c r="A811" s="5" t="s">
        <v>13</v>
      </c>
      <c r="B811" s="6" t="s">
        <v>22</v>
      </c>
      <c r="C811" s="7" t="s">
        <v>495</v>
      </c>
      <c r="D811" s="8">
        <v>-1.0438182</v>
      </c>
      <c r="E811" s="7"/>
      <c r="F811" s="8">
        <v>-1.8985505</v>
      </c>
      <c r="G811" s="7" t="str">
        <f t="shared" si="9"/>
        <v>Direct</v>
      </c>
      <c r="H811" s="7" t="s">
        <v>496</v>
      </c>
    </row>
    <row r="812" spans="1:8" x14ac:dyDescent="0.2">
      <c r="A812" s="5" t="s">
        <v>13</v>
      </c>
      <c r="B812" s="6" t="s">
        <v>22</v>
      </c>
      <c r="C812" s="7" t="s">
        <v>823</v>
      </c>
      <c r="D812" s="8">
        <v>-1.6027899000000001</v>
      </c>
      <c r="E812" s="7"/>
      <c r="F812" s="8">
        <v>-1.4028195999999999</v>
      </c>
      <c r="G812" s="7" t="str">
        <f t="shared" si="9"/>
        <v>Direct</v>
      </c>
      <c r="H812" s="7" t="s">
        <v>16</v>
      </c>
    </row>
    <row r="813" spans="1:8" x14ac:dyDescent="0.2">
      <c r="A813" s="5" t="s">
        <v>13</v>
      </c>
      <c r="B813" s="6" t="s">
        <v>22</v>
      </c>
      <c r="C813" s="7" t="s">
        <v>497</v>
      </c>
      <c r="D813" s="8">
        <v>-1.3990826999999999</v>
      </c>
      <c r="E813" s="7"/>
      <c r="F813" s="8">
        <v>-1.1586075</v>
      </c>
      <c r="G813" s="7" t="str">
        <f t="shared" si="9"/>
        <v>Direct</v>
      </c>
      <c r="H813" s="7" t="s">
        <v>498</v>
      </c>
    </row>
    <row r="814" spans="1:8" x14ac:dyDescent="0.2">
      <c r="A814" s="5" t="s">
        <v>13</v>
      </c>
      <c r="B814" s="6" t="s">
        <v>22</v>
      </c>
      <c r="C814" s="7" t="s">
        <v>501</v>
      </c>
      <c r="D814" s="8">
        <v>-1.4052889</v>
      </c>
      <c r="E814" s="7"/>
      <c r="F814" s="8">
        <v>-2.5412837000000001</v>
      </c>
      <c r="G814" s="7" t="str">
        <f t="shared" si="9"/>
        <v>Direct</v>
      </c>
      <c r="H814" s="7" t="s">
        <v>502</v>
      </c>
    </row>
    <row r="815" spans="1:8" x14ac:dyDescent="0.2">
      <c r="A815" s="5" t="s">
        <v>13</v>
      </c>
      <c r="B815" s="6" t="s">
        <v>22</v>
      </c>
      <c r="C815" s="7" t="s">
        <v>503</v>
      </c>
      <c r="D815" s="8">
        <v>-1.1003586000000001</v>
      </c>
      <c r="E815" s="7"/>
      <c r="F815" s="8">
        <v>-1.7264592999999999</v>
      </c>
      <c r="G815" s="7" t="str">
        <f t="shared" si="9"/>
        <v>Direct</v>
      </c>
      <c r="H815" s="7" t="s">
        <v>504</v>
      </c>
    </row>
    <row r="816" spans="1:8" x14ac:dyDescent="0.2">
      <c r="A816" s="5" t="s">
        <v>13</v>
      </c>
      <c r="B816" s="6" t="s">
        <v>22</v>
      </c>
      <c r="C816" s="7" t="s">
        <v>505</v>
      </c>
      <c r="D816" s="8">
        <v>-1.5069942999999999</v>
      </c>
      <c r="E816" s="7"/>
      <c r="F816" s="8">
        <v>1.75289147</v>
      </c>
      <c r="G816" s="7" t="str">
        <f t="shared" si="9"/>
        <v>Inverse</v>
      </c>
      <c r="H816" s="7" t="s">
        <v>506</v>
      </c>
    </row>
    <row r="817" spans="1:8" x14ac:dyDescent="0.2">
      <c r="A817" s="5" t="s">
        <v>13</v>
      </c>
      <c r="B817" s="6" t="s">
        <v>22</v>
      </c>
      <c r="C817" s="7" t="s">
        <v>824</v>
      </c>
      <c r="D817" s="8">
        <v>-1.4466844000000001</v>
      </c>
      <c r="E817" s="7"/>
      <c r="F817" s="8">
        <v>-1.9600679999999999</v>
      </c>
      <c r="G817" s="7" t="str">
        <f t="shared" si="9"/>
        <v>Direct</v>
      </c>
      <c r="H817" s="7" t="s">
        <v>825</v>
      </c>
    </row>
    <row r="818" spans="1:8" x14ac:dyDescent="0.2">
      <c r="A818" s="5" t="s">
        <v>13</v>
      </c>
      <c r="B818" s="6" t="s">
        <v>22</v>
      </c>
      <c r="C818" s="7" t="s">
        <v>509</v>
      </c>
      <c r="D818" s="8">
        <v>-1.4283882999999999</v>
      </c>
      <c r="E818" s="7"/>
      <c r="F818" s="8">
        <v>-3.9148298000000001</v>
      </c>
      <c r="G818" s="7" t="str">
        <f t="shared" si="9"/>
        <v>Direct</v>
      </c>
      <c r="H818" s="7" t="s">
        <v>510</v>
      </c>
    </row>
    <row r="819" spans="1:8" x14ac:dyDescent="0.2">
      <c r="A819" s="5" t="s">
        <v>13</v>
      </c>
      <c r="B819" s="6" t="s">
        <v>22</v>
      </c>
      <c r="C819" s="7" t="s">
        <v>512</v>
      </c>
      <c r="D819" s="8">
        <v>1.0682401399999999</v>
      </c>
      <c r="E819" s="7"/>
      <c r="F819" s="8">
        <v>-2.8760463999999999</v>
      </c>
      <c r="G819" s="7" t="str">
        <f t="shared" si="9"/>
        <v>Inverse</v>
      </c>
      <c r="H819" s="7" t="s">
        <v>513</v>
      </c>
    </row>
    <row r="820" spans="1:8" x14ac:dyDescent="0.2">
      <c r="A820" s="5" t="s">
        <v>13</v>
      </c>
      <c r="B820" s="6" t="s">
        <v>22</v>
      </c>
      <c r="C820" s="7" t="s">
        <v>514</v>
      </c>
      <c r="D820" s="8">
        <v>-2.6835155999999998</v>
      </c>
      <c r="E820" s="7"/>
      <c r="F820" s="8">
        <v>-2.1088564000000001</v>
      </c>
      <c r="G820" s="7" t="str">
        <f t="shared" si="9"/>
        <v>Direct</v>
      </c>
      <c r="H820" s="7" t="s">
        <v>16</v>
      </c>
    </row>
    <row r="821" spans="1:8" x14ac:dyDescent="0.2">
      <c r="A821" s="5" t="s">
        <v>13</v>
      </c>
      <c r="B821" s="6" t="s">
        <v>22</v>
      </c>
      <c r="C821" s="7" t="s">
        <v>515</v>
      </c>
      <c r="D821" s="8">
        <v>-1.0593747</v>
      </c>
      <c r="E821" s="7"/>
      <c r="F821" s="8">
        <v>-3.8755413999999999</v>
      </c>
      <c r="G821" s="7" t="str">
        <f t="shared" si="9"/>
        <v>Direct</v>
      </c>
      <c r="H821" s="7" t="s">
        <v>516</v>
      </c>
    </row>
    <row r="822" spans="1:8" x14ac:dyDescent="0.2">
      <c r="A822" s="5" t="s">
        <v>13</v>
      </c>
      <c r="B822" s="6" t="s">
        <v>22</v>
      </c>
      <c r="C822" s="7" t="s">
        <v>517</v>
      </c>
      <c r="D822" s="8">
        <v>-2.7611254999999999</v>
      </c>
      <c r="E822" s="7"/>
      <c r="F822" s="8">
        <v>-1.6579119</v>
      </c>
      <c r="G822" s="7" t="str">
        <f t="shared" si="9"/>
        <v>Direct</v>
      </c>
      <c r="H822" s="7" t="s">
        <v>518</v>
      </c>
    </row>
    <row r="823" spans="1:8" x14ac:dyDescent="0.2">
      <c r="A823" s="5" t="s">
        <v>13</v>
      </c>
      <c r="B823" s="6" t="s">
        <v>22</v>
      </c>
      <c r="C823" s="7" t="s">
        <v>520</v>
      </c>
      <c r="D823" s="8">
        <v>1.17150471</v>
      </c>
      <c r="E823" s="7"/>
      <c r="F823" s="8">
        <v>-1.9709350000000001</v>
      </c>
      <c r="G823" s="7" t="str">
        <f t="shared" si="9"/>
        <v>Inverse</v>
      </c>
      <c r="H823" s="7" t="s">
        <v>16</v>
      </c>
    </row>
    <row r="824" spans="1:8" x14ac:dyDescent="0.2">
      <c r="A824" s="5" t="s">
        <v>13</v>
      </c>
      <c r="B824" s="6" t="s">
        <v>22</v>
      </c>
      <c r="C824" s="7" t="s">
        <v>521</v>
      </c>
      <c r="D824" s="8">
        <v>-1.6859761</v>
      </c>
      <c r="E824" s="7"/>
      <c r="F824" s="8">
        <v>-7.8139934999999996</v>
      </c>
      <c r="G824" s="7" t="str">
        <f t="shared" si="9"/>
        <v>Direct</v>
      </c>
      <c r="H824" s="7" t="s">
        <v>522</v>
      </c>
    </row>
    <row r="825" spans="1:8" x14ac:dyDescent="0.2">
      <c r="A825" s="5" t="s">
        <v>13</v>
      </c>
      <c r="B825" s="6" t="s">
        <v>22</v>
      </c>
      <c r="C825" s="7" t="s">
        <v>826</v>
      </c>
      <c r="D825" s="8">
        <v>-1.5458072</v>
      </c>
      <c r="E825" s="7"/>
      <c r="F825" s="8">
        <v>-2.7625410000000001</v>
      </c>
      <c r="G825" s="7" t="str">
        <f t="shared" si="9"/>
        <v>Direct</v>
      </c>
      <c r="H825" s="7" t="s">
        <v>16</v>
      </c>
    </row>
    <row r="826" spans="1:8" x14ac:dyDescent="0.2">
      <c r="A826" s="5" t="s">
        <v>13</v>
      </c>
      <c r="B826" s="6" t="s">
        <v>22</v>
      </c>
      <c r="C826" s="7" t="s">
        <v>526</v>
      </c>
      <c r="D826" s="8">
        <v>-2.5061377999999999</v>
      </c>
      <c r="E826" s="7"/>
      <c r="F826" s="8">
        <v>-4.8321873000000002</v>
      </c>
      <c r="G826" s="7" t="str">
        <f t="shared" si="9"/>
        <v>Direct</v>
      </c>
      <c r="H826" s="7" t="s">
        <v>16</v>
      </c>
    </row>
    <row r="827" spans="1:8" x14ac:dyDescent="0.2">
      <c r="A827" s="5" t="s">
        <v>13</v>
      </c>
      <c r="B827" s="6" t="s">
        <v>22</v>
      </c>
      <c r="C827" s="7" t="s">
        <v>529</v>
      </c>
      <c r="D827" s="8">
        <v>-1.5465742</v>
      </c>
      <c r="E827" s="7"/>
      <c r="F827" s="8">
        <v>-1.6111129</v>
      </c>
      <c r="G827" s="7" t="str">
        <f t="shared" si="9"/>
        <v>Direct</v>
      </c>
      <c r="H827" s="7" t="s">
        <v>530</v>
      </c>
    </row>
    <row r="828" spans="1:8" x14ac:dyDescent="0.2">
      <c r="A828" s="5" t="s">
        <v>13</v>
      </c>
      <c r="B828" s="6" t="s">
        <v>22</v>
      </c>
      <c r="C828" s="7" t="s">
        <v>531</v>
      </c>
      <c r="D828" s="8">
        <v>-2.7069619</v>
      </c>
      <c r="E828" s="7"/>
      <c r="F828" s="8">
        <v>-1.4075738</v>
      </c>
      <c r="G828" s="7" t="str">
        <f t="shared" si="9"/>
        <v>Direct</v>
      </c>
      <c r="H828" s="7" t="s">
        <v>532</v>
      </c>
    </row>
    <row r="829" spans="1:8" x14ac:dyDescent="0.2">
      <c r="A829" s="5" t="s">
        <v>13</v>
      </c>
      <c r="B829" s="6" t="s">
        <v>22</v>
      </c>
      <c r="C829" s="7" t="s">
        <v>533</v>
      </c>
      <c r="D829" s="8">
        <v>-2.1011218999999999</v>
      </c>
      <c r="E829" s="7"/>
      <c r="F829" s="8">
        <v>-1.7581100999999999</v>
      </c>
      <c r="G829" s="7" t="str">
        <f t="shared" si="9"/>
        <v>Direct</v>
      </c>
      <c r="H829" s="7" t="s">
        <v>16</v>
      </c>
    </row>
    <row r="830" spans="1:8" x14ac:dyDescent="0.2">
      <c r="A830" s="5" t="s">
        <v>13</v>
      </c>
      <c r="B830" s="6" t="s">
        <v>22</v>
      </c>
      <c r="C830" s="7" t="s">
        <v>534</v>
      </c>
      <c r="D830" s="8">
        <v>-5.3664414000000003</v>
      </c>
      <c r="E830" s="7"/>
      <c r="F830" s="8">
        <v>-4.4290617000000001</v>
      </c>
      <c r="G830" s="7" t="str">
        <f t="shared" si="9"/>
        <v>Direct</v>
      </c>
      <c r="H830" s="7" t="s">
        <v>535</v>
      </c>
    </row>
    <row r="831" spans="1:8" x14ac:dyDescent="0.2">
      <c r="A831" s="5" t="s">
        <v>13</v>
      </c>
      <c r="B831" s="6" t="s">
        <v>22</v>
      </c>
      <c r="C831" s="7" t="s">
        <v>827</v>
      </c>
      <c r="D831" s="8">
        <v>-1.6015298</v>
      </c>
      <c r="E831" s="7"/>
      <c r="F831" s="8">
        <v>-2.1036858000000001</v>
      </c>
      <c r="G831" s="7" t="str">
        <f t="shared" si="9"/>
        <v>Direct</v>
      </c>
      <c r="H831" s="7" t="s">
        <v>535</v>
      </c>
    </row>
    <row r="832" spans="1:8" x14ac:dyDescent="0.2">
      <c r="A832" s="5" t="s">
        <v>13</v>
      </c>
      <c r="B832" s="6" t="s">
        <v>22</v>
      </c>
      <c r="C832" s="7" t="s">
        <v>828</v>
      </c>
      <c r="D832" s="8">
        <v>-6.611599</v>
      </c>
      <c r="E832" s="7"/>
      <c r="F832" s="8">
        <v>-1.8537551999999999</v>
      </c>
      <c r="G832" s="7" t="str">
        <f t="shared" si="9"/>
        <v>Direct</v>
      </c>
      <c r="H832" s="7" t="s">
        <v>829</v>
      </c>
    </row>
    <row r="833" spans="1:8" x14ac:dyDescent="0.2">
      <c r="A833" s="5" t="s">
        <v>13</v>
      </c>
      <c r="B833" s="6" t="s">
        <v>22</v>
      </c>
      <c r="C833" s="7" t="s">
        <v>830</v>
      </c>
      <c r="D833" s="8">
        <v>-1.1805832999999999</v>
      </c>
      <c r="E833" s="7"/>
      <c r="F833" s="8">
        <v>-1.3544814999999999</v>
      </c>
      <c r="G833" s="7" t="str">
        <f t="shared" si="9"/>
        <v>Direct</v>
      </c>
      <c r="H833" s="7" t="s">
        <v>16</v>
      </c>
    </row>
    <row r="834" spans="1:8" x14ac:dyDescent="0.2">
      <c r="A834" s="5" t="s">
        <v>13</v>
      </c>
      <c r="B834" s="6" t="s">
        <v>22</v>
      </c>
      <c r="C834" s="7" t="s">
        <v>831</v>
      </c>
      <c r="D834" s="8">
        <v>-2.7611254999999999</v>
      </c>
      <c r="E834" s="7"/>
      <c r="F834" s="8">
        <v>-1.0295042999999999</v>
      </c>
      <c r="G834" s="7" t="str">
        <f t="shared" si="9"/>
        <v>Direct</v>
      </c>
      <c r="H834" s="7" t="s">
        <v>16</v>
      </c>
    </row>
    <row r="835" spans="1:8" x14ac:dyDescent="0.2">
      <c r="A835" s="5" t="s">
        <v>13</v>
      </c>
      <c r="B835" s="6" t="s">
        <v>22</v>
      </c>
      <c r="C835" s="7" t="s">
        <v>538</v>
      </c>
      <c r="D835" s="8">
        <v>-1.7182354</v>
      </c>
      <c r="E835" s="7"/>
      <c r="F835" s="8">
        <v>-1.6679908999999999</v>
      </c>
      <c r="G835" s="7" t="str">
        <f t="shared" si="9"/>
        <v>Direct</v>
      </c>
      <c r="H835" s="7" t="s">
        <v>539</v>
      </c>
    </row>
    <row r="836" spans="1:8" x14ac:dyDescent="0.2">
      <c r="A836" s="5" t="s">
        <v>13</v>
      </c>
      <c r="B836" s="6" t="s">
        <v>22</v>
      </c>
      <c r="C836" s="7" t="s">
        <v>832</v>
      </c>
      <c r="D836" s="8">
        <v>1.2600362700000001</v>
      </c>
      <c r="E836" s="7"/>
      <c r="F836" s="8">
        <v>-3.9487409000000002</v>
      </c>
      <c r="G836" s="7" t="str">
        <f t="shared" si="9"/>
        <v>Inverse</v>
      </c>
      <c r="H836" s="7" t="s">
        <v>833</v>
      </c>
    </row>
    <row r="837" spans="1:8" x14ac:dyDescent="0.2">
      <c r="A837" s="5" t="s">
        <v>13</v>
      </c>
      <c r="B837" s="6" t="s">
        <v>22</v>
      </c>
      <c r="C837" s="7" t="s">
        <v>541</v>
      </c>
      <c r="D837" s="8">
        <v>1.5429020899999999</v>
      </c>
      <c r="E837" s="7"/>
      <c r="F837" s="8">
        <v>-3.8123349000000002</v>
      </c>
      <c r="G837" s="7" t="str">
        <f t="shared" si="9"/>
        <v>Inverse</v>
      </c>
      <c r="H837" s="7" t="s">
        <v>16</v>
      </c>
    </row>
    <row r="838" spans="1:8" x14ac:dyDescent="0.2">
      <c r="A838" s="5" t="s">
        <v>13</v>
      </c>
      <c r="B838" s="6" t="s">
        <v>22</v>
      </c>
      <c r="C838" s="7" t="s">
        <v>542</v>
      </c>
      <c r="D838" s="8">
        <v>1.46844551</v>
      </c>
      <c r="E838" s="7"/>
      <c r="F838" s="8">
        <v>-7.7963909999999998</v>
      </c>
      <c r="G838" s="7" t="str">
        <f t="shared" si="9"/>
        <v>Inverse</v>
      </c>
      <c r="H838" s="7" t="s">
        <v>543</v>
      </c>
    </row>
    <row r="839" spans="1:8" x14ac:dyDescent="0.2">
      <c r="A839" s="5" t="s">
        <v>13</v>
      </c>
      <c r="B839" s="6" t="s">
        <v>22</v>
      </c>
      <c r="C839" s="7" t="s">
        <v>544</v>
      </c>
      <c r="D839" s="8">
        <v>1.0010637600000001</v>
      </c>
      <c r="E839" s="7"/>
      <c r="F839" s="8">
        <v>-11.946096000000001</v>
      </c>
      <c r="G839" s="7" t="str">
        <f t="shared" si="9"/>
        <v>Inverse</v>
      </c>
      <c r="H839" s="7" t="s">
        <v>543</v>
      </c>
    </row>
    <row r="840" spans="1:8" x14ac:dyDescent="0.2">
      <c r="A840" s="5" t="s">
        <v>13</v>
      </c>
      <c r="B840" s="6" t="s">
        <v>22</v>
      </c>
      <c r="C840" s="7" t="s">
        <v>545</v>
      </c>
      <c r="D840" s="8">
        <v>1.3558602099999999</v>
      </c>
      <c r="E840" s="7"/>
      <c r="F840" s="8">
        <v>-9.3204781000000008</v>
      </c>
      <c r="G840" s="7" t="str">
        <f t="shared" si="9"/>
        <v>Inverse</v>
      </c>
      <c r="H840" s="7" t="s">
        <v>543</v>
      </c>
    </row>
    <row r="841" spans="1:8" x14ac:dyDescent="0.2">
      <c r="A841" s="5" t="s">
        <v>13</v>
      </c>
      <c r="B841" s="6" t="s">
        <v>22</v>
      </c>
      <c r="C841" s="7" t="s">
        <v>547</v>
      </c>
      <c r="D841" s="8">
        <v>1.74353165</v>
      </c>
      <c r="E841" s="7"/>
      <c r="F841" s="8">
        <v>-4.0317411999999999</v>
      </c>
      <c r="G841" s="7" t="str">
        <f t="shared" si="9"/>
        <v>Inverse</v>
      </c>
      <c r="H841" s="7" t="s">
        <v>16</v>
      </c>
    </row>
    <row r="842" spans="1:8" x14ac:dyDescent="0.2">
      <c r="A842" s="5" t="s">
        <v>13</v>
      </c>
      <c r="B842" s="6" t="s">
        <v>22</v>
      </c>
      <c r="C842" s="7" t="s">
        <v>548</v>
      </c>
      <c r="D842" s="8">
        <v>1.6672407199999999</v>
      </c>
      <c r="E842" s="7"/>
      <c r="F842" s="8">
        <v>-9.4042779000000003</v>
      </c>
      <c r="G842" s="7" t="str">
        <f t="shared" si="9"/>
        <v>Inverse</v>
      </c>
      <c r="H842" s="7" t="s">
        <v>42</v>
      </c>
    </row>
    <row r="843" spans="1:8" x14ac:dyDescent="0.2">
      <c r="A843" s="5" t="s">
        <v>13</v>
      </c>
      <c r="B843" s="6" t="s">
        <v>22</v>
      </c>
      <c r="C843" s="7" t="s">
        <v>549</v>
      </c>
      <c r="D843" s="8">
        <v>1.2621273900000001</v>
      </c>
      <c r="E843" s="7"/>
      <c r="F843" s="8">
        <v>-1.8834930000000001</v>
      </c>
      <c r="G843" s="7" t="str">
        <f t="shared" si="9"/>
        <v>Inverse</v>
      </c>
      <c r="H843" s="7" t="s">
        <v>92</v>
      </c>
    </row>
    <row r="844" spans="1:8" x14ac:dyDescent="0.2">
      <c r="A844" s="5" t="s">
        <v>13</v>
      </c>
      <c r="B844" s="6" t="s">
        <v>22</v>
      </c>
      <c r="C844" s="7" t="s">
        <v>550</v>
      </c>
      <c r="D844" s="8">
        <v>-1.4510318</v>
      </c>
      <c r="E844" s="7"/>
      <c r="F844" s="8">
        <v>-2.1530201999999998</v>
      </c>
      <c r="G844" s="7" t="str">
        <f t="shared" si="9"/>
        <v>Direct</v>
      </c>
      <c r="H844" s="7" t="s">
        <v>551</v>
      </c>
    </row>
    <row r="845" spans="1:8" x14ac:dyDescent="0.2">
      <c r="A845" s="5" t="s">
        <v>13</v>
      </c>
      <c r="B845" s="6" t="s">
        <v>22</v>
      </c>
      <c r="C845" s="7" t="s">
        <v>552</v>
      </c>
      <c r="D845" s="8">
        <v>-1.6124366999999999</v>
      </c>
      <c r="E845" s="7"/>
      <c r="F845" s="8">
        <v>-19.453358999999999</v>
      </c>
      <c r="G845" s="7" t="str">
        <f t="shared" si="9"/>
        <v>Direct</v>
      </c>
      <c r="H845" s="7" t="s">
        <v>553</v>
      </c>
    </row>
    <row r="846" spans="1:8" x14ac:dyDescent="0.2">
      <c r="A846" s="5" t="s">
        <v>13</v>
      </c>
      <c r="B846" s="6" t="s">
        <v>22</v>
      </c>
      <c r="C846" s="7" t="s">
        <v>556</v>
      </c>
      <c r="D846" s="8">
        <v>-1.8451027</v>
      </c>
      <c r="E846" s="7"/>
      <c r="F846" s="8">
        <v>-11.439742000000001</v>
      </c>
      <c r="G846" s="7" t="str">
        <f t="shared" si="9"/>
        <v>Direct</v>
      </c>
      <c r="H846" s="7" t="s">
        <v>16</v>
      </c>
    </row>
    <row r="847" spans="1:8" x14ac:dyDescent="0.2">
      <c r="A847" s="5" t="s">
        <v>13</v>
      </c>
      <c r="B847" s="6" t="s">
        <v>22</v>
      </c>
      <c r="C847" s="7" t="s">
        <v>557</v>
      </c>
      <c r="D847" s="8">
        <v>-1.0073852000000001</v>
      </c>
      <c r="E847" s="7"/>
      <c r="F847" s="8">
        <v>-3.1332632</v>
      </c>
      <c r="G847" s="7" t="str">
        <f t="shared" si="9"/>
        <v>Direct</v>
      </c>
      <c r="H847" s="7" t="s">
        <v>558</v>
      </c>
    </row>
    <row r="848" spans="1:8" x14ac:dyDescent="0.2">
      <c r="A848" s="5" t="s">
        <v>13</v>
      </c>
      <c r="B848" s="6" t="s">
        <v>22</v>
      </c>
      <c r="C848" s="7" t="s">
        <v>559</v>
      </c>
      <c r="D848" s="8">
        <v>-1.2632587</v>
      </c>
      <c r="E848" s="7"/>
      <c r="F848" s="8">
        <v>-3.2032451000000002</v>
      </c>
      <c r="G848" s="7" t="str">
        <f t="shared" si="9"/>
        <v>Direct</v>
      </c>
      <c r="H848" s="7" t="s">
        <v>560</v>
      </c>
    </row>
    <row r="849" spans="1:8" x14ac:dyDescent="0.2">
      <c r="A849" s="5" t="s">
        <v>13</v>
      </c>
      <c r="B849" s="6" t="s">
        <v>22</v>
      </c>
      <c r="C849" s="7" t="s">
        <v>834</v>
      </c>
      <c r="D849" s="8">
        <v>1.0436867400000001</v>
      </c>
      <c r="E849" s="7"/>
      <c r="F849" s="8">
        <v>1.2311418000000001</v>
      </c>
      <c r="G849" s="7" t="str">
        <f t="shared" si="9"/>
        <v>Direct</v>
      </c>
      <c r="H849" s="7" t="s">
        <v>16</v>
      </c>
    </row>
    <row r="850" spans="1:8" x14ac:dyDescent="0.2">
      <c r="A850" s="5" t="s">
        <v>13</v>
      </c>
      <c r="B850" s="6" t="s">
        <v>22</v>
      </c>
      <c r="C850" s="7" t="s">
        <v>561</v>
      </c>
      <c r="D850" s="8">
        <v>-2.3250198000000002</v>
      </c>
      <c r="E850" s="7"/>
      <c r="F850" s="8">
        <v>-2.0893065000000002</v>
      </c>
      <c r="G850" s="7" t="str">
        <f t="shared" si="9"/>
        <v>Direct</v>
      </c>
      <c r="H850" s="7" t="s">
        <v>16</v>
      </c>
    </row>
    <row r="851" spans="1:8" x14ac:dyDescent="0.2">
      <c r="A851" s="5" t="s">
        <v>13</v>
      </c>
      <c r="B851" s="6" t="s">
        <v>22</v>
      </c>
      <c r="C851" s="7" t="s">
        <v>562</v>
      </c>
      <c r="D851" s="8">
        <v>-5.0667216000000002</v>
      </c>
      <c r="E851" s="7"/>
      <c r="F851" s="8">
        <v>-10.535645000000001</v>
      </c>
      <c r="G851" s="7" t="str">
        <f t="shared" si="9"/>
        <v>Direct</v>
      </c>
      <c r="H851" s="7" t="s">
        <v>563</v>
      </c>
    </row>
    <row r="852" spans="1:8" x14ac:dyDescent="0.2">
      <c r="A852" s="5" t="s">
        <v>13</v>
      </c>
      <c r="B852" s="6" t="s">
        <v>22</v>
      </c>
      <c r="C852" s="7" t="s">
        <v>564</v>
      </c>
      <c r="D852" s="8">
        <v>-2.7611254999999999</v>
      </c>
      <c r="E852" s="7"/>
      <c r="F852" s="8">
        <v>-7.279496</v>
      </c>
      <c r="G852" s="7" t="str">
        <f t="shared" si="9"/>
        <v>Direct</v>
      </c>
      <c r="H852" s="7" t="s">
        <v>563</v>
      </c>
    </row>
    <row r="853" spans="1:8" x14ac:dyDescent="0.2">
      <c r="A853" s="5" t="s">
        <v>13</v>
      </c>
      <c r="B853" s="6" t="s">
        <v>22</v>
      </c>
      <c r="C853" s="7" t="s">
        <v>565</v>
      </c>
      <c r="D853" s="8">
        <v>-1.7301268000000001</v>
      </c>
      <c r="E853" s="7"/>
      <c r="F853" s="8">
        <v>-1.3972545999999999</v>
      </c>
      <c r="G853" s="7" t="str">
        <f t="shared" si="9"/>
        <v>Direct</v>
      </c>
      <c r="H853" s="7" t="s">
        <v>16</v>
      </c>
    </row>
    <row r="854" spans="1:8" x14ac:dyDescent="0.2">
      <c r="A854" s="5" t="s">
        <v>13</v>
      </c>
      <c r="B854" s="6" t="s">
        <v>22</v>
      </c>
      <c r="C854" s="7" t="s">
        <v>566</v>
      </c>
      <c r="D854" s="8">
        <v>-1.6706255000000001</v>
      </c>
      <c r="E854" s="7"/>
      <c r="F854" s="8">
        <v>-1.9349544999999999</v>
      </c>
      <c r="G854" s="7" t="str">
        <f t="shared" si="9"/>
        <v>Direct</v>
      </c>
      <c r="H854" s="7" t="s">
        <v>567</v>
      </c>
    </row>
    <row r="855" spans="1:8" x14ac:dyDescent="0.2">
      <c r="A855" s="5" t="s">
        <v>13</v>
      </c>
      <c r="B855" s="6" t="s">
        <v>22</v>
      </c>
      <c r="C855" s="7" t="s">
        <v>568</v>
      </c>
      <c r="D855" s="8">
        <v>2.0906941099999998</v>
      </c>
      <c r="E855" s="7"/>
      <c r="F855" s="8">
        <v>1.59929185</v>
      </c>
      <c r="G855" s="7" t="str">
        <f t="shared" si="9"/>
        <v>Direct</v>
      </c>
      <c r="H855" s="7" t="s">
        <v>569</v>
      </c>
    </row>
    <row r="856" spans="1:8" x14ac:dyDescent="0.2">
      <c r="A856" s="5" t="s">
        <v>13</v>
      </c>
      <c r="B856" s="6" t="s">
        <v>22</v>
      </c>
      <c r="C856" s="7" t="s">
        <v>835</v>
      </c>
      <c r="D856" s="8">
        <v>2.5111733599999999</v>
      </c>
      <c r="E856" s="7"/>
      <c r="F856" s="8">
        <v>-1.8267853000000001</v>
      </c>
      <c r="G856" s="7" t="str">
        <f t="shared" si="9"/>
        <v>Inverse</v>
      </c>
      <c r="H856" s="7" t="s">
        <v>836</v>
      </c>
    </row>
    <row r="857" spans="1:8" x14ac:dyDescent="0.2">
      <c r="A857" s="5" t="s">
        <v>13</v>
      </c>
      <c r="B857" s="6" t="s">
        <v>22</v>
      </c>
      <c r="C857" s="7" t="s">
        <v>570</v>
      </c>
      <c r="D857" s="8">
        <v>-3.6418096000000002</v>
      </c>
      <c r="E857" s="7"/>
      <c r="F857" s="8">
        <v>-1.0897866</v>
      </c>
      <c r="G857" s="7" t="str">
        <f t="shared" si="9"/>
        <v>Direct</v>
      </c>
      <c r="H857" s="7" t="s">
        <v>571</v>
      </c>
    </row>
    <row r="858" spans="1:8" x14ac:dyDescent="0.2">
      <c r="A858" s="5" t="s">
        <v>13</v>
      </c>
      <c r="B858" s="6" t="s">
        <v>22</v>
      </c>
      <c r="C858" s="7" t="s">
        <v>572</v>
      </c>
      <c r="D858" s="8">
        <v>-4.6628183999999999</v>
      </c>
      <c r="E858" s="7"/>
      <c r="F858" s="8">
        <v>-3.3935578</v>
      </c>
      <c r="G858" s="7" t="str">
        <f t="shared" si="9"/>
        <v>Direct</v>
      </c>
      <c r="H858" s="7" t="s">
        <v>16</v>
      </c>
    </row>
    <row r="859" spans="1:8" x14ac:dyDescent="0.2">
      <c r="A859" s="5" t="s">
        <v>13</v>
      </c>
      <c r="B859" s="6" t="s">
        <v>22</v>
      </c>
      <c r="C859" s="7" t="s">
        <v>573</v>
      </c>
      <c r="D859" s="8">
        <v>-3.1144319</v>
      </c>
      <c r="E859" s="7"/>
      <c r="F859" s="8">
        <v>-1.1706603</v>
      </c>
      <c r="G859" s="7" t="str">
        <f t="shared" si="9"/>
        <v>Direct</v>
      </c>
      <c r="H859" s="7" t="s">
        <v>16</v>
      </c>
    </row>
    <row r="860" spans="1:8" x14ac:dyDescent="0.2">
      <c r="A860" s="5" t="s">
        <v>13</v>
      </c>
      <c r="B860" s="6" t="s">
        <v>22</v>
      </c>
      <c r="C860" s="7" t="s">
        <v>575</v>
      </c>
      <c r="D860" s="8">
        <v>-1.6708156999999999</v>
      </c>
      <c r="E860" s="7"/>
      <c r="F860" s="8">
        <v>-4.4070334999999998</v>
      </c>
      <c r="G860" s="7" t="str">
        <f t="shared" si="9"/>
        <v>Direct</v>
      </c>
      <c r="H860" s="7" t="s">
        <v>576</v>
      </c>
    </row>
    <row r="861" spans="1:8" x14ac:dyDescent="0.2">
      <c r="A861" s="5" t="s">
        <v>13</v>
      </c>
      <c r="B861" s="6" t="s">
        <v>22</v>
      </c>
      <c r="C861" s="7" t="s">
        <v>837</v>
      </c>
      <c r="D861" s="8">
        <v>-1.5148348</v>
      </c>
      <c r="E861" s="7"/>
      <c r="F861" s="8">
        <v>-1.0118288</v>
      </c>
      <c r="G861" s="7" t="str">
        <f t="shared" si="9"/>
        <v>Direct</v>
      </c>
      <c r="H861" s="7" t="s">
        <v>16</v>
      </c>
    </row>
    <row r="862" spans="1:8" x14ac:dyDescent="0.2">
      <c r="A862" s="5" t="s">
        <v>13</v>
      </c>
      <c r="B862" s="6" t="s">
        <v>22</v>
      </c>
      <c r="C862" s="7" t="s">
        <v>577</v>
      </c>
      <c r="D862" s="8">
        <v>2.0564280699999999</v>
      </c>
      <c r="E862" s="7"/>
      <c r="F862" s="8">
        <v>-2.3916917</v>
      </c>
      <c r="G862" s="7" t="str">
        <f t="shared" si="9"/>
        <v>Inverse</v>
      </c>
      <c r="H862" s="7" t="s">
        <v>16</v>
      </c>
    </row>
    <row r="863" spans="1:8" x14ac:dyDescent="0.2">
      <c r="A863" s="5" t="s">
        <v>13</v>
      </c>
      <c r="B863" s="6" t="s">
        <v>22</v>
      </c>
      <c r="C863" s="7" t="s">
        <v>578</v>
      </c>
      <c r="D863" s="8">
        <v>-1.5314055</v>
      </c>
      <c r="E863" s="7"/>
      <c r="F863" s="8">
        <v>3.3333460000000001</v>
      </c>
      <c r="G863" s="7" t="str">
        <f t="shared" si="9"/>
        <v>Inverse</v>
      </c>
      <c r="H863" s="7" t="s">
        <v>16</v>
      </c>
    </row>
    <row r="864" spans="1:8" x14ac:dyDescent="0.2">
      <c r="A864" s="5" t="s">
        <v>13</v>
      </c>
      <c r="B864" s="6" t="s">
        <v>22</v>
      </c>
      <c r="C864" s="7" t="s">
        <v>579</v>
      </c>
      <c r="D864" s="8">
        <v>1.89664915</v>
      </c>
      <c r="E864" s="7"/>
      <c r="F864" s="8">
        <v>-2.2594788000000001</v>
      </c>
      <c r="G864" s="7" t="str">
        <f t="shared" si="9"/>
        <v>Inverse</v>
      </c>
      <c r="H864" s="7" t="s">
        <v>580</v>
      </c>
    </row>
    <row r="865" spans="1:8" x14ac:dyDescent="0.2">
      <c r="A865" s="5" t="s">
        <v>13</v>
      </c>
      <c r="B865" s="6" t="s">
        <v>22</v>
      </c>
      <c r="C865" s="7" t="s">
        <v>583</v>
      </c>
      <c r="D865" s="8">
        <v>1.0154038299999999</v>
      </c>
      <c r="E865" s="7"/>
      <c r="F865" s="8">
        <v>-3.7180453</v>
      </c>
      <c r="G865" s="7" t="str">
        <f t="shared" si="9"/>
        <v>Inverse</v>
      </c>
      <c r="H865" s="7" t="s">
        <v>584</v>
      </c>
    </row>
    <row r="866" spans="1:8" x14ac:dyDescent="0.2">
      <c r="A866" s="5" t="s">
        <v>13</v>
      </c>
      <c r="B866" s="6" t="s">
        <v>22</v>
      </c>
      <c r="C866" s="7" t="s">
        <v>585</v>
      </c>
      <c r="D866" s="8">
        <v>1.8986075200000001</v>
      </c>
      <c r="E866" s="7"/>
      <c r="F866" s="8">
        <v>1.4996534399999999</v>
      </c>
      <c r="G866" s="7" t="str">
        <f t="shared" si="9"/>
        <v>Direct</v>
      </c>
      <c r="H866" s="7" t="s">
        <v>16</v>
      </c>
    </row>
    <row r="867" spans="1:8" x14ac:dyDescent="0.2">
      <c r="A867" s="5" t="s">
        <v>13</v>
      </c>
      <c r="B867" s="6" t="s">
        <v>22</v>
      </c>
      <c r="C867" s="7" t="s">
        <v>588</v>
      </c>
      <c r="D867" s="8">
        <v>-1.5755858</v>
      </c>
      <c r="E867" s="7"/>
      <c r="F867" s="8">
        <v>-1.3741513999999999</v>
      </c>
      <c r="G867" s="7" t="str">
        <f t="shared" si="9"/>
        <v>Direct</v>
      </c>
      <c r="H867" s="7" t="s">
        <v>16</v>
      </c>
    </row>
    <row r="868" spans="1:8" x14ac:dyDescent="0.2">
      <c r="A868" s="5" t="s">
        <v>13</v>
      </c>
      <c r="B868" s="6" t="s">
        <v>22</v>
      </c>
      <c r="C868" s="7" t="s">
        <v>838</v>
      </c>
      <c r="D868" s="8">
        <v>-1.1693614999999999</v>
      </c>
      <c r="E868" s="7"/>
      <c r="F868" s="8">
        <v>-1.0736645</v>
      </c>
      <c r="G868" s="7" t="str">
        <f t="shared" si="9"/>
        <v>Direct</v>
      </c>
      <c r="H868" s="7" t="s">
        <v>16</v>
      </c>
    </row>
    <row r="869" spans="1:8" x14ac:dyDescent="0.2">
      <c r="A869" s="5" t="s">
        <v>13</v>
      </c>
      <c r="B869" s="6" t="s">
        <v>22</v>
      </c>
      <c r="C869" s="7" t="s">
        <v>589</v>
      </c>
      <c r="D869" s="8">
        <v>-1.6859761</v>
      </c>
      <c r="E869" s="7"/>
      <c r="F869" s="8">
        <v>-3.1752508000000002</v>
      </c>
      <c r="G869" s="7" t="str">
        <f t="shared" si="9"/>
        <v>Direct</v>
      </c>
      <c r="H869" s="7" t="s">
        <v>590</v>
      </c>
    </row>
    <row r="870" spans="1:8" x14ac:dyDescent="0.2">
      <c r="A870" s="5" t="s">
        <v>13</v>
      </c>
      <c r="B870" s="6" t="s">
        <v>22</v>
      </c>
      <c r="C870" s="7" t="s">
        <v>591</v>
      </c>
      <c r="D870" s="8">
        <v>-1.2551999</v>
      </c>
      <c r="E870" s="7"/>
      <c r="F870" s="8">
        <v>11.060110399999999</v>
      </c>
      <c r="G870" s="7" t="str">
        <f t="shared" si="9"/>
        <v>Inverse</v>
      </c>
      <c r="H870" s="7" t="s">
        <v>16</v>
      </c>
    </row>
    <row r="871" spans="1:8" x14ac:dyDescent="0.2">
      <c r="A871" s="5" t="s">
        <v>13</v>
      </c>
      <c r="B871" s="6" t="s">
        <v>22</v>
      </c>
      <c r="C871" s="7" t="s">
        <v>592</v>
      </c>
      <c r="D871" s="8">
        <v>1.3949575000000001</v>
      </c>
      <c r="E871" s="7"/>
      <c r="F871" s="8">
        <v>-14.02242</v>
      </c>
      <c r="G871" s="7" t="str">
        <f t="shared" si="9"/>
        <v>Inverse</v>
      </c>
      <c r="H871" s="7" t="s">
        <v>16</v>
      </c>
    </row>
    <row r="872" spans="1:8" x14ac:dyDescent="0.2">
      <c r="A872" s="5" t="s">
        <v>13</v>
      </c>
      <c r="B872" s="6" t="s">
        <v>22</v>
      </c>
      <c r="C872" s="7" t="s">
        <v>593</v>
      </c>
      <c r="D872" s="8">
        <v>-3.5433213000000001</v>
      </c>
      <c r="E872" s="7"/>
      <c r="F872" s="8">
        <v>-1.0542130999999999</v>
      </c>
      <c r="G872" s="7" t="str">
        <f t="shared" si="9"/>
        <v>Direct</v>
      </c>
      <c r="H872" s="7" t="s">
        <v>594</v>
      </c>
    </row>
    <row r="873" spans="1:8" x14ac:dyDescent="0.2">
      <c r="A873" s="5" t="s">
        <v>13</v>
      </c>
      <c r="B873" s="6" t="s">
        <v>22</v>
      </c>
      <c r="C873" s="7" t="s">
        <v>595</v>
      </c>
      <c r="D873" s="8">
        <v>-3.6005850000000001</v>
      </c>
      <c r="E873" s="7"/>
      <c r="F873" s="8">
        <v>-7.4802451000000003</v>
      </c>
      <c r="G873" s="7" t="str">
        <f t="shared" si="9"/>
        <v>Direct</v>
      </c>
      <c r="H873" s="7" t="s">
        <v>596</v>
      </c>
    </row>
    <row r="874" spans="1:8" x14ac:dyDescent="0.2">
      <c r="A874" s="5" t="s">
        <v>13</v>
      </c>
      <c r="B874" s="6" t="s">
        <v>22</v>
      </c>
      <c r="C874" s="7" t="s">
        <v>597</v>
      </c>
      <c r="D874" s="8">
        <v>-2.3282398999999998</v>
      </c>
      <c r="E874" s="7"/>
      <c r="F874" s="8">
        <v>-3.0511575999999998</v>
      </c>
      <c r="G874" s="7" t="str">
        <f t="shared" si="9"/>
        <v>Direct</v>
      </c>
      <c r="H874" s="7" t="s">
        <v>16</v>
      </c>
    </row>
    <row r="875" spans="1:8" x14ac:dyDescent="0.2">
      <c r="A875" s="5" t="s">
        <v>13</v>
      </c>
      <c r="B875" s="6" t="s">
        <v>22</v>
      </c>
      <c r="C875" s="7" t="s">
        <v>598</v>
      </c>
      <c r="D875" s="8">
        <v>1.2266015299999999</v>
      </c>
      <c r="E875" s="7"/>
      <c r="F875" s="8">
        <v>-2.9646992000000001</v>
      </c>
      <c r="G875" s="7" t="str">
        <f t="shared" si="9"/>
        <v>Inverse</v>
      </c>
      <c r="H875" s="7" t="s">
        <v>599</v>
      </c>
    </row>
    <row r="876" spans="1:8" x14ac:dyDescent="0.2">
      <c r="A876" s="5" t="s">
        <v>13</v>
      </c>
      <c r="B876" s="6" t="s">
        <v>22</v>
      </c>
      <c r="C876" s="7" t="s">
        <v>839</v>
      </c>
      <c r="D876" s="8">
        <v>-1.5224499</v>
      </c>
      <c r="E876" s="7"/>
      <c r="F876" s="8">
        <v>-1.0386245999999999</v>
      </c>
      <c r="G876" s="7" t="str">
        <f t="shared" si="9"/>
        <v>Direct</v>
      </c>
      <c r="H876" s="7" t="s">
        <v>840</v>
      </c>
    </row>
    <row r="877" spans="1:8" x14ac:dyDescent="0.2">
      <c r="A877" s="5" t="s">
        <v>13</v>
      </c>
      <c r="B877" s="6" t="s">
        <v>22</v>
      </c>
      <c r="C877" s="7" t="s">
        <v>600</v>
      </c>
      <c r="D877" s="8">
        <v>-3.9593804000000001</v>
      </c>
      <c r="E877" s="7"/>
      <c r="F877" s="8">
        <v>-4.1812978999999997</v>
      </c>
      <c r="G877" s="7" t="str">
        <f t="shared" si="9"/>
        <v>Direct</v>
      </c>
      <c r="H877" s="7" t="s">
        <v>601</v>
      </c>
    </row>
    <row r="878" spans="1:8" x14ac:dyDescent="0.2">
      <c r="A878" s="5" t="s">
        <v>13</v>
      </c>
      <c r="B878" s="6" t="s">
        <v>22</v>
      </c>
      <c r="C878" s="7" t="s">
        <v>841</v>
      </c>
      <c r="D878" s="8">
        <v>-1.2524196000000001</v>
      </c>
      <c r="E878" s="7"/>
      <c r="F878" s="8">
        <v>-1.2799796999999999</v>
      </c>
      <c r="G878" s="7" t="str">
        <f t="shared" si="9"/>
        <v>Direct</v>
      </c>
      <c r="H878" s="7" t="s">
        <v>16</v>
      </c>
    </row>
    <row r="879" spans="1:8" x14ac:dyDescent="0.2">
      <c r="A879" s="5" t="s">
        <v>13</v>
      </c>
      <c r="B879" s="6" t="s">
        <v>22</v>
      </c>
      <c r="C879" s="7" t="s">
        <v>602</v>
      </c>
      <c r="D879" s="8">
        <v>-2.6360961999999999</v>
      </c>
      <c r="E879" s="7"/>
      <c r="F879" s="8">
        <v>-2.1994232999999999</v>
      </c>
      <c r="G879" s="7" t="str">
        <f t="shared" si="9"/>
        <v>Direct</v>
      </c>
      <c r="H879" s="7" t="s">
        <v>16</v>
      </c>
    </row>
    <row r="880" spans="1:8" x14ac:dyDescent="0.2">
      <c r="A880" s="5" t="s">
        <v>13</v>
      </c>
      <c r="B880" s="6" t="s">
        <v>22</v>
      </c>
      <c r="C880" s="7" t="s">
        <v>603</v>
      </c>
      <c r="D880" s="8">
        <v>-3.7273067000000002</v>
      </c>
      <c r="E880" s="7"/>
      <c r="F880" s="8">
        <v>-2.7852301000000002</v>
      </c>
      <c r="G880" s="7" t="str">
        <f t="shared" si="9"/>
        <v>Direct</v>
      </c>
      <c r="H880" s="7" t="s">
        <v>604</v>
      </c>
    </row>
    <row r="881" spans="1:8" x14ac:dyDescent="0.2">
      <c r="A881" s="5" t="s">
        <v>13</v>
      </c>
      <c r="B881" s="6" t="s">
        <v>22</v>
      </c>
      <c r="C881" s="7" t="s">
        <v>605</v>
      </c>
      <c r="D881" s="8">
        <v>-1.8404632999999999</v>
      </c>
      <c r="E881" s="7"/>
      <c r="F881" s="8">
        <v>-4.0804172000000003</v>
      </c>
      <c r="G881" s="7" t="str">
        <f t="shared" si="9"/>
        <v>Direct</v>
      </c>
      <c r="H881" s="7" t="s">
        <v>606</v>
      </c>
    </row>
    <row r="882" spans="1:8" x14ac:dyDescent="0.2">
      <c r="A882" s="5" t="s">
        <v>13</v>
      </c>
      <c r="B882" s="6" t="s">
        <v>22</v>
      </c>
      <c r="C882" s="7" t="s">
        <v>607</v>
      </c>
      <c r="D882" s="8">
        <v>-1.2280366</v>
      </c>
      <c r="E882" s="7"/>
      <c r="F882" s="8">
        <v>-8.1753595000000008</v>
      </c>
      <c r="G882" s="7" t="str">
        <f t="shared" si="9"/>
        <v>Direct</v>
      </c>
      <c r="H882" s="7" t="s">
        <v>608</v>
      </c>
    </row>
    <row r="883" spans="1:8" x14ac:dyDescent="0.2">
      <c r="A883" s="5" t="s">
        <v>13</v>
      </c>
      <c r="B883" s="6" t="s">
        <v>22</v>
      </c>
      <c r="C883" s="7" t="s">
        <v>842</v>
      </c>
      <c r="D883" s="8">
        <v>-2.379489</v>
      </c>
      <c r="E883" s="7"/>
      <c r="F883" s="8">
        <v>-5.5793366000000004</v>
      </c>
      <c r="G883" s="7" t="str">
        <f t="shared" si="9"/>
        <v>Direct</v>
      </c>
      <c r="H883" s="7" t="s">
        <v>843</v>
      </c>
    </row>
    <row r="884" spans="1:8" x14ac:dyDescent="0.2">
      <c r="A884" s="5" t="s">
        <v>13</v>
      </c>
      <c r="B884" s="6" t="s">
        <v>22</v>
      </c>
      <c r="C884" s="7" t="s">
        <v>609</v>
      </c>
      <c r="D884" s="8">
        <v>-1.3869393999999999</v>
      </c>
      <c r="E884" s="7"/>
      <c r="F884" s="8">
        <v>-1.5635192</v>
      </c>
      <c r="G884" s="7" t="str">
        <f t="shared" si="9"/>
        <v>Direct</v>
      </c>
      <c r="H884" s="7" t="s">
        <v>610</v>
      </c>
    </row>
    <row r="885" spans="1:8" x14ac:dyDescent="0.2">
      <c r="A885" s="5" t="s">
        <v>13</v>
      </c>
      <c r="B885" s="6" t="s">
        <v>22</v>
      </c>
      <c r="C885" s="7" t="s">
        <v>612</v>
      </c>
      <c r="D885" s="8">
        <v>-1.5379499999999999</v>
      </c>
      <c r="E885" s="7"/>
      <c r="F885" s="8">
        <v>-6.5960217999999999</v>
      </c>
      <c r="G885" s="7" t="str">
        <f t="shared" si="9"/>
        <v>Direct</v>
      </c>
      <c r="H885" s="7" t="s">
        <v>613</v>
      </c>
    </row>
    <row r="886" spans="1:8" x14ac:dyDescent="0.2">
      <c r="A886" s="5" t="s">
        <v>13</v>
      </c>
      <c r="B886" s="6" t="s">
        <v>22</v>
      </c>
      <c r="C886" s="7" t="s">
        <v>844</v>
      </c>
      <c r="D886" s="8">
        <v>-1.5458072</v>
      </c>
      <c r="E886" s="7"/>
      <c r="F886" s="8">
        <v>-1.4546577999999999</v>
      </c>
      <c r="G886" s="7" t="str">
        <f t="shared" si="9"/>
        <v>Direct</v>
      </c>
      <c r="H886" s="7" t="s">
        <v>845</v>
      </c>
    </row>
    <row r="887" spans="1:8" x14ac:dyDescent="0.2">
      <c r="A887" s="5" t="s">
        <v>13</v>
      </c>
      <c r="B887" s="6" t="s">
        <v>22</v>
      </c>
      <c r="C887" s="7" t="s">
        <v>846</v>
      </c>
      <c r="D887" s="8">
        <v>1.02652038</v>
      </c>
      <c r="E887" s="7"/>
      <c r="F887" s="8">
        <v>-1.3187704</v>
      </c>
      <c r="G887" s="7" t="str">
        <f t="shared" si="9"/>
        <v>Inverse</v>
      </c>
      <c r="H887" s="7" t="s">
        <v>16</v>
      </c>
    </row>
    <row r="888" spans="1:8" x14ac:dyDescent="0.2">
      <c r="A888" s="5" t="s">
        <v>13</v>
      </c>
      <c r="B888" s="6" t="s">
        <v>22</v>
      </c>
      <c r="C888" s="7" t="s">
        <v>614</v>
      </c>
      <c r="D888" s="8">
        <v>1.0960899</v>
      </c>
      <c r="E888" s="7"/>
      <c r="F888" s="8">
        <v>2.5322311900000001</v>
      </c>
      <c r="G888" s="7" t="str">
        <f t="shared" si="9"/>
        <v>Direct</v>
      </c>
      <c r="H888" s="7" t="s">
        <v>16</v>
      </c>
    </row>
    <row r="889" spans="1:8" x14ac:dyDescent="0.2">
      <c r="A889" s="5" t="s">
        <v>13</v>
      </c>
      <c r="B889" s="6" t="s">
        <v>22</v>
      </c>
      <c r="C889" s="7" t="s">
        <v>615</v>
      </c>
      <c r="D889" s="8">
        <v>1.7658814599999999</v>
      </c>
      <c r="E889" s="7"/>
      <c r="F889" s="8">
        <v>1.9492563899999999</v>
      </c>
      <c r="G889" s="7" t="str">
        <f t="shared" si="9"/>
        <v>Direct</v>
      </c>
      <c r="H889" s="7" t="s">
        <v>16</v>
      </c>
    </row>
    <row r="890" spans="1:8" x14ac:dyDescent="0.2">
      <c r="A890" s="5" t="s">
        <v>13</v>
      </c>
      <c r="B890" s="6" t="s">
        <v>22</v>
      </c>
      <c r="C890" s="7" t="s">
        <v>847</v>
      </c>
      <c r="D890" s="8">
        <v>-1.7360164</v>
      </c>
      <c r="E890" s="7"/>
      <c r="F890" s="8">
        <v>-1.3119955999999999</v>
      </c>
      <c r="G890" s="7" t="str">
        <f t="shared" si="9"/>
        <v>Direct</v>
      </c>
      <c r="H890" s="7" t="s">
        <v>848</v>
      </c>
    </row>
    <row r="891" spans="1:8" x14ac:dyDescent="0.2">
      <c r="A891" s="5" t="s">
        <v>13</v>
      </c>
      <c r="B891" s="6" t="s">
        <v>22</v>
      </c>
      <c r="C891" s="7" t="s">
        <v>849</v>
      </c>
      <c r="D891" s="8">
        <v>-2.7028981000000001</v>
      </c>
      <c r="E891" s="7"/>
      <c r="F891" s="8">
        <v>-1.2506971</v>
      </c>
      <c r="G891" s="7" t="str">
        <f t="shared" si="9"/>
        <v>Direct</v>
      </c>
      <c r="H891" s="7" t="s">
        <v>16</v>
      </c>
    </row>
    <row r="892" spans="1:8" x14ac:dyDescent="0.2">
      <c r="A892" s="5" t="s">
        <v>13</v>
      </c>
      <c r="B892" s="6" t="s">
        <v>22</v>
      </c>
      <c r="C892" s="7" t="s">
        <v>617</v>
      </c>
      <c r="D892" s="8">
        <v>-3.7552720000000002</v>
      </c>
      <c r="E892" s="7"/>
      <c r="F892" s="8">
        <v>-3.3930478000000002</v>
      </c>
      <c r="G892" s="7" t="str">
        <f t="shared" si="9"/>
        <v>Direct</v>
      </c>
      <c r="H892" s="7" t="s">
        <v>16</v>
      </c>
    </row>
    <row r="893" spans="1:8" x14ac:dyDescent="0.2">
      <c r="A893" s="5" t="s">
        <v>13</v>
      </c>
      <c r="B893" s="6" t="s">
        <v>22</v>
      </c>
      <c r="C893" s="7" t="s">
        <v>618</v>
      </c>
      <c r="D893" s="8">
        <v>-3.1954080999999999</v>
      </c>
      <c r="E893" s="7"/>
      <c r="F893" s="8">
        <v>-4.1645184000000004</v>
      </c>
      <c r="G893" s="7" t="str">
        <f t="shared" si="9"/>
        <v>Direct</v>
      </c>
      <c r="H893" s="7" t="s">
        <v>16</v>
      </c>
    </row>
    <row r="894" spans="1:8" x14ac:dyDescent="0.2">
      <c r="A894" s="5" t="s">
        <v>13</v>
      </c>
      <c r="B894" s="6" t="s">
        <v>22</v>
      </c>
      <c r="C894" s="7" t="s">
        <v>619</v>
      </c>
      <c r="D894" s="8">
        <v>-1.4450259999999999</v>
      </c>
      <c r="E894" s="7"/>
      <c r="F894" s="8">
        <v>-5.1366455999999996</v>
      </c>
      <c r="G894" s="7" t="str">
        <f t="shared" si="9"/>
        <v>Direct</v>
      </c>
      <c r="H894" s="7" t="s">
        <v>16</v>
      </c>
    </row>
    <row r="895" spans="1:8" x14ac:dyDescent="0.2">
      <c r="A895" s="5" t="s">
        <v>13</v>
      </c>
      <c r="B895" s="6" t="s">
        <v>22</v>
      </c>
      <c r="C895" s="7" t="s">
        <v>620</v>
      </c>
      <c r="D895" s="8">
        <v>1.6421923700000001</v>
      </c>
      <c r="E895" s="7"/>
      <c r="F895" s="8">
        <v>-2.6109064000000002</v>
      </c>
      <c r="G895" s="7" t="str">
        <f t="shared" si="9"/>
        <v>Inverse</v>
      </c>
      <c r="H895" s="7" t="s">
        <v>621</v>
      </c>
    </row>
    <row r="896" spans="1:8" x14ac:dyDescent="0.2">
      <c r="A896" s="5" t="s">
        <v>13</v>
      </c>
      <c r="B896" s="6" t="s">
        <v>22</v>
      </c>
      <c r="C896" s="7" t="s">
        <v>622</v>
      </c>
      <c r="D896" s="8">
        <v>-1.1890114000000001</v>
      </c>
      <c r="E896" s="7"/>
      <c r="F896" s="8">
        <v>-1.1093362</v>
      </c>
      <c r="G896" s="7" t="str">
        <f t="shared" si="9"/>
        <v>Direct</v>
      </c>
      <c r="H896" s="7" t="s">
        <v>623</v>
      </c>
    </row>
    <row r="897" spans="1:8" x14ac:dyDescent="0.2">
      <c r="A897" s="5" t="s">
        <v>13</v>
      </c>
      <c r="B897" s="6" t="s">
        <v>22</v>
      </c>
      <c r="C897" s="7" t="s">
        <v>624</v>
      </c>
      <c r="D897" s="8">
        <v>2.2272648400000001</v>
      </c>
      <c r="E897" s="7"/>
      <c r="F897" s="8">
        <v>1.00850102</v>
      </c>
      <c r="G897" s="7" t="str">
        <f t="shared" si="9"/>
        <v>Direct</v>
      </c>
      <c r="H897" s="7" t="s">
        <v>625</v>
      </c>
    </row>
    <row r="898" spans="1:8" x14ac:dyDescent="0.2">
      <c r="A898" s="5" t="s">
        <v>13</v>
      </c>
      <c r="B898" s="6" t="s">
        <v>22</v>
      </c>
      <c r="C898" s="7" t="s">
        <v>626</v>
      </c>
      <c r="D898" s="8">
        <v>-1.8526328000000001</v>
      </c>
      <c r="E898" s="7"/>
      <c r="F898" s="8">
        <v>1.54631253</v>
      </c>
      <c r="G898" s="7" t="str">
        <f t="shared" si="9"/>
        <v>Inverse</v>
      </c>
      <c r="H898" s="7" t="s">
        <v>627</v>
      </c>
    </row>
    <row r="899" spans="1:8" x14ac:dyDescent="0.2">
      <c r="A899" s="5" t="s">
        <v>13</v>
      </c>
      <c r="B899" s="6" t="s">
        <v>22</v>
      </c>
      <c r="C899" s="7" t="s">
        <v>628</v>
      </c>
      <c r="D899" s="8">
        <v>-1.6235417000000001</v>
      </c>
      <c r="E899" s="7"/>
      <c r="F899" s="8">
        <v>-1.9274849999999999</v>
      </c>
      <c r="G899" s="7" t="str">
        <f t="shared" si="9"/>
        <v>Direct</v>
      </c>
      <c r="H899" s="7" t="s">
        <v>629</v>
      </c>
    </row>
    <row r="900" spans="1:8" x14ac:dyDescent="0.2">
      <c r="A900" s="5" t="s">
        <v>13</v>
      </c>
      <c r="B900" s="6" t="s">
        <v>22</v>
      </c>
      <c r="C900" s="7" t="s">
        <v>850</v>
      </c>
      <c r="D900" s="8">
        <v>-3.6889655000000001</v>
      </c>
      <c r="E900" s="7"/>
      <c r="F900" s="8">
        <v>1.0074960500000001</v>
      </c>
      <c r="G900" s="7" t="str">
        <f t="shared" si="9"/>
        <v>Inverse</v>
      </c>
      <c r="H900" s="7" t="s">
        <v>16</v>
      </c>
    </row>
    <row r="901" spans="1:8" x14ac:dyDescent="0.2">
      <c r="A901" s="5" t="s">
        <v>13</v>
      </c>
      <c r="B901" s="6" t="s">
        <v>22</v>
      </c>
      <c r="C901" s="7" t="s">
        <v>632</v>
      </c>
      <c r="D901" s="8">
        <v>-1.2747702000000001</v>
      </c>
      <c r="E901" s="7"/>
      <c r="F901" s="8">
        <v>-3.4377393000000001</v>
      </c>
      <c r="G901" s="7" t="str">
        <f t="shared" si="9"/>
        <v>Direct</v>
      </c>
      <c r="H901" s="7" t="s">
        <v>633</v>
      </c>
    </row>
    <row r="902" spans="1:8" x14ac:dyDescent="0.2">
      <c r="A902" s="5" t="s">
        <v>13</v>
      </c>
      <c r="B902" s="6" t="s">
        <v>22</v>
      </c>
      <c r="C902" s="7" t="s">
        <v>634</v>
      </c>
      <c r="D902" s="8">
        <v>1.055428</v>
      </c>
      <c r="E902" s="7"/>
      <c r="F902" s="8">
        <v>-2.7509752999999999</v>
      </c>
      <c r="G902" s="7" t="str">
        <f t="shared" si="9"/>
        <v>Inverse</v>
      </c>
      <c r="H902" s="7" t="s">
        <v>16</v>
      </c>
    </row>
    <row r="903" spans="1:8" x14ac:dyDescent="0.2">
      <c r="A903" s="5" t="s">
        <v>13</v>
      </c>
      <c r="B903" s="6" t="s">
        <v>22</v>
      </c>
      <c r="C903" s="7" t="s">
        <v>635</v>
      </c>
      <c r="D903" s="8">
        <v>1.21830186</v>
      </c>
      <c r="E903" s="7"/>
      <c r="F903" s="8">
        <v>-3.7458437</v>
      </c>
      <c r="G903" s="7" t="str">
        <f t="shared" si="9"/>
        <v>Inverse</v>
      </c>
      <c r="H903" s="7" t="s">
        <v>125</v>
      </c>
    </row>
    <row r="904" spans="1:8" x14ac:dyDescent="0.2">
      <c r="A904" s="5" t="s">
        <v>13</v>
      </c>
      <c r="B904" s="6" t="s">
        <v>22</v>
      </c>
      <c r="C904" s="7" t="s">
        <v>851</v>
      </c>
      <c r="D904" s="8">
        <v>-1.2266014999999999</v>
      </c>
      <c r="E904" s="7"/>
      <c r="F904" s="8">
        <v>-1.0494056</v>
      </c>
      <c r="G904" s="7" t="str">
        <f t="shared" si="9"/>
        <v>Direct</v>
      </c>
      <c r="H904" s="7" t="s">
        <v>852</v>
      </c>
    </row>
    <row r="905" spans="1:8" x14ac:dyDescent="0.2">
      <c r="A905" s="5" t="s">
        <v>13</v>
      </c>
      <c r="B905" s="6" t="s">
        <v>22</v>
      </c>
      <c r="C905" s="7" t="s">
        <v>636</v>
      </c>
      <c r="D905" s="8">
        <v>-1.0750706000000001</v>
      </c>
      <c r="E905" s="7"/>
      <c r="F905" s="8">
        <v>-2.1877124999999999</v>
      </c>
      <c r="G905" s="7" t="str">
        <f t="shared" si="9"/>
        <v>Direct</v>
      </c>
      <c r="H905" s="7" t="s">
        <v>637</v>
      </c>
    </row>
    <row r="906" spans="1:8" x14ac:dyDescent="0.2">
      <c r="A906" s="5" t="s">
        <v>13</v>
      </c>
      <c r="B906" s="6" t="s">
        <v>22</v>
      </c>
      <c r="C906" s="7" t="s">
        <v>639</v>
      </c>
      <c r="D906" s="8">
        <v>-1.0263563</v>
      </c>
      <c r="E906" s="7"/>
      <c r="F906" s="8">
        <v>-2.3916917</v>
      </c>
      <c r="G906" s="7" t="str">
        <f t="shared" si="9"/>
        <v>Direct</v>
      </c>
      <c r="H906" s="7" t="s">
        <v>640</v>
      </c>
    </row>
    <row r="907" spans="1:8" x14ac:dyDescent="0.2">
      <c r="A907" s="5" t="s">
        <v>13</v>
      </c>
      <c r="B907" s="6" t="s">
        <v>22</v>
      </c>
      <c r="C907" s="7" t="s">
        <v>641</v>
      </c>
      <c r="D907" s="8">
        <v>-1.3579215</v>
      </c>
      <c r="E907" s="7"/>
      <c r="F907" s="8">
        <v>-3.5437935999999999</v>
      </c>
      <c r="G907" s="7" t="str">
        <f t="shared" si="9"/>
        <v>Direct</v>
      </c>
      <c r="H907" s="7" t="s">
        <v>16</v>
      </c>
    </row>
    <row r="908" spans="1:8" x14ac:dyDescent="0.2">
      <c r="A908" s="5" t="s">
        <v>13</v>
      </c>
      <c r="B908" s="6" t="s">
        <v>22</v>
      </c>
      <c r="C908" s="7" t="s">
        <v>642</v>
      </c>
      <c r="D908" s="8">
        <v>-1.7375882</v>
      </c>
      <c r="E908" s="7"/>
      <c r="F908" s="8">
        <v>4.6145729199999996</v>
      </c>
      <c r="G908" s="7" t="str">
        <f t="shared" si="9"/>
        <v>Inverse</v>
      </c>
      <c r="H908" s="7" t="s">
        <v>643</v>
      </c>
    </row>
    <row r="909" spans="1:8" x14ac:dyDescent="0.2">
      <c r="A909" s="5" t="s">
        <v>13</v>
      </c>
      <c r="B909" s="6" t="s">
        <v>22</v>
      </c>
      <c r="C909" s="7" t="s">
        <v>644</v>
      </c>
      <c r="D909" s="8">
        <v>1.3000004300000001</v>
      </c>
      <c r="E909" s="7"/>
      <c r="F909" s="8">
        <v>-1.5784828</v>
      </c>
      <c r="G909" s="7" t="str">
        <f t="shared" si="9"/>
        <v>Inverse</v>
      </c>
      <c r="H909" s="7" t="s">
        <v>16</v>
      </c>
    </row>
    <row r="910" spans="1:8" x14ac:dyDescent="0.2">
      <c r="A910" s="5" t="s">
        <v>13</v>
      </c>
      <c r="B910" s="6" t="s">
        <v>22</v>
      </c>
      <c r="C910" s="7" t="s">
        <v>645</v>
      </c>
      <c r="D910" s="8">
        <v>1.5458071900000001</v>
      </c>
      <c r="E910" s="7"/>
      <c r="F910" s="8">
        <v>-5.6476626999999997</v>
      </c>
      <c r="G910" s="7" t="str">
        <f t="shared" si="9"/>
        <v>Inverse</v>
      </c>
      <c r="H910" s="7" t="s">
        <v>16</v>
      </c>
    </row>
    <row r="911" spans="1:8" x14ac:dyDescent="0.2">
      <c r="A911" s="5" t="s">
        <v>13</v>
      </c>
      <c r="B911" s="6" t="s">
        <v>22</v>
      </c>
      <c r="C911" s="7" t="s">
        <v>646</v>
      </c>
      <c r="D911" s="8">
        <v>1.0002678199999999</v>
      </c>
      <c r="E911" s="7"/>
      <c r="F911" s="8">
        <v>-1.0126374</v>
      </c>
      <c r="G911" s="7" t="str">
        <f t="shared" si="9"/>
        <v>Inverse</v>
      </c>
      <c r="H911" s="7" t="s">
        <v>16</v>
      </c>
    </row>
    <row r="912" spans="1:8" x14ac:dyDescent="0.2">
      <c r="A912" s="5" t="s">
        <v>13</v>
      </c>
      <c r="B912" s="6" t="s">
        <v>22</v>
      </c>
      <c r="C912" s="7" t="s">
        <v>647</v>
      </c>
      <c r="D912" s="8">
        <v>-1.2137884999999999</v>
      </c>
      <c r="E912" s="7"/>
      <c r="F912" s="8">
        <v>-2.0625529999999999</v>
      </c>
      <c r="G912" s="7" t="str">
        <f t="shared" si="9"/>
        <v>Direct</v>
      </c>
      <c r="H912" s="7" t="s">
        <v>648</v>
      </c>
    </row>
    <row r="913" spans="1:8" x14ac:dyDescent="0.2">
      <c r="A913" s="5" t="s">
        <v>13</v>
      </c>
      <c r="B913" s="6" t="s">
        <v>22</v>
      </c>
      <c r="C913" s="7" t="s">
        <v>853</v>
      </c>
      <c r="D913" s="8">
        <v>-1.0210893999999999</v>
      </c>
      <c r="E913" s="7"/>
      <c r="F913" s="8">
        <v>-1.188672</v>
      </c>
      <c r="G913" s="7" t="str">
        <f t="shared" si="9"/>
        <v>Direct</v>
      </c>
      <c r="H913" s="7" t="s">
        <v>854</v>
      </c>
    </row>
    <row r="914" spans="1:8" x14ac:dyDescent="0.2">
      <c r="A914" s="5" t="s">
        <v>13</v>
      </c>
      <c r="B914" s="6" t="s">
        <v>22</v>
      </c>
      <c r="C914" s="7" t="s">
        <v>649</v>
      </c>
      <c r="D914" s="8">
        <v>-1.138709</v>
      </c>
      <c r="E914" s="7"/>
      <c r="F914" s="8">
        <v>-5.1602214999999996</v>
      </c>
      <c r="G914" s="7" t="str">
        <f t="shared" si="9"/>
        <v>Direct</v>
      </c>
      <c r="H914" s="7" t="s">
        <v>650</v>
      </c>
    </row>
    <row r="915" spans="1:8" x14ac:dyDescent="0.2">
      <c r="A915" s="5" t="s">
        <v>13</v>
      </c>
      <c r="B915" s="6" t="s">
        <v>22</v>
      </c>
      <c r="C915" s="7" t="s">
        <v>651</v>
      </c>
      <c r="D915" s="8">
        <v>-4.2041443000000003</v>
      </c>
      <c r="E915" s="7"/>
      <c r="F915" s="8">
        <v>-3.6247764999999998</v>
      </c>
      <c r="G915" s="7" t="str">
        <f t="shared" si="9"/>
        <v>Direct</v>
      </c>
      <c r="H915" s="7" t="s">
        <v>16</v>
      </c>
    </row>
    <row r="916" spans="1:8" x14ac:dyDescent="0.2">
      <c r="A916" s="5" t="s">
        <v>13</v>
      </c>
      <c r="B916" s="6" t="s">
        <v>22</v>
      </c>
      <c r="C916" s="7" t="s">
        <v>653</v>
      </c>
      <c r="D916" s="8">
        <v>-1.0196505</v>
      </c>
      <c r="E916" s="7"/>
      <c r="F916" s="8">
        <v>-1.0866610999999999</v>
      </c>
      <c r="G916" s="7" t="str">
        <f t="shared" si="9"/>
        <v>Direct</v>
      </c>
      <c r="H916" s="7" t="s">
        <v>16</v>
      </c>
    </row>
    <row r="917" spans="1:8" x14ac:dyDescent="0.2">
      <c r="A917" s="5" t="s">
        <v>13</v>
      </c>
      <c r="B917" s="6" t="s">
        <v>22</v>
      </c>
      <c r="C917" s="7" t="s">
        <v>654</v>
      </c>
      <c r="D917" s="8">
        <v>-1.7991476</v>
      </c>
      <c r="E917" s="7"/>
      <c r="F917" s="8">
        <v>-2.2115504000000001</v>
      </c>
      <c r="G917" s="7" t="str">
        <f t="shared" si="9"/>
        <v>Direct</v>
      </c>
      <c r="H917" s="7" t="s">
        <v>655</v>
      </c>
    </row>
    <row r="918" spans="1:8" x14ac:dyDescent="0.2">
      <c r="A918" s="5" t="s">
        <v>13</v>
      </c>
      <c r="B918" s="6" t="s">
        <v>22</v>
      </c>
      <c r="C918" s="7" t="s">
        <v>656</v>
      </c>
      <c r="D918" s="8">
        <v>-2.0788897</v>
      </c>
      <c r="E918" s="7"/>
      <c r="F918" s="8">
        <v>-2.4454842000000001</v>
      </c>
      <c r="G918" s="7" t="str">
        <f t="shared" si="9"/>
        <v>Direct</v>
      </c>
      <c r="H918" s="7" t="s">
        <v>657</v>
      </c>
    </row>
    <row r="919" spans="1:8" x14ac:dyDescent="0.2">
      <c r="A919" s="5" t="s">
        <v>13</v>
      </c>
      <c r="B919" s="6" t="s">
        <v>22</v>
      </c>
      <c r="C919" s="7" t="s">
        <v>658</v>
      </c>
      <c r="D919" s="8">
        <v>-1.1194097000000001</v>
      </c>
      <c r="E919" s="7"/>
      <c r="F919" s="8">
        <v>-2.8623474</v>
      </c>
      <c r="G919" s="7" t="str">
        <f t="shared" si="9"/>
        <v>Direct</v>
      </c>
      <c r="H919" s="7" t="s">
        <v>659</v>
      </c>
    </row>
    <row r="920" spans="1:8" x14ac:dyDescent="0.2">
      <c r="A920" s="5" t="s">
        <v>13</v>
      </c>
      <c r="B920" s="6" t="s">
        <v>22</v>
      </c>
      <c r="C920" s="7" t="s">
        <v>660</v>
      </c>
      <c r="D920" s="8">
        <v>-1.2688177</v>
      </c>
      <c r="E920" s="7"/>
      <c r="F920" s="8">
        <v>-1.3066248</v>
      </c>
      <c r="G920" s="7" t="str">
        <f t="shared" si="9"/>
        <v>Direct</v>
      </c>
      <c r="H920" s="7" t="s">
        <v>661</v>
      </c>
    </row>
    <row r="921" spans="1:8" x14ac:dyDescent="0.2">
      <c r="A921" s="5" t="s">
        <v>13</v>
      </c>
      <c r="B921" s="6" t="s">
        <v>22</v>
      </c>
      <c r="C921" s="7" t="s">
        <v>662</v>
      </c>
      <c r="D921" s="8">
        <v>1.6551252599999999</v>
      </c>
      <c r="E921" s="7"/>
      <c r="F921" s="8">
        <v>1.0907027600000001</v>
      </c>
      <c r="G921" s="7" t="str">
        <f t="shared" si="9"/>
        <v>Direct</v>
      </c>
      <c r="H921" s="7" t="s">
        <v>663</v>
      </c>
    </row>
    <row r="922" spans="1:8" x14ac:dyDescent="0.2">
      <c r="A922" s="5" t="s">
        <v>13</v>
      </c>
      <c r="B922" s="6" t="s">
        <v>22</v>
      </c>
      <c r="C922" s="7" t="s">
        <v>664</v>
      </c>
      <c r="D922" s="8">
        <v>2.1445750399999999</v>
      </c>
      <c r="E922" s="7"/>
      <c r="F922" s="8">
        <v>-2.6268767</v>
      </c>
      <c r="G922" s="7" t="str">
        <f t="shared" si="9"/>
        <v>Inverse</v>
      </c>
      <c r="H922" s="7" t="s">
        <v>665</v>
      </c>
    </row>
    <row r="923" spans="1:8" x14ac:dyDescent="0.2">
      <c r="A923" s="5" t="s">
        <v>13</v>
      </c>
      <c r="B923" s="6" t="s">
        <v>22</v>
      </c>
      <c r="C923" s="7" t="s">
        <v>666</v>
      </c>
      <c r="D923" s="8">
        <v>-4.6387466999999996</v>
      </c>
      <c r="E923" s="7"/>
      <c r="F923" s="8">
        <v>-3.2776320999999999</v>
      </c>
      <c r="G923" s="7" t="str">
        <f t="shared" si="9"/>
        <v>Direct</v>
      </c>
      <c r="H923" s="7" t="s">
        <v>417</v>
      </c>
    </row>
    <row r="924" spans="1:8" x14ac:dyDescent="0.2">
      <c r="A924" s="5" t="s">
        <v>13</v>
      </c>
      <c r="B924" s="6" t="s">
        <v>22</v>
      </c>
      <c r="C924" s="7" t="s">
        <v>667</v>
      </c>
      <c r="D924" s="8">
        <v>4.6387466899999996</v>
      </c>
      <c r="E924" s="7"/>
      <c r="F924" s="8">
        <v>-1.5161625000000001</v>
      </c>
      <c r="G924" s="7" t="str">
        <f t="shared" si="9"/>
        <v>Inverse</v>
      </c>
      <c r="H924" s="7" t="s">
        <v>16</v>
      </c>
    </row>
    <row r="925" spans="1:8" x14ac:dyDescent="0.2">
      <c r="A925" s="5" t="s">
        <v>13</v>
      </c>
      <c r="B925" s="6" t="s">
        <v>22</v>
      </c>
      <c r="C925" s="7" t="s">
        <v>668</v>
      </c>
      <c r="D925" s="8">
        <v>1.1730168000000001</v>
      </c>
      <c r="E925" s="7"/>
      <c r="F925" s="8">
        <v>-4.3709689999999997</v>
      </c>
      <c r="G925" s="7" t="str">
        <f t="shared" si="9"/>
        <v>Inverse</v>
      </c>
      <c r="H925" s="7" t="s">
        <v>16</v>
      </c>
    </row>
    <row r="926" spans="1:8" x14ac:dyDescent="0.2">
      <c r="A926" s="5" t="s">
        <v>13</v>
      </c>
      <c r="B926" s="6" t="s">
        <v>22</v>
      </c>
      <c r="C926" s="7" t="s">
        <v>670</v>
      </c>
      <c r="D926" s="8">
        <v>-1.0140826000000001</v>
      </c>
      <c r="E926" s="7"/>
      <c r="F926" s="8">
        <v>-2.9866101</v>
      </c>
      <c r="G926" s="7" t="str">
        <f t="shared" si="9"/>
        <v>Direct</v>
      </c>
      <c r="H926" s="7" t="s">
        <v>16</v>
      </c>
    </row>
    <row r="927" spans="1:8" x14ac:dyDescent="0.2">
      <c r="A927" s="5" t="s">
        <v>13</v>
      </c>
      <c r="B927" s="6" t="s">
        <v>22</v>
      </c>
      <c r="C927" s="7" t="s">
        <v>855</v>
      </c>
      <c r="D927" s="8">
        <v>-4.6387466999999996</v>
      </c>
      <c r="E927" s="7"/>
      <c r="F927" s="8">
        <v>-1.3411261000000001</v>
      </c>
      <c r="G927" s="7" t="str">
        <f t="shared" si="9"/>
        <v>Direct</v>
      </c>
      <c r="H927" s="7" t="s">
        <v>16</v>
      </c>
    </row>
    <row r="928" spans="1:8" x14ac:dyDescent="0.2">
      <c r="A928" s="5" t="s">
        <v>13</v>
      </c>
      <c r="B928" s="6" t="s">
        <v>22</v>
      </c>
      <c r="C928" s="7" t="s">
        <v>672</v>
      </c>
      <c r="D928" s="8">
        <v>-1.7182354</v>
      </c>
      <c r="E928" s="7"/>
      <c r="F928" s="8">
        <v>-3.9688034000000001</v>
      </c>
      <c r="G928" s="7" t="str">
        <f t="shared" si="9"/>
        <v>Direct</v>
      </c>
      <c r="H928" s="7" t="s">
        <v>673</v>
      </c>
    </row>
    <row r="929" spans="1:8" x14ac:dyDescent="0.2">
      <c r="A929" s="5" t="s">
        <v>13</v>
      </c>
      <c r="B929" s="6" t="s">
        <v>22</v>
      </c>
      <c r="C929" s="7" t="s">
        <v>674</v>
      </c>
      <c r="D929" s="8">
        <v>-1.4103763</v>
      </c>
      <c r="E929" s="7"/>
      <c r="F929" s="8">
        <v>-3.8899550000000001</v>
      </c>
      <c r="G929" s="7" t="str">
        <f t="shared" si="9"/>
        <v>Direct</v>
      </c>
      <c r="H929" s="7" t="s">
        <v>675</v>
      </c>
    </row>
    <row r="930" spans="1:8" x14ac:dyDescent="0.2">
      <c r="A930" s="5" t="s">
        <v>13</v>
      </c>
      <c r="B930" s="6" t="s">
        <v>22</v>
      </c>
      <c r="C930" s="7" t="s">
        <v>676</v>
      </c>
      <c r="D930" s="8">
        <v>2.1132705500000002</v>
      </c>
      <c r="E930" s="7"/>
      <c r="F930" s="8">
        <v>1.2053489399999999</v>
      </c>
      <c r="G930" s="7" t="str">
        <f t="shared" si="9"/>
        <v>Direct</v>
      </c>
      <c r="H930" s="7" t="s">
        <v>16</v>
      </c>
    </row>
    <row r="931" spans="1:8" x14ac:dyDescent="0.2">
      <c r="A931" s="5" t="s">
        <v>13</v>
      </c>
      <c r="B931" s="6" t="s">
        <v>22</v>
      </c>
      <c r="C931" s="7" t="s">
        <v>677</v>
      </c>
      <c r="D931" s="8">
        <v>-4.6141025999999998</v>
      </c>
      <c r="E931" s="7"/>
      <c r="F931" s="8">
        <v>-4.3792328999999999</v>
      </c>
      <c r="G931" s="7" t="str">
        <f t="shared" si="9"/>
        <v>Direct</v>
      </c>
      <c r="H931" s="7" t="s">
        <v>16</v>
      </c>
    </row>
    <row r="932" spans="1:8" x14ac:dyDescent="0.2">
      <c r="A932" s="5" t="s">
        <v>13</v>
      </c>
      <c r="B932" s="6" t="s">
        <v>22</v>
      </c>
      <c r="C932" s="7" t="s">
        <v>678</v>
      </c>
      <c r="D932" s="8">
        <v>1.23121992</v>
      </c>
      <c r="E932" s="7"/>
      <c r="F932" s="8">
        <v>-4.6065478000000004</v>
      </c>
      <c r="G932" s="7" t="str">
        <f t="shared" si="9"/>
        <v>Inverse</v>
      </c>
      <c r="H932" s="7" t="s">
        <v>16</v>
      </c>
    </row>
    <row r="933" spans="1:8" x14ac:dyDescent="0.2">
      <c r="A933" s="5" t="s">
        <v>13</v>
      </c>
      <c r="B933" s="6" t="s">
        <v>22</v>
      </c>
      <c r="C933" s="7" t="s">
        <v>856</v>
      </c>
      <c r="D933" s="8">
        <v>-1.1967661999999999</v>
      </c>
      <c r="E933" s="7"/>
      <c r="F933" s="8">
        <v>-2.0478296</v>
      </c>
      <c r="G933" s="7" t="str">
        <f t="shared" si="9"/>
        <v>Direct</v>
      </c>
      <c r="H933" s="7" t="s">
        <v>16</v>
      </c>
    </row>
    <row r="934" spans="1:8" x14ac:dyDescent="0.2">
      <c r="A934" s="5" t="s">
        <v>13</v>
      </c>
      <c r="B934" s="6" t="s">
        <v>22</v>
      </c>
      <c r="C934" s="7" t="s">
        <v>680</v>
      </c>
      <c r="D934" s="8">
        <v>-1.213171</v>
      </c>
      <c r="E934" s="7"/>
      <c r="F934" s="8">
        <v>-3.7109800000000002</v>
      </c>
      <c r="G934" s="7" t="str">
        <f t="shared" si="9"/>
        <v>Direct</v>
      </c>
      <c r="H934" s="7" t="s">
        <v>681</v>
      </c>
    </row>
    <row r="935" spans="1:8" x14ac:dyDescent="0.2">
      <c r="A935" s="5" t="s">
        <v>13</v>
      </c>
      <c r="B935" s="6" t="s">
        <v>22</v>
      </c>
      <c r="C935" s="7" t="s">
        <v>682</v>
      </c>
      <c r="D935" s="8">
        <v>-1.2593761999999999</v>
      </c>
      <c r="E935" s="7"/>
      <c r="F935" s="8">
        <v>-3.8425375000000002</v>
      </c>
      <c r="G935" s="7" t="str">
        <f t="shared" si="9"/>
        <v>Direct</v>
      </c>
      <c r="H935" s="7" t="s">
        <v>683</v>
      </c>
    </row>
    <row r="936" spans="1:8" x14ac:dyDescent="0.2">
      <c r="A936" s="5" t="s">
        <v>13</v>
      </c>
      <c r="B936" s="6" t="s">
        <v>22</v>
      </c>
      <c r="C936" s="7" t="s">
        <v>684</v>
      </c>
      <c r="D936" s="8">
        <v>1.08521874</v>
      </c>
      <c r="E936" s="7"/>
      <c r="F936" s="8">
        <v>3.0696249899999999</v>
      </c>
      <c r="G936" s="7" t="str">
        <f t="shared" si="9"/>
        <v>Direct</v>
      </c>
      <c r="H936" s="7" t="s">
        <v>16</v>
      </c>
    </row>
    <row r="937" spans="1:8" x14ac:dyDescent="0.2">
      <c r="A937" s="5" t="s">
        <v>13</v>
      </c>
      <c r="B937" s="6" t="s">
        <v>22</v>
      </c>
      <c r="C937" s="7" t="s">
        <v>685</v>
      </c>
      <c r="D937" s="8">
        <v>1.4510317699999999</v>
      </c>
      <c r="E937" s="7"/>
      <c r="F937" s="8">
        <v>-5.9332415999999997</v>
      </c>
      <c r="G937" s="7" t="str">
        <f t="shared" si="9"/>
        <v>Inverse</v>
      </c>
      <c r="H937" s="7" t="s">
        <v>686</v>
      </c>
    </row>
    <row r="938" spans="1:8" x14ac:dyDescent="0.2">
      <c r="A938" s="5" t="s">
        <v>13</v>
      </c>
      <c r="B938" s="6" t="s">
        <v>22</v>
      </c>
      <c r="C938" s="7" t="s">
        <v>687</v>
      </c>
      <c r="D938" s="8">
        <v>-1.2288117999999999</v>
      </c>
      <c r="E938" s="7"/>
      <c r="F938" s="8">
        <v>1.9471500799999999</v>
      </c>
      <c r="G938" s="7" t="str">
        <f t="shared" si="9"/>
        <v>Inverse</v>
      </c>
      <c r="H938" s="7" t="s">
        <v>688</v>
      </c>
    </row>
    <row r="939" spans="1:8" x14ac:dyDescent="0.2">
      <c r="A939" s="5" t="s">
        <v>13</v>
      </c>
      <c r="B939" s="6" t="s">
        <v>22</v>
      </c>
      <c r="C939" s="7" t="s">
        <v>689</v>
      </c>
      <c r="D939" s="8">
        <v>-1.7966527999999999</v>
      </c>
      <c r="E939" s="7"/>
      <c r="F939" s="8">
        <v>-2.8156105</v>
      </c>
      <c r="G939" s="7" t="str">
        <f t="shared" si="9"/>
        <v>Direct</v>
      </c>
      <c r="H939" s="7" t="s">
        <v>16</v>
      </c>
    </row>
    <row r="940" spans="1:8" x14ac:dyDescent="0.2">
      <c r="A940" s="5" t="s">
        <v>13</v>
      </c>
      <c r="B940" s="6" t="s">
        <v>22</v>
      </c>
      <c r="C940" s="7" t="s">
        <v>690</v>
      </c>
      <c r="D940" s="8">
        <v>-1.8277075</v>
      </c>
      <c r="E940" s="7"/>
      <c r="F940" s="8">
        <v>-9.1628358999999993</v>
      </c>
      <c r="G940" s="7" t="str">
        <f t="shared" si="9"/>
        <v>Direct</v>
      </c>
      <c r="H940" s="7" t="s">
        <v>16</v>
      </c>
    </row>
    <row r="941" spans="1:8" x14ac:dyDescent="0.2">
      <c r="A941" s="5" t="s">
        <v>13</v>
      </c>
      <c r="B941" s="6" t="s">
        <v>22</v>
      </c>
      <c r="C941" s="7" t="s">
        <v>857</v>
      </c>
      <c r="D941" s="8">
        <v>-1.452493</v>
      </c>
      <c r="E941" s="7"/>
      <c r="F941" s="8">
        <v>-3.7978676999999998</v>
      </c>
      <c r="G941" s="7" t="str">
        <f t="shared" si="9"/>
        <v>Direct</v>
      </c>
      <c r="H941" s="7" t="s">
        <v>590</v>
      </c>
    </row>
    <row r="942" spans="1:8" x14ac:dyDescent="0.2">
      <c r="A942" s="5" t="s">
        <v>13</v>
      </c>
      <c r="B942" s="6" t="s">
        <v>22</v>
      </c>
      <c r="C942" s="7" t="s">
        <v>693</v>
      </c>
      <c r="D942" s="8">
        <v>1.94707736</v>
      </c>
      <c r="E942" s="7"/>
      <c r="F942" s="8">
        <v>-1.2842884000000001</v>
      </c>
      <c r="G942" s="7" t="str">
        <f t="shared" si="9"/>
        <v>Inverse</v>
      </c>
      <c r="H942" s="7" t="s">
        <v>16</v>
      </c>
    </row>
    <row r="943" spans="1:8" x14ac:dyDescent="0.2">
      <c r="A943" s="5" t="s">
        <v>13</v>
      </c>
      <c r="B943" s="6" t="s">
        <v>22</v>
      </c>
      <c r="C943" s="7" t="s">
        <v>694</v>
      </c>
      <c r="D943" s="8">
        <v>-2.9919961000000002</v>
      </c>
      <c r="E943" s="7"/>
      <c r="F943" s="8">
        <v>-4.2121724</v>
      </c>
      <c r="G943" s="7" t="str">
        <f t="shared" si="9"/>
        <v>Direct</v>
      </c>
      <c r="H943" s="7" t="s">
        <v>16</v>
      </c>
    </row>
    <row r="944" spans="1:8" x14ac:dyDescent="0.2">
      <c r="A944" s="5" t="s">
        <v>13</v>
      </c>
      <c r="B944" s="6" t="s">
        <v>22</v>
      </c>
      <c r="C944" s="7" t="s">
        <v>695</v>
      </c>
      <c r="D944" s="8">
        <v>2.2204967199999999</v>
      </c>
      <c r="E944" s="7"/>
      <c r="F944" s="8">
        <v>-4.5633267000000002</v>
      </c>
      <c r="G944" s="7" t="str">
        <f t="shared" si="9"/>
        <v>Inverse</v>
      </c>
      <c r="H944" s="7" t="s">
        <v>16</v>
      </c>
    </row>
    <row r="945" spans="1:8" x14ac:dyDescent="0.2">
      <c r="A945" s="5" t="s">
        <v>13</v>
      </c>
      <c r="B945" s="6" t="s">
        <v>22</v>
      </c>
      <c r="C945" s="7" t="s">
        <v>696</v>
      </c>
      <c r="D945" s="8">
        <v>3.9914660799999999</v>
      </c>
      <c r="E945" s="7"/>
      <c r="F945" s="8">
        <v>-1.7548592000000001</v>
      </c>
      <c r="G945" s="7" t="str">
        <f t="shared" si="9"/>
        <v>Inverse</v>
      </c>
      <c r="H945" s="7" t="s">
        <v>16</v>
      </c>
    </row>
    <row r="946" spans="1:8" x14ac:dyDescent="0.2">
      <c r="A946" s="5" t="s">
        <v>13</v>
      </c>
      <c r="B946" s="6" t="s">
        <v>22</v>
      </c>
      <c r="C946" s="7" t="s">
        <v>697</v>
      </c>
      <c r="D946" s="8">
        <v>-1.5156670999999999</v>
      </c>
      <c r="E946" s="7"/>
      <c r="F946" s="8">
        <v>-3.8684794</v>
      </c>
      <c r="G946" s="7" t="str">
        <f t="shared" si="9"/>
        <v>Direct</v>
      </c>
      <c r="H946" s="7" t="s">
        <v>16</v>
      </c>
    </row>
    <row r="947" spans="1:8" x14ac:dyDescent="0.2">
      <c r="A947" s="5" t="s">
        <v>13</v>
      </c>
      <c r="B947" s="6" t="s">
        <v>22</v>
      </c>
      <c r="C947" s="7" t="s">
        <v>700</v>
      </c>
      <c r="D947" s="8">
        <v>-1.213171</v>
      </c>
      <c r="E947" s="7"/>
      <c r="F947" s="8">
        <v>-1.3954588999999999</v>
      </c>
      <c r="G947" s="7" t="str">
        <f t="shared" si="9"/>
        <v>Direct</v>
      </c>
      <c r="H947" s="7" t="s">
        <v>701</v>
      </c>
    </row>
    <row r="948" spans="1:8" x14ac:dyDescent="0.2">
      <c r="A948" s="5" t="s">
        <v>13</v>
      </c>
      <c r="B948" s="6" t="s">
        <v>22</v>
      </c>
      <c r="C948" s="7" t="s">
        <v>702</v>
      </c>
      <c r="D948" s="8">
        <v>-1.0263563</v>
      </c>
      <c r="E948" s="7"/>
      <c r="F948" s="8">
        <v>-3.3430768999999998</v>
      </c>
      <c r="G948" s="7" t="str">
        <f t="shared" si="9"/>
        <v>Direct</v>
      </c>
      <c r="H948" s="7" t="s">
        <v>16</v>
      </c>
    </row>
    <row r="949" spans="1:8" x14ac:dyDescent="0.2">
      <c r="A949" s="5" t="s">
        <v>13</v>
      </c>
      <c r="B949" s="6" t="s">
        <v>22</v>
      </c>
      <c r="C949" s="7" t="s">
        <v>703</v>
      </c>
      <c r="D949" s="8">
        <v>1.38227239</v>
      </c>
      <c r="E949" s="7"/>
      <c r="F949" s="8">
        <v>-1.5134947000000001</v>
      </c>
      <c r="G949" s="7" t="str">
        <f t="shared" si="9"/>
        <v>Inverse</v>
      </c>
      <c r="H949" s="7" t="s">
        <v>16</v>
      </c>
    </row>
    <row r="950" spans="1:8" x14ac:dyDescent="0.2">
      <c r="A950" s="5" t="s">
        <v>13</v>
      </c>
      <c r="B950" s="6" t="s">
        <v>22</v>
      </c>
      <c r="C950" s="7" t="s">
        <v>704</v>
      </c>
      <c r="D950" s="8">
        <v>1.4130069000000001</v>
      </c>
      <c r="E950" s="7"/>
      <c r="F950" s="8">
        <v>-1.8523472999999999</v>
      </c>
      <c r="G950" s="7" t="str">
        <f t="shared" si="9"/>
        <v>Inverse</v>
      </c>
      <c r="H950" s="7" t="s">
        <v>16</v>
      </c>
    </row>
    <row r="951" spans="1:8" x14ac:dyDescent="0.2">
      <c r="A951" s="5" t="s">
        <v>13</v>
      </c>
      <c r="B951" s="6" t="s">
        <v>22</v>
      </c>
      <c r="C951" s="7" t="s">
        <v>705</v>
      </c>
      <c r="D951" s="8">
        <v>1.68597606</v>
      </c>
      <c r="E951" s="7"/>
      <c r="F951" s="8">
        <v>-7.6024593999999999</v>
      </c>
      <c r="G951" s="7" t="str">
        <f t="shared" si="9"/>
        <v>Inverse</v>
      </c>
      <c r="H951" s="7" t="s">
        <v>16</v>
      </c>
    </row>
    <row r="952" spans="1:8" x14ac:dyDescent="0.2">
      <c r="A952" s="5" t="s">
        <v>13</v>
      </c>
      <c r="B952" s="6" t="s">
        <v>22</v>
      </c>
      <c r="C952" s="7" t="s">
        <v>707</v>
      </c>
      <c r="D952" s="8">
        <v>-1.4950323999999999</v>
      </c>
      <c r="E952" s="7"/>
      <c r="F952" s="8">
        <v>-4.5481502999999996</v>
      </c>
      <c r="G952" s="7" t="str">
        <f t="shared" si="9"/>
        <v>Direct</v>
      </c>
      <c r="H952" s="7" t="s">
        <v>708</v>
      </c>
    </row>
    <row r="953" spans="1:8" x14ac:dyDescent="0.2">
      <c r="A953" s="5" t="s">
        <v>13</v>
      </c>
      <c r="B953" s="6" t="s">
        <v>22</v>
      </c>
      <c r="C953" s="7" t="s">
        <v>713</v>
      </c>
      <c r="D953" s="8">
        <v>-1.2495704000000001</v>
      </c>
      <c r="E953" s="7"/>
      <c r="F953" s="8">
        <v>-1.0290789</v>
      </c>
      <c r="G953" s="7" t="str">
        <f t="shared" si="9"/>
        <v>Direct</v>
      </c>
      <c r="H953" s="7" t="s">
        <v>16</v>
      </c>
    </row>
    <row r="954" spans="1:8" x14ac:dyDescent="0.2">
      <c r="A954" s="5" t="s">
        <v>13</v>
      </c>
      <c r="B954" s="6" t="s">
        <v>22</v>
      </c>
      <c r="C954" s="7" t="s">
        <v>714</v>
      </c>
      <c r="D954" s="8">
        <v>-2.9874234999999998</v>
      </c>
      <c r="E954" s="7"/>
      <c r="F954" s="8">
        <v>-1.1892123999999999</v>
      </c>
      <c r="G954" s="7" t="str">
        <f t="shared" si="9"/>
        <v>Direct</v>
      </c>
      <c r="H954" s="7" t="s">
        <v>16</v>
      </c>
    </row>
    <row r="955" spans="1:8" x14ac:dyDescent="0.2">
      <c r="A955" s="5" t="s">
        <v>13</v>
      </c>
      <c r="B955" s="6" t="s">
        <v>22</v>
      </c>
      <c r="C955" s="7" t="s">
        <v>715</v>
      </c>
      <c r="D955" s="8">
        <v>-1.7658815000000001</v>
      </c>
      <c r="E955" s="7"/>
      <c r="F955" s="8">
        <v>-4.5003406999999997</v>
      </c>
      <c r="G955" s="7" t="str">
        <f t="shared" si="9"/>
        <v>Direct</v>
      </c>
      <c r="H955" s="7" t="s">
        <v>716</v>
      </c>
    </row>
    <row r="956" spans="1:8" x14ac:dyDescent="0.2">
      <c r="A956" s="5" t="s">
        <v>13</v>
      </c>
      <c r="B956" s="6" t="s">
        <v>22</v>
      </c>
      <c r="C956" s="7" t="s">
        <v>717</v>
      </c>
      <c r="D956" s="8">
        <v>-1.8680543000000001</v>
      </c>
      <c r="E956" s="7"/>
      <c r="F956" s="8">
        <v>-4.4548053999999997</v>
      </c>
      <c r="G956" s="7" t="str">
        <f t="shared" si="9"/>
        <v>Direct</v>
      </c>
      <c r="H956" s="7" t="s">
        <v>718</v>
      </c>
    </row>
    <row r="957" spans="1:8" x14ac:dyDescent="0.2">
      <c r="A957" s="5" t="s">
        <v>13</v>
      </c>
      <c r="B957" s="6" t="s">
        <v>22</v>
      </c>
      <c r="C957" s="7" t="s">
        <v>719</v>
      </c>
      <c r="D957" s="8">
        <v>1.3649359299999999</v>
      </c>
      <c r="E957" s="7"/>
      <c r="F957" s="8">
        <v>-3.3255335000000001</v>
      </c>
      <c r="G957" s="7" t="str">
        <f t="shared" si="9"/>
        <v>Inverse</v>
      </c>
      <c r="H957" s="7" t="s">
        <v>720</v>
      </c>
    </row>
    <row r="958" spans="1:8" x14ac:dyDescent="0.2">
      <c r="A958" s="5" t="s">
        <v>13</v>
      </c>
      <c r="B958" s="6" t="s">
        <v>22</v>
      </c>
      <c r="C958" s="7" t="s">
        <v>723</v>
      </c>
      <c r="D958" s="8">
        <v>1.1467285599999999</v>
      </c>
      <c r="E958" s="7"/>
      <c r="F958" s="8">
        <v>1.02898318</v>
      </c>
      <c r="G958" s="7" t="str">
        <f t="shared" si="9"/>
        <v>Direct</v>
      </c>
      <c r="H958" s="7" t="s">
        <v>724</v>
      </c>
    </row>
    <row r="959" spans="1:8" x14ac:dyDescent="0.2">
      <c r="A959" s="5" t="s">
        <v>13</v>
      </c>
      <c r="B959" s="6" t="s">
        <v>22</v>
      </c>
      <c r="C959" s="7" t="s">
        <v>725</v>
      </c>
      <c r="D959" s="8">
        <v>1.1524041</v>
      </c>
      <c r="E959" s="7"/>
      <c r="F959" s="8">
        <v>-6.6839490000000001</v>
      </c>
      <c r="G959" s="7" t="str">
        <f t="shared" si="9"/>
        <v>Inverse</v>
      </c>
      <c r="H959" s="7" t="s">
        <v>16</v>
      </c>
    </row>
    <row r="960" spans="1:8" x14ac:dyDescent="0.2">
      <c r="A960" s="5" t="s">
        <v>13</v>
      </c>
      <c r="B960" s="6" t="s">
        <v>22</v>
      </c>
      <c r="C960" s="7" t="s">
        <v>858</v>
      </c>
      <c r="D960" s="8">
        <v>-1.7199533</v>
      </c>
      <c r="E960" s="7"/>
      <c r="F960" s="8">
        <v>-1.0852833</v>
      </c>
      <c r="G960" s="7" t="str">
        <f t="shared" si="9"/>
        <v>Direct</v>
      </c>
      <c r="H960" s="7" t="s">
        <v>859</v>
      </c>
    </row>
    <row r="961" spans="1:8" x14ac:dyDescent="0.2">
      <c r="A961" s="5" t="s">
        <v>13</v>
      </c>
      <c r="B961" s="6" t="s">
        <v>22</v>
      </c>
      <c r="C961" s="7" t="s">
        <v>726</v>
      </c>
      <c r="D961" s="8">
        <v>-3.2466121000000001</v>
      </c>
      <c r="E961" s="7"/>
      <c r="F961" s="8">
        <v>-6.5020761</v>
      </c>
      <c r="G961" s="7" t="str">
        <f t="shared" si="9"/>
        <v>Direct</v>
      </c>
      <c r="H961" s="7" t="s">
        <v>333</v>
      </c>
    </row>
    <row r="962" spans="1:8" x14ac:dyDescent="0.2">
      <c r="A962" s="5" t="s">
        <v>13</v>
      </c>
      <c r="B962" s="6" t="s">
        <v>22</v>
      </c>
      <c r="C962" s="7" t="s">
        <v>729</v>
      </c>
      <c r="D962" s="8">
        <v>-1.2292065999999999</v>
      </c>
      <c r="E962" s="7"/>
      <c r="F962" s="8">
        <v>-1.5823273</v>
      </c>
      <c r="G962" s="7" t="str">
        <f t="shared" si="9"/>
        <v>Direct</v>
      </c>
      <c r="H962" s="7" t="s">
        <v>730</v>
      </c>
    </row>
    <row r="963" spans="1:8" x14ac:dyDescent="0.2">
      <c r="A963" s="5" t="s">
        <v>13</v>
      </c>
      <c r="B963" s="6" t="s">
        <v>22</v>
      </c>
      <c r="C963" s="7" t="s">
        <v>731</v>
      </c>
      <c r="D963" s="8">
        <v>-3.7560595999999999</v>
      </c>
      <c r="E963" s="7"/>
      <c r="F963" s="8">
        <v>-1.2254118000000001</v>
      </c>
      <c r="G963" s="7" t="str">
        <f t="shared" si="9"/>
        <v>Direct</v>
      </c>
      <c r="H963" s="7" t="s">
        <v>732</v>
      </c>
    </row>
    <row r="964" spans="1:8" x14ac:dyDescent="0.2">
      <c r="A964" s="5" t="s">
        <v>13</v>
      </c>
      <c r="B964" s="6" t="s">
        <v>22</v>
      </c>
      <c r="C964" s="7" t="s">
        <v>733</v>
      </c>
      <c r="D964" s="8">
        <v>-2.7187036</v>
      </c>
      <c r="E964" s="7"/>
      <c r="F964" s="8">
        <v>-2.7710477999999998</v>
      </c>
      <c r="G964" s="7" t="str">
        <f t="shared" si="9"/>
        <v>Direct</v>
      </c>
      <c r="H964" s="7" t="s">
        <v>139</v>
      </c>
    </row>
    <row r="965" spans="1:8" x14ac:dyDescent="0.2">
      <c r="A965" s="5" t="s">
        <v>13</v>
      </c>
      <c r="B965" s="6" t="s">
        <v>22</v>
      </c>
      <c r="C965" s="7" t="s">
        <v>737</v>
      </c>
      <c r="D965" s="8">
        <v>-4.2129962000000001</v>
      </c>
      <c r="E965" s="7"/>
      <c r="F965" s="8">
        <v>-8.8337398</v>
      </c>
      <c r="G965" s="7" t="str">
        <f t="shared" si="9"/>
        <v>Direct</v>
      </c>
      <c r="H965" s="7" t="s">
        <v>139</v>
      </c>
    </row>
    <row r="966" spans="1:8" x14ac:dyDescent="0.2">
      <c r="A966" s="5" t="s">
        <v>13</v>
      </c>
      <c r="B966" s="6" t="s">
        <v>22</v>
      </c>
      <c r="C966" s="7" t="s">
        <v>738</v>
      </c>
      <c r="D966" s="8">
        <v>2.5169011999999999</v>
      </c>
      <c r="E966" s="7"/>
      <c r="F966" s="8">
        <v>-2.7227877999999999</v>
      </c>
      <c r="G966" s="7" t="str">
        <f t="shared" si="9"/>
        <v>Inverse</v>
      </c>
      <c r="H966" s="7" t="s">
        <v>16</v>
      </c>
    </row>
    <row r="967" spans="1:8" x14ac:dyDescent="0.2">
      <c r="A967" s="5" t="s">
        <v>13</v>
      </c>
      <c r="B967" s="6" t="s">
        <v>22</v>
      </c>
      <c r="C967" s="7" t="s">
        <v>860</v>
      </c>
      <c r="D967" s="8">
        <v>-1.2867135999999999</v>
      </c>
      <c r="E967" s="7"/>
      <c r="F967" s="8">
        <v>-1.992426</v>
      </c>
      <c r="G967" s="7" t="str">
        <f t="shared" si="9"/>
        <v>Direct</v>
      </c>
      <c r="H967" s="7" t="s">
        <v>16</v>
      </c>
    </row>
    <row r="968" spans="1:8" x14ac:dyDescent="0.2">
      <c r="A968" s="5" t="s">
        <v>13</v>
      </c>
      <c r="B968" s="6" t="s">
        <v>22</v>
      </c>
      <c r="C968" s="7" t="s">
        <v>861</v>
      </c>
      <c r="D968" s="8">
        <v>5.06672163</v>
      </c>
      <c r="E968" s="7"/>
      <c r="F968" s="8">
        <v>1.0856573</v>
      </c>
      <c r="G968" s="7" t="str">
        <f t="shared" si="9"/>
        <v>Direct</v>
      </c>
      <c r="H968" s="7" t="s">
        <v>16</v>
      </c>
    </row>
    <row r="969" spans="1:8" x14ac:dyDescent="0.2">
      <c r="A969" s="5" t="s">
        <v>13</v>
      </c>
      <c r="B969" s="6" t="s">
        <v>22</v>
      </c>
      <c r="C969" s="7" t="s">
        <v>862</v>
      </c>
      <c r="D969" s="8">
        <v>-1.9404219</v>
      </c>
      <c r="E969" s="7"/>
      <c r="F969" s="8">
        <v>-2.2425378</v>
      </c>
      <c r="G969" s="7" t="str">
        <f t="shared" si="9"/>
        <v>Direct</v>
      </c>
      <c r="H969" s="7" t="s">
        <v>16</v>
      </c>
    </row>
    <row r="970" spans="1:8" x14ac:dyDescent="0.2">
      <c r="A970" s="5" t="s">
        <v>13</v>
      </c>
      <c r="B970" s="6" t="s">
        <v>22</v>
      </c>
      <c r="C970" s="7" t="s">
        <v>863</v>
      </c>
      <c r="D970" s="8">
        <v>1.27930732</v>
      </c>
      <c r="E970" s="7"/>
      <c r="F970" s="8">
        <v>-1.447146</v>
      </c>
      <c r="G970" s="7" t="str">
        <f t="shared" si="9"/>
        <v>Inverse</v>
      </c>
      <c r="H970" s="7" t="s">
        <v>820</v>
      </c>
    </row>
    <row r="971" spans="1:8" x14ac:dyDescent="0.2">
      <c r="A971" s="5" t="s">
        <v>13</v>
      </c>
      <c r="B971" s="6" t="s">
        <v>22</v>
      </c>
      <c r="C971" s="7" t="s">
        <v>739</v>
      </c>
      <c r="D971" s="8">
        <v>1.71823536</v>
      </c>
      <c r="E971" s="7"/>
      <c r="F971" s="8">
        <v>-3.7461161000000001</v>
      </c>
      <c r="G971" s="7" t="str">
        <f t="shared" si="9"/>
        <v>Inverse</v>
      </c>
      <c r="H971" s="7" t="s">
        <v>16</v>
      </c>
    </row>
    <row r="972" spans="1:8" x14ac:dyDescent="0.2">
      <c r="A972" s="5" t="s">
        <v>13</v>
      </c>
      <c r="B972" s="6" t="s">
        <v>22</v>
      </c>
      <c r="C972" s="7" t="s">
        <v>740</v>
      </c>
      <c r="D972" s="8">
        <v>-3.12378</v>
      </c>
      <c r="E972" s="7"/>
      <c r="F972" s="8">
        <v>-5.8612412999999997</v>
      </c>
      <c r="G972" s="7" t="str">
        <f t="shared" si="9"/>
        <v>Direct</v>
      </c>
      <c r="H972" s="7" t="s">
        <v>741</v>
      </c>
    </row>
    <row r="973" spans="1:8" x14ac:dyDescent="0.2">
      <c r="A973" s="5" t="s">
        <v>13</v>
      </c>
      <c r="B973" s="6" t="s">
        <v>19</v>
      </c>
      <c r="C973" s="7" t="s">
        <v>15</v>
      </c>
      <c r="D973" s="7"/>
      <c r="E973" s="8">
        <v>14.1192514</v>
      </c>
      <c r="F973" s="8">
        <v>9.8755729799999994</v>
      </c>
      <c r="G973" s="7" t="str">
        <f t="shared" ref="G973:G1227" si="10">IF(OR(AND(E973&gt;0,F973&gt;0),AND(E973&lt;0,F973&lt;0)),"Direct","Inverse")</f>
        <v>Direct</v>
      </c>
      <c r="H973" s="7" t="s">
        <v>16</v>
      </c>
    </row>
    <row r="974" spans="1:8" x14ac:dyDescent="0.2">
      <c r="A974" s="5" t="s">
        <v>13</v>
      </c>
      <c r="B974" s="6" t="s">
        <v>19</v>
      </c>
      <c r="C974" s="7" t="s">
        <v>864</v>
      </c>
      <c r="D974" s="7"/>
      <c r="E974" s="8">
        <v>1.6900838199999999</v>
      </c>
      <c r="F974" s="8">
        <v>2.93847251</v>
      </c>
      <c r="G974" s="7" t="str">
        <f t="shared" si="10"/>
        <v>Direct</v>
      </c>
      <c r="H974" s="7" t="s">
        <v>865</v>
      </c>
    </row>
    <row r="975" spans="1:8" x14ac:dyDescent="0.2">
      <c r="A975" s="5" t="s">
        <v>13</v>
      </c>
      <c r="B975" s="6" t="s">
        <v>19</v>
      </c>
      <c r="C975" s="7" t="s">
        <v>17</v>
      </c>
      <c r="D975" s="7"/>
      <c r="E975" s="8">
        <v>2.5287182600000002</v>
      </c>
      <c r="F975" s="8">
        <v>1.09576425</v>
      </c>
      <c r="G975" s="7" t="str">
        <f t="shared" si="10"/>
        <v>Direct</v>
      </c>
      <c r="H975" s="7" t="s">
        <v>18</v>
      </c>
    </row>
    <row r="976" spans="1:8" x14ac:dyDescent="0.2">
      <c r="A976" s="5" t="s">
        <v>13</v>
      </c>
      <c r="B976" s="6" t="s">
        <v>19</v>
      </c>
      <c r="C976" s="7" t="s">
        <v>866</v>
      </c>
      <c r="D976" s="7"/>
      <c r="E976" s="8">
        <v>-3.2240413999999999</v>
      </c>
      <c r="F976" s="8">
        <v>-3.7242225000000002</v>
      </c>
      <c r="G976" s="7" t="str">
        <f t="shared" si="10"/>
        <v>Direct</v>
      </c>
      <c r="H976" s="7" t="s">
        <v>867</v>
      </c>
    </row>
    <row r="977" spans="1:8" x14ac:dyDescent="0.2">
      <c r="A977" s="5" t="s">
        <v>13</v>
      </c>
      <c r="B977" s="6" t="s">
        <v>19</v>
      </c>
      <c r="C977" s="7" t="s">
        <v>868</v>
      </c>
      <c r="D977" s="7"/>
      <c r="E977" s="8">
        <v>-2.2994609000000001</v>
      </c>
      <c r="F977" s="8">
        <v>-3.4375480999999999</v>
      </c>
      <c r="G977" s="7" t="str">
        <f t="shared" si="10"/>
        <v>Direct</v>
      </c>
      <c r="H977" s="7" t="s">
        <v>869</v>
      </c>
    </row>
    <row r="978" spans="1:8" x14ac:dyDescent="0.2">
      <c r="A978" s="5" t="s">
        <v>13</v>
      </c>
      <c r="B978" s="6" t="s">
        <v>19</v>
      </c>
      <c r="C978" s="7" t="s">
        <v>20</v>
      </c>
      <c r="D978" s="7"/>
      <c r="E978" s="8">
        <v>-6.9265677999999999</v>
      </c>
      <c r="F978" s="8">
        <v>-4.7599233999999999</v>
      </c>
      <c r="G978" s="7" t="str">
        <f t="shared" si="10"/>
        <v>Direct</v>
      </c>
      <c r="H978" s="7" t="s">
        <v>21</v>
      </c>
    </row>
    <row r="979" spans="1:8" x14ac:dyDescent="0.2">
      <c r="A979" s="5" t="s">
        <v>13</v>
      </c>
      <c r="B979" s="6" t="s">
        <v>19</v>
      </c>
      <c r="C979" s="7" t="s">
        <v>870</v>
      </c>
      <c r="D979" s="7"/>
      <c r="E979" s="8">
        <v>2.7022799399999999</v>
      </c>
      <c r="F979" s="8">
        <v>3.4280961300000001</v>
      </c>
      <c r="G979" s="7" t="str">
        <f t="shared" si="10"/>
        <v>Direct</v>
      </c>
      <c r="H979" s="7" t="s">
        <v>16</v>
      </c>
    </row>
    <row r="980" spans="1:8" x14ac:dyDescent="0.2">
      <c r="A980" s="5" t="s">
        <v>13</v>
      </c>
      <c r="B980" s="6" t="s">
        <v>19</v>
      </c>
      <c r="C980" s="7" t="s">
        <v>871</v>
      </c>
      <c r="D980" s="7"/>
      <c r="E980" s="8">
        <v>1.5027483699999999</v>
      </c>
      <c r="F980" s="8">
        <v>1.2276415700000001</v>
      </c>
      <c r="G980" s="7" t="str">
        <f t="shared" si="10"/>
        <v>Direct</v>
      </c>
      <c r="H980" s="7" t="s">
        <v>16</v>
      </c>
    </row>
    <row r="981" spans="1:8" x14ac:dyDescent="0.2">
      <c r="A981" s="5" t="s">
        <v>13</v>
      </c>
      <c r="B981" s="6" t="s">
        <v>19</v>
      </c>
      <c r="C981" s="7" t="s">
        <v>872</v>
      </c>
      <c r="D981" s="7"/>
      <c r="E981" s="8">
        <v>-2.5027686</v>
      </c>
      <c r="F981" s="8">
        <v>-3.4555373999999999</v>
      </c>
      <c r="G981" s="7" t="str">
        <f t="shared" si="10"/>
        <v>Direct</v>
      </c>
      <c r="H981" s="7" t="s">
        <v>873</v>
      </c>
    </row>
    <row r="982" spans="1:8" x14ac:dyDescent="0.2">
      <c r="A982" s="5" t="s">
        <v>13</v>
      </c>
      <c r="B982" s="6" t="s">
        <v>19</v>
      </c>
      <c r="C982" s="7" t="s">
        <v>23</v>
      </c>
      <c r="D982" s="7"/>
      <c r="E982" s="8">
        <v>-3.3399323999999999</v>
      </c>
      <c r="F982" s="8">
        <v>-2.5034470999999998</v>
      </c>
      <c r="G982" s="7" t="str">
        <f t="shared" si="10"/>
        <v>Direct</v>
      </c>
      <c r="H982" s="7" t="s">
        <v>24</v>
      </c>
    </row>
    <row r="983" spans="1:8" x14ac:dyDescent="0.2">
      <c r="A983" s="5" t="s">
        <v>13</v>
      </c>
      <c r="B983" s="6" t="s">
        <v>19</v>
      </c>
      <c r="C983" s="7" t="s">
        <v>874</v>
      </c>
      <c r="D983" s="7"/>
      <c r="E983" s="8">
        <v>1.05137484</v>
      </c>
      <c r="F983" s="8">
        <v>1.67966152</v>
      </c>
      <c r="G983" s="7" t="str">
        <f t="shared" si="10"/>
        <v>Direct</v>
      </c>
      <c r="H983" s="7" t="s">
        <v>655</v>
      </c>
    </row>
    <row r="984" spans="1:8" x14ac:dyDescent="0.2">
      <c r="A984" s="5" t="s">
        <v>13</v>
      </c>
      <c r="B984" s="6" t="s">
        <v>19</v>
      </c>
      <c r="C984" s="7" t="s">
        <v>875</v>
      </c>
      <c r="D984" s="7"/>
      <c r="E984" s="8">
        <v>-2.2660661000000002</v>
      </c>
      <c r="F984" s="8">
        <v>-2.6947130000000001</v>
      </c>
      <c r="G984" s="7" t="str">
        <f t="shared" si="10"/>
        <v>Direct</v>
      </c>
      <c r="H984" s="7" t="s">
        <v>24</v>
      </c>
    </row>
    <row r="985" spans="1:8" x14ac:dyDescent="0.2">
      <c r="A985" s="5" t="s">
        <v>13</v>
      </c>
      <c r="B985" s="6" t="s">
        <v>19</v>
      </c>
      <c r="C985" s="7" t="s">
        <v>876</v>
      </c>
      <c r="D985" s="7"/>
      <c r="E985" s="8">
        <v>-1.0728226999999999</v>
      </c>
      <c r="F985" s="8">
        <v>-1.322222</v>
      </c>
      <c r="G985" s="7" t="str">
        <f t="shared" si="10"/>
        <v>Direct</v>
      </c>
      <c r="H985" s="7" t="s">
        <v>877</v>
      </c>
    </row>
    <row r="986" spans="1:8" x14ac:dyDescent="0.2">
      <c r="A986" s="5" t="s">
        <v>13</v>
      </c>
      <c r="B986" s="6" t="s">
        <v>19</v>
      </c>
      <c r="C986" s="7" t="s">
        <v>878</v>
      </c>
      <c r="D986" s="7"/>
      <c r="E986" s="8">
        <v>-2.0311566000000001</v>
      </c>
      <c r="F986" s="8">
        <v>-1.3996523999999999</v>
      </c>
      <c r="G986" s="7" t="str">
        <f t="shared" si="10"/>
        <v>Direct</v>
      </c>
      <c r="H986" s="7" t="s">
        <v>879</v>
      </c>
    </row>
    <row r="987" spans="1:8" x14ac:dyDescent="0.2">
      <c r="A987" s="5" t="s">
        <v>13</v>
      </c>
      <c r="B987" s="6" t="s">
        <v>19</v>
      </c>
      <c r="C987" s="7" t="s">
        <v>26</v>
      </c>
      <c r="D987" s="7"/>
      <c r="E987" s="8">
        <v>-1.4614754999999999</v>
      </c>
      <c r="F987" s="8">
        <v>-1.6734382999999999</v>
      </c>
      <c r="G987" s="7" t="str">
        <f t="shared" si="10"/>
        <v>Direct</v>
      </c>
      <c r="H987" s="7" t="s">
        <v>16</v>
      </c>
    </row>
    <row r="988" spans="1:8" x14ac:dyDescent="0.2">
      <c r="A988" s="5" t="s">
        <v>13</v>
      </c>
      <c r="B988" s="6" t="s">
        <v>19</v>
      </c>
      <c r="C988" s="7" t="s">
        <v>880</v>
      </c>
      <c r="D988" s="7"/>
      <c r="E988" s="8">
        <v>3.8357918799999999</v>
      </c>
      <c r="F988" s="8">
        <v>2.4176849900000001</v>
      </c>
      <c r="G988" s="7" t="str">
        <f t="shared" si="10"/>
        <v>Direct</v>
      </c>
      <c r="H988" s="7" t="s">
        <v>16</v>
      </c>
    </row>
    <row r="989" spans="1:8" x14ac:dyDescent="0.2">
      <c r="A989" s="5" t="s">
        <v>13</v>
      </c>
      <c r="B989" s="6" t="s">
        <v>19</v>
      </c>
      <c r="C989" s="7" t="s">
        <v>881</v>
      </c>
      <c r="D989" s="7"/>
      <c r="E989" s="8">
        <v>1.65743738</v>
      </c>
      <c r="F989" s="8">
        <v>1.49361334</v>
      </c>
      <c r="G989" s="7" t="str">
        <f t="shared" si="10"/>
        <v>Direct</v>
      </c>
      <c r="H989" s="7" t="s">
        <v>16</v>
      </c>
    </row>
    <row r="990" spans="1:8" x14ac:dyDescent="0.2">
      <c r="A990" s="5" t="s">
        <v>13</v>
      </c>
      <c r="B990" s="6" t="s">
        <v>19</v>
      </c>
      <c r="C990" s="7" t="s">
        <v>882</v>
      </c>
      <c r="D990" s="7"/>
      <c r="E990" s="8">
        <v>-4.0785543000000004</v>
      </c>
      <c r="F990" s="8">
        <v>-2.9962914</v>
      </c>
      <c r="G990" s="7" t="str">
        <f t="shared" si="10"/>
        <v>Direct</v>
      </c>
      <c r="H990" s="7" t="s">
        <v>883</v>
      </c>
    </row>
    <row r="991" spans="1:8" x14ac:dyDescent="0.2">
      <c r="A991" s="5" t="s">
        <v>13</v>
      </c>
      <c r="B991" s="6" t="s">
        <v>19</v>
      </c>
      <c r="C991" s="7" t="s">
        <v>884</v>
      </c>
      <c r="D991" s="7"/>
      <c r="E991" s="8">
        <v>1.5247245300000001</v>
      </c>
      <c r="F991" s="8">
        <v>1.29594828</v>
      </c>
      <c r="G991" s="7" t="str">
        <f t="shared" si="10"/>
        <v>Direct</v>
      </c>
      <c r="H991" s="7" t="s">
        <v>885</v>
      </c>
    </row>
    <row r="992" spans="1:8" x14ac:dyDescent="0.2">
      <c r="A992" s="5" t="s">
        <v>13</v>
      </c>
      <c r="B992" s="6" t="s">
        <v>19</v>
      </c>
      <c r="C992" s="7" t="s">
        <v>886</v>
      </c>
      <c r="D992" s="7"/>
      <c r="E992" s="8">
        <v>1.8434022000000001</v>
      </c>
      <c r="F992" s="8">
        <v>1.53757422</v>
      </c>
      <c r="G992" s="7" t="str">
        <f t="shared" si="10"/>
        <v>Direct</v>
      </c>
      <c r="H992" s="7" t="s">
        <v>16</v>
      </c>
    </row>
    <row r="993" spans="1:8" x14ac:dyDescent="0.2">
      <c r="A993" s="5" t="s">
        <v>13</v>
      </c>
      <c r="B993" s="6" t="s">
        <v>19</v>
      </c>
      <c r="C993" s="7" t="s">
        <v>887</v>
      </c>
      <c r="D993" s="7"/>
      <c r="E993" s="8">
        <v>4.1701432299999999</v>
      </c>
      <c r="F993" s="8">
        <v>1.19828259</v>
      </c>
      <c r="G993" s="7" t="str">
        <f t="shared" si="10"/>
        <v>Direct</v>
      </c>
      <c r="H993" s="7" t="s">
        <v>16</v>
      </c>
    </row>
    <row r="994" spans="1:8" x14ac:dyDescent="0.2">
      <c r="A994" s="5" t="s">
        <v>13</v>
      </c>
      <c r="B994" s="6" t="s">
        <v>19</v>
      </c>
      <c r="C994" s="7" t="s">
        <v>888</v>
      </c>
      <c r="D994" s="7"/>
      <c r="E994" s="8">
        <v>2.70038292</v>
      </c>
      <c r="F994" s="8">
        <v>2.2736775900000001</v>
      </c>
      <c r="G994" s="7" t="str">
        <f t="shared" si="10"/>
        <v>Direct</v>
      </c>
      <c r="H994" s="7" t="s">
        <v>16</v>
      </c>
    </row>
    <row r="995" spans="1:8" x14ac:dyDescent="0.2">
      <c r="A995" s="5" t="s">
        <v>13</v>
      </c>
      <c r="B995" s="6" t="s">
        <v>19</v>
      </c>
      <c r="C995" s="7" t="s">
        <v>889</v>
      </c>
      <c r="D995" s="7"/>
      <c r="E995" s="8">
        <v>-2.1326597</v>
      </c>
      <c r="F995" s="8">
        <v>-2.0720626000000002</v>
      </c>
      <c r="G995" s="7" t="str">
        <f t="shared" si="10"/>
        <v>Direct</v>
      </c>
      <c r="H995" s="7" t="s">
        <v>890</v>
      </c>
    </row>
    <row r="996" spans="1:8" x14ac:dyDescent="0.2">
      <c r="A996" s="5" t="s">
        <v>13</v>
      </c>
      <c r="B996" s="6" t="s">
        <v>19</v>
      </c>
      <c r="C996" s="7" t="s">
        <v>891</v>
      </c>
      <c r="D996" s="7"/>
      <c r="E996" s="8">
        <v>2.3171987600000001</v>
      </c>
      <c r="F996" s="8">
        <v>1.2717141599999999</v>
      </c>
      <c r="G996" s="7" t="str">
        <f t="shared" si="10"/>
        <v>Direct</v>
      </c>
      <c r="H996" s="7" t="s">
        <v>16</v>
      </c>
    </row>
    <row r="997" spans="1:8" x14ac:dyDescent="0.2">
      <c r="A997" s="5" t="s">
        <v>13</v>
      </c>
      <c r="B997" s="6" t="s">
        <v>19</v>
      </c>
      <c r="C997" s="7" t="s">
        <v>892</v>
      </c>
      <c r="D997" s="7"/>
      <c r="E997" s="8">
        <v>-2.6863291999999999</v>
      </c>
      <c r="F997" s="8">
        <v>-4.5274555999999997</v>
      </c>
      <c r="G997" s="7" t="str">
        <f t="shared" si="10"/>
        <v>Direct</v>
      </c>
      <c r="H997" s="7" t="s">
        <v>16</v>
      </c>
    </row>
    <row r="998" spans="1:8" x14ac:dyDescent="0.2">
      <c r="A998" s="5" t="s">
        <v>13</v>
      </c>
      <c r="B998" s="6" t="s">
        <v>19</v>
      </c>
      <c r="C998" s="7" t="s">
        <v>893</v>
      </c>
      <c r="D998" s="7"/>
      <c r="E998" s="8">
        <v>-1.5717947000000001</v>
      </c>
      <c r="F998" s="8">
        <v>-1.5674813000000001</v>
      </c>
      <c r="G998" s="7" t="str">
        <f t="shared" si="10"/>
        <v>Direct</v>
      </c>
      <c r="H998" s="7" t="s">
        <v>16</v>
      </c>
    </row>
    <row r="999" spans="1:8" x14ac:dyDescent="0.2">
      <c r="A999" s="5" t="s">
        <v>13</v>
      </c>
      <c r="B999" s="6" t="s">
        <v>19</v>
      </c>
      <c r="C999" s="7" t="s">
        <v>894</v>
      </c>
      <c r="D999" s="7"/>
      <c r="E999" s="8">
        <v>-2.1999255999999998</v>
      </c>
      <c r="F999" s="8">
        <v>-1.666275</v>
      </c>
      <c r="G999" s="7" t="str">
        <f t="shared" si="10"/>
        <v>Direct</v>
      </c>
      <c r="H999" s="7" t="s">
        <v>895</v>
      </c>
    </row>
    <row r="1000" spans="1:8" x14ac:dyDescent="0.2">
      <c r="A1000" s="5" t="s">
        <v>13</v>
      </c>
      <c r="B1000" s="6" t="s">
        <v>19</v>
      </c>
      <c r="C1000" s="7" t="s">
        <v>896</v>
      </c>
      <c r="D1000" s="7"/>
      <c r="E1000" s="8">
        <v>-2.5442041</v>
      </c>
      <c r="F1000" s="8">
        <v>-1.3726700000000001</v>
      </c>
      <c r="G1000" s="7" t="str">
        <f t="shared" si="10"/>
        <v>Direct</v>
      </c>
      <c r="H1000" s="7" t="s">
        <v>100</v>
      </c>
    </row>
    <row r="1001" spans="1:8" x14ac:dyDescent="0.2">
      <c r="A1001" s="5" t="s">
        <v>13</v>
      </c>
      <c r="B1001" s="6" t="s">
        <v>19</v>
      </c>
      <c r="C1001" s="7" t="s">
        <v>897</v>
      </c>
      <c r="D1001" s="7"/>
      <c r="E1001" s="8">
        <v>-1.8882692000000001</v>
      </c>
      <c r="F1001" s="8">
        <v>-4.8321873000000002</v>
      </c>
      <c r="G1001" s="7" t="str">
        <f t="shared" si="10"/>
        <v>Direct</v>
      </c>
      <c r="H1001" s="7" t="s">
        <v>898</v>
      </c>
    </row>
    <row r="1002" spans="1:8" x14ac:dyDescent="0.2">
      <c r="A1002" s="5" t="s">
        <v>13</v>
      </c>
      <c r="B1002" s="6" t="s">
        <v>19</v>
      </c>
      <c r="C1002" s="7" t="s">
        <v>899</v>
      </c>
      <c r="D1002" s="7"/>
      <c r="E1002" s="8">
        <v>-4.0745684000000004</v>
      </c>
      <c r="F1002" s="8">
        <v>-7.6263740000000002</v>
      </c>
      <c r="G1002" s="7" t="str">
        <f t="shared" si="10"/>
        <v>Direct</v>
      </c>
      <c r="H1002" s="7" t="s">
        <v>900</v>
      </c>
    </row>
    <row r="1003" spans="1:8" x14ac:dyDescent="0.2">
      <c r="A1003" s="5" t="s">
        <v>13</v>
      </c>
      <c r="B1003" s="6" t="s">
        <v>19</v>
      </c>
      <c r="C1003" s="7" t="s">
        <v>901</v>
      </c>
      <c r="D1003" s="7"/>
      <c r="E1003" s="8">
        <v>-1.1094280999999999</v>
      </c>
      <c r="F1003" s="8">
        <v>-1.3263495000000001</v>
      </c>
      <c r="G1003" s="7" t="str">
        <f t="shared" si="10"/>
        <v>Direct</v>
      </c>
      <c r="H1003" s="7" t="s">
        <v>902</v>
      </c>
    </row>
    <row r="1004" spans="1:8" x14ac:dyDescent="0.2">
      <c r="A1004" s="5" t="s">
        <v>13</v>
      </c>
      <c r="B1004" s="6" t="s">
        <v>19</v>
      </c>
      <c r="C1004" s="7" t="s">
        <v>903</v>
      </c>
      <c r="D1004" s="7"/>
      <c r="E1004" s="8">
        <v>-2.2627174999999999</v>
      </c>
      <c r="F1004" s="8">
        <v>-1.3690844</v>
      </c>
      <c r="G1004" s="7" t="str">
        <f t="shared" si="10"/>
        <v>Direct</v>
      </c>
      <c r="H1004" s="7" t="s">
        <v>16</v>
      </c>
    </row>
    <row r="1005" spans="1:8" x14ac:dyDescent="0.2">
      <c r="A1005" s="5" t="s">
        <v>13</v>
      </c>
      <c r="B1005" s="6" t="s">
        <v>19</v>
      </c>
      <c r="C1005" s="7" t="s">
        <v>904</v>
      </c>
      <c r="D1005" s="7"/>
      <c r="E1005" s="8">
        <v>1.1206940700000001</v>
      </c>
      <c r="F1005" s="8">
        <v>1.1057233200000001</v>
      </c>
      <c r="G1005" s="7" t="str">
        <f t="shared" si="10"/>
        <v>Direct</v>
      </c>
      <c r="H1005" s="7" t="s">
        <v>905</v>
      </c>
    </row>
    <row r="1006" spans="1:8" x14ac:dyDescent="0.2">
      <c r="A1006" s="5" t="s">
        <v>13</v>
      </c>
      <c r="B1006" s="6" t="s">
        <v>19</v>
      </c>
      <c r="C1006" s="7" t="s">
        <v>906</v>
      </c>
      <c r="D1006" s="7"/>
      <c r="E1006" s="8">
        <v>-1.8348214</v>
      </c>
      <c r="F1006" s="8">
        <v>-1.3414974</v>
      </c>
      <c r="G1006" s="7" t="str">
        <f t="shared" si="10"/>
        <v>Direct</v>
      </c>
      <c r="H1006" s="7" t="s">
        <v>16</v>
      </c>
    </row>
    <row r="1007" spans="1:8" x14ac:dyDescent="0.2">
      <c r="A1007" s="5" t="s">
        <v>13</v>
      </c>
      <c r="B1007" s="6" t="s">
        <v>19</v>
      </c>
      <c r="C1007" s="7" t="s">
        <v>907</v>
      </c>
      <c r="D1007" s="7"/>
      <c r="E1007" s="8">
        <v>-5.3542680000000002</v>
      </c>
      <c r="F1007" s="8">
        <v>-1.1043232000000001</v>
      </c>
      <c r="G1007" s="7" t="str">
        <f t="shared" si="10"/>
        <v>Direct</v>
      </c>
      <c r="H1007" s="7" t="s">
        <v>908</v>
      </c>
    </row>
    <row r="1008" spans="1:8" x14ac:dyDescent="0.2">
      <c r="A1008" s="5" t="s">
        <v>13</v>
      </c>
      <c r="B1008" s="6" t="s">
        <v>19</v>
      </c>
      <c r="C1008" s="7" t="s">
        <v>909</v>
      </c>
      <c r="D1008" s="7"/>
      <c r="E1008" s="8">
        <v>1.0310285800000001</v>
      </c>
      <c r="F1008" s="8">
        <v>1.6478136400000001</v>
      </c>
      <c r="G1008" s="7" t="str">
        <f t="shared" si="10"/>
        <v>Direct</v>
      </c>
      <c r="H1008" s="7" t="s">
        <v>16</v>
      </c>
    </row>
    <row r="1009" spans="1:8" x14ac:dyDescent="0.2">
      <c r="A1009" s="5" t="s">
        <v>13</v>
      </c>
      <c r="B1009" s="6" t="s">
        <v>19</v>
      </c>
      <c r="C1009" s="7" t="s">
        <v>30</v>
      </c>
      <c r="D1009" s="7"/>
      <c r="E1009" s="8">
        <v>-2.8542277999999999</v>
      </c>
      <c r="F1009" s="8">
        <v>-1.052238</v>
      </c>
      <c r="G1009" s="7" t="str">
        <f t="shared" si="10"/>
        <v>Direct</v>
      </c>
      <c r="H1009" s="7" t="s">
        <v>16</v>
      </c>
    </row>
    <row r="1010" spans="1:8" x14ac:dyDescent="0.2">
      <c r="A1010" s="5" t="s">
        <v>13</v>
      </c>
      <c r="B1010" s="6" t="s">
        <v>19</v>
      </c>
      <c r="C1010" s="7" t="s">
        <v>910</v>
      </c>
      <c r="D1010" s="7"/>
      <c r="E1010" s="8">
        <v>5.6295348599999997</v>
      </c>
      <c r="F1010" s="8">
        <v>4.9531387999999996</v>
      </c>
      <c r="G1010" s="7" t="str">
        <f t="shared" si="10"/>
        <v>Direct</v>
      </c>
      <c r="H1010" s="7" t="s">
        <v>911</v>
      </c>
    </row>
    <row r="1011" spans="1:8" x14ac:dyDescent="0.2">
      <c r="A1011" s="5" t="s">
        <v>13</v>
      </c>
      <c r="B1011" s="6" t="s">
        <v>19</v>
      </c>
      <c r="C1011" s="7" t="s">
        <v>912</v>
      </c>
      <c r="D1011" s="7"/>
      <c r="E1011" s="8">
        <v>-1.0658957</v>
      </c>
      <c r="F1011" s="8">
        <v>-1.0386245999999999</v>
      </c>
      <c r="G1011" s="7" t="str">
        <f t="shared" si="10"/>
        <v>Direct</v>
      </c>
      <c r="H1011" s="7" t="s">
        <v>913</v>
      </c>
    </row>
    <row r="1012" spans="1:8" x14ac:dyDescent="0.2">
      <c r="A1012" s="5" t="s">
        <v>13</v>
      </c>
      <c r="B1012" s="6" t="s">
        <v>19</v>
      </c>
      <c r="C1012" s="7" t="s">
        <v>31</v>
      </c>
      <c r="D1012" s="7"/>
      <c r="E1012" s="8">
        <v>-14.616334</v>
      </c>
      <c r="F1012" s="8">
        <v>-8.6631537999999999</v>
      </c>
      <c r="G1012" s="7" t="str">
        <f t="shared" si="10"/>
        <v>Direct</v>
      </c>
      <c r="H1012" s="7" t="s">
        <v>32</v>
      </c>
    </row>
    <row r="1013" spans="1:8" x14ac:dyDescent="0.2">
      <c r="A1013" s="5" t="s">
        <v>13</v>
      </c>
      <c r="B1013" s="6" t="s">
        <v>19</v>
      </c>
      <c r="C1013" s="7" t="s">
        <v>914</v>
      </c>
      <c r="D1013" s="7"/>
      <c r="E1013" s="8">
        <v>2.9108613399999999</v>
      </c>
      <c r="F1013" s="8">
        <v>2.1019597399999999</v>
      </c>
      <c r="G1013" s="7" t="str">
        <f t="shared" si="10"/>
        <v>Direct</v>
      </c>
      <c r="H1013" s="7" t="s">
        <v>525</v>
      </c>
    </row>
    <row r="1014" spans="1:8" x14ac:dyDescent="0.2">
      <c r="A1014" s="5" t="s">
        <v>13</v>
      </c>
      <c r="B1014" s="6" t="s">
        <v>19</v>
      </c>
      <c r="C1014" s="7" t="s">
        <v>915</v>
      </c>
      <c r="D1014" s="7"/>
      <c r="E1014" s="8">
        <v>-1.7658727999999999</v>
      </c>
      <c r="F1014" s="8">
        <v>-2.2935824999999999</v>
      </c>
      <c r="G1014" s="7" t="str">
        <f t="shared" si="10"/>
        <v>Direct</v>
      </c>
      <c r="H1014" s="7" t="s">
        <v>916</v>
      </c>
    </row>
    <row r="1015" spans="1:8" x14ac:dyDescent="0.2">
      <c r="A1015" s="5" t="s">
        <v>13</v>
      </c>
      <c r="B1015" s="6" t="s">
        <v>19</v>
      </c>
      <c r="C1015" s="7" t="s">
        <v>917</v>
      </c>
      <c r="D1015" s="7"/>
      <c r="E1015" s="8">
        <v>-2.10642</v>
      </c>
      <c r="F1015" s="8">
        <v>-1.5846027</v>
      </c>
      <c r="G1015" s="7" t="str">
        <f t="shared" si="10"/>
        <v>Direct</v>
      </c>
      <c r="H1015" s="7" t="s">
        <v>16</v>
      </c>
    </row>
    <row r="1016" spans="1:8" x14ac:dyDescent="0.2">
      <c r="A1016" s="5" t="s">
        <v>13</v>
      </c>
      <c r="B1016" s="6" t="s">
        <v>19</v>
      </c>
      <c r="C1016" s="7" t="s">
        <v>34</v>
      </c>
      <c r="D1016" s="7"/>
      <c r="E1016" s="8">
        <v>-4.2735700999999997</v>
      </c>
      <c r="F1016" s="8">
        <v>-3.1596090999999999</v>
      </c>
      <c r="G1016" s="7" t="str">
        <f t="shared" si="10"/>
        <v>Direct</v>
      </c>
      <c r="H1016" s="7" t="s">
        <v>35</v>
      </c>
    </row>
    <row r="1017" spans="1:8" x14ac:dyDescent="0.2">
      <c r="A1017" s="5" t="s">
        <v>13</v>
      </c>
      <c r="B1017" s="6" t="s">
        <v>19</v>
      </c>
      <c r="C1017" s="7" t="s">
        <v>918</v>
      </c>
      <c r="D1017" s="7"/>
      <c r="E1017" s="8">
        <v>-1.7852657999999999</v>
      </c>
      <c r="F1017" s="8">
        <v>-1.1347411999999999</v>
      </c>
      <c r="G1017" s="7" t="str">
        <f t="shared" si="10"/>
        <v>Direct</v>
      </c>
      <c r="H1017" s="7" t="s">
        <v>919</v>
      </c>
    </row>
    <row r="1018" spans="1:8" x14ac:dyDescent="0.2">
      <c r="A1018" s="5" t="s">
        <v>13</v>
      </c>
      <c r="B1018" s="6" t="s">
        <v>19</v>
      </c>
      <c r="C1018" s="7" t="s">
        <v>920</v>
      </c>
      <c r="D1018" s="7"/>
      <c r="E1018" s="8">
        <v>2.4066046399999999</v>
      </c>
      <c r="F1018" s="8">
        <v>2.5925827799999999</v>
      </c>
      <c r="G1018" s="7" t="str">
        <f t="shared" si="10"/>
        <v>Direct</v>
      </c>
      <c r="H1018" s="7" t="s">
        <v>921</v>
      </c>
    </row>
    <row r="1019" spans="1:8" x14ac:dyDescent="0.2">
      <c r="A1019" s="5" t="s">
        <v>13</v>
      </c>
      <c r="B1019" s="6" t="s">
        <v>19</v>
      </c>
      <c r="C1019" s="7" t="s">
        <v>922</v>
      </c>
      <c r="D1019" s="7"/>
      <c r="E1019" s="8">
        <v>-1.1797797999999999</v>
      </c>
      <c r="F1019" s="8">
        <v>-1.3062514999999999</v>
      </c>
      <c r="G1019" s="7" t="str">
        <f t="shared" si="10"/>
        <v>Direct</v>
      </c>
      <c r="H1019" s="7" t="s">
        <v>923</v>
      </c>
    </row>
    <row r="1020" spans="1:8" x14ac:dyDescent="0.2">
      <c r="A1020" s="5" t="s">
        <v>13</v>
      </c>
      <c r="B1020" s="6" t="s">
        <v>19</v>
      </c>
      <c r="C1020" s="7" t="s">
        <v>924</v>
      </c>
      <c r="D1020" s="7"/>
      <c r="E1020" s="8">
        <v>-1.8818741000000001</v>
      </c>
      <c r="F1020" s="8">
        <v>-1.0554344</v>
      </c>
      <c r="G1020" s="7" t="str">
        <f t="shared" si="10"/>
        <v>Direct</v>
      </c>
      <c r="H1020" s="7" t="s">
        <v>16</v>
      </c>
    </row>
    <row r="1021" spans="1:8" x14ac:dyDescent="0.2">
      <c r="A1021" s="5" t="s">
        <v>13</v>
      </c>
      <c r="B1021" s="6" t="s">
        <v>19</v>
      </c>
      <c r="C1021" s="7" t="s">
        <v>925</v>
      </c>
      <c r="D1021" s="7"/>
      <c r="E1021" s="8">
        <v>-2.2345210999999998</v>
      </c>
      <c r="F1021" s="8">
        <v>-1.8234892</v>
      </c>
      <c r="G1021" s="7" t="str">
        <f t="shared" si="10"/>
        <v>Direct</v>
      </c>
      <c r="H1021" s="7" t="s">
        <v>16</v>
      </c>
    </row>
    <row r="1022" spans="1:8" x14ac:dyDescent="0.2">
      <c r="A1022" s="5" t="s">
        <v>13</v>
      </c>
      <c r="B1022" s="6" t="s">
        <v>19</v>
      </c>
      <c r="C1022" s="7" t="s">
        <v>926</v>
      </c>
      <c r="D1022" s="7"/>
      <c r="E1022" s="8">
        <v>-1.7126157</v>
      </c>
      <c r="F1022" s="8">
        <v>-1.6239991</v>
      </c>
      <c r="G1022" s="7" t="str">
        <f t="shared" si="10"/>
        <v>Direct</v>
      </c>
      <c r="H1022" s="7" t="s">
        <v>16</v>
      </c>
    </row>
    <row r="1023" spans="1:8" x14ac:dyDescent="0.2">
      <c r="A1023" s="5" t="s">
        <v>13</v>
      </c>
      <c r="B1023" s="6" t="s">
        <v>19</v>
      </c>
      <c r="C1023" s="7" t="s">
        <v>927</v>
      </c>
      <c r="D1023" s="7"/>
      <c r="E1023" s="8">
        <v>2.9723884200000001</v>
      </c>
      <c r="F1023" s="8">
        <v>1.0588926700000001</v>
      </c>
      <c r="G1023" s="7" t="str">
        <f t="shared" si="10"/>
        <v>Direct</v>
      </c>
      <c r="H1023" s="7" t="s">
        <v>627</v>
      </c>
    </row>
    <row r="1024" spans="1:8" x14ac:dyDescent="0.2">
      <c r="A1024" s="5" t="s">
        <v>13</v>
      </c>
      <c r="B1024" s="6" t="s">
        <v>19</v>
      </c>
      <c r="C1024" s="7" t="s">
        <v>41</v>
      </c>
      <c r="D1024" s="7"/>
      <c r="E1024" s="8">
        <v>-1.5378978999999999</v>
      </c>
      <c r="F1024" s="8">
        <v>-1.3866202999999999</v>
      </c>
      <c r="G1024" s="7" t="str">
        <f t="shared" si="10"/>
        <v>Direct</v>
      </c>
      <c r="H1024" s="7" t="s">
        <v>42</v>
      </c>
    </row>
    <row r="1025" spans="1:8" x14ac:dyDescent="0.2">
      <c r="A1025" s="5" t="s">
        <v>13</v>
      </c>
      <c r="B1025" s="6" t="s">
        <v>19</v>
      </c>
      <c r="C1025" s="7" t="s">
        <v>928</v>
      </c>
      <c r="D1025" s="7"/>
      <c r="E1025" s="8">
        <v>-1.4187768000000001</v>
      </c>
      <c r="F1025" s="8">
        <v>-5.0301118000000002</v>
      </c>
      <c r="G1025" s="7" t="str">
        <f t="shared" si="10"/>
        <v>Direct</v>
      </c>
      <c r="H1025" s="7" t="s">
        <v>929</v>
      </c>
    </row>
    <row r="1026" spans="1:8" x14ac:dyDescent="0.2">
      <c r="A1026" s="5" t="s">
        <v>13</v>
      </c>
      <c r="B1026" s="6" t="s">
        <v>19</v>
      </c>
      <c r="C1026" s="7" t="s">
        <v>930</v>
      </c>
      <c r="D1026" s="7"/>
      <c r="E1026" s="8">
        <v>-2.6374094000000001</v>
      </c>
      <c r="F1026" s="8">
        <v>-3.3610758999999999</v>
      </c>
      <c r="G1026" s="7" t="str">
        <f t="shared" si="10"/>
        <v>Direct</v>
      </c>
      <c r="H1026" s="7" t="s">
        <v>931</v>
      </c>
    </row>
    <row r="1027" spans="1:8" x14ac:dyDescent="0.2">
      <c r="A1027" s="5" t="s">
        <v>13</v>
      </c>
      <c r="B1027" s="6" t="s">
        <v>19</v>
      </c>
      <c r="C1027" s="7" t="s">
        <v>932</v>
      </c>
      <c r="D1027" s="7"/>
      <c r="E1027" s="8">
        <v>2.70038292</v>
      </c>
      <c r="F1027" s="8">
        <v>1.9423323800000001</v>
      </c>
      <c r="G1027" s="7" t="str">
        <f t="shared" si="10"/>
        <v>Direct</v>
      </c>
      <c r="H1027" s="7" t="s">
        <v>810</v>
      </c>
    </row>
    <row r="1028" spans="1:8" x14ac:dyDescent="0.2">
      <c r="A1028" s="5" t="s">
        <v>13</v>
      </c>
      <c r="B1028" s="6" t="s">
        <v>19</v>
      </c>
      <c r="C1028" s="7" t="s">
        <v>933</v>
      </c>
      <c r="D1028" s="7"/>
      <c r="E1028" s="8">
        <v>-1.5697021</v>
      </c>
      <c r="F1028" s="8">
        <v>-1.5793957999999999</v>
      </c>
      <c r="G1028" s="7" t="str">
        <f t="shared" si="10"/>
        <v>Direct</v>
      </c>
      <c r="H1028" s="7" t="s">
        <v>934</v>
      </c>
    </row>
    <row r="1029" spans="1:8" x14ac:dyDescent="0.2">
      <c r="A1029" s="5" t="s">
        <v>13</v>
      </c>
      <c r="B1029" s="6" t="s">
        <v>19</v>
      </c>
      <c r="C1029" s="7" t="s">
        <v>935</v>
      </c>
      <c r="D1029" s="7"/>
      <c r="E1029" s="8">
        <v>1.10055645</v>
      </c>
      <c r="F1029" s="8">
        <v>2.3362372200000001</v>
      </c>
      <c r="G1029" s="7" t="str">
        <f t="shared" si="10"/>
        <v>Direct</v>
      </c>
      <c r="H1029" s="7" t="s">
        <v>936</v>
      </c>
    </row>
    <row r="1030" spans="1:8" x14ac:dyDescent="0.2">
      <c r="A1030" s="5" t="s">
        <v>13</v>
      </c>
      <c r="B1030" s="6" t="s">
        <v>19</v>
      </c>
      <c r="C1030" s="7" t="s">
        <v>937</v>
      </c>
      <c r="D1030" s="7"/>
      <c r="E1030" s="8">
        <v>3.4108587899999998</v>
      </c>
      <c r="F1030" s="8">
        <v>2.1634651800000002</v>
      </c>
      <c r="G1030" s="7" t="str">
        <f t="shared" si="10"/>
        <v>Direct</v>
      </c>
      <c r="H1030" s="7" t="s">
        <v>16</v>
      </c>
    </row>
    <row r="1031" spans="1:8" x14ac:dyDescent="0.2">
      <c r="A1031" s="5" t="s">
        <v>13</v>
      </c>
      <c r="B1031" s="6" t="s">
        <v>19</v>
      </c>
      <c r="C1031" s="7" t="s">
        <v>43</v>
      </c>
      <c r="D1031" s="7"/>
      <c r="E1031" s="8">
        <v>5.9881867099999999</v>
      </c>
      <c r="F1031" s="8">
        <v>2.4620991999999999</v>
      </c>
      <c r="G1031" s="7" t="str">
        <f t="shared" si="10"/>
        <v>Direct</v>
      </c>
      <c r="H1031" s="7" t="s">
        <v>44</v>
      </c>
    </row>
    <row r="1032" spans="1:8" x14ac:dyDescent="0.2">
      <c r="A1032" s="5" t="s">
        <v>13</v>
      </c>
      <c r="B1032" s="6" t="s">
        <v>19</v>
      </c>
      <c r="C1032" s="7" t="s">
        <v>938</v>
      </c>
      <c r="D1032" s="7"/>
      <c r="E1032" s="8">
        <v>-1.1822444000000001</v>
      </c>
      <c r="F1032" s="8">
        <v>-1.3876819</v>
      </c>
      <c r="G1032" s="7" t="str">
        <f t="shared" si="10"/>
        <v>Direct</v>
      </c>
      <c r="H1032" s="7" t="s">
        <v>939</v>
      </c>
    </row>
    <row r="1033" spans="1:8" x14ac:dyDescent="0.2">
      <c r="A1033" s="5" t="s">
        <v>13</v>
      </c>
      <c r="B1033" s="6" t="s">
        <v>19</v>
      </c>
      <c r="C1033" s="7" t="s">
        <v>45</v>
      </c>
      <c r="D1033" s="7"/>
      <c r="E1033" s="8">
        <v>-2.2290597999999999</v>
      </c>
      <c r="F1033" s="8">
        <v>-2.0135564000000001</v>
      </c>
      <c r="G1033" s="7" t="str">
        <f t="shared" si="10"/>
        <v>Direct</v>
      </c>
      <c r="H1033" s="7" t="s">
        <v>46</v>
      </c>
    </row>
    <row r="1034" spans="1:8" x14ac:dyDescent="0.2">
      <c r="A1034" s="5" t="s">
        <v>13</v>
      </c>
      <c r="B1034" s="6" t="s">
        <v>19</v>
      </c>
      <c r="C1034" s="7" t="s">
        <v>940</v>
      </c>
      <c r="D1034" s="7"/>
      <c r="E1034" s="8">
        <v>-4.1575055000000001</v>
      </c>
      <c r="F1034" s="8">
        <v>-2.1584203</v>
      </c>
      <c r="G1034" s="7" t="str">
        <f t="shared" si="10"/>
        <v>Direct</v>
      </c>
      <c r="H1034" s="7" t="s">
        <v>941</v>
      </c>
    </row>
    <row r="1035" spans="1:8" x14ac:dyDescent="0.2">
      <c r="A1035" s="5" t="s">
        <v>13</v>
      </c>
      <c r="B1035" s="6" t="s">
        <v>19</v>
      </c>
      <c r="C1035" s="7" t="s">
        <v>47</v>
      </c>
      <c r="D1035" s="7"/>
      <c r="E1035" s="8">
        <v>-1.4033551</v>
      </c>
      <c r="F1035" s="8">
        <v>-1.7362534999999999</v>
      </c>
      <c r="G1035" s="7" t="str">
        <f t="shared" si="10"/>
        <v>Direct</v>
      </c>
      <c r="H1035" s="7" t="s">
        <v>16</v>
      </c>
    </row>
    <row r="1036" spans="1:8" x14ac:dyDescent="0.2">
      <c r="A1036" s="5" t="s">
        <v>13</v>
      </c>
      <c r="B1036" s="6" t="s">
        <v>19</v>
      </c>
      <c r="C1036" s="7" t="s">
        <v>49</v>
      </c>
      <c r="D1036" s="7"/>
      <c r="E1036" s="8">
        <v>-7.8110396</v>
      </c>
      <c r="F1036" s="8">
        <v>-5.7932905999999997</v>
      </c>
      <c r="G1036" s="7" t="str">
        <f t="shared" si="10"/>
        <v>Direct</v>
      </c>
      <c r="H1036" s="7" t="s">
        <v>16</v>
      </c>
    </row>
    <row r="1037" spans="1:8" x14ac:dyDescent="0.2">
      <c r="A1037" s="5" t="s">
        <v>13</v>
      </c>
      <c r="B1037" s="6" t="s">
        <v>19</v>
      </c>
      <c r="C1037" s="7" t="s">
        <v>942</v>
      </c>
      <c r="D1037" s="7"/>
      <c r="E1037" s="8">
        <v>1.29238974</v>
      </c>
      <c r="F1037" s="8">
        <v>1.40610254</v>
      </c>
      <c r="G1037" s="7" t="str">
        <f t="shared" si="10"/>
        <v>Direct</v>
      </c>
      <c r="H1037" s="7" t="s">
        <v>943</v>
      </c>
    </row>
    <row r="1038" spans="1:8" x14ac:dyDescent="0.2">
      <c r="A1038" s="5" t="s">
        <v>13</v>
      </c>
      <c r="B1038" s="6" t="s">
        <v>19</v>
      </c>
      <c r="C1038" s="7" t="s">
        <v>944</v>
      </c>
      <c r="D1038" s="7"/>
      <c r="E1038" s="8">
        <v>3.18639904</v>
      </c>
      <c r="F1038" s="8">
        <v>3.8316533700000002</v>
      </c>
      <c r="G1038" s="7" t="str">
        <f t="shared" si="10"/>
        <v>Direct</v>
      </c>
      <c r="H1038" s="7" t="s">
        <v>16</v>
      </c>
    </row>
    <row r="1039" spans="1:8" x14ac:dyDescent="0.2">
      <c r="A1039" s="5" t="s">
        <v>13</v>
      </c>
      <c r="B1039" s="6" t="s">
        <v>19</v>
      </c>
      <c r="C1039" s="7" t="s">
        <v>945</v>
      </c>
      <c r="D1039" s="7"/>
      <c r="E1039" s="8">
        <v>1.7105668199999999</v>
      </c>
      <c r="F1039" s="8">
        <v>1.41040162</v>
      </c>
      <c r="G1039" s="7" t="str">
        <f t="shared" si="10"/>
        <v>Direct</v>
      </c>
      <c r="H1039" s="7" t="s">
        <v>946</v>
      </c>
    </row>
    <row r="1040" spans="1:8" x14ac:dyDescent="0.2">
      <c r="A1040" s="5" t="s">
        <v>13</v>
      </c>
      <c r="B1040" s="6" t="s">
        <v>19</v>
      </c>
      <c r="C1040" s="7" t="s">
        <v>947</v>
      </c>
      <c r="D1040" s="7"/>
      <c r="E1040" s="8">
        <v>-5.0434539000000003</v>
      </c>
      <c r="F1040" s="8">
        <v>-4.3447884999999999</v>
      </c>
      <c r="G1040" s="7" t="str">
        <f t="shared" si="10"/>
        <v>Direct</v>
      </c>
      <c r="H1040" s="7" t="s">
        <v>88</v>
      </c>
    </row>
    <row r="1041" spans="1:8" x14ac:dyDescent="0.2">
      <c r="A1041" s="5" t="s">
        <v>13</v>
      </c>
      <c r="B1041" s="6" t="s">
        <v>19</v>
      </c>
      <c r="C1041" s="7" t="s">
        <v>948</v>
      </c>
      <c r="D1041" s="7"/>
      <c r="E1041" s="8">
        <v>7.5072132500000004</v>
      </c>
      <c r="F1041" s="8">
        <v>4.8356880799999997</v>
      </c>
      <c r="G1041" s="7" t="str">
        <f t="shared" si="10"/>
        <v>Direct</v>
      </c>
      <c r="H1041" s="7" t="s">
        <v>16</v>
      </c>
    </row>
    <row r="1042" spans="1:8" x14ac:dyDescent="0.2">
      <c r="A1042" s="5" t="s">
        <v>13</v>
      </c>
      <c r="B1042" s="6" t="s">
        <v>19</v>
      </c>
      <c r="C1042" s="7" t="s">
        <v>949</v>
      </c>
      <c r="D1042" s="7"/>
      <c r="E1042" s="8">
        <v>4.72070466</v>
      </c>
      <c r="F1042" s="8">
        <v>1.8823118299999999</v>
      </c>
      <c r="G1042" s="7" t="str">
        <f t="shared" si="10"/>
        <v>Direct</v>
      </c>
      <c r="H1042" s="7" t="s">
        <v>16</v>
      </c>
    </row>
    <row r="1043" spans="1:8" x14ac:dyDescent="0.2">
      <c r="A1043" s="5" t="s">
        <v>13</v>
      </c>
      <c r="B1043" s="6" t="s">
        <v>19</v>
      </c>
      <c r="C1043" s="7" t="s">
        <v>950</v>
      </c>
      <c r="D1043" s="7"/>
      <c r="E1043" s="8">
        <v>2.0865963700000001</v>
      </c>
      <c r="F1043" s="8">
        <v>1.58542597</v>
      </c>
      <c r="G1043" s="7" t="str">
        <f t="shared" si="10"/>
        <v>Direct</v>
      </c>
      <c r="H1043" s="7" t="s">
        <v>16</v>
      </c>
    </row>
    <row r="1044" spans="1:8" x14ac:dyDescent="0.2">
      <c r="A1044" s="5" t="s">
        <v>13</v>
      </c>
      <c r="B1044" s="6" t="s">
        <v>19</v>
      </c>
      <c r="C1044" s="7" t="s">
        <v>951</v>
      </c>
      <c r="D1044" s="7"/>
      <c r="E1044" s="8">
        <v>-3.2791481999999998</v>
      </c>
      <c r="F1044" s="8">
        <v>-2.1642073000000002</v>
      </c>
      <c r="G1044" s="7" t="str">
        <f t="shared" si="10"/>
        <v>Direct</v>
      </c>
      <c r="H1044" s="7" t="s">
        <v>952</v>
      </c>
    </row>
    <row r="1045" spans="1:8" x14ac:dyDescent="0.2">
      <c r="A1045" s="5" t="s">
        <v>13</v>
      </c>
      <c r="B1045" s="6" t="s">
        <v>19</v>
      </c>
      <c r="C1045" s="7" t="s">
        <v>953</v>
      </c>
      <c r="D1045" s="7"/>
      <c r="E1045" s="8">
        <v>-1.6679499</v>
      </c>
      <c r="F1045" s="8">
        <v>-2.3465715</v>
      </c>
      <c r="G1045" s="7" t="str">
        <f t="shared" si="10"/>
        <v>Direct</v>
      </c>
      <c r="H1045" s="7" t="s">
        <v>16</v>
      </c>
    </row>
    <row r="1046" spans="1:8" x14ac:dyDescent="0.2">
      <c r="A1046" s="5" t="s">
        <v>13</v>
      </c>
      <c r="B1046" s="6" t="s">
        <v>19</v>
      </c>
      <c r="C1046" s="7" t="s">
        <v>954</v>
      </c>
      <c r="D1046" s="7"/>
      <c r="E1046" s="8">
        <v>1.4284884600000001</v>
      </c>
      <c r="F1046" s="8">
        <v>1.4152854500000001</v>
      </c>
      <c r="G1046" s="7" t="str">
        <f t="shared" si="10"/>
        <v>Direct</v>
      </c>
      <c r="H1046" s="7" t="s">
        <v>955</v>
      </c>
    </row>
    <row r="1047" spans="1:8" x14ac:dyDescent="0.2">
      <c r="A1047" s="5" t="s">
        <v>13</v>
      </c>
      <c r="B1047" s="6" t="s">
        <v>19</v>
      </c>
      <c r="C1047" s="7" t="s">
        <v>956</v>
      </c>
      <c r="D1047" s="7"/>
      <c r="E1047" s="8">
        <v>-2.7882532000000002</v>
      </c>
      <c r="F1047" s="8">
        <v>-1.7661349</v>
      </c>
      <c r="G1047" s="7" t="str">
        <f t="shared" si="10"/>
        <v>Direct</v>
      </c>
      <c r="H1047" s="7" t="s">
        <v>957</v>
      </c>
    </row>
    <row r="1048" spans="1:8" x14ac:dyDescent="0.2">
      <c r="A1048" s="5" t="s">
        <v>13</v>
      </c>
      <c r="B1048" s="6" t="s">
        <v>19</v>
      </c>
      <c r="C1048" s="7" t="s">
        <v>958</v>
      </c>
      <c r="D1048" s="7"/>
      <c r="E1048" s="8">
        <v>-1.8899238</v>
      </c>
      <c r="F1048" s="8">
        <v>-1.5602530999999999</v>
      </c>
      <c r="G1048" s="7" t="str">
        <f t="shared" si="10"/>
        <v>Direct</v>
      </c>
      <c r="H1048" s="7" t="s">
        <v>959</v>
      </c>
    </row>
    <row r="1049" spans="1:8" x14ac:dyDescent="0.2">
      <c r="A1049" s="5" t="s">
        <v>13</v>
      </c>
      <c r="B1049" s="6" t="s">
        <v>19</v>
      </c>
      <c r="C1049" s="7" t="s">
        <v>960</v>
      </c>
      <c r="D1049" s="7"/>
      <c r="E1049" s="8">
        <v>1.9196573800000001</v>
      </c>
      <c r="F1049" s="8">
        <v>4.2073721099999997</v>
      </c>
      <c r="G1049" s="7" t="str">
        <f t="shared" si="10"/>
        <v>Direct</v>
      </c>
      <c r="H1049" s="7" t="s">
        <v>961</v>
      </c>
    </row>
    <row r="1050" spans="1:8" x14ac:dyDescent="0.2">
      <c r="A1050" s="5" t="s">
        <v>13</v>
      </c>
      <c r="B1050" s="6" t="s">
        <v>19</v>
      </c>
      <c r="C1050" s="7" t="s">
        <v>962</v>
      </c>
      <c r="D1050" s="7"/>
      <c r="E1050" s="8">
        <v>3.80379712</v>
      </c>
      <c r="F1050" s="8">
        <v>3.56090068</v>
      </c>
      <c r="G1050" s="7" t="str">
        <f t="shared" si="10"/>
        <v>Direct</v>
      </c>
      <c r="H1050" s="7" t="s">
        <v>963</v>
      </c>
    </row>
    <row r="1051" spans="1:8" x14ac:dyDescent="0.2">
      <c r="A1051" s="5" t="s">
        <v>13</v>
      </c>
      <c r="B1051" s="6" t="s">
        <v>19</v>
      </c>
      <c r="C1051" s="7" t="s">
        <v>51</v>
      </c>
      <c r="D1051" s="7"/>
      <c r="E1051" s="8">
        <v>-10.598463000000001</v>
      </c>
      <c r="F1051" s="8">
        <v>-7.8708074000000003</v>
      </c>
      <c r="G1051" s="7" t="str">
        <f t="shared" si="10"/>
        <v>Direct</v>
      </c>
      <c r="H1051" s="7" t="s">
        <v>16</v>
      </c>
    </row>
    <row r="1052" spans="1:8" x14ac:dyDescent="0.2">
      <c r="A1052" s="5" t="s">
        <v>13</v>
      </c>
      <c r="B1052" s="6" t="s">
        <v>19</v>
      </c>
      <c r="C1052" s="7" t="s">
        <v>964</v>
      </c>
      <c r="D1052" s="7"/>
      <c r="E1052" s="8">
        <v>-1.5098426</v>
      </c>
      <c r="F1052" s="8">
        <v>-6.5150566999999997</v>
      </c>
      <c r="G1052" s="7" t="str">
        <f t="shared" si="10"/>
        <v>Direct</v>
      </c>
      <c r="H1052" s="7" t="s">
        <v>965</v>
      </c>
    </row>
    <row r="1053" spans="1:8" x14ac:dyDescent="0.2">
      <c r="A1053" s="5" t="s">
        <v>13</v>
      </c>
      <c r="B1053" s="6" t="s">
        <v>19</v>
      </c>
      <c r="C1053" s="7" t="s">
        <v>53</v>
      </c>
      <c r="D1053" s="7"/>
      <c r="E1053" s="8">
        <v>-3.8942369999999999</v>
      </c>
      <c r="F1053" s="8">
        <v>-2.7181746000000002</v>
      </c>
      <c r="G1053" s="7" t="str">
        <f t="shared" si="10"/>
        <v>Direct</v>
      </c>
      <c r="H1053" s="7" t="s">
        <v>16</v>
      </c>
    </row>
    <row r="1054" spans="1:8" x14ac:dyDescent="0.2">
      <c r="A1054" s="5" t="s">
        <v>13</v>
      </c>
      <c r="B1054" s="6" t="s">
        <v>19</v>
      </c>
      <c r="C1054" s="7" t="s">
        <v>966</v>
      </c>
      <c r="D1054" s="7"/>
      <c r="E1054" s="8">
        <v>1.6971596099999999</v>
      </c>
      <c r="F1054" s="8">
        <v>1.1385464199999999</v>
      </c>
      <c r="G1054" s="7" t="str">
        <f t="shared" si="10"/>
        <v>Direct</v>
      </c>
      <c r="H1054" s="7" t="s">
        <v>248</v>
      </c>
    </row>
    <row r="1055" spans="1:8" x14ac:dyDescent="0.2">
      <c r="A1055" s="5" t="s">
        <v>13</v>
      </c>
      <c r="B1055" s="6" t="s">
        <v>19</v>
      </c>
      <c r="C1055" s="7" t="s">
        <v>54</v>
      </c>
      <c r="D1055" s="7"/>
      <c r="E1055" s="8">
        <v>-5.8995116999999997</v>
      </c>
      <c r="F1055" s="8">
        <v>-5.7731380000000003</v>
      </c>
      <c r="G1055" s="7" t="str">
        <f t="shared" si="10"/>
        <v>Direct</v>
      </c>
      <c r="H1055" s="7" t="s">
        <v>16</v>
      </c>
    </row>
    <row r="1056" spans="1:8" x14ac:dyDescent="0.2">
      <c r="A1056" s="5" t="s">
        <v>13</v>
      </c>
      <c r="B1056" s="6" t="s">
        <v>19</v>
      </c>
      <c r="C1056" s="7" t="s">
        <v>967</v>
      </c>
      <c r="D1056" s="7"/>
      <c r="E1056" s="8">
        <v>-3.5323981999999998</v>
      </c>
      <c r="F1056" s="8">
        <v>-3.9704457999999998</v>
      </c>
      <c r="G1056" s="7" t="str">
        <f t="shared" si="10"/>
        <v>Direct</v>
      </c>
      <c r="H1056" s="7" t="s">
        <v>968</v>
      </c>
    </row>
    <row r="1057" spans="1:8" x14ac:dyDescent="0.2">
      <c r="A1057" s="5" t="s">
        <v>13</v>
      </c>
      <c r="B1057" s="6" t="s">
        <v>19</v>
      </c>
      <c r="C1057" s="7" t="s">
        <v>969</v>
      </c>
      <c r="D1057" s="7"/>
      <c r="E1057" s="8">
        <v>-4.3141511000000001</v>
      </c>
      <c r="F1057" s="8">
        <v>-2.1134659</v>
      </c>
      <c r="G1057" s="7" t="str">
        <f t="shared" si="10"/>
        <v>Direct</v>
      </c>
      <c r="H1057" s="7" t="s">
        <v>970</v>
      </c>
    </row>
    <row r="1058" spans="1:8" x14ac:dyDescent="0.2">
      <c r="A1058" s="5" t="s">
        <v>13</v>
      </c>
      <c r="B1058" s="6" t="s">
        <v>19</v>
      </c>
      <c r="C1058" s="7" t="s">
        <v>971</v>
      </c>
      <c r="D1058" s="7"/>
      <c r="E1058" s="8">
        <v>-3.8629305999999999</v>
      </c>
      <c r="F1058" s="8">
        <v>-2.8951039000000001</v>
      </c>
      <c r="G1058" s="7" t="str">
        <f t="shared" si="10"/>
        <v>Direct</v>
      </c>
      <c r="H1058" s="7" t="s">
        <v>16</v>
      </c>
    </row>
    <row r="1059" spans="1:8" x14ac:dyDescent="0.2">
      <c r="A1059" s="5" t="s">
        <v>13</v>
      </c>
      <c r="B1059" s="6" t="s">
        <v>19</v>
      </c>
      <c r="C1059" s="7" t="s">
        <v>972</v>
      </c>
      <c r="D1059" s="7"/>
      <c r="E1059" s="8">
        <v>6.8226510200000003</v>
      </c>
      <c r="F1059" s="8">
        <v>5.7932906300000004</v>
      </c>
      <c r="G1059" s="7" t="str">
        <f t="shared" si="10"/>
        <v>Direct</v>
      </c>
      <c r="H1059" s="7" t="s">
        <v>973</v>
      </c>
    </row>
    <row r="1060" spans="1:8" x14ac:dyDescent="0.2">
      <c r="A1060" s="5" t="s">
        <v>13</v>
      </c>
      <c r="B1060" s="6" t="s">
        <v>19</v>
      </c>
      <c r="C1060" s="7" t="s">
        <v>974</v>
      </c>
      <c r="D1060" s="7"/>
      <c r="E1060" s="8">
        <v>-1.5997128</v>
      </c>
      <c r="F1060" s="8">
        <v>-1.2740079</v>
      </c>
      <c r="G1060" s="7" t="str">
        <f t="shared" si="10"/>
        <v>Direct</v>
      </c>
      <c r="H1060" s="7" t="s">
        <v>975</v>
      </c>
    </row>
    <row r="1061" spans="1:8" x14ac:dyDescent="0.2">
      <c r="A1061" s="5" t="s">
        <v>13</v>
      </c>
      <c r="B1061" s="6" t="s">
        <v>19</v>
      </c>
      <c r="C1061" s="7" t="s">
        <v>976</v>
      </c>
      <c r="D1061" s="7"/>
      <c r="E1061" s="8">
        <v>-7.4949032000000004</v>
      </c>
      <c r="F1061" s="8">
        <v>-6.7172589</v>
      </c>
      <c r="G1061" s="7" t="str">
        <f t="shared" si="10"/>
        <v>Direct</v>
      </c>
      <c r="H1061" s="7" t="s">
        <v>16</v>
      </c>
    </row>
    <row r="1062" spans="1:8" x14ac:dyDescent="0.2">
      <c r="A1062" s="5" t="s">
        <v>13</v>
      </c>
      <c r="B1062" s="6" t="s">
        <v>19</v>
      </c>
      <c r="C1062" s="7" t="s">
        <v>977</v>
      </c>
      <c r="D1062" s="7"/>
      <c r="E1062" s="8">
        <v>-1.8448049</v>
      </c>
      <c r="F1062" s="8">
        <v>-4.5044862999999999</v>
      </c>
      <c r="G1062" s="7" t="str">
        <f t="shared" si="10"/>
        <v>Direct</v>
      </c>
      <c r="H1062" s="7" t="s">
        <v>978</v>
      </c>
    </row>
    <row r="1063" spans="1:8" x14ac:dyDescent="0.2">
      <c r="A1063" s="5" t="s">
        <v>13</v>
      </c>
      <c r="B1063" s="6" t="s">
        <v>19</v>
      </c>
      <c r="C1063" s="7" t="s">
        <v>979</v>
      </c>
      <c r="D1063" s="7"/>
      <c r="E1063" s="8">
        <v>-2.1768714</v>
      </c>
      <c r="F1063" s="8">
        <v>-2.9331977</v>
      </c>
      <c r="G1063" s="7" t="str">
        <f t="shared" si="10"/>
        <v>Direct</v>
      </c>
      <c r="H1063" s="7" t="s">
        <v>980</v>
      </c>
    </row>
    <row r="1064" spans="1:8" x14ac:dyDescent="0.2">
      <c r="A1064" s="5" t="s">
        <v>13</v>
      </c>
      <c r="B1064" s="6" t="s">
        <v>19</v>
      </c>
      <c r="C1064" s="7" t="s">
        <v>981</v>
      </c>
      <c r="D1064" s="7"/>
      <c r="E1064" s="8">
        <v>-2.6497674</v>
      </c>
      <c r="F1064" s="8">
        <v>-2.2257017000000001</v>
      </c>
      <c r="G1064" s="7" t="str">
        <f t="shared" si="10"/>
        <v>Direct</v>
      </c>
      <c r="H1064" s="7" t="s">
        <v>982</v>
      </c>
    </row>
    <row r="1065" spans="1:8" x14ac:dyDescent="0.2">
      <c r="A1065" s="5" t="s">
        <v>13</v>
      </c>
      <c r="B1065" s="6" t="s">
        <v>19</v>
      </c>
      <c r="C1065" s="7" t="s">
        <v>983</v>
      </c>
      <c r="D1065" s="7"/>
      <c r="E1065" s="8">
        <v>-2.5688618000000001</v>
      </c>
      <c r="F1065" s="8">
        <v>-1.6380209999999999</v>
      </c>
      <c r="G1065" s="7" t="str">
        <f t="shared" si="10"/>
        <v>Direct</v>
      </c>
      <c r="H1065" s="7" t="s">
        <v>16</v>
      </c>
    </row>
    <row r="1066" spans="1:8" x14ac:dyDescent="0.2">
      <c r="A1066" s="5" t="s">
        <v>13</v>
      </c>
      <c r="B1066" s="6" t="s">
        <v>19</v>
      </c>
      <c r="C1066" s="7" t="s">
        <v>984</v>
      </c>
      <c r="D1066" s="7"/>
      <c r="E1066" s="8">
        <v>-5.5489382000000003</v>
      </c>
      <c r="F1066" s="8">
        <v>-5.3254080000000004</v>
      </c>
      <c r="G1066" s="7" t="str">
        <f t="shared" si="10"/>
        <v>Direct</v>
      </c>
      <c r="H1066" s="7" t="s">
        <v>16</v>
      </c>
    </row>
    <row r="1067" spans="1:8" x14ac:dyDescent="0.2">
      <c r="A1067" s="5" t="s">
        <v>13</v>
      </c>
      <c r="B1067" s="6" t="s">
        <v>19</v>
      </c>
      <c r="C1067" s="7" t="s">
        <v>985</v>
      </c>
      <c r="D1067" s="7"/>
      <c r="E1067" s="8">
        <v>-1.8527075</v>
      </c>
      <c r="F1067" s="8">
        <v>-1.5589104</v>
      </c>
      <c r="G1067" s="7" t="str">
        <f t="shared" si="10"/>
        <v>Direct</v>
      </c>
      <c r="H1067" s="7" t="s">
        <v>16</v>
      </c>
    </row>
    <row r="1068" spans="1:8" x14ac:dyDescent="0.2">
      <c r="A1068" s="5" t="s">
        <v>13</v>
      </c>
      <c r="B1068" s="6" t="s">
        <v>19</v>
      </c>
      <c r="C1068" s="7" t="s">
        <v>986</v>
      </c>
      <c r="D1068" s="7"/>
      <c r="E1068" s="8">
        <v>-5.3745139000000002</v>
      </c>
      <c r="F1068" s="8">
        <v>-3.1562793</v>
      </c>
      <c r="G1068" s="7" t="str">
        <f t="shared" si="10"/>
        <v>Direct</v>
      </c>
      <c r="H1068" s="7" t="s">
        <v>328</v>
      </c>
    </row>
    <row r="1069" spans="1:8" x14ac:dyDescent="0.2">
      <c r="A1069" s="5" t="s">
        <v>13</v>
      </c>
      <c r="B1069" s="6" t="s">
        <v>19</v>
      </c>
      <c r="C1069" s="7" t="s">
        <v>987</v>
      </c>
      <c r="D1069" s="7"/>
      <c r="E1069" s="8">
        <v>-6.2941798999999996</v>
      </c>
      <c r="F1069" s="8">
        <v>-5.6804043999999996</v>
      </c>
      <c r="G1069" s="7" t="str">
        <f t="shared" si="10"/>
        <v>Direct</v>
      </c>
      <c r="H1069" s="7" t="s">
        <v>328</v>
      </c>
    </row>
    <row r="1070" spans="1:8" x14ac:dyDescent="0.2">
      <c r="A1070" s="5" t="s">
        <v>13</v>
      </c>
      <c r="B1070" s="6" t="s">
        <v>19</v>
      </c>
      <c r="C1070" s="7" t="s">
        <v>988</v>
      </c>
      <c r="D1070" s="7"/>
      <c r="E1070" s="8">
        <v>5.85963748</v>
      </c>
      <c r="F1070" s="8">
        <v>4.3648130900000002</v>
      </c>
      <c r="G1070" s="7" t="str">
        <f t="shared" si="10"/>
        <v>Direct</v>
      </c>
      <c r="H1070" s="7" t="s">
        <v>989</v>
      </c>
    </row>
    <row r="1071" spans="1:8" x14ac:dyDescent="0.2">
      <c r="A1071" s="5" t="s">
        <v>13</v>
      </c>
      <c r="B1071" s="6" t="s">
        <v>19</v>
      </c>
      <c r="C1071" s="7" t="s">
        <v>990</v>
      </c>
      <c r="D1071" s="7"/>
      <c r="E1071" s="8">
        <v>-8.6723499000000004</v>
      </c>
      <c r="F1071" s="8">
        <v>-3.4280045000000001</v>
      </c>
      <c r="G1071" s="7" t="str">
        <f t="shared" si="10"/>
        <v>Direct</v>
      </c>
      <c r="H1071" s="7" t="s">
        <v>989</v>
      </c>
    </row>
    <row r="1072" spans="1:8" x14ac:dyDescent="0.2">
      <c r="A1072" s="5" t="s">
        <v>13</v>
      </c>
      <c r="B1072" s="6" t="s">
        <v>19</v>
      </c>
      <c r="C1072" s="7" t="s">
        <v>991</v>
      </c>
      <c r="D1072" s="7"/>
      <c r="E1072" s="8">
        <v>1.1023631</v>
      </c>
      <c r="F1072" s="8">
        <v>3.2132180400000001</v>
      </c>
      <c r="G1072" s="7" t="str">
        <f t="shared" si="10"/>
        <v>Direct</v>
      </c>
      <c r="H1072" s="7" t="s">
        <v>992</v>
      </c>
    </row>
    <row r="1073" spans="1:8" x14ac:dyDescent="0.2">
      <c r="A1073" s="5" t="s">
        <v>13</v>
      </c>
      <c r="B1073" s="6" t="s">
        <v>19</v>
      </c>
      <c r="C1073" s="7" t="s">
        <v>993</v>
      </c>
      <c r="D1073" s="7"/>
      <c r="E1073" s="8">
        <v>-2.6553146000000001</v>
      </c>
      <c r="F1073" s="8">
        <v>-1.4907547999999999</v>
      </c>
      <c r="G1073" s="7" t="str">
        <f t="shared" si="10"/>
        <v>Direct</v>
      </c>
      <c r="H1073" s="7" t="s">
        <v>994</v>
      </c>
    </row>
    <row r="1074" spans="1:8" x14ac:dyDescent="0.2">
      <c r="A1074" s="5" t="s">
        <v>13</v>
      </c>
      <c r="B1074" s="6" t="s">
        <v>19</v>
      </c>
      <c r="C1074" s="7" t="s">
        <v>55</v>
      </c>
      <c r="D1074" s="7"/>
      <c r="E1074" s="8">
        <v>-2.5323559000000002</v>
      </c>
      <c r="F1074" s="8">
        <v>-2.0029452999999999</v>
      </c>
      <c r="G1074" s="7" t="str">
        <f t="shared" si="10"/>
        <v>Direct</v>
      </c>
      <c r="H1074" s="7" t="s">
        <v>56</v>
      </c>
    </row>
    <row r="1075" spans="1:8" x14ac:dyDescent="0.2">
      <c r="A1075" s="5" t="s">
        <v>13</v>
      </c>
      <c r="B1075" s="6" t="s">
        <v>19</v>
      </c>
      <c r="C1075" s="7" t="s">
        <v>995</v>
      </c>
      <c r="D1075" s="7"/>
      <c r="E1075" s="8">
        <v>4.5299390600000002</v>
      </c>
      <c r="F1075" s="8">
        <v>5.8901367999999996</v>
      </c>
      <c r="G1075" s="7" t="str">
        <f t="shared" si="10"/>
        <v>Direct</v>
      </c>
      <c r="H1075" s="7" t="s">
        <v>16</v>
      </c>
    </row>
    <row r="1076" spans="1:8" x14ac:dyDescent="0.2">
      <c r="A1076" s="5" t="s">
        <v>13</v>
      </c>
      <c r="B1076" s="6" t="s">
        <v>19</v>
      </c>
      <c r="C1076" s="7" t="s">
        <v>996</v>
      </c>
      <c r="D1076" s="7"/>
      <c r="E1076" s="8">
        <v>-2.2366364999999999</v>
      </c>
      <c r="F1076" s="8">
        <v>-1.3178993000000001</v>
      </c>
      <c r="G1076" s="7" t="str">
        <f t="shared" si="10"/>
        <v>Direct</v>
      </c>
      <c r="H1076" s="7" t="s">
        <v>997</v>
      </c>
    </row>
    <row r="1077" spans="1:8" x14ac:dyDescent="0.2">
      <c r="A1077" s="5" t="s">
        <v>13</v>
      </c>
      <c r="B1077" s="6" t="s">
        <v>19</v>
      </c>
      <c r="C1077" s="7" t="s">
        <v>998</v>
      </c>
      <c r="D1077" s="7"/>
      <c r="E1077" s="8">
        <v>-15.839035000000001</v>
      </c>
      <c r="F1077" s="8">
        <v>-10.188757000000001</v>
      </c>
      <c r="G1077" s="7" t="str">
        <f t="shared" si="10"/>
        <v>Direct</v>
      </c>
      <c r="H1077" s="7" t="s">
        <v>16</v>
      </c>
    </row>
    <row r="1078" spans="1:8" x14ac:dyDescent="0.2">
      <c r="A1078" s="5" t="s">
        <v>13</v>
      </c>
      <c r="B1078" s="6" t="s">
        <v>19</v>
      </c>
      <c r="C1078" s="7" t="s">
        <v>999</v>
      </c>
      <c r="D1078" s="7"/>
      <c r="E1078" s="8">
        <v>1.4785510399999999</v>
      </c>
      <c r="F1078" s="8">
        <v>1.26381659</v>
      </c>
      <c r="G1078" s="7" t="str">
        <f t="shared" si="10"/>
        <v>Direct</v>
      </c>
      <c r="H1078" s="7" t="s">
        <v>1000</v>
      </c>
    </row>
    <row r="1079" spans="1:8" x14ac:dyDescent="0.2">
      <c r="A1079" s="5" t="s">
        <v>13</v>
      </c>
      <c r="B1079" s="6" t="s">
        <v>19</v>
      </c>
      <c r="C1079" s="7" t="s">
        <v>1001</v>
      </c>
      <c r="D1079" s="7"/>
      <c r="E1079" s="8">
        <v>1.15760752</v>
      </c>
      <c r="F1079" s="8">
        <v>1.2828050499999999</v>
      </c>
      <c r="G1079" s="7" t="str">
        <f t="shared" si="10"/>
        <v>Direct</v>
      </c>
      <c r="H1079" s="7" t="s">
        <v>1002</v>
      </c>
    </row>
    <row r="1080" spans="1:8" x14ac:dyDescent="0.2">
      <c r="A1080" s="5" t="s">
        <v>13</v>
      </c>
      <c r="B1080" s="6" t="s">
        <v>19</v>
      </c>
      <c r="C1080" s="7" t="s">
        <v>1003</v>
      </c>
      <c r="D1080" s="7"/>
      <c r="E1080" s="8">
        <v>-6.1741644000000004</v>
      </c>
      <c r="F1080" s="8">
        <v>-3.5909415</v>
      </c>
      <c r="G1080" s="7" t="str">
        <f t="shared" si="10"/>
        <v>Direct</v>
      </c>
      <c r="H1080" s="7" t="s">
        <v>16</v>
      </c>
    </row>
    <row r="1081" spans="1:8" x14ac:dyDescent="0.2">
      <c r="A1081" s="5" t="s">
        <v>13</v>
      </c>
      <c r="B1081" s="6" t="s">
        <v>19</v>
      </c>
      <c r="C1081" s="7" t="s">
        <v>57</v>
      </c>
      <c r="D1081" s="7"/>
      <c r="E1081" s="8">
        <v>-1.4120899</v>
      </c>
      <c r="F1081" s="8">
        <v>-1.7529893999999999</v>
      </c>
      <c r="G1081" s="7" t="str">
        <f t="shared" si="10"/>
        <v>Direct</v>
      </c>
      <c r="H1081" s="7" t="s">
        <v>58</v>
      </c>
    </row>
    <row r="1082" spans="1:8" x14ac:dyDescent="0.2">
      <c r="A1082" s="5" t="s">
        <v>13</v>
      </c>
      <c r="B1082" s="6" t="s">
        <v>19</v>
      </c>
      <c r="C1082" s="7" t="s">
        <v>1004</v>
      </c>
      <c r="D1082" s="7"/>
      <c r="E1082" s="8">
        <v>1.0138514599999999</v>
      </c>
      <c r="F1082" s="8">
        <v>1.87072013</v>
      </c>
      <c r="G1082" s="7" t="str">
        <f t="shared" si="10"/>
        <v>Direct</v>
      </c>
      <c r="H1082" s="7" t="s">
        <v>16</v>
      </c>
    </row>
    <row r="1083" spans="1:8" x14ac:dyDescent="0.2">
      <c r="A1083" s="5" t="s">
        <v>13</v>
      </c>
      <c r="B1083" s="6" t="s">
        <v>19</v>
      </c>
      <c r="C1083" s="7" t="s">
        <v>1005</v>
      </c>
      <c r="D1083" s="7"/>
      <c r="E1083" s="8">
        <v>-3.3059596</v>
      </c>
      <c r="F1083" s="8">
        <v>-1.7248884</v>
      </c>
      <c r="G1083" s="7" t="str">
        <f t="shared" si="10"/>
        <v>Direct</v>
      </c>
      <c r="H1083" s="7" t="s">
        <v>1006</v>
      </c>
    </row>
    <row r="1084" spans="1:8" x14ac:dyDescent="0.2">
      <c r="A1084" s="5" t="s">
        <v>13</v>
      </c>
      <c r="B1084" s="6" t="s">
        <v>19</v>
      </c>
      <c r="C1084" s="7" t="s">
        <v>1007</v>
      </c>
      <c r="D1084" s="7"/>
      <c r="E1084" s="8">
        <v>-3.9608148000000001</v>
      </c>
      <c r="F1084" s="8">
        <v>-3.6793152</v>
      </c>
      <c r="G1084" s="7" t="str">
        <f t="shared" si="10"/>
        <v>Direct</v>
      </c>
      <c r="H1084" s="7" t="s">
        <v>1008</v>
      </c>
    </row>
    <row r="1085" spans="1:8" x14ac:dyDescent="0.2">
      <c r="A1085" s="5" t="s">
        <v>13</v>
      </c>
      <c r="B1085" s="6" t="s">
        <v>19</v>
      </c>
      <c r="C1085" s="7" t="s">
        <v>59</v>
      </c>
      <c r="D1085" s="7"/>
      <c r="E1085" s="8">
        <v>-1.4432631</v>
      </c>
      <c r="F1085" s="8">
        <v>-2.1435973000000001</v>
      </c>
      <c r="G1085" s="7" t="str">
        <f t="shared" si="10"/>
        <v>Direct</v>
      </c>
      <c r="H1085" s="7" t="s">
        <v>60</v>
      </c>
    </row>
    <row r="1086" spans="1:8" x14ac:dyDescent="0.2">
      <c r="A1086" s="5" t="s">
        <v>13</v>
      </c>
      <c r="B1086" s="6" t="s">
        <v>19</v>
      </c>
      <c r="C1086" s="7" t="s">
        <v>1009</v>
      </c>
      <c r="D1086" s="7"/>
      <c r="E1086" s="8">
        <v>-2.2907815999999999</v>
      </c>
      <c r="F1086" s="8">
        <v>-1.5207439</v>
      </c>
      <c r="G1086" s="7" t="str">
        <f t="shared" si="10"/>
        <v>Direct</v>
      </c>
      <c r="H1086" s="7" t="s">
        <v>1010</v>
      </c>
    </row>
    <row r="1087" spans="1:8" x14ac:dyDescent="0.2">
      <c r="A1087" s="5" t="s">
        <v>13</v>
      </c>
      <c r="B1087" s="6" t="s">
        <v>19</v>
      </c>
      <c r="C1087" s="7" t="s">
        <v>1011</v>
      </c>
      <c r="D1087" s="7"/>
      <c r="E1087" s="8">
        <v>-1.6622093</v>
      </c>
      <c r="F1087" s="8">
        <v>-1.1170751999999999</v>
      </c>
      <c r="G1087" s="7" t="str">
        <f t="shared" si="10"/>
        <v>Direct</v>
      </c>
      <c r="H1087" s="7" t="s">
        <v>1012</v>
      </c>
    </row>
    <row r="1088" spans="1:8" x14ac:dyDescent="0.2">
      <c r="A1088" s="5" t="s">
        <v>13</v>
      </c>
      <c r="B1088" s="6" t="s">
        <v>19</v>
      </c>
      <c r="C1088" s="7" t="s">
        <v>1013</v>
      </c>
      <c r="D1088" s="7"/>
      <c r="E1088" s="8">
        <v>-2.0865963999999999</v>
      </c>
      <c r="F1088" s="8">
        <v>-2.2229898000000001</v>
      </c>
      <c r="G1088" s="7" t="str">
        <f t="shared" si="10"/>
        <v>Direct</v>
      </c>
      <c r="H1088" s="7" t="s">
        <v>1014</v>
      </c>
    </row>
    <row r="1089" spans="1:8" x14ac:dyDescent="0.2">
      <c r="A1089" s="5" t="s">
        <v>13</v>
      </c>
      <c r="B1089" s="6" t="s">
        <v>19</v>
      </c>
      <c r="C1089" s="7" t="s">
        <v>1015</v>
      </c>
      <c r="D1089" s="7"/>
      <c r="E1089" s="8">
        <v>-6.4229634999999998</v>
      </c>
      <c r="F1089" s="8">
        <v>-9.6228730000000002</v>
      </c>
      <c r="G1089" s="7" t="str">
        <f t="shared" si="10"/>
        <v>Direct</v>
      </c>
      <c r="H1089" s="7" t="s">
        <v>375</v>
      </c>
    </row>
    <row r="1090" spans="1:8" x14ac:dyDescent="0.2">
      <c r="A1090" s="5" t="s">
        <v>13</v>
      </c>
      <c r="B1090" s="6" t="s">
        <v>19</v>
      </c>
      <c r="C1090" s="7" t="s">
        <v>1016</v>
      </c>
      <c r="D1090" s="7"/>
      <c r="E1090" s="8">
        <v>4.0101033299999997</v>
      </c>
      <c r="F1090" s="8">
        <v>3.9847040499999999</v>
      </c>
      <c r="G1090" s="7" t="str">
        <f t="shared" si="10"/>
        <v>Direct</v>
      </c>
      <c r="H1090" s="7" t="s">
        <v>1017</v>
      </c>
    </row>
    <row r="1091" spans="1:8" x14ac:dyDescent="0.2">
      <c r="A1091" s="5" t="s">
        <v>13</v>
      </c>
      <c r="B1091" s="6" t="s">
        <v>19</v>
      </c>
      <c r="C1091" s="7" t="s">
        <v>63</v>
      </c>
      <c r="D1091" s="7"/>
      <c r="E1091" s="8">
        <v>-6.2791819000000002</v>
      </c>
      <c r="F1091" s="8">
        <v>-6.9089273999999996</v>
      </c>
      <c r="G1091" s="7" t="str">
        <f t="shared" si="10"/>
        <v>Direct</v>
      </c>
      <c r="H1091" s="7" t="s">
        <v>64</v>
      </c>
    </row>
    <row r="1092" spans="1:8" x14ac:dyDescent="0.2">
      <c r="A1092" s="5" t="s">
        <v>13</v>
      </c>
      <c r="B1092" s="6" t="s">
        <v>19</v>
      </c>
      <c r="C1092" s="7" t="s">
        <v>1018</v>
      </c>
      <c r="D1092" s="7"/>
      <c r="E1092" s="8">
        <v>4.0790108700000003</v>
      </c>
      <c r="F1092" s="8">
        <v>5.5087594400000004</v>
      </c>
      <c r="G1092" s="7" t="str">
        <f t="shared" si="10"/>
        <v>Direct</v>
      </c>
      <c r="H1092" s="7" t="s">
        <v>16</v>
      </c>
    </row>
    <row r="1093" spans="1:8" x14ac:dyDescent="0.2">
      <c r="A1093" s="5" t="s">
        <v>13</v>
      </c>
      <c r="B1093" s="6" t="s">
        <v>19</v>
      </c>
      <c r="C1093" s="7" t="s">
        <v>65</v>
      </c>
      <c r="D1093" s="7"/>
      <c r="E1093" s="8">
        <v>-10.101601</v>
      </c>
      <c r="F1093" s="8">
        <v>-7.5156109000000004</v>
      </c>
      <c r="G1093" s="7" t="str">
        <f t="shared" si="10"/>
        <v>Direct</v>
      </c>
      <c r="H1093" s="7" t="s">
        <v>16</v>
      </c>
    </row>
    <row r="1094" spans="1:8" x14ac:dyDescent="0.2">
      <c r="A1094" s="5" t="s">
        <v>13</v>
      </c>
      <c r="B1094" s="6" t="s">
        <v>19</v>
      </c>
      <c r="C1094" s="7" t="s">
        <v>1019</v>
      </c>
      <c r="D1094" s="7"/>
      <c r="E1094" s="8">
        <v>-2.7422987000000001</v>
      </c>
      <c r="F1094" s="8">
        <v>-1.8236212000000001</v>
      </c>
      <c r="G1094" s="7" t="str">
        <f t="shared" si="10"/>
        <v>Direct</v>
      </c>
      <c r="H1094" s="7" t="s">
        <v>16</v>
      </c>
    </row>
    <row r="1095" spans="1:8" x14ac:dyDescent="0.2">
      <c r="A1095" s="5" t="s">
        <v>13</v>
      </c>
      <c r="B1095" s="6" t="s">
        <v>19</v>
      </c>
      <c r="C1095" s="7" t="s">
        <v>1020</v>
      </c>
      <c r="D1095" s="7"/>
      <c r="E1095" s="8">
        <v>-9.2134088999999992</v>
      </c>
      <c r="F1095" s="8">
        <v>-10.116618000000001</v>
      </c>
      <c r="G1095" s="7" t="str">
        <f t="shared" si="10"/>
        <v>Direct</v>
      </c>
      <c r="H1095" s="7" t="s">
        <v>1021</v>
      </c>
    </row>
    <row r="1096" spans="1:8" x14ac:dyDescent="0.2">
      <c r="A1096" s="5" t="s">
        <v>13</v>
      </c>
      <c r="B1096" s="6" t="s">
        <v>19</v>
      </c>
      <c r="C1096" s="7" t="s">
        <v>1022</v>
      </c>
      <c r="D1096" s="7"/>
      <c r="E1096" s="8">
        <v>-23.503115999999999</v>
      </c>
      <c r="F1096" s="8">
        <v>-17.689978</v>
      </c>
      <c r="G1096" s="7" t="str">
        <f t="shared" si="10"/>
        <v>Direct</v>
      </c>
      <c r="H1096" s="7" t="s">
        <v>16</v>
      </c>
    </row>
    <row r="1097" spans="1:8" x14ac:dyDescent="0.2">
      <c r="A1097" s="5" t="s">
        <v>13</v>
      </c>
      <c r="B1097" s="6" t="s">
        <v>19</v>
      </c>
      <c r="C1097" s="7" t="s">
        <v>1023</v>
      </c>
      <c r="D1097" s="7"/>
      <c r="E1097" s="8">
        <v>-1.7569944</v>
      </c>
      <c r="F1097" s="8">
        <v>-1.184601</v>
      </c>
      <c r="G1097" s="7" t="str">
        <f t="shared" si="10"/>
        <v>Direct</v>
      </c>
      <c r="H1097" s="7" t="s">
        <v>16</v>
      </c>
    </row>
    <row r="1098" spans="1:8" x14ac:dyDescent="0.2">
      <c r="A1098" s="5" t="s">
        <v>13</v>
      </c>
      <c r="B1098" s="6" t="s">
        <v>19</v>
      </c>
      <c r="C1098" s="7" t="s">
        <v>66</v>
      </c>
      <c r="D1098" s="7"/>
      <c r="E1098" s="8">
        <v>-4.4723018000000003</v>
      </c>
      <c r="F1098" s="8">
        <v>-3.0647764</v>
      </c>
      <c r="G1098" s="7" t="str">
        <f t="shared" si="10"/>
        <v>Direct</v>
      </c>
      <c r="H1098" s="7" t="s">
        <v>16</v>
      </c>
    </row>
    <row r="1099" spans="1:8" x14ac:dyDescent="0.2">
      <c r="A1099" s="5" t="s">
        <v>13</v>
      </c>
      <c r="B1099" s="6" t="s">
        <v>19</v>
      </c>
      <c r="C1099" s="7" t="s">
        <v>1024</v>
      </c>
      <c r="D1099" s="7"/>
      <c r="E1099" s="8">
        <v>-6.8788004999999997</v>
      </c>
      <c r="F1099" s="8">
        <v>-3.5277816</v>
      </c>
      <c r="G1099" s="7" t="str">
        <f t="shared" si="10"/>
        <v>Direct</v>
      </c>
      <c r="H1099" s="7" t="s">
        <v>1025</v>
      </c>
    </row>
    <row r="1100" spans="1:8" x14ac:dyDescent="0.2">
      <c r="A1100" s="5" t="s">
        <v>13</v>
      </c>
      <c r="B1100" s="6" t="s">
        <v>19</v>
      </c>
      <c r="C1100" s="7" t="s">
        <v>1026</v>
      </c>
      <c r="D1100" s="7"/>
      <c r="E1100" s="8">
        <v>-1.4922868</v>
      </c>
      <c r="F1100" s="8">
        <v>-1.4008727000000001</v>
      </c>
      <c r="G1100" s="7" t="str">
        <f t="shared" si="10"/>
        <v>Direct</v>
      </c>
      <c r="H1100" s="7" t="s">
        <v>16</v>
      </c>
    </row>
    <row r="1101" spans="1:8" x14ac:dyDescent="0.2">
      <c r="A1101" s="5" t="s">
        <v>13</v>
      </c>
      <c r="B1101" s="6" t="s">
        <v>19</v>
      </c>
      <c r="C1101" s="7" t="s">
        <v>1027</v>
      </c>
      <c r="D1101" s="7"/>
      <c r="E1101" s="8">
        <v>1.3357890800000001</v>
      </c>
      <c r="F1101" s="8">
        <v>1.4862157</v>
      </c>
      <c r="G1101" s="7" t="str">
        <f t="shared" si="10"/>
        <v>Direct</v>
      </c>
      <c r="H1101" s="7" t="s">
        <v>1028</v>
      </c>
    </row>
    <row r="1102" spans="1:8" x14ac:dyDescent="0.2">
      <c r="A1102" s="5" t="s">
        <v>13</v>
      </c>
      <c r="B1102" s="6" t="s">
        <v>19</v>
      </c>
      <c r="C1102" s="7" t="s">
        <v>1029</v>
      </c>
      <c r="D1102" s="7"/>
      <c r="E1102" s="8">
        <v>-1.2285164</v>
      </c>
      <c r="F1102" s="8">
        <v>-1.1218824999999999</v>
      </c>
      <c r="G1102" s="7" t="str">
        <f t="shared" si="10"/>
        <v>Direct</v>
      </c>
      <c r="H1102" s="7" t="s">
        <v>1030</v>
      </c>
    </row>
    <row r="1103" spans="1:8" x14ac:dyDescent="0.2">
      <c r="A1103" s="5" t="s">
        <v>13</v>
      </c>
      <c r="B1103" s="6" t="s">
        <v>19</v>
      </c>
      <c r="C1103" s="7" t="s">
        <v>67</v>
      </c>
      <c r="D1103" s="7"/>
      <c r="E1103" s="8">
        <v>-2.0910818</v>
      </c>
      <c r="F1103" s="8">
        <v>-5.7572292000000003</v>
      </c>
      <c r="G1103" s="7" t="str">
        <f t="shared" si="10"/>
        <v>Direct</v>
      </c>
      <c r="H1103" s="7" t="s">
        <v>68</v>
      </c>
    </row>
    <row r="1104" spans="1:8" x14ac:dyDescent="0.2">
      <c r="A1104" s="5" t="s">
        <v>13</v>
      </c>
      <c r="B1104" s="6" t="s">
        <v>19</v>
      </c>
      <c r="C1104" s="7" t="s">
        <v>1031</v>
      </c>
      <c r="D1104" s="7"/>
      <c r="E1104" s="8">
        <v>-5.9058393000000002</v>
      </c>
      <c r="F1104" s="8">
        <v>-6.4098033000000001</v>
      </c>
      <c r="G1104" s="7" t="str">
        <f t="shared" si="10"/>
        <v>Direct</v>
      </c>
      <c r="H1104" s="7" t="s">
        <v>16</v>
      </c>
    </row>
    <row r="1105" spans="1:8" x14ac:dyDescent="0.2">
      <c r="A1105" s="5" t="s">
        <v>13</v>
      </c>
      <c r="B1105" s="6" t="s">
        <v>19</v>
      </c>
      <c r="C1105" s="7" t="s">
        <v>70</v>
      </c>
      <c r="D1105" s="7"/>
      <c r="E1105" s="8">
        <v>-12.863184</v>
      </c>
      <c r="F1105" s="8">
        <v>-8.3374106999999995</v>
      </c>
      <c r="G1105" s="7" t="str">
        <f t="shared" si="10"/>
        <v>Direct</v>
      </c>
      <c r="H1105" s="7" t="s">
        <v>16</v>
      </c>
    </row>
    <row r="1106" spans="1:8" x14ac:dyDescent="0.2">
      <c r="A1106" s="5" t="s">
        <v>13</v>
      </c>
      <c r="B1106" s="6" t="s">
        <v>19</v>
      </c>
      <c r="C1106" s="7" t="s">
        <v>71</v>
      </c>
      <c r="D1106" s="7"/>
      <c r="E1106" s="8">
        <v>-10.631677</v>
      </c>
      <c r="F1106" s="8">
        <v>-8.2252702000000006</v>
      </c>
      <c r="G1106" s="7" t="str">
        <f t="shared" si="10"/>
        <v>Direct</v>
      </c>
      <c r="H1106" s="7" t="s">
        <v>16</v>
      </c>
    </row>
    <row r="1107" spans="1:8" x14ac:dyDescent="0.2">
      <c r="A1107" s="5" t="s">
        <v>13</v>
      </c>
      <c r="B1107" s="6" t="s">
        <v>19</v>
      </c>
      <c r="C1107" s="7" t="s">
        <v>72</v>
      </c>
      <c r="D1107" s="7"/>
      <c r="E1107" s="8">
        <v>-10.084066999999999</v>
      </c>
      <c r="F1107" s="8">
        <v>-8.0054543000000002</v>
      </c>
      <c r="G1107" s="7" t="str">
        <f t="shared" si="10"/>
        <v>Direct</v>
      </c>
      <c r="H1107" s="7" t="s">
        <v>16</v>
      </c>
    </row>
    <row r="1108" spans="1:8" x14ac:dyDescent="0.2">
      <c r="A1108" s="5" t="s">
        <v>13</v>
      </c>
      <c r="B1108" s="6" t="s">
        <v>19</v>
      </c>
      <c r="C1108" s="7" t="s">
        <v>1032</v>
      </c>
      <c r="D1108" s="7"/>
      <c r="E1108" s="8">
        <v>-5.0186381000000004</v>
      </c>
      <c r="F1108" s="8">
        <v>-3.5468107</v>
      </c>
      <c r="G1108" s="7" t="str">
        <f t="shared" si="10"/>
        <v>Direct</v>
      </c>
      <c r="H1108" s="7" t="s">
        <v>16</v>
      </c>
    </row>
    <row r="1109" spans="1:8" x14ac:dyDescent="0.2">
      <c r="A1109" s="5" t="s">
        <v>13</v>
      </c>
      <c r="B1109" s="6" t="s">
        <v>19</v>
      </c>
      <c r="C1109" s="7" t="s">
        <v>73</v>
      </c>
      <c r="D1109" s="7"/>
      <c r="E1109" s="8">
        <v>-7.2937557999999996</v>
      </c>
      <c r="F1109" s="8">
        <v>-5.3574219999999997</v>
      </c>
      <c r="G1109" s="7" t="str">
        <f t="shared" si="10"/>
        <v>Direct</v>
      </c>
      <c r="H1109" s="7" t="s">
        <v>16</v>
      </c>
    </row>
    <row r="1110" spans="1:8" x14ac:dyDescent="0.2">
      <c r="A1110" s="5" t="s">
        <v>13</v>
      </c>
      <c r="B1110" s="6" t="s">
        <v>19</v>
      </c>
      <c r="C1110" s="7" t="s">
        <v>74</v>
      </c>
      <c r="D1110" s="7"/>
      <c r="E1110" s="8">
        <v>-4.7203001999999996</v>
      </c>
      <c r="F1110" s="8">
        <v>-4.6303134000000004</v>
      </c>
      <c r="G1110" s="7" t="str">
        <f t="shared" si="10"/>
        <v>Direct</v>
      </c>
      <c r="H1110" s="7" t="s">
        <v>16</v>
      </c>
    </row>
    <row r="1111" spans="1:8" x14ac:dyDescent="0.2">
      <c r="A1111" s="5" t="s">
        <v>13</v>
      </c>
      <c r="B1111" s="6" t="s">
        <v>19</v>
      </c>
      <c r="C1111" s="7" t="s">
        <v>75</v>
      </c>
      <c r="D1111" s="7"/>
      <c r="E1111" s="8">
        <v>-2.9351489000000002</v>
      </c>
      <c r="F1111" s="8">
        <v>-4.9191928000000003</v>
      </c>
      <c r="G1111" s="7" t="str">
        <f t="shared" si="10"/>
        <v>Direct</v>
      </c>
      <c r="H1111" s="7" t="s">
        <v>16</v>
      </c>
    </row>
    <row r="1112" spans="1:8" x14ac:dyDescent="0.2">
      <c r="A1112" s="5" t="s">
        <v>13</v>
      </c>
      <c r="B1112" s="6" t="s">
        <v>19</v>
      </c>
      <c r="C1112" s="7" t="s">
        <v>1033</v>
      </c>
      <c r="D1112" s="7"/>
      <c r="E1112" s="8">
        <v>-5.7508825000000003</v>
      </c>
      <c r="F1112" s="8">
        <v>-4.8857868</v>
      </c>
      <c r="G1112" s="7" t="str">
        <f t="shared" si="10"/>
        <v>Direct</v>
      </c>
      <c r="H1112" s="7" t="s">
        <v>16</v>
      </c>
    </row>
    <row r="1113" spans="1:8" x14ac:dyDescent="0.2">
      <c r="A1113" s="5" t="s">
        <v>13</v>
      </c>
      <c r="B1113" s="6" t="s">
        <v>19</v>
      </c>
      <c r="C1113" s="7" t="s">
        <v>76</v>
      </c>
      <c r="D1113" s="7"/>
      <c r="E1113" s="8">
        <v>-9.2066321999999996</v>
      </c>
      <c r="F1113" s="8">
        <v>-8.1607398999999994</v>
      </c>
      <c r="G1113" s="7" t="str">
        <f t="shared" si="10"/>
        <v>Direct</v>
      </c>
      <c r="H1113" s="7" t="s">
        <v>16</v>
      </c>
    </row>
    <row r="1114" spans="1:8" x14ac:dyDescent="0.2">
      <c r="A1114" s="5" t="s">
        <v>13</v>
      </c>
      <c r="B1114" s="6" t="s">
        <v>19</v>
      </c>
      <c r="C1114" s="7" t="s">
        <v>77</v>
      </c>
      <c r="D1114" s="7"/>
      <c r="E1114" s="8">
        <v>-7.6721434000000004</v>
      </c>
      <c r="F1114" s="8">
        <v>-7.4991197999999999</v>
      </c>
      <c r="G1114" s="7" t="str">
        <f t="shared" si="10"/>
        <v>Direct</v>
      </c>
      <c r="H1114" s="7" t="s">
        <v>16</v>
      </c>
    </row>
    <row r="1115" spans="1:8" x14ac:dyDescent="0.2">
      <c r="A1115" s="5" t="s">
        <v>13</v>
      </c>
      <c r="B1115" s="6" t="s">
        <v>19</v>
      </c>
      <c r="C1115" s="7" t="s">
        <v>78</v>
      </c>
      <c r="D1115" s="7"/>
      <c r="E1115" s="8">
        <v>-9.4338063999999999</v>
      </c>
      <c r="F1115" s="8">
        <v>-8.0329210999999994</v>
      </c>
      <c r="G1115" s="7" t="str">
        <f t="shared" si="10"/>
        <v>Direct</v>
      </c>
      <c r="H1115" s="7" t="s">
        <v>16</v>
      </c>
    </row>
    <row r="1116" spans="1:8" x14ac:dyDescent="0.2">
      <c r="A1116" s="5" t="s">
        <v>13</v>
      </c>
      <c r="B1116" s="6" t="s">
        <v>19</v>
      </c>
      <c r="C1116" s="7" t="s">
        <v>79</v>
      </c>
      <c r="D1116" s="7"/>
      <c r="E1116" s="8">
        <v>-13.512852000000001</v>
      </c>
      <c r="F1116" s="8">
        <v>-11.274386</v>
      </c>
      <c r="G1116" s="7" t="str">
        <f t="shared" si="10"/>
        <v>Direct</v>
      </c>
      <c r="H1116" s="7" t="s">
        <v>16</v>
      </c>
    </row>
    <row r="1117" spans="1:8" x14ac:dyDescent="0.2">
      <c r="A1117" s="5" t="s">
        <v>13</v>
      </c>
      <c r="B1117" s="6" t="s">
        <v>19</v>
      </c>
      <c r="C1117" s="7" t="s">
        <v>1034</v>
      </c>
      <c r="D1117" s="7"/>
      <c r="E1117" s="8">
        <v>-2.6682532000000001</v>
      </c>
      <c r="F1117" s="8">
        <v>-3.7689031000000002</v>
      </c>
      <c r="G1117" s="7" t="str">
        <f t="shared" si="10"/>
        <v>Direct</v>
      </c>
      <c r="H1117" s="7" t="s">
        <v>16</v>
      </c>
    </row>
    <row r="1118" spans="1:8" x14ac:dyDescent="0.2">
      <c r="A1118" s="5" t="s">
        <v>13</v>
      </c>
      <c r="B1118" s="6" t="s">
        <v>19</v>
      </c>
      <c r="C1118" s="7" t="s">
        <v>1035</v>
      </c>
      <c r="D1118" s="7"/>
      <c r="E1118" s="8">
        <v>-3.4608373000000001</v>
      </c>
      <c r="F1118" s="8">
        <v>-2.7852356</v>
      </c>
      <c r="G1118" s="7" t="str">
        <f t="shared" si="10"/>
        <v>Direct</v>
      </c>
      <c r="H1118" s="7" t="s">
        <v>1036</v>
      </c>
    </row>
    <row r="1119" spans="1:8" x14ac:dyDescent="0.2">
      <c r="A1119" s="5" t="s">
        <v>13</v>
      </c>
      <c r="B1119" s="6" t="s">
        <v>19</v>
      </c>
      <c r="C1119" s="7" t="s">
        <v>1037</v>
      </c>
      <c r="D1119" s="7"/>
      <c r="E1119" s="8">
        <v>-3.1738438000000002</v>
      </c>
      <c r="F1119" s="8">
        <v>-3.6247764999999998</v>
      </c>
      <c r="G1119" s="7" t="str">
        <f t="shared" si="10"/>
        <v>Direct</v>
      </c>
      <c r="H1119" s="7" t="s">
        <v>1038</v>
      </c>
    </row>
    <row r="1120" spans="1:8" x14ac:dyDescent="0.2">
      <c r="A1120" s="5" t="s">
        <v>13</v>
      </c>
      <c r="B1120" s="6" t="s">
        <v>19</v>
      </c>
      <c r="C1120" s="7" t="s">
        <v>80</v>
      </c>
      <c r="D1120" s="7"/>
      <c r="E1120" s="8">
        <v>4.9691996300000003</v>
      </c>
      <c r="F1120" s="8">
        <v>4.3733429199999998</v>
      </c>
      <c r="G1120" s="7" t="str">
        <f t="shared" si="10"/>
        <v>Direct</v>
      </c>
      <c r="H1120" s="7" t="s">
        <v>81</v>
      </c>
    </row>
    <row r="1121" spans="1:8" x14ac:dyDescent="0.2">
      <c r="A1121" s="5" t="s">
        <v>13</v>
      </c>
      <c r="B1121" s="6" t="s">
        <v>19</v>
      </c>
      <c r="C1121" s="7" t="s">
        <v>1039</v>
      </c>
      <c r="D1121" s="7"/>
      <c r="E1121" s="8">
        <v>-1.8486237000000001</v>
      </c>
      <c r="F1121" s="8">
        <v>-1.9277328</v>
      </c>
      <c r="G1121" s="7" t="str">
        <f t="shared" si="10"/>
        <v>Direct</v>
      </c>
      <c r="H1121" s="7" t="s">
        <v>16</v>
      </c>
    </row>
    <row r="1122" spans="1:8" x14ac:dyDescent="0.2">
      <c r="A1122" s="5" t="s">
        <v>13</v>
      </c>
      <c r="B1122" s="6" t="s">
        <v>19</v>
      </c>
      <c r="C1122" s="7" t="s">
        <v>1040</v>
      </c>
      <c r="D1122" s="7"/>
      <c r="E1122" s="8">
        <v>1.8998455400000001</v>
      </c>
      <c r="F1122" s="8">
        <v>3.0038130299999999</v>
      </c>
      <c r="G1122" s="7" t="str">
        <f t="shared" si="10"/>
        <v>Direct</v>
      </c>
      <c r="H1122" s="7" t="s">
        <v>1041</v>
      </c>
    </row>
    <row r="1123" spans="1:8" x14ac:dyDescent="0.2">
      <c r="A1123" s="5" t="s">
        <v>13</v>
      </c>
      <c r="B1123" s="6" t="s">
        <v>19</v>
      </c>
      <c r="C1123" s="7" t="s">
        <v>1042</v>
      </c>
      <c r="D1123" s="7"/>
      <c r="E1123" s="8">
        <v>1.1066290000000001</v>
      </c>
      <c r="F1123" s="8">
        <v>1.9043055099999999</v>
      </c>
      <c r="G1123" s="7" t="str">
        <f t="shared" si="10"/>
        <v>Direct</v>
      </c>
      <c r="H1123" s="7" t="s">
        <v>1043</v>
      </c>
    </row>
    <row r="1124" spans="1:8" x14ac:dyDescent="0.2">
      <c r="A1124" s="5" t="s">
        <v>13</v>
      </c>
      <c r="B1124" s="6" t="s">
        <v>19</v>
      </c>
      <c r="C1124" s="7" t="s">
        <v>1044</v>
      </c>
      <c r="D1124" s="7"/>
      <c r="E1124" s="8">
        <v>-6.7867293000000002</v>
      </c>
      <c r="F1124" s="8">
        <v>-6.4031472999999997</v>
      </c>
      <c r="G1124" s="7" t="str">
        <f t="shared" si="10"/>
        <v>Direct</v>
      </c>
      <c r="H1124" s="7" t="s">
        <v>16</v>
      </c>
    </row>
    <row r="1125" spans="1:8" x14ac:dyDescent="0.2">
      <c r="A1125" s="5" t="s">
        <v>13</v>
      </c>
      <c r="B1125" s="6" t="s">
        <v>19</v>
      </c>
      <c r="C1125" s="7" t="s">
        <v>1045</v>
      </c>
      <c r="D1125" s="7"/>
      <c r="E1125" s="8">
        <v>1.7087940500000001</v>
      </c>
      <c r="F1125" s="8">
        <v>1.0351141100000001</v>
      </c>
      <c r="G1125" s="7" t="str">
        <f t="shared" si="10"/>
        <v>Direct</v>
      </c>
      <c r="H1125" s="7" t="s">
        <v>1046</v>
      </c>
    </row>
    <row r="1126" spans="1:8" x14ac:dyDescent="0.2">
      <c r="A1126" s="5" t="s">
        <v>13</v>
      </c>
      <c r="B1126" s="6" t="s">
        <v>19</v>
      </c>
      <c r="C1126" s="7" t="s">
        <v>1047</v>
      </c>
      <c r="D1126" s="7"/>
      <c r="E1126" s="8">
        <v>-2.6069486999999998</v>
      </c>
      <c r="F1126" s="8">
        <v>-1.0008804</v>
      </c>
      <c r="G1126" s="7" t="str">
        <f t="shared" si="10"/>
        <v>Direct</v>
      </c>
      <c r="H1126" s="7" t="s">
        <v>16</v>
      </c>
    </row>
    <row r="1127" spans="1:8" x14ac:dyDescent="0.2">
      <c r="A1127" s="5" t="s">
        <v>13</v>
      </c>
      <c r="B1127" s="6" t="s">
        <v>19</v>
      </c>
      <c r="C1127" s="7" t="s">
        <v>1048</v>
      </c>
      <c r="D1127" s="7"/>
      <c r="E1127" s="8">
        <v>-3.9628535</v>
      </c>
      <c r="F1127" s="8">
        <v>-4.6213217000000002</v>
      </c>
      <c r="G1127" s="7" t="str">
        <f t="shared" si="10"/>
        <v>Direct</v>
      </c>
      <c r="H1127" s="7" t="s">
        <v>16</v>
      </c>
    </row>
    <row r="1128" spans="1:8" x14ac:dyDescent="0.2">
      <c r="A1128" s="5" t="s">
        <v>13</v>
      </c>
      <c r="B1128" s="6" t="s">
        <v>19</v>
      </c>
      <c r="C1128" s="7" t="s">
        <v>1049</v>
      </c>
      <c r="D1128" s="7"/>
      <c r="E1128" s="8">
        <v>5.8738959399999997</v>
      </c>
      <c r="F1128" s="8">
        <v>3.7720852800000002</v>
      </c>
      <c r="G1128" s="7" t="str">
        <f t="shared" si="10"/>
        <v>Direct</v>
      </c>
      <c r="H1128" s="7" t="s">
        <v>1050</v>
      </c>
    </row>
    <row r="1129" spans="1:8" x14ac:dyDescent="0.2">
      <c r="A1129" s="5" t="s">
        <v>13</v>
      </c>
      <c r="B1129" s="6" t="s">
        <v>19</v>
      </c>
      <c r="C1129" s="7" t="s">
        <v>84</v>
      </c>
      <c r="D1129" s="7"/>
      <c r="E1129" s="8">
        <v>-7.1828162000000004</v>
      </c>
      <c r="F1129" s="8">
        <v>-4.9790489000000004</v>
      </c>
      <c r="G1129" s="7" t="str">
        <f t="shared" si="10"/>
        <v>Direct</v>
      </c>
      <c r="H1129" s="7" t="s">
        <v>85</v>
      </c>
    </row>
    <row r="1130" spans="1:8" x14ac:dyDescent="0.2">
      <c r="A1130" s="5" t="s">
        <v>13</v>
      </c>
      <c r="B1130" s="6" t="s">
        <v>19</v>
      </c>
      <c r="C1130" s="7" t="s">
        <v>86</v>
      </c>
      <c r="D1130" s="7"/>
      <c r="E1130" s="8">
        <v>-6.9601207</v>
      </c>
      <c r="F1130" s="8">
        <v>-4.1831223</v>
      </c>
      <c r="G1130" s="7" t="str">
        <f t="shared" si="10"/>
        <v>Direct</v>
      </c>
      <c r="H1130" s="7" t="s">
        <v>16</v>
      </c>
    </row>
    <row r="1131" spans="1:8" x14ac:dyDescent="0.2">
      <c r="A1131" s="5" t="s">
        <v>13</v>
      </c>
      <c r="B1131" s="6" t="s">
        <v>19</v>
      </c>
      <c r="C1131" s="7" t="s">
        <v>1051</v>
      </c>
      <c r="D1131" s="7"/>
      <c r="E1131" s="8">
        <v>-1.5213855000000001</v>
      </c>
      <c r="F1131" s="8">
        <v>-1.3298217000000001</v>
      </c>
      <c r="G1131" s="7" t="str">
        <f t="shared" si="10"/>
        <v>Direct</v>
      </c>
      <c r="H1131" s="7" t="s">
        <v>1052</v>
      </c>
    </row>
    <row r="1132" spans="1:8" x14ac:dyDescent="0.2">
      <c r="A1132" s="5" t="s">
        <v>13</v>
      </c>
      <c r="B1132" s="6" t="s">
        <v>19</v>
      </c>
      <c r="C1132" s="7" t="s">
        <v>1053</v>
      </c>
      <c r="D1132" s="7"/>
      <c r="E1132" s="8">
        <v>1.3381636800000001</v>
      </c>
      <c r="F1132" s="8">
        <v>1.3659878700000001</v>
      </c>
      <c r="G1132" s="7" t="str">
        <f t="shared" si="10"/>
        <v>Direct</v>
      </c>
      <c r="H1132" s="7" t="s">
        <v>1043</v>
      </c>
    </row>
    <row r="1133" spans="1:8" x14ac:dyDescent="0.2">
      <c r="A1133" s="5" t="s">
        <v>13</v>
      </c>
      <c r="B1133" s="6" t="s">
        <v>19</v>
      </c>
      <c r="C1133" s="7" t="s">
        <v>1054</v>
      </c>
      <c r="D1133" s="7"/>
      <c r="E1133" s="8">
        <v>-3.0396773000000001</v>
      </c>
      <c r="F1133" s="8">
        <v>-1.6428210000000001</v>
      </c>
      <c r="G1133" s="7" t="str">
        <f t="shared" si="10"/>
        <v>Direct</v>
      </c>
      <c r="H1133" s="7" t="s">
        <v>16</v>
      </c>
    </row>
    <row r="1134" spans="1:8" x14ac:dyDescent="0.2">
      <c r="A1134" s="5" t="s">
        <v>13</v>
      </c>
      <c r="B1134" s="6" t="s">
        <v>19</v>
      </c>
      <c r="C1134" s="7" t="s">
        <v>1055</v>
      </c>
      <c r="D1134" s="7"/>
      <c r="E1134" s="8">
        <v>-1.4023106000000001</v>
      </c>
      <c r="F1134" s="8">
        <v>-1.1759082000000001</v>
      </c>
      <c r="G1134" s="7" t="str">
        <f t="shared" si="10"/>
        <v>Direct</v>
      </c>
      <c r="H1134" s="7" t="s">
        <v>351</v>
      </c>
    </row>
    <row r="1135" spans="1:8" x14ac:dyDescent="0.2">
      <c r="A1135" s="5" t="s">
        <v>13</v>
      </c>
      <c r="B1135" s="6" t="s">
        <v>19</v>
      </c>
      <c r="C1135" s="7" t="s">
        <v>1056</v>
      </c>
      <c r="D1135" s="7"/>
      <c r="E1135" s="8">
        <v>2.2819363899999998</v>
      </c>
      <c r="F1135" s="8">
        <v>2.1962062499999999</v>
      </c>
      <c r="G1135" s="7" t="str">
        <f t="shared" si="10"/>
        <v>Direct</v>
      </c>
      <c r="H1135" s="7" t="s">
        <v>1057</v>
      </c>
    </row>
    <row r="1136" spans="1:8" x14ac:dyDescent="0.2">
      <c r="A1136" s="5" t="s">
        <v>13</v>
      </c>
      <c r="B1136" s="6" t="s">
        <v>19</v>
      </c>
      <c r="C1136" s="7" t="s">
        <v>1058</v>
      </c>
      <c r="D1136" s="7"/>
      <c r="E1136" s="8">
        <v>-1.9304417</v>
      </c>
      <c r="F1136" s="8">
        <v>-2.3101467000000002</v>
      </c>
      <c r="G1136" s="7" t="str">
        <f t="shared" si="10"/>
        <v>Direct</v>
      </c>
      <c r="H1136" s="7" t="s">
        <v>1059</v>
      </c>
    </row>
    <row r="1137" spans="1:8" x14ac:dyDescent="0.2">
      <c r="A1137" s="5" t="s">
        <v>13</v>
      </c>
      <c r="B1137" s="6" t="s">
        <v>19</v>
      </c>
      <c r="C1137" s="7" t="s">
        <v>1060</v>
      </c>
      <c r="D1137" s="7"/>
      <c r="E1137" s="8">
        <v>-2.2192788999999999</v>
      </c>
      <c r="F1137" s="8">
        <v>-2.1634652000000001</v>
      </c>
      <c r="G1137" s="7" t="str">
        <f t="shared" si="10"/>
        <v>Direct</v>
      </c>
      <c r="H1137" s="7" t="s">
        <v>16</v>
      </c>
    </row>
    <row r="1138" spans="1:8" x14ac:dyDescent="0.2">
      <c r="A1138" s="5" t="s">
        <v>13</v>
      </c>
      <c r="B1138" s="6" t="s">
        <v>19</v>
      </c>
      <c r="C1138" s="7" t="s">
        <v>1061</v>
      </c>
      <c r="D1138" s="7"/>
      <c r="E1138" s="8">
        <v>5.94102058</v>
      </c>
      <c r="F1138" s="8">
        <v>2.9449754800000001</v>
      </c>
      <c r="G1138" s="7" t="str">
        <f t="shared" si="10"/>
        <v>Direct</v>
      </c>
      <c r="H1138" s="7" t="s">
        <v>16</v>
      </c>
    </row>
    <row r="1139" spans="1:8" x14ac:dyDescent="0.2">
      <c r="A1139" s="5" t="s">
        <v>13</v>
      </c>
      <c r="B1139" s="6" t="s">
        <v>19</v>
      </c>
      <c r="C1139" s="7" t="s">
        <v>89</v>
      </c>
      <c r="D1139" s="7"/>
      <c r="E1139" s="8">
        <v>-5.2843621000000001</v>
      </c>
      <c r="F1139" s="8">
        <v>-2.7916514000000001</v>
      </c>
      <c r="G1139" s="7" t="str">
        <f t="shared" si="10"/>
        <v>Direct</v>
      </c>
      <c r="H1139" s="7" t="s">
        <v>90</v>
      </c>
    </row>
    <row r="1140" spans="1:8" x14ac:dyDescent="0.2">
      <c r="A1140" s="5" t="s">
        <v>13</v>
      </c>
      <c r="B1140" s="6" t="s">
        <v>19</v>
      </c>
      <c r="C1140" s="7" t="s">
        <v>93</v>
      </c>
      <c r="D1140" s="7"/>
      <c r="E1140" s="8">
        <v>-2.1520746000000002</v>
      </c>
      <c r="F1140" s="8">
        <v>-3.1636586000000002</v>
      </c>
      <c r="G1140" s="7" t="str">
        <f t="shared" si="10"/>
        <v>Direct</v>
      </c>
      <c r="H1140" s="7" t="s">
        <v>94</v>
      </c>
    </row>
    <row r="1141" spans="1:8" x14ac:dyDescent="0.2">
      <c r="A1141" s="5" t="s">
        <v>13</v>
      </c>
      <c r="B1141" s="6" t="s">
        <v>19</v>
      </c>
      <c r="C1141" s="7" t="s">
        <v>1062</v>
      </c>
      <c r="D1141" s="7"/>
      <c r="E1141" s="8">
        <v>-2.9718422000000002</v>
      </c>
      <c r="F1141" s="8">
        <v>-3.3825886000000001</v>
      </c>
      <c r="G1141" s="7" t="str">
        <f t="shared" si="10"/>
        <v>Direct</v>
      </c>
      <c r="H1141" s="7" t="s">
        <v>90</v>
      </c>
    </row>
    <row r="1142" spans="1:8" x14ac:dyDescent="0.2">
      <c r="A1142" s="5" t="s">
        <v>13</v>
      </c>
      <c r="B1142" s="6" t="s">
        <v>19</v>
      </c>
      <c r="C1142" s="7" t="s">
        <v>1063</v>
      </c>
      <c r="D1142" s="7"/>
      <c r="E1142" s="8">
        <v>-4.3206781000000003</v>
      </c>
      <c r="F1142" s="8">
        <v>-1.6936343</v>
      </c>
      <c r="G1142" s="7" t="str">
        <f t="shared" si="10"/>
        <v>Direct</v>
      </c>
      <c r="H1142" s="7" t="s">
        <v>90</v>
      </c>
    </row>
    <row r="1143" spans="1:8" x14ac:dyDescent="0.2">
      <c r="A1143" s="5" t="s">
        <v>13</v>
      </c>
      <c r="B1143" s="6" t="s">
        <v>19</v>
      </c>
      <c r="C1143" s="7" t="s">
        <v>95</v>
      </c>
      <c r="D1143" s="7"/>
      <c r="E1143" s="8">
        <v>-4.6576240000000002</v>
      </c>
      <c r="F1143" s="8">
        <v>-4.5682492000000003</v>
      </c>
      <c r="G1143" s="7" t="str">
        <f t="shared" si="10"/>
        <v>Direct</v>
      </c>
      <c r="H1143" s="7" t="s">
        <v>96</v>
      </c>
    </row>
    <row r="1144" spans="1:8" x14ac:dyDescent="0.2">
      <c r="A1144" s="5" t="s">
        <v>13</v>
      </c>
      <c r="B1144" s="6" t="s">
        <v>19</v>
      </c>
      <c r="C1144" s="7" t="s">
        <v>1064</v>
      </c>
      <c r="D1144" s="7"/>
      <c r="E1144" s="8">
        <v>-1.3203562</v>
      </c>
      <c r="F1144" s="8">
        <v>-1.1569522000000001</v>
      </c>
      <c r="G1144" s="7" t="str">
        <f t="shared" si="10"/>
        <v>Direct</v>
      </c>
      <c r="H1144" s="7" t="s">
        <v>1065</v>
      </c>
    </row>
    <row r="1145" spans="1:8" x14ac:dyDescent="0.2">
      <c r="A1145" s="5" t="s">
        <v>13</v>
      </c>
      <c r="B1145" s="6" t="s">
        <v>19</v>
      </c>
      <c r="C1145" s="7" t="s">
        <v>1066</v>
      </c>
      <c r="D1145" s="7"/>
      <c r="E1145" s="8">
        <v>-8.7403738000000004</v>
      </c>
      <c r="F1145" s="8">
        <v>-6.9050650999999998</v>
      </c>
      <c r="G1145" s="7" t="str">
        <f t="shared" si="10"/>
        <v>Direct</v>
      </c>
      <c r="H1145" s="7" t="s">
        <v>1067</v>
      </c>
    </row>
    <row r="1146" spans="1:8" x14ac:dyDescent="0.2">
      <c r="A1146" s="5" t="s">
        <v>13</v>
      </c>
      <c r="B1146" s="6" t="s">
        <v>19</v>
      </c>
      <c r="C1146" s="7" t="s">
        <v>1068</v>
      </c>
      <c r="D1146" s="7"/>
      <c r="E1146" s="8">
        <v>-2.4499692999999998</v>
      </c>
      <c r="F1146" s="8">
        <v>-2.1655283999999999</v>
      </c>
      <c r="G1146" s="7" t="str">
        <f t="shared" si="10"/>
        <v>Direct</v>
      </c>
      <c r="H1146" s="7" t="s">
        <v>88</v>
      </c>
    </row>
    <row r="1147" spans="1:8" x14ac:dyDescent="0.2">
      <c r="A1147" s="5" t="s">
        <v>13</v>
      </c>
      <c r="B1147" s="6" t="s">
        <v>19</v>
      </c>
      <c r="C1147" s="7" t="s">
        <v>1069</v>
      </c>
      <c r="D1147" s="7"/>
      <c r="E1147" s="8">
        <v>-3.8175142000000002</v>
      </c>
      <c r="F1147" s="8">
        <v>-3.4064059000000002</v>
      </c>
      <c r="G1147" s="7" t="str">
        <f t="shared" si="10"/>
        <v>Direct</v>
      </c>
      <c r="H1147" s="7" t="s">
        <v>1070</v>
      </c>
    </row>
    <row r="1148" spans="1:8" x14ac:dyDescent="0.2">
      <c r="A1148" s="5" t="s">
        <v>13</v>
      </c>
      <c r="B1148" s="6" t="s">
        <v>19</v>
      </c>
      <c r="C1148" s="7" t="s">
        <v>1071</v>
      </c>
      <c r="D1148" s="7"/>
      <c r="E1148" s="8">
        <v>-2.9951677999999999</v>
      </c>
      <c r="F1148" s="8">
        <v>-1.1259809999999999</v>
      </c>
      <c r="G1148" s="7" t="str">
        <f t="shared" si="10"/>
        <v>Direct</v>
      </c>
      <c r="H1148" s="7" t="s">
        <v>1072</v>
      </c>
    </row>
    <row r="1149" spans="1:8" x14ac:dyDescent="0.2">
      <c r="A1149" s="5" t="s">
        <v>13</v>
      </c>
      <c r="B1149" s="6" t="s">
        <v>19</v>
      </c>
      <c r="C1149" s="7" t="s">
        <v>1073</v>
      </c>
      <c r="D1149" s="7"/>
      <c r="E1149" s="8">
        <v>-5.2975447999999998</v>
      </c>
      <c r="F1149" s="8">
        <v>-3.2668455000000001</v>
      </c>
      <c r="G1149" s="7" t="str">
        <f t="shared" si="10"/>
        <v>Direct</v>
      </c>
      <c r="H1149" s="7" t="s">
        <v>16</v>
      </c>
    </row>
    <row r="1150" spans="1:8" x14ac:dyDescent="0.2">
      <c r="A1150" s="5" t="s">
        <v>13</v>
      </c>
      <c r="B1150" s="6" t="s">
        <v>19</v>
      </c>
      <c r="C1150" s="7" t="s">
        <v>97</v>
      </c>
      <c r="D1150" s="7"/>
      <c r="E1150" s="8">
        <v>-5.4715277999999996</v>
      </c>
      <c r="F1150" s="8">
        <v>-1.9106091000000001</v>
      </c>
      <c r="G1150" s="7" t="str">
        <f t="shared" si="10"/>
        <v>Direct</v>
      </c>
      <c r="H1150" s="7" t="s">
        <v>16</v>
      </c>
    </row>
    <row r="1151" spans="1:8" x14ac:dyDescent="0.2">
      <c r="A1151" s="5" t="s">
        <v>13</v>
      </c>
      <c r="B1151" s="6" t="s">
        <v>19</v>
      </c>
      <c r="C1151" s="7" t="s">
        <v>1074</v>
      </c>
      <c r="D1151" s="7"/>
      <c r="E1151" s="8">
        <v>-4.7203001999999996</v>
      </c>
      <c r="F1151" s="8">
        <v>-3.6455747000000001</v>
      </c>
      <c r="G1151" s="7" t="str">
        <f t="shared" si="10"/>
        <v>Direct</v>
      </c>
      <c r="H1151" s="7" t="s">
        <v>16</v>
      </c>
    </row>
    <row r="1152" spans="1:8" x14ac:dyDescent="0.2">
      <c r="A1152" s="5" t="s">
        <v>13</v>
      </c>
      <c r="B1152" s="6" t="s">
        <v>19</v>
      </c>
      <c r="C1152" s="7" t="s">
        <v>98</v>
      </c>
      <c r="D1152" s="7"/>
      <c r="E1152" s="8">
        <v>-2.4501466999999999</v>
      </c>
      <c r="F1152" s="8">
        <v>-2.1603036000000002</v>
      </c>
      <c r="G1152" s="7" t="str">
        <f t="shared" si="10"/>
        <v>Direct</v>
      </c>
      <c r="H1152" s="7" t="s">
        <v>16</v>
      </c>
    </row>
    <row r="1153" spans="1:8" x14ac:dyDescent="0.2">
      <c r="A1153" s="5" t="s">
        <v>13</v>
      </c>
      <c r="B1153" s="6" t="s">
        <v>19</v>
      </c>
      <c r="C1153" s="7" t="s">
        <v>1075</v>
      </c>
      <c r="D1153" s="7"/>
      <c r="E1153" s="8">
        <v>1.2877214400000001</v>
      </c>
      <c r="F1153" s="8">
        <v>1.00869104</v>
      </c>
      <c r="G1153" s="7" t="str">
        <f t="shared" si="10"/>
        <v>Direct</v>
      </c>
      <c r="H1153" s="7" t="s">
        <v>1076</v>
      </c>
    </row>
    <row r="1154" spans="1:8" x14ac:dyDescent="0.2">
      <c r="A1154" s="5" t="s">
        <v>13</v>
      </c>
      <c r="B1154" s="6" t="s">
        <v>19</v>
      </c>
      <c r="C1154" s="7" t="s">
        <v>1077</v>
      </c>
      <c r="D1154" s="7"/>
      <c r="E1154" s="8">
        <v>-3.3970425</v>
      </c>
      <c r="F1154" s="8">
        <v>-1.2959483000000001</v>
      </c>
      <c r="G1154" s="7" t="str">
        <f t="shared" si="10"/>
        <v>Direct</v>
      </c>
      <c r="H1154" s="7" t="s">
        <v>16</v>
      </c>
    </row>
    <row r="1155" spans="1:8" x14ac:dyDescent="0.2">
      <c r="A1155" s="5" t="s">
        <v>13</v>
      </c>
      <c r="B1155" s="6" t="s">
        <v>19</v>
      </c>
      <c r="C1155" s="7" t="s">
        <v>1078</v>
      </c>
      <c r="D1155" s="7"/>
      <c r="E1155" s="8">
        <v>-3.6634416999999999</v>
      </c>
      <c r="F1155" s="8">
        <v>-1.1848474</v>
      </c>
      <c r="G1155" s="7" t="str">
        <f t="shared" si="10"/>
        <v>Direct</v>
      </c>
      <c r="H1155" s="7" t="s">
        <v>16</v>
      </c>
    </row>
    <row r="1156" spans="1:8" x14ac:dyDescent="0.2">
      <c r="A1156" s="5" t="s">
        <v>13</v>
      </c>
      <c r="B1156" s="6" t="s">
        <v>19</v>
      </c>
      <c r="C1156" s="7" t="s">
        <v>99</v>
      </c>
      <c r="D1156" s="7"/>
      <c r="E1156" s="8">
        <v>-1.6969584</v>
      </c>
      <c r="F1156" s="8">
        <v>-2.8998290999999998</v>
      </c>
      <c r="G1156" s="7" t="str">
        <f t="shared" si="10"/>
        <v>Direct</v>
      </c>
      <c r="H1156" s="7" t="s">
        <v>100</v>
      </c>
    </row>
    <row r="1157" spans="1:8" x14ac:dyDescent="0.2">
      <c r="A1157" s="5" t="s">
        <v>13</v>
      </c>
      <c r="B1157" s="6" t="s">
        <v>19</v>
      </c>
      <c r="C1157" s="7" t="s">
        <v>1079</v>
      </c>
      <c r="D1157" s="7"/>
      <c r="E1157" s="8">
        <v>-6.0293013999999996</v>
      </c>
      <c r="F1157" s="8">
        <v>-6.5391484999999996</v>
      </c>
      <c r="G1157" s="7" t="str">
        <f t="shared" si="10"/>
        <v>Direct</v>
      </c>
      <c r="H1157" s="7" t="s">
        <v>1080</v>
      </c>
    </row>
    <row r="1158" spans="1:8" x14ac:dyDescent="0.2">
      <c r="A1158" s="5" t="s">
        <v>13</v>
      </c>
      <c r="B1158" s="6" t="s">
        <v>19</v>
      </c>
      <c r="C1158" s="7" t="s">
        <v>1081</v>
      </c>
      <c r="D1158" s="7"/>
      <c r="E1158" s="8">
        <v>-5.8860530999999998</v>
      </c>
      <c r="F1158" s="8">
        <v>-5.3543075</v>
      </c>
      <c r="G1158" s="7" t="str">
        <f t="shared" si="10"/>
        <v>Direct</v>
      </c>
      <c r="H1158" s="7" t="s">
        <v>1082</v>
      </c>
    </row>
    <row r="1159" spans="1:8" x14ac:dyDescent="0.2">
      <c r="A1159" s="5" t="s">
        <v>13</v>
      </c>
      <c r="B1159" s="6" t="s">
        <v>19</v>
      </c>
      <c r="C1159" s="7" t="s">
        <v>1083</v>
      </c>
      <c r="D1159" s="7"/>
      <c r="E1159" s="8">
        <v>-1.3915496000000001</v>
      </c>
      <c r="F1159" s="8">
        <v>-1.5112277000000001</v>
      </c>
      <c r="G1159" s="7" t="str">
        <f t="shared" si="10"/>
        <v>Direct</v>
      </c>
      <c r="H1159" s="7" t="s">
        <v>1084</v>
      </c>
    </row>
    <row r="1160" spans="1:8" x14ac:dyDescent="0.2">
      <c r="A1160" s="5" t="s">
        <v>13</v>
      </c>
      <c r="B1160" s="6" t="s">
        <v>19</v>
      </c>
      <c r="C1160" s="7" t="s">
        <v>1085</v>
      </c>
      <c r="D1160" s="7"/>
      <c r="E1160" s="8">
        <v>-3.5156757999999999</v>
      </c>
      <c r="F1160" s="8">
        <v>-2.0995982</v>
      </c>
      <c r="G1160" s="7" t="str">
        <f t="shared" si="10"/>
        <v>Direct</v>
      </c>
      <c r="H1160" s="7" t="s">
        <v>1086</v>
      </c>
    </row>
    <row r="1161" spans="1:8" x14ac:dyDescent="0.2">
      <c r="A1161" s="5" t="s">
        <v>13</v>
      </c>
      <c r="B1161" s="6" t="s">
        <v>19</v>
      </c>
      <c r="C1161" s="7" t="s">
        <v>1087</v>
      </c>
      <c r="D1161" s="7"/>
      <c r="E1161" s="8">
        <v>-5.1092858999999997</v>
      </c>
      <c r="F1161" s="8">
        <v>-1.4777247</v>
      </c>
      <c r="G1161" s="7" t="str">
        <f t="shared" si="10"/>
        <v>Direct</v>
      </c>
      <c r="H1161" s="7" t="s">
        <v>16</v>
      </c>
    </row>
    <row r="1162" spans="1:8" x14ac:dyDescent="0.2">
      <c r="A1162" s="5" t="s">
        <v>13</v>
      </c>
      <c r="B1162" s="6" t="s">
        <v>19</v>
      </c>
      <c r="C1162" s="7" t="s">
        <v>1088</v>
      </c>
      <c r="D1162" s="7"/>
      <c r="E1162" s="8">
        <v>1.44611087</v>
      </c>
      <c r="F1162" s="8">
        <v>2.1126290700000001</v>
      </c>
      <c r="G1162" s="7" t="str">
        <f t="shared" si="10"/>
        <v>Direct</v>
      </c>
      <c r="H1162" s="7" t="s">
        <v>16</v>
      </c>
    </row>
    <row r="1163" spans="1:8" x14ac:dyDescent="0.2">
      <c r="A1163" s="5" t="s">
        <v>13</v>
      </c>
      <c r="B1163" s="6" t="s">
        <v>19</v>
      </c>
      <c r="C1163" s="7" t="s">
        <v>101</v>
      </c>
      <c r="D1163" s="7"/>
      <c r="E1163" s="8">
        <v>-12.931882</v>
      </c>
      <c r="F1163" s="8">
        <v>-9.9916944000000001</v>
      </c>
      <c r="G1163" s="7" t="str">
        <f t="shared" si="10"/>
        <v>Direct</v>
      </c>
      <c r="H1163" s="7" t="s">
        <v>16</v>
      </c>
    </row>
    <row r="1164" spans="1:8" x14ac:dyDescent="0.2">
      <c r="A1164" s="5" t="s">
        <v>13</v>
      </c>
      <c r="B1164" s="6" t="s">
        <v>19</v>
      </c>
      <c r="C1164" s="7" t="s">
        <v>1089</v>
      </c>
      <c r="D1164" s="7"/>
      <c r="E1164" s="8">
        <v>-1.2353282000000001</v>
      </c>
      <c r="F1164" s="8">
        <v>-1.865191</v>
      </c>
      <c r="G1164" s="7" t="str">
        <f t="shared" si="10"/>
        <v>Direct</v>
      </c>
      <c r="H1164" s="7" t="s">
        <v>16</v>
      </c>
    </row>
    <row r="1165" spans="1:8" x14ac:dyDescent="0.2">
      <c r="A1165" s="5" t="s">
        <v>13</v>
      </c>
      <c r="B1165" s="6" t="s">
        <v>19</v>
      </c>
      <c r="C1165" s="7" t="s">
        <v>1090</v>
      </c>
      <c r="D1165" s="7"/>
      <c r="E1165" s="8">
        <v>-2.4066046000000001</v>
      </c>
      <c r="F1165" s="8">
        <v>-1.4567208</v>
      </c>
      <c r="G1165" s="7" t="str">
        <f t="shared" si="10"/>
        <v>Direct</v>
      </c>
      <c r="H1165" s="7" t="s">
        <v>1091</v>
      </c>
    </row>
    <row r="1166" spans="1:8" x14ac:dyDescent="0.2">
      <c r="A1166" s="5" t="s">
        <v>13</v>
      </c>
      <c r="B1166" s="6" t="s">
        <v>19</v>
      </c>
      <c r="C1166" s="7" t="s">
        <v>1092</v>
      </c>
      <c r="D1166" s="7"/>
      <c r="E1166" s="8">
        <v>-3.6252751999999999</v>
      </c>
      <c r="F1166" s="8">
        <v>-2.4244458999999998</v>
      </c>
      <c r="G1166" s="7" t="str">
        <f t="shared" si="10"/>
        <v>Direct</v>
      </c>
      <c r="H1166" s="7" t="s">
        <v>1093</v>
      </c>
    </row>
    <row r="1167" spans="1:8" x14ac:dyDescent="0.2">
      <c r="A1167" s="5" t="s">
        <v>13</v>
      </c>
      <c r="B1167" s="6" t="s">
        <v>19</v>
      </c>
      <c r="C1167" s="7" t="s">
        <v>1094</v>
      </c>
      <c r="D1167" s="7"/>
      <c r="E1167" s="8">
        <v>-2.8696685</v>
      </c>
      <c r="F1167" s="8">
        <v>-3.6045136000000002</v>
      </c>
      <c r="G1167" s="7" t="str">
        <f t="shared" si="10"/>
        <v>Direct</v>
      </c>
      <c r="H1167" s="7" t="s">
        <v>1095</v>
      </c>
    </row>
    <row r="1168" spans="1:8" x14ac:dyDescent="0.2">
      <c r="A1168" s="5" t="s">
        <v>13</v>
      </c>
      <c r="B1168" s="6" t="s">
        <v>19</v>
      </c>
      <c r="C1168" s="7" t="s">
        <v>1096</v>
      </c>
      <c r="D1168" s="7"/>
      <c r="E1168" s="8">
        <v>-5.9171784000000001</v>
      </c>
      <c r="F1168" s="8">
        <v>-4.0700136999999996</v>
      </c>
      <c r="G1168" s="7" t="str">
        <f t="shared" si="10"/>
        <v>Direct</v>
      </c>
      <c r="H1168" s="7" t="s">
        <v>1097</v>
      </c>
    </row>
    <row r="1169" spans="1:8" x14ac:dyDescent="0.2">
      <c r="A1169" s="5" t="s">
        <v>13</v>
      </c>
      <c r="B1169" s="6" t="s">
        <v>19</v>
      </c>
      <c r="C1169" s="7" t="s">
        <v>1098</v>
      </c>
      <c r="D1169" s="7"/>
      <c r="E1169" s="8">
        <v>-5.3102717999999998</v>
      </c>
      <c r="F1169" s="8">
        <v>-3.1514753999999998</v>
      </c>
      <c r="G1169" s="7" t="str">
        <f t="shared" si="10"/>
        <v>Direct</v>
      </c>
      <c r="H1169" s="7" t="s">
        <v>1099</v>
      </c>
    </row>
    <row r="1170" spans="1:8" x14ac:dyDescent="0.2">
      <c r="A1170" s="5" t="s">
        <v>13</v>
      </c>
      <c r="B1170" s="6" t="s">
        <v>19</v>
      </c>
      <c r="C1170" s="7" t="s">
        <v>102</v>
      </c>
      <c r="D1170" s="7"/>
      <c r="E1170" s="8">
        <v>-5.5524820000000004</v>
      </c>
      <c r="F1170" s="8">
        <v>-3.3763665999999999</v>
      </c>
      <c r="G1170" s="7" t="str">
        <f t="shared" si="10"/>
        <v>Direct</v>
      </c>
      <c r="H1170" s="7" t="s">
        <v>16</v>
      </c>
    </row>
    <row r="1171" spans="1:8" x14ac:dyDescent="0.2">
      <c r="A1171" s="5" t="s">
        <v>13</v>
      </c>
      <c r="B1171" s="6" t="s">
        <v>19</v>
      </c>
      <c r="C1171" s="7" t="s">
        <v>1100</v>
      </c>
      <c r="D1171" s="7"/>
      <c r="E1171" s="8">
        <v>3.16982724</v>
      </c>
      <c r="F1171" s="8">
        <v>4.6721565199999997</v>
      </c>
      <c r="G1171" s="7" t="str">
        <f t="shared" si="10"/>
        <v>Direct</v>
      </c>
      <c r="H1171" s="7" t="s">
        <v>16</v>
      </c>
    </row>
    <row r="1172" spans="1:8" x14ac:dyDescent="0.2">
      <c r="A1172" s="5" t="s">
        <v>13</v>
      </c>
      <c r="B1172" s="6" t="s">
        <v>19</v>
      </c>
      <c r="C1172" s="7" t="s">
        <v>1101</v>
      </c>
      <c r="D1172" s="7"/>
      <c r="E1172" s="8">
        <v>-1.2232574000000001</v>
      </c>
      <c r="F1172" s="8">
        <v>-2.7148835</v>
      </c>
      <c r="G1172" s="7" t="str">
        <f t="shared" si="10"/>
        <v>Direct</v>
      </c>
      <c r="H1172" s="7" t="s">
        <v>1102</v>
      </c>
    </row>
    <row r="1173" spans="1:8" x14ac:dyDescent="0.2">
      <c r="A1173" s="5" t="s">
        <v>13</v>
      </c>
      <c r="B1173" s="6" t="s">
        <v>19</v>
      </c>
      <c r="C1173" s="7" t="s">
        <v>1103</v>
      </c>
      <c r="D1173" s="7"/>
      <c r="E1173" s="8">
        <v>-2.8769988</v>
      </c>
      <c r="F1173" s="8">
        <v>-2.2977405000000002</v>
      </c>
      <c r="G1173" s="7" t="str">
        <f t="shared" si="10"/>
        <v>Direct</v>
      </c>
      <c r="H1173" s="7" t="s">
        <v>16</v>
      </c>
    </row>
    <row r="1174" spans="1:8" x14ac:dyDescent="0.2">
      <c r="A1174" s="5" t="s">
        <v>13</v>
      </c>
      <c r="B1174" s="6" t="s">
        <v>19</v>
      </c>
      <c r="C1174" s="7" t="s">
        <v>1104</v>
      </c>
      <c r="D1174" s="7"/>
      <c r="E1174" s="8">
        <v>2.1936496600000002</v>
      </c>
      <c r="F1174" s="8">
        <v>3.0779156400000001</v>
      </c>
      <c r="G1174" s="7" t="str">
        <f t="shared" si="10"/>
        <v>Direct</v>
      </c>
      <c r="H1174" s="7" t="s">
        <v>1105</v>
      </c>
    </row>
    <row r="1175" spans="1:8" x14ac:dyDescent="0.2">
      <c r="A1175" s="5" t="s">
        <v>13</v>
      </c>
      <c r="B1175" s="6" t="s">
        <v>19</v>
      </c>
      <c r="C1175" s="7" t="s">
        <v>1106</v>
      </c>
      <c r="D1175" s="7"/>
      <c r="E1175" s="8">
        <v>-2.1963460000000001</v>
      </c>
      <c r="F1175" s="8">
        <v>-1.6798005</v>
      </c>
      <c r="G1175" s="7" t="str">
        <f t="shared" si="10"/>
        <v>Direct</v>
      </c>
      <c r="H1175" s="7" t="s">
        <v>16</v>
      </c>
    </row>
    <row r="1176" spans="1:8" x14ac:dyDescent="0.2">
      <c r="A1176" s="5" t="s">
        <v>13</v>
      </c>
      <c r="B1176" s="6" t="s">
        <v>19</v>
      </c>
      <c r="C1176" s="7" t="s">
        <v>1107</v>
      </c>
      <c r="D1176" s="7"/>
      <c r="E1176" s="8">
        <v>3.3320459800000002</v>
      </c>
      <c r="F1176" s="8">
        <v>2.7685712499999999</v>
      </c>
      <c r="G1176" s="7" t="str">
        <f t="shared" si="10"/>
        <v>Direct</v>
      </c>
      <c r="H1176" s="7" t="s">
        <v>1108</v>
      </c>
    </row>
    <row r="1177" spans="1:8" x14ac:dyDescent="0.2">
      <c r="A1177" s="5" t="s">
        <v>13</v>
      </c>
      <c r="B1177" s="6" t="s">
        <v>19</v>
      </c>
      <c r="C1177" s="7" t="s">
        <v>1109</v>
      </c>
      <c r="D1177" s="7"/>
      <c r="E1177" s="8">
        <v>1.02806759</v>
      </c>
      <c r="F1177" s="8">
        <v>1.02950425</v>
      </c>
      <c r="G1177" s="7" t="str">
        <f t="shared" si="10"/>
        <v>Direct</v>
      </c>
      <c r="H1177" s="7" t="s">
        <v>16</v>
      </c>
    </row>
    <row r="1178" spans="1:8" x14ac:dyDescent="0.2">
      <c r="A1178" s="5" t="s">
        <v>13</v>
      </c>
      <c r="B1178" s="6" t="s">
        <v>19</v>
      </c>
      <c r="C1178" s="7" t="s">
        <v>1110</v>
      </c>
      <c r="D1178" s="7"/>
      <c r="E1178" s="8">
        <v>-5.8157024000000002</v>
      </c>
      <c r="F1178" s="8">
        <v>-2.2229898000000001</v>
      </c>
      <c r="G1178" s="7" t="str">
        <f t="shared" si="10"/>
        <v>Direct</v>
      </c>
      <c r="H1178" s="7" t="s">
        <v>1111</v>
      </c>
    </row>
    <row r="1179" spans="1:8" x14ac:dyDescent="0.2">
      <c r="A1179" s="5" t="s">
        <v>13</v>
      </c>
      <c r="B1179" s="6" t="s">
        <v>19</v>
      </c>
      <c r="C1179" s="7" t="s">
        <v>1112</v>
      </c>
      <c r="D1179" s="7"/>
      <c r="E1179" s="8">
        <v>-7.4202697999999998</v>
      </c>
      <c r="F1179" s="8">
        <v>-4.9131106000000004</v>
      </c>
      <c r="G1179" s="7" t="str">
        <f t="shared" si="10"/>
        <v>Direct</v>
      </c>
      <c r="H1179" s="7" t="s">
        <v>722</v>
      </c>
    </row>
    <row r="1180" spans="1:8" x14ac:dyDescent="0.2">
      <c r="A1180" s="5" t="s">
        <v>13</v>
      </c>
      <c r="B1180" s="6" t="s">
        <v>19</v>
      </c>
      <c r="C1180" s="7" t="s">
        <v>103</v>
      </c>
      <c r="D1180" s="7"/>
      <c r="E1180" s="8">
        <v>-1.5442800000000001</v>
      </c>
      <c r="F1180" s="8">
        <v>-1.8079599</v>
      </c>
      <c r="G1180" s="7" t="str">
        <f t="shared" si="10"/>
        <v>Direct</v>
      </c>
      <c r="H1180" s="7" t="s">
        <v>16</v>
      </c>
    </row>
    <row r="1181" spans="1:8" x14ac:dyDescent="0.2">
      <c r="A1181" s="5" t="s">
        <v>13</v>
      </c>
      <c r="B1181" s="6" t="s">
        <v>19</v>
      </c>
      <c r="C1181" s="7" t="s">
        <v>1113</v>
      </c>
      <c r="D1181" s="7"/>
      <c r="E1181" s="8">
        <v>-1.2571024</v>
      </c>
      <c r="F1181" s="8">
        <v>-2.7359452000000002</v>
      </c>
      <c r="G1181" s="7" t="str">
        <f t="shared" si="10"/>
        <v>Direct</v>
      </c>
      <c r="H1181" s="7" t="s">
        <v>16</v>
      </c>
    </row>
    <row r="1182" spans="1:8" x14ac:dyDescent="0.2">
      <c r="A1182" s="5" t="s">
        <v>13</v>
      </c>
      <c r="B1182" s="6" t="s">
        <v>19</v>
      </c>
      <c r="C1182" s="7" t="s">
        <v>1114</v>
      </c>
      <c r="D1182" s="7"/>
      <c r="E1182" s="8">
        <v>-1.2657421</v>
      </c>
      <c r="F1182" s="8">
        <v>-1.271323</v>
      </c>
      <c r="G1182" s="7" t="str">
        <f t="shared" si="10"/>
        <v>Direct</v>
      </c>
      <c r="H1182" s="7" t="s">
        <v>1115</v>
      </c>
    </row>
    <row r="1183" spans="1:8" x14ac:dyDescent="0.2">
      <c r="A1183" s="5" t="s">
        <v>13</v>
      </c>
      <c r="B1183" s="6" t="s">
        <v>19</v>
      </c>
      <c r="C1183" s="7" t="s">
        <v>1116</v>
      </c>
      <c r="D1183" s="7"/>
      <c r="E1183" s="8">
        <v>-3.5849918000000001</v>
      </c>
      <c r="F1183" s="8">
        <v>-5.2679521999999999</v>
      </c>
      <c r="G1183" s="7" t="str">
        <f t="shared" si="10"/>
        <v>Direct</v>
      </c>
      <c r="H1183" s="7" t="s">
        <v>16</v>
      </c>
    </row>
    <row r="1184" spans="1:8" x14ac:dyDescent="0.2">
      <c r="A1184" s="5" t="s">
        <v>13</v>
      </c>
      <c r="B1184" s="6" t="s">
        <v>19</v>
      </c>
      <c r="C1184" s="7" t="s">
        <v>1117</v>
      </c>
      <c r="D1184" s="7"/>
      <c r="E1184" s="8">
        <v>-9.8201021999999991</v>
      </c>
      <c r="F1184" s="8">
        <v>-7.1991563000000003</v>
      </c>
      <c r="G1184" s="7" t="str">
        <f t="shared" si="10"/>
        <v>Direct</v>
      </c>
      <c r="H1184" s="7" t="s">
        <v>16</v>
      </c>
    </row>
    <row r="1185" spans="1:8" x14ac:dyDescent="0.2">
      <c r="A1185" s="5" t="s">
        <v>13</v>
      </c>
      <c r="B1185" s="6" t="s">
        <v>19</v>
      </c>
      <c r="C1185" s="7" t="s">
        <v>1118</v>
      </c>
      <c r="D1185" s="7"/>
      <c r="E1185" s="8">
        <v>1.4266378799999999</v>
      </c>
      <c r="F1185" s="8">
        <v>2.9336601299999998</v>
      </c>
      <c r="G1185" s="7" t="str">
        <f t="shared" si="10"/>
        <v>Direct</v>
      </c>
      <c r="H1185" s="7" t="s">
        <v>1119</v>
      </c>
    </row>
    <row r="1186" spans="1:8" x14ac:dyDescent="0.2">
      <c r="A1186" s="5" t="s">
        <v>13</v>
      </c>
      <c r="B1186" s="6" t="s">
        <v>19</v>
      </c>
      <c r="C1186" s="7" t="s">
        <v>1120</v>
      </c>
      <c r="D1186" s="7"/>
      <c r="E1186" s="8">
        <v>-1.3435258000000001</v>
      </c>
      <c r="F1186" s="8">
        <v>-2.3982776000000001</v>
      </c>
      <c r="G1186" s="7" t="str">
        <f t="shared" si="10"/>
        <v>Direct</v>
      </c>
      <c r="H1186" s="7" t="s">
        <v>1121</v>
      </c>
    </row>
    <row r="1187" spans="1:8" x14ac:dyDescent="0.2">
      <c r="A1187" s="5" t="s">
        <v>13</v>
      </c>
      <c r="B1187" s="6" t="s">
        <v>19</v>
      </c>
      <c r="C1187" s="7" t="s">
        <v>1122</v>
      </c>
      <c r="D1187" s="7"/>
      <c r="E1187" s="8">
        <v>-4.6608840000000002</v>
      </c>
      <c r="F1187" s="8">
        <v>-5.0668845999999998</v>
      </c>
      <c r="G1187" s="7" t="str">
        <f t="shared" si="10"/>
        <v>Direct</v>
      </c>
      <c r="H1187" s="7" t="s">
        <v>1123</v>
      </c>
    </row>
    <row r="1188" spans="1:8" x14ac:dyDescent="0.2">
      <c r="A1188" s="5" t="s">
        <v>13</v>
      </c>
      <c r="B1188" s="6" t="s">
        <v>19</v>
      </c>
      <c r="C1188" s="7" t="s">
        <v>1124</v>
      </c>
      <c r="D1188" s="7"/>
      <c r="E1188" s="8">
        <v>-3.4231531999999998</v>
      </c>
      <c r="F1188" s="8">
        <v>-3.4433373999999999</v>
      </c>
      <c r="G1188" s="7" t="str">
        <f t="shared" si="10"/>
        <v>Direct</v>
      </c>
      <c r="H1188" s="7" t="s">
        <v>425</v>
      </c>
    </row>
    <row r="1189" spans="1:8" x14ac:dyDescent="0.2">
      <c r="A1189" s="5" t="s">
        <v>13</v>
      </c>
      <c r="B1189" s="6" t="s">
        <v>19</v>
      </c>
      <c r="C1189" s="7" t="s">
        <v>1125</v>
      </c>
      <c r="D1189" s="7"/>
      <c r="E1189" s="8">
        <v>-7.2874008000000003</v>
      </c>
      <c r="F1189" s="8">
        <v>-9.8743104000000006</v>
      </c>
      <c r="G1189" s="7" t="str">
        <f t="shared" si="10"/>
        <v>Direct</v>
      </c>
      <c r="H1189" s="7" t="s">
        <v>1021</v>
      </c>
    </row>
    <row r="1190" spans="1:8" x14ac:dyDescent="0.2">
      <c r="A1190" s="5" t="s">
        <v>13</v>
      </c>
      <c r="B1190" s="6" t="s">
        <v>19</v>
      </c>
      <c r="C1190" s="7" t="s">
        <v>1126</v>
      </c>
      <c r="D1190" s="7"/>
      <c r="E1190" s="8">
        <v>1.1872933999999999</v>
      </c>
      <c r="F1190" s="8">
        <v>1.9274850299999999</v>
      </c>
      <c r="G1190" s="7" t="str">
        <f t="shared" si="10"/>
        <v>Direct</v>
      </c>
      <c r="H1190" s="7" t="s">
        <v>16</v>
      </c>
    </row>
    <row r="1191" spans="1:8" x14ac:dyDescent="0.2">
      <c r="A1191" s="5" t="s">
        <v>13</v>
      </c>
      <c r="B1191" s="6" t="s">
        <v>19</v>
      </c>
      <c r="C1191" s="7" t="s">
        <v>1127</v>
      </c>
      <c r="D1191" s="7"/>
      <c r="E1191" s="8">
        <v>-2.4983244</v>
      </c>
      <c r="F1191" s="8">
        <v>-1.235698</v>
      </c>
      <c r="G1191" s="7" t="str">
        <f t="shared" si="10"/>
        <v>Direct</v>
      </c>
      <c r="H1191" s="7" t="s">
        <v>525</v>
      </c>
    </row>
    <row r="1192" spans="1:8" x14ac:dyDescent="0.2">
      <c r="A1192" s="5" t="s">
        <v>13</v>
      </c>
      <c r="B1192" s="6" t="s">
        <v>19</v>
      </c>
      <c r="C1192" s="7" t="s">
        <v>104</v>
      </c>
      <c r="D1192" s="7"/>
      <c r="E1192" s="8">
        <v>-1.8447515000000001</v>
      </c>
      <c r="F1192" s="8">
        <v>-4.5003602000000003</v>
      </c>
      <c r="G1192" s="7" t="str">
        <f t="shared" si="10"/>
        <v>Direct</v>
      </c>
      <c r="H1192" s="7" t="s">
        <v>16</v>
      </c>
    </row>
    <row r="1193" spans="1:8" x14ac:dyDescent="0.2">
      <c r="A1193" s="5" t="s">
        <v>13</v>
      </c>
      <c r="B1193" s="6" t="s">
        <v>19</v>
      </c>
      <c r="C1193" s="7" t="s">
        <v>1128</v>
      </c>
      <c r="D1193" s="7"/>
      <c r="E1193" s="8">
        <v>-5.3898292999999997</v>
      </c>
      <c r="F1193" s="8">
        <v>-3.0123947000000002</v>
      </c>
      <c r="G1193" s="7" t="str">
        <f t="shared" si="10"/>
        <v>Direct</v>
      </c>
      <c r="H1193" s="7" t="s">
        <v>1129</v>
      </c>
    </row>
    <row r="1194" spans="1:8" x14ac:dyDescent="0.2">
      <c r="A1194" s="5" t="s">
        <v>13</v>
      </c>
      <c r="B1194" s="6" t="s">
        <v>19</v>
      </c>
      <c r="C1194" s="7" t="s">
        <v>1130</v>
      </c>
      <c r="D1194" s="7"/>
      <c r="E1194" s="8">
        <v>3.1737582</v>
      </c>
      <c r="F1194" s="8">
        <v>2.7685712499999999</v>
      </c>
      <c r="G1194" s="7" t="str">
        <f t="shared" si="10"/>
        <v>Direct</v>
      </c>
      <c r="H1194" s="7" t="s">
        <v>1131</v>
      </c>
    </row>
    <row r="1195" spans="1:8" x14ac:dyDescent="0.2">
      <c r="A1195" s="5" t="s">
        <v>13</v>
      </c>
      <c r="B1195" s="6" t="s">
        <v>19</v>
      </c>
      <c r="C1195" s="7" t="s">
        <v>1132</v>
      </c>
      <c r="D1195" s="7"/>
      <c r="E1195" s="8">
        <v>-3.1908310000000002</v>
      </c>
      <c r="F1195" s="8">
        <v>-3.0167082999999999</v>
      </c>
      <c r="G1195" s="7" t="str">
        <f t="shared" si="10"/>
        <v>Direct</v>
      </c>
      <c r="H1195" s="7" t="s">
        <v>1133</v>
      </c>
    </row>
    <row r="1196" spans="1:8" x14ac:dyDescent="0.2">
      <c r="A1196" s="5" t="s">
        <v>13</v>
      </c>
      <c r="B1196" s="6" t="s">
        <v>19</v>
      </c>
      <c r="C1196" s="7" t="s">
        <v>1134</v>
      </c>
      <c r="D1196" s="7"/>
      <c r="E1196" s="8">
        <v>1.2286256900000001</v>
      </c>
      <c r="F1196" s="8">
        <v>1.0546051299999999</v>
      </c>
      <c r="G1196" s="7" t="str">
        <f t="shared" si="10"/>
        <v>Direct</v>
      </c>
      <c r="H1196" s="7" t="s">
        <v>1135</v>
      </c>
    </row>
    <row r="1197" spans="1:8" x14ac:dyDescent="0.2">
      <c r="A1197" s="5" t="s">
        <v>13</v>
      </c>
      <c r="B1197" s="6" t="s">
        <v>19</v>
      </c>
      <c r="C1197" s="7" t="s">
        <v>105</v>
      </c>
      <c r="D1197" s="7"/>
      <c r="E1197" s="8">
        <v>-5.6181349999999997</v>
      </c>
      <c r="F1197" s="8">
        <v>-5.4063771999999997</v>
      </c>
      <c r="G1197" s="7" t="str">
        <f t="shared" si="10"/>
        <v>Direct</v>
      </c>
      <c r="H1197" s="7" t="s">
        <v>16</v>
      </c>
    </row>
    <row r="1198" spans="1:8" x14ac:dyDescent="0.2">
      <c r="A1198" s="5" t="s">
        <v>13</v>
      </c>
      <c r="B1198" s="6" t="s">
        <v>19</v>
      </c>
      <c r="C1198" s="7" t="s">
        <v>1136</v>
      </c>
      <c r="D1198" s="7"/>
      <c r="E1198" s="8">
        <v>1.2328921500000001</v>
      </c>
      <c r="F1198" s="8">
        <v>2.3828851499999999</v>
      </c>
      <c r="G1198" s="7" t="str">
        <f t="shared" si="10"/>
        <v>Direct</v>
      </c>
      <c r="H1198" s="7" t="s">
        <v>1137</v>
      </c>
    </row>
    <row r="1199" spans="1:8" x14ac:dyDescent="0.2">
      <c r="A1199" s="5" t="s">
        <v>13</v>
      </c>
      <c r="B1199" s="6" t="s">
        <v>19</v>
      </c>
      <c r="C1199" s="7" t="s">
        <v>1138</v>
      </c>
      <c r="D1199" s="7"/>
      <c r="E1199" s="8">
        <v>2.8542277999999999</v>
      </c>
      <c r="F1199" s="8">
        <v>3.1135162599999999</v>
      </c>
      <c r="G1199" s="7" t="str">
        <f t="shared" si="10"/>
        <v>Direct</v>
      </c>
      <c r="H1199" s="7" t="s">
        <v>1139</v>
      </c>
    </row>
    <row r="1200" spans="1:8" x14ac:dyDescent="0.2">
      <c r="A1200" s="5" t="s">
        <v>13</v>
      </c>
      <c r="B1200" s="6" t="s">
        <v>19</v>
      </c>
      <c r="C1200" s="7" t="s">
        <v>1140</v>
      </c>
      <c r="D1200" s="7"/>
      <c r="E1200" s="8">
        <v>-1.4680787</v>
      </c>
      <c r="F1200" s="8">
        <v>-2.4212315000000002</v>
      </c>
      <c r="G1200" s="7" t="str">
        <f t="shared" si="10"/>
        <v>Direct</v>
      </c>
      <c r="H1200" s="7" t="s">
        <v>16</v>
      </c>
    </row>
    <row r="1201" spans="1:8" x14ac:dyDescent="0.2">
      <c r="A1201" s="5" t="s">
        <v>13</v>
      </c>
      <c r="B1201" s="6" t="s">
        <v>19</v>
      </c>
      <c r="C1201" s="7" t="s">
        <v>1141</v>
      </c>
      <c r="D1201" s="7"/>
      <c r="E1201" s="8">
        <v>2.3741726999999999</v>
      </c>
      <c r="F1201" s="8">
        <v>1.0651040700000001</v>
      </c>
      <c r="G1201" s="7" t="str">
        <f t="shared" si="10"/>
        <v>Direct</v>
      </c>
      <c r="H1201" s="7" t="s">
        <v>16</v>
      </c>
    </row>
    <row r="1202" spans="1:8" x14ac:dyDescent="0.2">
      <c r="A1202" s="5" t="s">
        <v>13</v>
      </c>
      <c r="B1202" s="6" t="s">
        <v>19</v>
      </c>
      <c r="C1202" s="7" t="s">
        <v>1142</v>
      </c>
      <c r="D1202" s="7"/>
      <c r="E1202" s="8">
        <v>-5.8195160000000001</v>
      </c>
      <c r="F1202" s="8">
        <v>-4.2028673000000003</v>
      </c>
      <c r="G1202" s="7" t="str">
        <f t="shared" si="10"/>
        <v>Direct</v>
      </c>
      <c r="H1202" s="7" t="s">
        <v>1143</v>
      </c>
    </row>
    <row r="1203" spans="1:8" x14ac:dyDescent="0.2">
      <c r="A1203" s="5" t="s">
        <v>13</v>
      </c>
      <c r="B1203" s="6" t="s">
        <v>19</v>
      </c>
      <c r="C1203" s="7" t="s">
        <v>1144</v>
      </c>
      <c r="D1203" s="7"/>
      <c r="E1203" s="8">
        <v>-1.5365812000000001</v>
      </c>
      <c r="F1203" s="8">
        <v>-1.7734270999999999</v>
      </c>
      <c r="G1203" s="7" t="str">
        <f t="shared" si="10"/>
        <v>Direct</v>
      </c>
      <c r="H1203" s="7" t="s">
        <v>1145</v>
      </c>
    </row>
    <row r="1204" spans="1:8" x14ac:dyDescent="0.2">
      <c r="A1204" s="5" t="s">
        <v>13</v>
      </c>
      <c r="B1204" s="6" t="s">
        <v>19</v>
      </c>
      <c r="C1204" s="7" t="s">
        <v>106</v>
      </c>
      <c r="D1204" s="7"/>
      <c r="E1204" s="8">
        <v>-1.3026685</v>
      </c>
      <c r="F1204" s="8">
        <v>-1.1981295999999999</v>
      </c>
      <c r="G1204" s="7" t="str">
        <f t="shared" si="10"/>
        <v>Direct</v>
      </c>
      <c r="H1204" s="7" t="s">
        <v>107</v>
      </c>
    </row>
    <row r="1205" spans="1:8" x14ac:dyDescent="0.2">
      <c r="A1205" s="5" t="s">
        <v>13</v>
      </c>
      <c r="B1205" s="6" t="s">
        <v>19</v>
      </c>
      <c r="C1205" s="7" t="s">
        <v>1146</v>
      </c>
      <c r="D1205" s="7"/>
      <c r="E1205" s="8">
        <v>1.9941911299999999</v>
      </c>
      <c r="F1205" s="8">
        <v>1.80267884</v>
      </c>
      <c r="G1205" s="7" t="str">
        <f t="shared" si="10"/>
        <v>Direct</v>
      </c>
      <c r="H1205" s="7" t="s">
        <v>1147</v>
      </c>
    </row>
    <row r="1206" spans="1:8" x14ac:dyDescent="0.2">
      <c r="A1206" s="5" t="s">
        <v>13</v>
      </c>
      <c r="B1206" s="6" t="s">
        <v>19</v>
      </c>
      <c r="C1206" s="7" t="s">
        <v>1148</v>
      </c>
      <c r="D1206" s="7"/>
      <c r="E1206" s="8">
        <v>-2.3260203000000002</v>
      </c>
      <c r="F1206" s="8">
        <v>-1.9051799</v>
      </c>
      <c r="G1206" s="7" t="str">
        <f t="shared" si="10"/>
        <v>Direct</v>
      </c>
      <c r="H1206" s="7" t="s">
        <v>1149</v>
      </c>
    </row>
    <row r="1207" spans="1:8" x14ac:dyDescent="0.2">
      <c r="A1207" s="5" t="s">
        <v>13</v>
      </c>
      <c r="B1207" s="6" t="s">
        <v>19</v>
      </c>
      <c r="C1207" s="7" t="s">
        <v>1150</v>
      </c>
      <c r="D1207" s="7"/>
      <c r="E1207" s="8">
        <v>1.6004840899999999</v>
      </c>
      <c r="F1207" s="8">
        <v>1.16518415</v>
      </c>
      <c r="G1207" s="7" t="str">
        <f t="shared" si="10"/>
        <v>Direct</v>
      </c>
      <c r="H1207" s="7" t="s">
        <v>333</v>
      </c>
    </row>
    <row r="1208" spans="1:8" x14ac:dyDescent="0.2">
      <c r="A1208" s="5" t="s">
        <v>13</v>
      </c>
      <c r="B1208" s="6" t="s">
        <v>19</v>
      </c>
      <c r="C1208" s="7" t="s">
        <v>1151</v>
      </c>
      <c r="D1208" s="7"/>
      <c r="E1208" s="8">
        <v>2.3221620199999999</v>
      </c>
      <c r="F1208" s="8">
        <v>1.4527721099999999</v>
      </c>
      <c r="G1208" s="7" t="str">
        <f t="shared" si="10"/>
        <v>Direct</v>
      </c>
      <c r="H1208" s="7" t="s">
        <v>16</v>
      </c>
    </row>
    <row r="1209" spans="1:8" x14ac:dyDescent="0.2">
      <c r="A1209" s="5" t="s">
        <v>13</v>
      </c>
      <c r="B1209" s="6" t="s">
        <v>19</v>
      </c>
      <c r="C1209" s="7" t="s">
        <v>1152</v>
      </c>
      <c r="D1209" s="7"/>
      <c r="E1209" s="8">
        <v>-1.9191324999999999</v>
      </c>
      <c r="F1209" s="8">
        <v>-2.3215344999999998</v>
      </c>
      <c r="G1209" s="7" t="str">
        <f t="shared" si="10"/>
        <v>Direct</v>
      </c>
      <c r="H1209" s="7" t="s">
        <v>16</v>
      </c>
    </row>
    <row r="1210" spans="1:8" x14ac:dyDescent="0.2">
      <c r="A1210" s="5" t="s">
        <v>13</v>
      </c>
      <c r="B1210" s="6" t="s">
        <v>19</v>
      </c>
      <c r="C1210" s="7" t="s">
        <v>1153</v>
      </c>
      <c r="D1210" s="7"/>
      <c r="E1210" s="8">
        <v>-1.9556385999999999</v>
      </c>
      <c r="F1210" s="8">
        <v>-1.6582262000000001</v>
      </c>
      <c r="G1210" s="7" t="str">
        <f t="shared" si="10"/>
        <v>Direct</v>
      </c>
      <c r="H1210" s="7" t="s">
        <v>1154</v>
      </c>
    </row>
    <row r="1211" spans="1:8" x14ac:dyDescent="0.2">
      <c r="A1211" s="5" t="s">
        <v>13</v>
      </c>
      <c r="B1211" s="6" t="s">
        <v>19</v>
      </c>
      <c r="C1211" s="7" t="s">
        <v>108</v>
      </c>
      <c r="D1211" s="7"/>
      <c r="E1211" s="8">
        <v>-1.3702616000000001</v>
      </c>
      <c r="F1211" s="8">
        <v>-1.5730624</v>
      </c>
      <c r="G1211" s="7" t="str">
        <f t="shared" si="10"/>
        <v>Direct</v>
      </c>
      <c r="H1211" s="7" t="s">
        <v>16</v>
      </c>
    </row>
    <row r="1212" spans="1:8" x14ac:dyDescent="0.2">
      <c r="A1212" s="5" t="s">
        <v>13</v>
      </c>
      <c r="B1212" s="6" t="s">
        <v>19</v>
      </c>
      <c r="C1212" s="7" t="s">
        <v>1155</v>
      </c>
      <c r="D1212" s="7"/>
      <c r="E1212" s="8">
        <v>-1.4025905000000001</v>
      </c>
      <c r="F1212" s="8">
        <v>-1.2970727</v>
      </c>
      <c r="G1212" s="7" t="str">
        <f t="shared" si="10"/>
        <v>Direct</v>
      </c>
      <c r="H1212" s="7" t="s">
        <v>16</v>
      </c>
    </row>
    <row r="1213" spans="1:8" x14ac:dyDescent="0.2">
      <c r="A1213" s="5" t="s">
        <v>13</v>
      </c>
      <c r="B1213" s="6" t="s">
        <v>19</v>
      </c>
      <c r="C1213" s="7" t="s">
        <v>1156</v>
      </c>
      <c r="D1213" s="7"/>
      <c r="E1213" s="8">
        <v>-1.6649821</v>
      </c>
      <c r="F1213" s="8">
        <v>-3.0601118</v>
      </c>
      <c r="G1213" s="7" t="str">
        <f t="shared" si="10"/>
        <v>Direct</v>
      </c>
      <c r="H1213" s="7" t="s">
        <v>16</v>
      </c>
    </row>
    <row r="1214" spans="1:8" x14ac:dyDescent="0.2">
      <c r="A1214" s="5" t="s">
        <v>13</v>
      </c>
      <c r="B1214" s="6" t="s">
        <v>19</v>
      </c>
      <c r="C1214" s="7" t="s">
        <v>109</v>
      </c>
      <c r="D1214" s="7"/>
      <c r="E1214" s="8">
        <v>-3.4108588000000002</v>
      </c>
      <c r="F1214" s="8">
        <v>-2.4525117999999999</v>
      </c>
      <c r="G1214" s="7" t="str">
        <f t="shared" si="10"/>
        <v>Direct</v>
      </c>
      <c r="H1214" s="7" t="s">
        <v>110</v>
      </c>
    </row>
    <row r="1215" spans="1:8" x14ac:dyDescent="0.2">
      <c r="A1215" s="5" t="s">
        <v>13</v>
      </c>
      <c r="B1215" s="6" t="s">
        <v>19</v>
      </c>
      <c r="C1215" s="7" t="s">
        <v>1157</v>
      </c>
      <c r="D1215" s="7"/>
      <c r="E1215" s="8">
        <v>5.2304700999999998</v>
      </c>
      <c r="F1215" s="8">
        <v>4.95482567</v>
      </c>
      <c r="G1215" s="7" t="str">
        <f t="shared" si="10"/>
        <v>Direct</v>
      </c>
      <c r="H1215" s="7" t="s">
        <v>1158</v>
      </c>
    </row>
    <row r="1216" spans="1:8" x14ac:dyDescent="0.2">
      <c r="A1216" s="5" t="s">
        <v>13</v>
      </c>
      <c r="B1216" s="6" t="s">
        <v>19</v>
      </c>
      <c r="C1216" s="7" t="s">
        <v>114</v>
      </c>
      <c r="D1216" s="7"/>
      <c r="E1216" s="8">
        <v>-6.9514344000000001</v>
      </c>
      <c r="F1216" s="8">
        <v>-9.7423488000000003</v>
      </c>
      <c r="G1216" s="7" t="str">
        <f t="shared" si="10"/>
        <v>Direct</v>
      </c>
      <c r="H1216" s="7" t="s">
        <v>16</v>
      </c>
    </row>
    <row r="1217" spans="1:8" x14ac:dyDescent="0.2">
      <c r="A1217" s="5" t="s">
        <v>13</v>
      </c>
      <c r="B1217" s="6" t="s">
        <v>19</v>
      </c>
      <c r="C1217" s="7" t="s">
        <v>1159</v>
      </c>
      <c r="D1217" s="7"/>
      <c r="E1217" s="8">
        <v>-3.4585818000000002</v>
      </c>
      <c r="F1217" s="8">
        <v>-2.5143300000000002</v>
      </c>
      <c r="G1217" s="7" t="str">
        <f t="shared" si="10"/>
        <v>Direct</v>
      </c>
      <c r="H1217" s="7" t="s">
        <v>16</v>
      </c>
    </row>
    <row r="1218" spans="1:8" x14ac:dyDescent="0.2">
      <c r="A1218" s="5" t="s">
        <v>13</v>
      </c>
      <c r="B1218" s="6" t="s">
        <v>19</v>
      </c>
      <c r="C1218" s="7" t="s">
        <v>115</v>
      </c>
      <c r="D1218" s="7"/>
      <c r="E1218" s="8">
        <v>-7.0796315999999999</v>
      </c>
      <c r="F1218" s="8">
        <v>-6.2430747000000002</v>
      </c>
      <c r="G1218" s="7" t="str">
        <f t="shared" si="10"/>
        <v>Direct</v>
      </c>
      <c r="H1218" s="7" t="s">
        <v>16</v>
      </c>
    </row>
    <row r="1219" spans="1:8" x14ac:dyDescent="0.2">
      <c r="A1219" s="5" t="s">
        <v>13</v>
      </c>
      <c r="B1219" s="6" t="s">
        <v>19</v>
      </c>
      <c r="C1219" s="7" t="s">
        <v>1160</v>
      </c>
      <c r="D1219" s="7"/>
      <c r="E1219" s="8">
        <v>-2.5106891999999998</v>
      </c>
      <c r="F1219" s="8">
        <v>-1.1900226</v>
      </c>
      <c r="G1219" s="7" t="str">
        <f t="shared" si="10"/>
        <v>Direct</v>
      </c>
      <c r="H1219" s="7" t="s">
        <v>1161</v>
      </c>
    </row>
    <row r="1220" spans="1:8" x14ac:dyDescent="0.2">
      <c r="A1220" s="5" t="s">
        <v>13</v>
      </c>
      <c r="B1220" s="6" t="s">
        <v>19</v>
      </c>
      <c r="C1220" s="7" t="s">
        <v>1162</v>
      </c>
      <c r="D1220" s="7"/>
      <c r="E1220" s="8">
        <v>-2.8579876</v>
      </c>
      <c r="F1220" s="8">
        <v>-3.4815192000000001</v>
      </c>
      <c r="G1220" s="7" t="str">
        <f t="shared" si="10"/>
        <v>Direct</v>
      </c>
      <c r="H1220" s="7" t="s">
        <v>16</v>
      </c>
    </row>
    <row r="1221" spans="1:8" x14ac:dyDescent="0.2">
      <c r="A1221" s="5" t="s">
        <v>13</v>
      </c>
      <c r="B1221" s="6" t="s">
        <v>19</v>
      </c>
      <c r="C1221" s="7" t="s">
        <v>1163</v>
      </c>
      <c r="D1221" s="7"/>
      <c r="E1221" s="8">
        <v>1.0416965199999999</v>
      </c>
      <c r="F1221" s="8">
        <v>1.1165848899999999</v>
      </c>
      <c r="G1221" s="7" t="str">
        <f t="shared" si="10"/>
        <v>Direct</v>
      </c>
      <c r="H1221" s="7" t="s">
        <v>16</v>
      </c>
    </row>
    <row r="1222" spans="1:8" x14ac:dyDescent="0.2">
      <c r="A1222" s="5" t="s">
        <v>13</v>
      </c>
      <c r="B1222" s="6" t="s">
        <v>19</v>
      </c>
      <c r="C1222" s="7" t="s">
        <v>1164</v>
      </c>
      <c r="D1222" s="7"/>
      <c r="E1222" s="8">
        <v>-4.2814835000000002</v>
      </c>
      <c r="F1222" s="8">
        <v>-2.8574196000000001</v>
      </c>
      <c r="G1222" s="7" t="str">
        <f t="shared" si="10"/>
        <v>Direct</v>
      </c>
      <c r="H1222" s="7" t="s">
        <v>1165</v>
      </c>
    </row>
    <row r="1223" spans="1:8" x14ac:dyDescent="0.2">
      <c r="A1223" s="5" t="s">
        <v>13</v>
      </c>
      <c r="B1223" s="6" t="s">
        <v>19</v>
      </c>
      <c r="C1223" s="7" t="s">
        <v>1166</v>
      </c>
      <c r="D1223" s="7"/>
      <c r="E1223" s="8">
        <v>-1.2602698000000001</v>
      </c>
      <c r="F1223" s="8">
        <v>-3.0261659000000001</v>
      </c>
      <c r="G1223" s="7" t="str">
        <f t="shared" si="10"/>
        <v>Direct</v>
      </c>
      <c r="H1223" s="7" t="s">
        <v>16</v>
      </c>
    </row>
    <row r="1224" spans="1:8" x14ac:dyDescent="0.2">
      <c r="A1224" s="5" t="s">
        <v>13</v>
      </c>
      <c r="B1224" s="6" t="s">
        <v>19</v>
      </c>
      <c r="C1224" s="7" t="s">
        <v>1167</v>
      </c>
      <c r="D1224" s="7"/>
      <c r="E1224" s="8">
        <v>-2.3882449000000001</v>
      </c>
      <c r="F1224" s="8">
        <v>-1.8986305999999999</v>
      </c>
      <c r="G1224" s="7" t="str">
        <f t="shared" si="10"/>
        <v>Direct</v>
      </c>
      <c r="H1224" s="7" t="s">
        <v>16</v>
      </c>
    </row>
    <row r="1225" spans="1:8" x14ac:dyDescent="0.2">
      <c r="A1225" s="5" t="s">
        <v>13</v>
      </c>
      <c r="B1225" s="6" t="s">
        <v>19</v>
      </c>
      <c r="C1225" s="7" t="s">
        <v>1168</v>
      </c>
      <c r="D1225" s="7"/>
      <c r="E1225" s="8">
        <v>2.9062430799999999</v>
      </c>
      <c r="F1225" s="8">
        <v>3.9884796499999999</v>
      </c>
      <c r="G1225" s="7" t="str">
        <f t="shared" si="10"/>
        <v>Direct</v>
      </c>
      <c r="H1225" s="7" t="s">
        <v>1169</v>
      </c>
    </row>
    <row r="1226" spans="1:8" x14ac:dyDescent="0.2">
      <c r="A1226" s="5" t="s">
        <v>13</v>
      </c>
      <c r="B1226" s="6" t="s">
        <v>19</v>
      </c>
      <c r="C1226" s="7" t="s">
        <v>1170</v>
      </c>
      <c r="D1226" s="7"/>
      <c r="E1226" s="8">
        <v>5.4654556300000001</v>
      </c>
      <c r="F1226" s="8">
        <v>2.8623474400000002</v>
      </c>
      <c r="G1226" s="7" t="str">
        <f t="shared" si="10"/>
        <v>Direct</v>
      </c>
      <c r="H1226" s="7" t="s">
        <v>1171</v>
      </c>
    </row>
    <row r="1227" spans="1:8" x14ac:dyDescent="0.2">
      <c r="A1227" s="5" t="s">
        <v>13</v>
      </c>
      <c r="B1227" s="6" t="s">
        <v>19</v>
      </c>
      <c r="C1227" s="7" t="s">
        <v>1172</v>
      </c>
      <c r="D1227" s="7"/>
      <c r="E1227" s="8">
        <v>-1.4924378</v>
      </c>
      <c r="F1227" s="8">
        <v>-1.1478135</v>
      </c>
      <c r="G1227" s="7" t="str">
        <f t="shared" si="10"/>
        <v>Direct</v>
      </c>
      <c r="H1227" s="7" t="s">
        <v>1173</v>
      </c>
    </row>
    <row r="1228" spans="1:8" x14ac:dyDescent="0.2">
      <c r="A1228" s="5" t="s">
        <v>13</v>
      </c>
      <c r="B1228" s="6" t="s">
        <v>19</v>
      </c>
      <c r="C1228" s="7" t="s">
        <v>1174</v>
      </c>
      <c r="D1228" s="7"/>
      <c r="E1228" s="8">
        <v>-5.3837660999999999</v>
      </c>
      <c r="F1228" s="8">
        <v>-5.3159489000000004</v>
      </c>
      <c r="G1228" s="7" t="str">
        <f t="shared" ref="G1228:G1482" si="11">IF(OR(AND(E1228&gt;0,F1228&gt;0),AND(E1228&lt;0,F1228&lt;0)),"Direct","Inverse")</f>
        <v>Direct</v>
      </c>
      <c r="H1228" s="7" t="s">
        <v>1175</v>
      </c>
    </row>
    <row r="1229" spans="1:8" x14ac:dyDescent="0.2">
      <c r="A1229" s="5" t="s">
        <v>13</v>
      </c>
      <c r="B1229" s="6" t="s">
        <v>19</v>
      </c>
      <c r="C1229" s="7" t="s">
        <v>1176</v>
      </c>
      <c r="D1229" s="7"/>
      <c r="E1229" s="8">
        <v>1.09297792</v>
      </c>
      <c r="F1229" s="8">
        <v>1.0386246100000001</v>
      </c>
      <c r="G1229" s="7" t="str">
        <f t="shared" si="11"/>
        <v>Direct</v>
      </c>
      <c r="H1229" s="7" t="s">
        <v>1177</v>
      </c>
    </row>
    <row r="1230" spans="1:8" x14ac:dyDescent="0.2">
      <c r="A1230" s="5" t="s">
        <v>13</v>
      </c>
      <c r="B1230" s="6" t="s">
        <v>19</v>
      </c>
      <c r="C1230" s="7" t="s">
        <v>1178</v>
      </c>
      <c r="D1230" s="7"/>
      <c r="E1230" s="8">
        <v>1.2546046099999999</v>
      </c>
      <c r="F1230" s="8">
        <v>1.8391894</v>
      </c>
      <c r="G1230" s="7" t="str">
        <f t="shared" si="11"/>
        <v>Direct</v>
      </c>
      <c r="H1230" s="7" t="s">
        <v>1179</v>
      </c>
    </row>
    <row r="1231" spans="1:8" x14ac:dyDescent="0.2">
      <c r="A1231" s="5" t="s">
        <v>13</v>
      </c>
      <c r="B1231" s="6" t="s">
        <v>19</v>
      </c>
      <c r="C1231" s="7" t="s">
        <v>116</v>
      </c>
      <c r="D1231" s="7"/>
      <c r="E1231" s="8">
        <v>-9.8974259</v>
      </c>
      <c r="F1231" s="8">
        <v>-4.8299216999999999</v>
      </c>
      <c r="G1231" s="7" t="str">
        <f t="shared" si="11"/>
        <v>Direct</v>
      </c>
      <c r="H1231" s="7" t="s">
        <v>16</v>
      </c>
    </row>
    <row r="1232" spans="1:8" x14ac:dyDescent="0.2">
      <c r="A1232" s="5" t="s">
        <v>13</v>
      </c>
      <c r="B1232" s="6" t="s">
        <v>19</v>
      </c>
      <c r="C1232" s="7" t="s">
        <v>117</v>
      </c>
      <c r="D1232" s="7"/>
      <c r="E1232" s="8">
        <v>-14.623307</v>
      </c>
      <c r="F1232" s="8">
        <v>-11.10711</v>
      </c>
      <c r="G1232" s="7" t="str">
        <f t="shared" si="11"/>
        <v>Direct</v>
      </c>
      <c r="H1232" s="7" t="s">
        <v>16</v>
      </c>
    </row>
    <row r="1233" spans="1:8" x14ac:dyDescent="0.2">
      <c r="A1233" s="5" t="s">
        <v>13</v>
      </c>
      <c r="B1233" s="6" t="s">
        <v>19</v>
      </c>
      <c r="C1233" s="7" t="s">
        <v>118</v>
      </c>
      <c r="D1233" s="7"/>
      <c r="E1233" s="8">
        <v>-1.4784373</v>
      </c>
      <c r="F1233" s="8">
        <v>-1.636147</v>
      </c>
      <c r="G1233" s="7" t="str">
        <f t="shared" si="11"/>
        <v>Direct</v>
      </c>
      <c r="H1233" s="7" t="s">
        <v>16</v>
      </c>
    </row>
    <row r="1234" spans="1:8" x14ac:dyDescent="0.2">
      <c r="A1234" s="5" t="s">
        <v>13</v>
      </c>
      <c r="B1234" s="6" t="s">
        <v>19</v>
      </c>
      <c r="C1234" s="7" t="s">
        <v>1180</v>
      </c>
      <c r="D1234" s="7"/>
      <c r="E1234" s="8">
        <v>1.92148122</v>
      </c>
      <c r="F1234" s="8">
        <v>1.2798075900000001</v>
      </c>
      <c r="G1234" s="7" t="str">
        <f t="shared" si="11"/>
        <v>Direct</v>
      </c>
      <c r="H1234" s="7" t="s">
        <v>16</v>
      </c>
    </row>
    <row r="1235" spans="1:8" x14ac:dyDescent="0.2">
      <c r="A1235" s="5" t="s">
        <v>13</v>
      </c>
      <c r="B1235" s="6" t="s">
        <v>19</v>
      </c>
      <c r="C1235" s="7" t="s">
        <v>1181</v>
      </c>
      <c r="D1235" s="7"/>
      <c r="E1235" s="8">
        <v>2.9951677800000001</v>
      </c>
      <c r="F1235" s="8">
        <v>3.86083211</v>
      </c>
      <c r="G1235" s="7" t="str">
        <f t="shared" si="11"/>
        <v>Direct</v>
      </c>
      <c r="H1235" s="7" t="s">
        <v>1182</v>
      </c>
    </row>
    <row r="1236" spans="1:8" x14ac:dyDescent="0.2">
      <c r="A1236" s="5" t="s">
        <v>13</v>
      </c>
      <c r="B1236" s="6" t="s">
        <v>19</v>
      </c>
      <c r="C1236" s="7" t="s">
        <v>1183</v>
      </c>
      <c r="D1236" s="7"/>
      <c r="E1236" s="8">
        <v>-2.6942962000000001</v>
      </c>
      <c r="F1236" s="8">
        <v>-1.8501128</v>
      </c>
      <c r="G1236" s="7" t="str">
        <f t="shared" si="11"/>
        <v>Direct</v>
      </c>
      <c r="H1236" s="7" t="s">
        <v>16</v>
      </c>
    </row>
    <row r="1237" spans="1:8" x14ac:dyDescent="0.2">
      <c r="A1237" s="5" t="s">
        <v>13</v>
      </c>
      <c r="B1237" s="6" t="s">
        <v>19</v>
      </c>
      <c r="C1237" s="7" t="s">
        <v>1184</v>
      </c>
      <c r="D1237" s="7"/>
      <c r="E1237" s="8">
        <v>-2.3919776000000001</v>
      </c>
      <c r="F1237" s="8">
        <v>-1.1356862000000001</v>
      </c>
      <c r="G1237" s="7" t="str">
        <f t="shared" si="11"/>
        <v>Direct</v>
      </c>
      <c r="H1237" s="7" t="s">
        <v>1185</v>
      </c>
    </row>
    <row r="1238" spans="1:8" x14ac:dyDescent="0.2">
      <c r="A1238" s="5" t="s">
        <v>13</v>
      </c>
      <c r="B1238" s="6" t="s">
        <v>19</v>
      </c>
      <c r="C1238" s="7" t="s">
        <v>1186</v>
      </c>
      <c r="D1238" s="7"/>
      <c r="E1238" s="8">
        <v>-2.8809146000000001</v>
      </c>
      <c r="F1238" s="8">
        <v>-2.1349743000000001</v>
      </c>
      <c r="G1238" s="7" t="str">
        <f t="shared" si="11"/>
        <v>Direct</v>
      </c>
      <c r="H1238" s="7" t="s">
        <v>1187</v>
      </c>
    </row>
    <row r="1239" spans="1:8" x14ac:dyDescent="0.2">
      <c r="A1239" s="5" t="s">
        <v>13</v>
      </c>
      <c r="B1239" s="6" t="s">
        <v>19</v>
      </c>
      <c r="C1239" s="7" t="s">
        <v>119</v>
      </c>
      <c r="D1239" s="7"/>
      <c r="E1239" s="8">
        <v>-3.4216853999999999</v>
      </c>
      <c r="F1239" s="8">
        <v>-4.4091345000000004</v>
      </c>
      <c r="G1239" s="7" t="str">
        <f t="shared" si="11"/>
        <v>Direct</v>
      </c>
      <c r="H1239" s="7" t="s">
        <v>16</v>
      </c>
    </row>
    <row r="1240" spans="1:8" x14ac:dyDescent="0.2">
      <c r="A1240" s="5" t="s">
        <v>13</v>
      </c>
      <c r="B1240" s="6" t="s">
        <v>19</v>
      </c>
      <c r="C1240" s="7" t="s">
        <v>1188</v>
      </c>
      <c r="D1240" s="7"/>
      <c r="E1240" s="8">
        <v>-2.0083489000000001</v>
      </c>
      <c r="F1240" s="8">
        <v>-2.7375657000000002</v>
      </c>
      <c r="G1240" s="7" t="str">
        <f t="shared" si="11"/>
        <v>Direct</v>
      </c>
      <c r="H1240" s="7" t="s">
        <v>1189</v>
      </c>
    </row>
    <row r="1241" spans="1:8" x14ac:dyDescent="0.2">
      <c r="A1241" s="5" t="s">
        <v>13</v>
      </c>
      <c r="B1241" s="6" t="s">
        <v>19</v>
      </c>
      <c r="C1241" s="7" t="s">
        <v>1190</v>
      </c>
      <c r="D1241" s="7"/>
      <c r="E1241" s="8">
        <v>-1.989554</v>
      </c>
      <c r="F1241" s="8">
        <v>-2.4821635</v>
      </c>
      <c r="G1241" s="7" t="str">
        <f t="shared" si="11"/>
        <v>Direct</v>
      </c>
      <c r="H1241" s="7" t="s">
        <v>16</v>
      </c>
    </row>
    <row r="1242" spans="1:8" x14ac:dyDescent="0.2">
      <c r="A1242" s="5" t="s">
        <v>13</v>
      </c>
      <c r="B1242" s="6" t="s">
        <v>19</v>
      </c>
      <c r="C1242" s="7" t="s">
        <v>1191</v>
      </c>
      <c r="D1242" s="7"/>
      <c r="E1242" s="8">
        <v>-2.1957575</v>
      </c>
      <c r="F1242" s="8">
        <v>-1.0458619</v>
      </c>
      <c r="G1242" s="7" t="str">
        <f t="shared" si="11"/>
        <v>Direct</v>
      </c>
      <c r="H1242" s="7" t="s">
        <v>1192</v>
      </c>
    </row>
    <row r="1243" spans="1:8" x14ac:dyDescent="0.2">
      <c r="A1243" s="5" t="s">
        <v>13</v>
      </c>
      <c r="B1243" s="6" t="s">
        <v>19</v>
      </c>
      <c r="C1243" s="7" t="s">
        <v>1193</v>
      </c>
      <c r="D1243" s="7"/>
      <c r="E1243" s="8">
        <v>-6.3484226000000001</v>
      </c>
      <c r="F1243" s="8">
        <v>-2.8601348999999998</v>
      </c>
      <c r="G1243" s="7" t="str">
        <f t="shared" si="11"/>
        <v>Direct</v>
      </c>
      <c r="H1243" s="7" t="s">
        <v>16</v>
      </c>
    </row>
    <row r="1244" spans="1:8" x14ac:dyDescent="0.2">
      <c r="A1244" s="5" t="s">
        <v>13</v>
      </c>
      <c r="B1244" s="6" t="s">
        <v>19</v>
      </c>
      <c r="C1244" s="7" t="s">
        <v>1194</v>
      </c>
      <c r="D1244" s="7"/>
      <c r="E1244" s="8">
        <v>-1.2896239</v>
      </c>
      <c r="F1244" s="8">
        <v>-1.4079413999999999</v>
      </c>
      <c r="G1244" s="7" t="str">
        <f t="shared" si="11"/>
        <v>Direct</v>
      </c>
      <c r="H1244" s="7" t="s">
        <v>1195</v>
      </c>
    </row>
    <row r="1245" spans="1:8" x14ac:dyDescent="0.2">
      <c r="A1245" s="5" t="s">
        <v>13</v>
      </c>
      <c r="B1245" s="6" t="s">
        <v>19</v>
      </c>
      <c r="C1245" s="7" t="s">
        <v>1196</v>
      </c>
      <c r="D1245" s="7"/>
      <c r="E1245" s="8">
        <v>1.4093196699999999</v>
      </c>
      <c r="F1245" s="8">
        <v>1.8822901700000001</v>
      </c>
      <c r="G1245" s="7" t="str">
        <f t="shared" si="11"/>
        <v>Direct</v>
      </c>
      <c r="H1245" s="7" t="s">
        <v>1197</v>
      </c>
    </row>
    <row r="1246" spans="1:8" x14ac:dyDescent="0.2">
      <c r="A1246" s="5" t="s">
        <v>13</v>
      </c>
      <c r="B1246" s="6" t="s">
        <v>19</v>
      </c>
      <c r="C1246" s="7" t="s">
        <v>1198</v>
      </c>
      <c r="D1246" s="7"/>
      <c r="E1246" s="8">
        <v>-3.5943862000000002</v>
      </c>
      <c r="F1246" s="8">
        <v>-3.1013177000000001</v>
      </c>
      <c r="G1246" s="7" t="str">
        <f t="shared" si="11"/>
        <v>Direct</v>
      </c>
      <c r="H1246" s="7" t="s">
        <v>1199</v>
      </c>
    </row>
    <row r="1247" spans="1:8" x14ac:dyDescent="0.2">
      <c r="A1247" s="5" t="s">
        <v>13</v>
      </c>
      <c r="B1247" s="6" t="s">
        <v>19</v>
      </c>
      <c r="C1247" s="7" t="s">
        <v>120</v>
      </c>
      <c r="D1247" s="7"/>
      <c r="E1247" s="8">
        <v>-9.4338063999999999</v>
      </c>
      <c r="F1247" s="8">
        <v>-9.1710580999999998</v>
      </c>
      <c r="G1247" s="7" t="str">
        <f t="shared" si="11"/>
        <v>Direct</v>
      </c>
      <c r="H1247" s="7" t="s">
        <v>16</v>
      </c>
    </row>
    <row r="1248" spans="1:8" x14ac:dyDescent="0.2">
      <c r="A1248" s="5" t="s">
        <v>13</v>
      </c>
      <c r="B1248" s="6" t="s">
        <v>19</v>
      </c>
      <c r="C1248" s="7" t="s">
        <v>121</v>
      </c>
      <c r="D1248" s="7"/>
      <c r="E1248" s="8">
        <v>-10.511108999999999</v>
      </c>
      <c r="F1248" s="8">
        <v>-5.6978428000000001</v>
      </c>
      <c r="G1248" s="7" t="str">
        <f t="shared" si="11"/>
        <v>Direct</v>
      </c>
      <c r="H1248" s="7" t="s">
        <v>16</v>
      </c>
    </row>
    <row r="1249" spans="1:8" x14ac:dyDescent="0.2">
      <c r="A1249" s="5" t="s">
        <v>13</v>
      </c>
      <c r="B1249" s="6" t="s">
        <v>19</v>
      </c>
      <c r="C1249" s="7" t="s">
        <v>1200</v>
      </c>
      <c r="D1249" s="7"/>
      <c r="E1249" s="8">
        <v>-3.2297470000000001</v>
      </c>
      <c r="F1249" s="8">
        <v>-3.6566475999999999</v>
      </c>
      <c r="G1249" s="7" t="str">
        <f t="shared" si="11"/>
        <v>Direct</v>
      </c>
      <c r="H1249" s="7" t="s">
        <v>1201</v>
      </c>
    </row>
    <row r="1250" spans="1:8" x14ac:dyDescent="0.2">
      <c r="A1250" s="5" t="s">
        <v>13</v>
      </c>
      <c r="B1250" s="6" t="s">
        <v>19</v>
      </c>
      <c r="C1250" s="7" t="s">
        <v>1202</v>
      </c>
      <c r="D1250" s="7"/>
      <c r="E1250" s="8">
        <v>-1.1904551999999999</v>
      </c>
      <c r="F1250" s="8">
        <v>-1.2435436</v>
      </c>
      <c r="G1250" s="7" t="str">
        <f t="shared" si="11"/>
        <v>Direct</v>
      </c>
      <c r="H1250" s="7" t="s">
        <v>1203</v>
      </c>
    </row>
    <row r="1251" spans="1:8" x14ac:dyDescent="0.2">
      <c r="A1251" s="5" t="s">
        <v>13</v>
      </c>
      <c r="B1251" s="6" t="s">
        <v>19</v>
      </c>
      <c r="C1251" s="7" t="s">
        <v>1204</v>
      </c>
      <c r="D1251" s="7"/>
      <c r="E1251" s="8">
        <v>3.8175141899999998</v>
      </c>
      <c r="F1251" s="8">
        <v>3.3735968999999999</v>
      </c>
      <c r="G1251" s="7" t="str">
        <f t="shared" si="11"/>
        <v>Direct</v>
      </c>
      <c r="H1251" s="7" t="s">
        <v>1205</v>
      </c>
    </row>
    <row r="1252" spans="1:8" x14ac:dyDescent="0.2">
      <c r="A1252" s="5" t="s">
        <v>13</v>
      </c>
      <c r="B1252" s="6" t="s">
        <v>19</v>
      </c>
      <c r="C1252" s="7" t="s">
        <v>1206</v>
      </c>
      <c r="D1252" s="7"/>
      <c r="E1252" s="8">
        <v>-1.3831285</v>
      </c>
      <c r="F1252" s="8">
        <v>-1.1647589</v>
      </c>
      <c r="G1252" s="7" t="str">
        <f t="shared" si="11"/>
        <v>Direct</v>
      </c>
      <c r="H1252" s="7" t="s">
        <v>16</v>
      </c>
    </row>
    <row r="1253" spans="1:8" x14ac:dyDescent="0.2">
      <c r="A1253" s="5" t="s">
        <v>13</v>
      </c>
      <c r="B1253" s="6" t="s">
        <v>19</v>
      </c>
      <c r="C1253" s="7" t="s">
        <v>1207</v>
      </c>
      <c r="D1253" s="7"/>
      <c r="E1253" s="8">
        <v>-6.1981469000000002</v>
      </c>
      <c r="F1253" s="8">
        <v>-5.0527438</v>
      </c>
      <c r="G1253" s="7" t="str">
        <f t="shared" si="11"/>
        <v>Direct</v>
      </c>
      <c r="H1253" s="7" t="s">
        <v>1208</v>
      </c>
    </row>
    <row r="1254" spans="1:8" x14ac:dyDescent="0.2">
      <c r="A1254" s="5" t="s">
        <v>13</v>
      </c>
      <c r="B1254" s="6" t="s">
        <v>19</v>
      </c>
      <c r="C1254" s="7" t="s">
        <v>1209</v>
      </c>
      <c r="D1254" s="7"/>
      <c r="E1254" s="8">
        <v>-1.6106906000000001</v>
      </c>
      <c r="F1254" s="8">
        <v>-1.1989981999999999</v>
      </c>
      <c r="G1254" s="7" t="str">
        <f t="shared" si="11"/>
        <v>Direct</v>
      </c>
      <c r="H1254" s="7" t="s">
        <v>16</v>
      </c>
    </row>
    <row r="1255" spans="1:8" x14ac:dyDescent="0.2">
      <c r="A1255" s="5" t="s">
        <v>13</v>
      </c>
      <c r="B1255" s="6" t="s">
        <v>19</v>
      </c>
      <c r="C1255" s="7" t="s">
        <v>1210</v>
      </c>
      <c r="D1255" s="7"/>
      <c r="E1255" s="8">
        <v>-1.6981723</v>
      </c>
      <c r="F1255" s="8">
        <v>-1.2008394</v>
      </c>
      <c r="G1255" s="7" t="str">
        <f t="shared" si="11"/>
        <v>Direct</v>
      </c>
      <c r="H1255" s="7" t="s">
        <v>1211</v>
      </c>
    </row>
    <row r="1256" spans="1:8" x14ac:dyDescent="0.2">
      <c r="A1256" s="5" t="s">
        <v>13</v>
      </c>
      <c r="B1256" s="6" t="s">
        <v>19</v>
      </c>
      <c r="C1256" s="7" t="s">
        <v>1212</v>
      </c>
      <c r="D1256" s="7"/>
      <c r="E1256" s="8">
        <v>-6.6428712000000001</v>
      </c>
      <c r="F1256" s="8">
        <v>-5.0571636</v>
      </c>
      <c r="G1256" s="7" t="str">
        <f t="shared" si="11"/>
        <v>Direct</v>
      </c>
      <c r="H1256" s="7" t="s">
        <v>178</v>
      </c>
    </row>
    <row r="1257" spans="1:8" x14ac:dyDescent="0.2">
      <c r="A1257" s="5" t="s">
        <v>13</v>
      </c>
      <c r="B1257" s="6" t="s">
        <v>19</v>
      </c>
      <c r="C1257" s="7" t="s">
        <v>1213</v>
      </c>
      <c r="D1257" s="7"/>
      <c r="E1257" s="8">
        <v>-1.2523498</v>
      </c>
      <c r="F1257" s="8">
        <v>-1.2845614999999999</v>
      </c>
      <c r="G1257" s="7" t="str">
        <f t="shared" si="11"/>
        <v>Direct</v>
      </c>
      <c r="H1257" s="7" t="s">
        <v>16</v>
      </c>
    </row>
    <row r="1258" spans="1:8" x14ac:dyDescent="0.2">
      <c r="A1258" s="5" t="s">
        <v>13</v>
      </c>
      <c r="B1258" s="6" t="s">
        <v>19</v>
      </c>
      <c r="C1258" s="7" t="s">
        <v>1214</v>
      </c>
      <c r="D1258" s="7"/>
      <c r="E1258" s="8">
        <v>-2.2198443999999999</v>
      </c>
      <c r="F1258" s="8">
        <v>-1.8736975</v>
      </c>
      <c r="G1258" s="7" t="str">
        <f t="shared" si="11"/>
        <v>Direct</v>
      </c>
      <c r="H1258" s="7" t="s">
        <v>16</v>
      </c>
    </row>
    <row r="1259" spans="1:8" x14ac:dyDescent="0.2">
      <c r="A1259" s="5" t="s">
        <v>13</v>
      </c>
      <c r="B1259" s="6" t="s">
        <v>19</v>
      </c>
      <c r="C1259" s="7" t="s">
        <v>122</v>
      </c>
      <c r="D1259" s="7"/>
      <c r="E1259" s="8">
        <v>-2.4473406</v>
      </c>
      <c r="F1259" s="8">
        <v>-2.3481583000000001</v>
      </c>
      <c r="G1259" s="7" t="str">
        <f t="shared" si="11"/>
        <v>Direct</v>
      </c>
      <c r="H1259" s="7" t="s">
        <v>123</v>
      </c>
    </row>
    <row r="1260" spans="1:8" x14ac:dyDescent="0.2">
      <c r="A1260" s="5" t="s">
        <v>13</v>
      </c>
      <c r="B1260" s="6" t="s">
        <v>19</v>
      </c>
      <c r="C1260" s="7" t="s">
        <v>1215</v>
      </c>
      <c r="D1260" s="7"/>
      <c r="E1260" s="8">
        <v>-2.0042509000000002</v>
      </c>
      <c r="F1260" s="8">
        <v>-1.7408878000000001</v>
      </c>
      <c r="G1260" s="7" t="str">
        <f t="shared" si="11"/>
        <v>Direct</v>
      </c>
      <c r="H1260" s="7" t="s">
        <v>1216</v>
      </c>
    </row>
    <row r="1261" spans="1:8" x14ac:dyDescent="0.2">
      <c r="A1261" s="5" t="s">
        <v>13</v>
      </c>
      <c r="B1261" s="6" t="s">
        <v>19</v>
      </c>
      <c r="C1261" s="7" t="s">
        <v>1217</v>
      </c>
      <c r="D1261" s="7"/>
      <c r="E1261" s="8">
        <v>1.4879289899999999</v>
      </c>
      <c r="F1261" s="8">
        <v>1.4862941199999999</v>
      </c>
      <c r="G1261" s="7" t="str">
        <f t="shared" si="11"/>
        <v>Direct</v>
      </c>
      <c r="H1261" s="7" t="s">
        <v>16</v>
      </c>
    </row>
    <row r="1262" spans="1:8" x14ac:dyDescent="0.2">
      <c r="A1262" s="5" t="s">
        <v>13</v>
      </c>
      <c r="B1262" s="6" t="s">
        <v>19</v>
      </c>
      <c r="C1262" s="7" t="s">
        <v>1218</v>
      </c>
      <c r="D1262" s="7"/>
      <c r="E1262" s="8">
        <v>-3.7391353999999999</v>
      </c>
      <c r="F1262" s="8">
        <v>-2.0163036000000001</v>
      </c>
      <c r="G1262" s="7" t="str">
        <f t="shared" si="11"/>
        <v>Direct</v>
      </c>
      <c r="H1262" s="7" t="s">
        <v>1219</v>
      </c>
    </row>
    <row r="1263" spans="1:8" x14ac:dyDescent="0.2">
      <c r="A1263" s="5" t="s">
        <v>13</v>
      </c>
      <c r="B1263" s="6" t="s">
        <v>19</v>
      </c>
      <c r="C1263" s="7" t="s">
        <v>1220</v>
      </c>
      <c r="D1263" s="7"/>
      <c r="E1263" s="8">
        <v>3.17668689</v>
      </c>
      <c r="F1263" s="8">
        <v>2.0647513700000002</v>
      </c>
      <c r="G1263" s="7" t="str">
        <f t="shared" si="11"/>
        <v>Direct</v>
      </c>
      <c r="H1263" s="7" t="s">
        <v>1221</v>
      </c>
    </row>
    <row r="1264" spans="1:8" x14ac:dyDescent="0.2">
      <c r="A1264" s="5" t="s">
        <v>13</v>
      </c>
      <c r="B1264" s="6" t="s">
        <v>19</v>
      </c>
      <c r="C1264" s="7" t="s">
        <v>124</v>
      </c>
      <c r="D1264" s="7"/>
      <c r="E1264" s="8">
        <v>-3.3597033999999999</v>
      </c>
      <c r="F1264" s="8">
        <v>-3.1783622999999999</v>
      </c>
      <c r="G1264" s="7" t="str">
        <f t="shared" si="11"/>
        <v>Direct</v>
      </c>
      <c r="H1264" s="7" t="s">
        <v>125</v>
      </c>
    </row>
    <row r="1265" spans="1:8" x14ac:dyDescent="0.2">
      <c r="A1265" s="5" t="s">
        <v>13</v>
      </c>
      <c r="B1265" s="6" t="s">
        <v>19</v>
      </c>
      <c r="C1265" s="7" t="s">
        <v>1222</v>
      </c>
      <c r="D1265" s="7"/>
      <c r="E1265" s="8">
        <v>-2.3971117999999998</v>
      </c>
      <c r="F1265" s="8">
        <v>-1.3953574</v>
      </c>
      <c r="G1265" s="7" t="str">
        <f t="shared" si="11"/>
        <v>Direct</v>
      </c>
      <c r="H1265" s="7" t="s">
        <v>16</v>
      </c>
    </row>
    <row r="1266" spans="1:8" x14ac:dyDescent="0.2">
      <c r="A1266" s="5" t="s">
        <v>13</v>
      </c>
      <c r="B1266" s="6" t="s">
        <v>19</v>
      </c>
      <c r="C1266" s="7" t="s">
        <v>126</v>
      </c>
      <c r="D1266" s="7"/>
      <c r="E1266" s="8">
        <v>-8.5597542000000004</v>
      </c>
      <c r="F1266" s="8">
        <v>-5.3543075</v>
      </c>
      <c r="G1266" s="7" t="str">
        <f t="shared" si="11"/>
        <v>Direct</v>
      </c>
      <c r="H1266" s="7" t="s">
        <v>16</v>
      </c>
    </row>
    <row r="1267" spans="1:8" x14ac:dyDescent="0.2">
      <c r="A1267" s="5" t="s">
        <v>13</v>
      </c>
      <c r="B1267" s="6" t="s">
        <v>19</v>
      </c>
      <c r="C1267" s="7" t="s">
        <v>127</v>
      </c>
      <c r="D1267" s="7"/>
      <c r="E1267" s="8">
        <v>-8.1750463</v>
      </c>
      <c r="F1267" s="8">
        <v>-5.9442370999999996</v>
      </c>
      <c r="G1267" s="7" t="str">
        <f t="shared" si="11"/>
        <v>Direct</v>
      </c>
      <c r="H1267" s="7" t="s">
        <v>16</v>
      </c>
    </row>
    <row r="1268" spans="1:8" x14ac:dyDescent="0.2">
      <c r="A1268" s="5" t="s">
        <v>13</v>
      </c>
      <c r="B1268" s="6" t="s">
        <v>19</v>
      </c>
      <c r="C1268" s="7" t="s">
        <v>1223</v>
      </c>
      <c r="D1268" s="7"/>
      <c r="E1268" s="8">
        <v>-2.4736392</v>
      </c>
      <c r="F1268" s="8">
        <v>-1.8768746999999999</v>
      </c>
      <c r="G1268" s="7" t="str">
        <f t="shared" si="11"/>
        <v>Direct</v>
      </c>
      <c r="H1268" s="7" t="s">
        <v>1154</v>
      </c>
    </row>
    <row r="1269" spans="1:8" x14ac:dyDescent="0.2">
      <c r="A1269" s="5" t="s">
        <v>13</v>
      </c>
      <c r="B1269" s="6" t="s">
        <v>19</v>
      </c>
      <c r="C1269" s="7" t="s">
        <v>1224</v>
      </c>
      <c r="D1269" s="7"/>
      <c r="E1269" s="8">
        <v>1.12248696</v>
      </c>
      <c r="F1269" s="8">
        <v>1.1126206999999999</v>
      </c>
      <c r="G1269" s="7" t="str">
        <f t="shared" si="11"/>
        <v>Direct</v>
      </c>
      <c r="H1269" s="7" t="s">
        <v>1225</v>
      </c>
    </row>
    <row r="1270" spans="1:8" x14ac:dyDescent="0.2">
      <c r="A1270" s="5" t="s">
        <v>13</v>
      </c>
      <c r="B1270" s="6" t="s">
        <v>19</v>
      </c>
      <c r="C1270" s="7" t="s">
        <v>1226</v>
      </c>
      <c r="D1270" s="7"/>
      <c r="E1270" s="8">
        <v>-2.6979205999999998</v>
      </c>
      <c r="F1270" s="8">
        <v>-1.8247438</v>
      </c>
      <c r="G1270" s="7" t="str">
        <f t="shared" si="11"/>
        <v>Direct</v>
      </c>
      <c r="H1270" s="7" t="s">
        <v>16</v>
      </c>
    </row>
    <row r="1271" spans="1:8" x14ac:dyDescent="0.2">
      <c r="A1271" s="5" t="s">
        <v>13</v>
      </c>
      <c r="B1271" s="6" t="s">
        <v>19</v>
      </c>
      <c r="C1271" s="7" t="s">
        <v>1227</v>
      </c>
      <c r="D1271" s="7"/>
      <c r="E1271" s="8">
        <v>1.6503537699999999</v>
      </c>
      <c r="F1271" s="8">
        <v>1.5541844300000001</v>
      </c>
      <c r="G1271" s="7" t="str">
        <f t="shared" si="11"/>
        <v>Direct</v>
      </c>
      <c r="H1271" s="7" t="s">
        <v>1228</v>
      </c>
    </row>
    <row r="1272" spans="1:8" x14ac:dyDescent="0.2">
      <c r="A1272" s="5" t="s">
        <v>13</v>
      </c>
      <c r="B1272" s="6" t="s">
        <v>19</v>
      </c>
      <c r="C1272" s="7" t="s">
        <v>1229</v>
      </c>
      <c r="D1272" s="7"/>
      <c r="E1272" s="8">
        <v>-3.2214754000000001</v>
      </c>
      <c r="F1272" s="8">
        <v>-1.9357537</v>
      </c>
      <c r="G1272" s="7" t="str">
        <f t="shared" si="11"/>
        <v>Direct</v>
      </c>
      <c r="H1272" s="7" t="s">
        <v>16</v>
      </c>
    </row>
    <row r="1273" spans="1:8" x14ac:dyDescent="0.2">
      <c r="A1273" s="5" t="s">
        <v>13</v>
      </c>
      <c r="B1273" s="6" t="s">
        <v>19</v>
      </c>
      <c r="C1273" s="7" t="s">
        <v>1230</v>
      </c>
      <c r="D1273" s="7"/>
      <c r="E1273" s="8">
        <v>-1.9396652999999999</v>
      </c>
      <c r="F1273" s="8">
        <v>-1.3819429000000001</v>
      </c>
      <c r="G1273" s="7" t="str">
        <f t="shared" si="11"/>
        <v>Direct</v>
      </c>
      <c r="H1273" s="7" t="s">
        <v>425</v>
      </c>
    </row>
    <row r="1274" spans="1:8" x14ac:dyDescent="0.2">
      <c r="A1274" s="5" t="s">
        <v>13</v>
      </c>
      <c r="B1274" s="6" t="s">
        <v>19</v>
      </c>
      <c r="C1274" s="7" t="s">
        <v>1231</v>
      </c>
      <c r="D1274" s="7"/>
      <c r="E1274" s="8">
        <v>-2.3463907000000002</v>
      </c>
      <c r="F1274" s="8">
        <v>-3.2132179999999999</v>
      </c>
      <c r="G1274" s="7" t="str">
        <f t="shared" si="11"/>
        <v>Direct</v>
      </c>
      <c r="H1274" s="7" t="s">
        <v>1232</v>
      </c>
    </row>
    <row r="1275" spans="1:8" x14ac:dyDescent="0.2">
      <c r="A1275" s="5" t="s">
        <v>13</v>
      </c>
      <c r="B1275" s="6" t="s">
        <v>19</v>
      </c>
      <c r="C1275" s="7" t="s">
        <v>1233</v>
      </c>
      <c r="D1275" s="7"/>
      <c r="E1275" s="8">
        <v>2.3120412099999998</v>
      </c>
      <c r="F1275" s="8">
        <v>2.2766642300000002</v>
      </c>
      <c r="G1275" s="7" t="str">
        <f t="shared" si="11"/>
        <v>Direct</v>
      </c>
      <c r="H1275" s="7" t="s">
        <v>1234</v>
      </c>
    </row>
    <row r="1276" spans="1:8" x14ac:dyDescent="0.2">
      <c r="A1276" s="5" t="s">
        <v>13</v>
      </c>
      <c r="B1276" s="6" t="s">
        <v>19</v>
      </c>
      <c r="C1276" s="7" t="s">
        <v>1235</v>
      </c>
      <c r="D1276" s="7"/>
      <c r="E1276" s="8">
        <v>-7.0953282</v>
      </c>
      <c r="F1276" s="8">
        <v>-4.0313346000000001</v>
      </c>
      <c r="G1276" s="7" t="str">
        <f t="shared" si="11"/>
        <v>Direct</v>
      </c>
      <c r="H1276" s="7" t="s">
        <v>16</v>
      </c>
    </row>
    <row r="1277" spans="1:8" x14ac:dyDescent="0.2">
      <c r="A1277" s="5" t="s">
        <v>13</v>
      </c>
      <c r="B1277" s="6" t="s">
        <v>19</v>
      </c>
      <c r="C1277" s="7" t="s">
        <v>1236</v>
      </c>
      <c r="D1277" s="7"/>
      <c r="E1277" s="8">
        <v>-6.1442953999999999</v>
      </c>
      <c r="F1277" s="8">
        <v>-11.137223000000001</v>
      </c>
      <c r="G1277" s="7" t="str">
        <f t="shared" si="11"/>
        <v>Direct</v>
      </c>
      <c r="H1277" s="7" t="s">
        <v>1237</v>
      </c>
    </row>
    <row r="1278" spans="1:8" x14ac:dyDescent="0.2">
      <c r="A1278" s="5" t="s">
        <v>13</v>
      </c>
      <c r="B1278" s="6" t="s">
        <v>19</v>
      </c>
      <c r="C1278" s="7" t="s">
        <v>1238</v>
      </c>
      <c r="D1278" s="7"/>
      <c r="E1278" s="8">
        <v>-4.1609036000000001</v>
      </c>
      <c r="F1278" s="8">
        <v>-3.3904242</v>
      </c>
      <c r="G1278" s="7" t="str">
        <f t="shared" si="11"/>
        <v>Direct</v>
      </c>
      <c r="H1278" s="7" t="s">
        <v>1239</v>
      </c>
    </row>
    <row r="1279" spans="1:8" x14ac:dyDescent="0.2">
      <c r="A1279" s="5" t="s">
        <v>13</v>
      </c>
      <c r="B1279" s="6" t="s">
        <v>19</v>
      </c>
      <c r="C1279" s="7" t="s">
        <v>128</v>
      </c>
      <c r="D1279" s="7"/>
      <c r="E1279" s="8">
        <v>-3.0193332000000002</v>
      </c>
      <c r="F1279" s="8">
        <v>-2.4636181000000001</v>
      </c>
      <c r="G1279" s="7" t="str">
        <f t="shared" si="11"/>
        <v>Direct</v>
      </c>
      <c r="H1279" s="7" t="s">
        <v>129</v>
      </c>
    </row>
    <row r="1280" spans="1:8" x14ac:dyDescent="0.2">
      <c r="A1280" s="5" t="s">
        <v>13</v>
      </c>
      <c r="B1280" s="6" t="s">
        <v>19</v>
      </c>
      <c r="C1280" s="7" t="s">
        <v>1240</v>
      </c>
      <c r="D1280" s="7"/>
      <c r="E1280" s="8">
        <v>2.1878683200000002</v>
      </c>
      <c r="F1280" s="8">
        <v>1.94516668</v>
      </c>
      <c r="G1280" s="7" t="str">
        <f t="shared" si="11"/>
        <v>Direct</v>
      </c>
      <c r="H1280" s="7" t="s">
        <v>1241</v>
      </c>
    </row>
    <row r="1281" spans="1:8" x14ac:dyDescent="0.2">
      <c r="A1281" s="5" t="s">
        <v>13</v>
      </c>
      <c r="B1281" s="6" t="s">
        <v>19</v>
      </c>
      <c r="C1281" s="7" t="s">
        <v>1242</v>
      </c>
      <c r="D1281" s="7"/>
      <c r="E1281" s="8">
        <v>-3.1309509000000002</v>
      </c>
      <c r="F1281" s="8">
        <v>-1.9628243000000001</v>
      </c>
      <c r="G1281" s="7" t="str">
        <f t="shared" si="11"/>
        <v>Direct</v>
      </c>
      <c r="H1281" s="7" t="s">
        <v>1135</v>
      </c>
    </row>
    <row r="1282" spans="1:8" x14ac:dyDescent="0.2">
      <c r="A1282" s="5" t="s">
        <v>13</v>
      </c>
      <c r="B1282" s="6" t="s">
        <v>19</v>
      </c>
      <c r="C1282" s="7" t="s">
        <v>1243</v>
      </c>
      <c r="D1282" s="7"/>
      <c r="E1282" s="8">
        <v>-2.1433797999999999</v>
      </c>
      <c r="F1282" s="8">
        <v>-2.2136455000000002</v>
      </c>
      <c r="G1282" s="7" t="str">
        <f t="shared" si="11"/>
        <v>Direct</v>
      </c>
      <c r="H1282" s="7" t="s">
        <v>16</v>
      </c>
    </row>
    <row r="1283" spans="1:8" x14ac:dyDescent="0.2">
      <c r="A1283" s="5" t="s">
        <v>13</v>
      </c>
      <c r="B1283" s="6" t="s">
        <v>19</v>
      </c>
      <c r="C1283" s="7" t="s">
        <v>1244</v>
      </c>
      <c r="D1283" s="7"/>
      <c r="E1283" s="8">
        <v>-1.1804412</v>
      </c>
      <c r="F1283" s="8">
        <v>-1.0443454000000001</v>
      </c>
      <c r="G1283" s="7" t="str">
        <f t="shared" si="11"/>
        <v>Direct</v>
      </c>
      <c r="H1283" s="7" t="s">
        <v>16</v>
      </c>
    </row>
    <row r="1284" spans="1:8" x14ac:dyDescent="0.2">
      <c r="A1284" s="5" t="s">
        <v>13</v>
      </c>
      <c r="B1284" s="6" t="s">
        <v>19</v>
      </c>
      <c r="C1284" s="7" t="s">
        <v>1245</v>
      </c>
      <c r="D1284" s="7"/>
      <c r="E1284" s="8">
        <v>-1.6403463</v>
      </c>
      <c r="F1284" s="8">
        <v>-1.5220429</v>
      </c>
      <c r="G1284" s="7" t="str">
        <f t="shared" si="11"/>
        <v>Direct</v>
      </c>
      <c r="H1284" s="7" t="s">
        <v>1246</v>
      </c>
    </row>
    <row r="1285" spans="1:8" x14ac:dyDescent="0.2">
      <c r="A1285" s="5" t="s">
        <v>13</v>
      </c>
      <c r="B1285" s="6" t="s">
        <v>19</v>
      </c>
      <c r="C1285" s="7" t="s">
        <v>1247</v>
      </c>
      <c r="D1285" s="7"/>
      <c r="E1285" s="8">
        <v>1.77280679</v>
      </c>
      <c r="F1285" s="8">
        <v>2.08628467</v>
      </c>
      <c r="G1285" s="7" t="str">
        <f t="shared" si="11"/>
        <v>Direct</v>
      </c>
      <c r="H1285" s="7" t="s">
        <v>16</v>
      </c>
    </row>
    <row r="1286" spans="1:8" x14ac:dyDescent="0.2">
      <c r="A1286" s="5" t="s">
        <v>13</v>
      </c>
      <c r="B1286" s="6" t="s">
        <v>19</v>
      </c>
      <c r="C1286" s="7" t="s">
        <v>1248</v>
      </c>
      <c r="D1286" s="7"/>
      <c r="E1286" s="8">
        <v>-6.7837510999999999</v>
      </c>
      <c r="F1286" s="8">
        <v>-3.9679332999999999</v>
      </c>
      <c r="G1286" s="7" t="str">
        <f t="shared" si="11"/>
        <v>Direct</v>
      </c>
      <c r="H1286" s="7" t="s">
        <v>16</v>
      </c>
    </row>
    <row r="1287" spans="1:8" x14ac:dyDescent="0.2">
      <c r="A1287" s="5" t="s">
        <v>13</v>
      </c>
      <c r="B1287" s="6" t="s">
        <v>19</v>
      </c>
      <c r="C1287" s="7" t="s">
        <v>1249</v>
      </c>
      <c r="D1287" s="7"/>
      <c r="E1287" s="8">
        <v>-2.0346188000000001</v>
      </c>
      <c r="F1287" s="8">
        <v>-2.0284865000000001</v>
      </c>
      <c r="G1287" s="7" t="str">
        <f t="shared" si="11"/>
        <v>Direct</v>
      </c>
      <c r="H1287" s="7" t="s">
        <v>16</v>
      </c>
    </row>
    <row r="1288" spans="1:8" x14ac:dyDescent="0.2">
      <c r="A1288" s="5" t="s">
        <v>13</v>
      </c>
      <c r="B1288" s="6" t="s">
        <v>19</v>
      </c>
      <c r="C1288" s="7" t="s">
        <v>132</v>
      </c>
      <c r="D1288" s="7"/>
      <c r="E1288" s="8">
        <v>-5.7316642</v>
      </c>
      <c r="F1288" s="8">
        <v>-4.7512853000000002</v>
      </c>
      <c r="G1288" s="7" t="str">
        <f t="shared" si="11"/>
        <v>Direct</v>
      </c>
      <c r="H1288" s="7" t="s">
        <v>133</v>
      </c>
    </row>
    <row r="1289" spans="1:8" x14ac:dyDescent="0.2">
      <c r="A1289" s="5" t="s">
        <v>13</v>
      </c>
      <c r="B1289" s="6" t="s">
        <v>19</v>
      </c>
      <c r="C1289" s="7" t="s">
        <v>1250</v>
      </c>
      <c r="D1289" s="7"/>
      <c r="E1289" s="8">
        <v>-3.9139034000000001</v>
      </c>
      <c r="F1289" s="8">
        <v>-3.7391082999999998</v>
      </c>
      <c r="G1289" s="7" t="str">
        <f t="shared" si="11"/>
        <v>Direct</v>
      </c>
      <c r="H1289" s="7" t="s">
        <v>16</v>
      </c>
    </row>
    <row r="1290" spans="1:8" x14ac:dyDescent="0.2">
      <c r="A1290" s="5" t="s">
        <v>13</v>
      </c>
      <c r="B1290" s="6" t="s">
        <v>19</v>
      </c>
      <c r="C1290" s="7" t="s">
        <v>1251</v>
      </c>
      <c r="D1290" s="7"/>
      <c r="E1290" s="8">
        <v>3.447187</v>
      </c>
      <c r="F1290" s="8">
        <v>6.85545838</v>
      </c>
      <c r="G1290" s="7" t="str">
        <f t="shared" si="11"/>
        <v>Direct</v>
      </c>
      <c r="H1290" s="7" t="s">
        <v>16</v>
      </c>
    </row>
    <row r="1291" spans="1:8" x14ac:dyDescent="0.2">
      <c r="A1291" s="5" t="s">
        <v>13</v>
      </c>
      <c r="B1291" s="6" t="s">
        <v>19</v>
      </c>
      <c r="C1291" s="7" t="s">
        <v>1252</v>
      </c>
      <c r="D1291" s="7"/>
      <c r="E1291" s="8">
        <v>-3.0199302000000001</v>
      </c>
      <c r="F1291" s="8">
        <v>-1.0310709</v>
      </c>
      <c r="G1291" s="7" t="str">
        <f t="shared" si="11"/>
        <v>Direct</v>
      </c>
      <c r="H1291" s="7" t="s">
        <v>16</v>
      </c>
    </row>
    <row r="1292" spans="1:8" x14ac:dyDescent="0.2">
      <c r="A1292" s="5" t="s">
        <v>13</v>
      </c>
      <c r="B1292" s="6" t="s">
        <v>19</v>
      </c>
      <c r="C1292" s="7" t="s">
        <v>1253</v>
      </c>
      <c r="D1292" s="7"/>
      <c r="E1292" s="8">
        <v>-1.0130026999999999</v>
      </c>
      <c r="F1292" s="8">
        <v>-2.0607669</v>
      </c>
      <c r="G1292" s="7" t="str">
        <f t="shared" si="11"/>
        <v>Direct</v>
      </c>
      <c r="H1292" s="7" t="s">
        <v>1254</v>
      </c>
    </row>
    <row r="1293" spans="1:8" x14ac:dyDescent="0.2">
      <c r="A1293" s="5" t="s">
        <v>13</v>
      </c>
      <c r="B1293" s="6" t="s">
        <v>19</v>
      </c>
      <c r="C1293" s="7" t="s">
        <v>1255</v>
      </c>
      <c r="D1293" s="7"/>
      <c r="E1293" s="8">
        <v>-1.6955941000000001</v>
      </c>
      <c r="F1293" s="8">
        <v>-1.8739482000000001</v>
      </c>
      <c r="G1293" s="7" t="str">
        <f t="shared" si="11"/>
        <v>Direct</v>
      </c>
      <c r="H1293" s="7" t="s">
        <v>1256</v>
      </c>
    </row>
    <row r="1294" spans="1:8" x14ac:dyDescent="0.2">
      <c r="A1294" s="5" t="s">
        <v>13</v>
      </c>
      <c r="B1294" s="6" t="s">
        <v>19</v>
      </c>
      <c r="C1294" s="7" t="s">
        <v>1257</v>
      </c>
      <c r="D1294" s="7"/>
      <c r="E1294" s="8">
        <v>-5.0168784000000004</v>
      </c>
      <c r="F1294" s="8">
        <v>-3.4477077</v>
      </c>
      <c r="G1294" s="7" t="str">
        <f t="shared" si="11"/>
        <v>Direct</v>
      </c>
      <c r="H1294" s="7" t="s">
        <v>16</v>
      </c>
    </row>
    <row r="1295" spans="1:8" x14ac:dyDescent="0.2">
      <c r="A1295" s="5" t="s">
        <v>13</v>
      </c>
      <c r="B1295" s="6" t="s">
        <v>19</v>
      </c>
      <c r="C1295" s="7" t="s">
        <v>134</v>
      </c>
      <c r="D1295" s="7"/>
      <c r="E1295" s="8">
        <v>-4.9969133000000001</v>
      </c>
      <c r="F1295" s="8">
        <v>-2.990529</v>
      </c>
      <c r="G1295" s="7" t="str">
        <f t="shared" si="11"/>
        <v>Direct</v>
      </c>
      <c r="H1295" s="7" t="s">
        <v>16</v>
      </c>
    </row>
    <row r="1296" spans="1:8" x14ac:dyDescent="0.2">
      <c r="A1296" s="5" t="s">
        <v>13</v>
      </c>
      <c r="B1296" s="6" t="s">
        <v>19</v>
      </c>
      <c r="C1296" s="7" t="s">
        <v>1258</v>
      </c>
      <c r="D1296" s="7"/>
      <c r="E1296" s="8">
        <v>5.7644981299999998</v>
      </c>
      <c r="F1296" s="8">
        <v>5.9332415899999997</v>
      </c>
      <c r="G1296" s="7" t="str">
        <f t="shared" si="11"/>
        <v>Direct</v>
      </c>
      <c r="H1296" s="7" t="s">
        <v>1259</v>
      </c>
    </row>
    <row r="1297" spans="1:8" x14ac:dyDescent="0.2">
      <c r="A1297" s="5" t="s">
        <v>13</v>
      </c>
      <c r="B1297" s="6" t="s">
        <v>19</v>
      </c>
      <c r="C1297" s="7" t="s">
        <v>1260</v>
      </c>
      <c r="D1297" s="7"/>
      <c r="E1297" s="8">
        <v>1.47924915</v>
      </c>
      <c r="F1297" s="8">
        <v>1.31744028</v>
      </c>
      <c r="G1297" s="7" t="str">
        <f t="shared" si="11"/>
        <v>Direct</v>
      </c>
      <c r="H1297" s="7" t="s">
        <v>16</v>
      </c>
    </row>
    <row r="1298" spans="1:8" x14ac:dyDescent="0.2">
      <c r="A1298" s="5" t="s">
        <v>13</v>
      </c>
      <c r="B1298" s="6" t="s">
        <v>19</v>
      </c>
      <c r="C1298" s="7" t="s">
        <v>1261</v>
      </c>
      <c r="D1298" s="7"/>
      <c r="E1298" s="8">
        <v>-4.0663131000000003</v>
      </c>
      <c r="F1298" s="8">
        <v>-4.2998981000000001</v>
      </c>
      <c r="G1298" s="7" t="str">
        <f t="shared" si="11"/>
        <v>Direct</v>
      </c>
      <c r="H1298" s="7" t="s">
        <v>1262</v>
      </c>
    </row>
    <row r="1299" spans="1:8" x14ac:dyDescent="0.2">
      <c r="A1299" s="5" t="s">
        <v>13</v>
      </c>
      <c r="B1299" s="6" t="s">
        <v>19</v>
      </c>
      <c r="C1299" s="7" t="s">
        <v>1263</v>
      </c>
      <c r="D1299" s="7"/>
      <c r="E1299" s="8">
        <v>-1.1752885</v>
      </c>
      <c r="F1299" s="8">
        <v>-1.1298743</v>
      </c>
      <c r="G1299" s="7" t="str">
        <f t="shared" si="11"/>
        <v>Direct</v>
      </c>
      <c r="H1299" s="7" t="s">
        <v>1264</v>
      </c>
    </row>
    <row r="1300" spans="1:8" x14ac:dyDescent="0.2">
      <c r="A1300" s="5" t="s">
        <v>13</v>
      </c>
      <c r="B1300" s="6" t="s">
        <v>19</v>
      </c>
      <c r="C1300" s="7" t="s">
        <v>1265</v>
      </c>
      <c r="D1300" s="7"/>
      <c r="E1300" s="8">
        <v>-2.2072473000000001</v>
      </c>
      <c r="F1300" s="8">
        <v>-3.5585254000000002</v>
      </c>
      <c r="G1300" s="7" t="str">
        <f t="shared" si="11"/>
        <v>Direct</v>
      </c>
      <c r="H1300" s="7" t="s">
        <v>1266</v>
      </c>
    </row>
    <row r="1301" spans="1:8" x14ac:dyDescent="0.2">
      <c r="A1301" s="5" t="s">
        <v>13</v>
      </c>
      <c r="B1301" s="6" t="s">
        <v>19</v>
      </c>
      <c r="C1301" s="7" t="s">
        <v>136</v>
      </c>
      <c r="D1301" s="7"/>
      <c r="E1301" s="8">
        <v>-1.7702792000000001</v>
      </c>
      <c r="F1301" s="8">
        <v>-6.2272334999999996</v>
      </c>
      <c r="G1301" s="7" t="str">
        <f t="shared" si="11"/>
        <v>Direct</v>
      </c>
      <c r="H1301" s="7" t="s">
        <v>137</v>
      </c>
    </row>
    <row r="1302" spans="1:8" x14ac:dyDescent="0.2">
      <c r="A1302" s="5" t="s">
        <v>13</v>
      </c>
      <c r="B1302" s="6" t="s">
        <v>19</v>
      </c>
      <c r="C1302" s="7" t="s">
        <v>138</v>
      </c>
      <c r="D1302" s="7"/>
      <c r="E1302" s="8">
        <v>-2.0093426999999999</v>
      </c>
      <c r="F1302" s="8">
        <v>-1.8213790999999999</v>
      </c>
      <c r="G1302" s="7" t="str">
        <f t="shared" si="11"/>
        <v>Direct</v>
      </c>
      <c r="H1302" s="7" t="s">
        <v>139</v>
      </c>
    </row>
    <row r="1303" spans="1:8" x14ac:dyDescent="0.2">
      <c r="A1303" s="5" t="s">
        <v>13</v>
      </c>
      <c r="B1303" s="6" t="s">
        <v>19</v>
      </c>
      <c r="C1303" s="7" t="s">
        <v>140</v>
      </c>
      <c r="D1303" s="7"/>
      <c r="E1303" s="8">
        <v>-8.2676832000000005</v>
      </c>
      <c r="F1303" s="8">
        <v>-6.9494702999999998</v>
      </c>
      <c r="G1303" s="7" t="str">
        <f t="shared" si="11"/>
        <v>Direct</v>
      </c>
      <c r="H1303" s="7" t="s">
        <v>139</v>
      </c>
    </row>
    <row r="1304" spans="1:8" x14ac:dyDescent="0.2">
      <c r="A1304" s="5" t="s">
        <v>13</v>
      </c>
      <c r="B1304" s="6" t="s">
        <v>19</v>
      </c>
      <c r="C1304" s="7" t="s">
        <v>1267</v>
      </c>
      <c r="D1304" s="7"/>
      <c r="E1304" s="8">
        <v>-1.7703597</v>
      </c>
      <c r="F1304" s="8">
        <v>-1.6156337999999999</v>
      </c>
      <c r="G1304" s="7" t="str">
        <f t="shared" si="11"/>
        <v>Direct</v>
      </c>
      <c r="H1304" s="7" t="s">
        <v>142</v>
      </c>
    </row>
    <row r="1305" spans="1:8" x14ac:dyDescent="0.2">
      <c r="A1305" s="5" t="s">
        <v>13</v>
      </c>
      <c r="B1305" s="6" t="s">
        <v>19</v>
      </c>
      <c r="C1305" s="7" t="s">
        <v>141</v>
      </c>
      <c r="D1305" s="7"/>
      <c r="E1305" s="8">
        <v>-1.0221648000000001</v>
      </c>
      <c r="F1305" s="8">
        <v>-2.3130614</v>
      </c>
      <c r="G1305" s="7" t="str">
        <f t="shared" si="11"/>
        <v>Direct</v>
      </c>
      <c r="H1305" s="7" t="s">
        <v>142</v>
      </c>
    </row>
    <row r="1306" spans="1:8" x14ac:dyDescent="0.2">
      <c r="A1306" s="5" t="s">
        <v>13</v>
      </c>
      <c r="B1306" s="6" t="s">
        <v>19</v>
      </c>
      <c r="C1306" s="7" t="s">
        <v>1268</v>
      </c>
      <c r="D1306" s="7"/>
      <c r="E1306" s="8">
        <v>-2.5108955000000002</v>
      </c>
      <c r="F1306" s="8">
        <v>-1.7389572</v>
      </c>
      <c r="G1306" s="7" t="str">
        <f t="shared" si="11"/>
        <v>Direct</v>
      </c>
      <c r="H1306" s="7" t="s">
        <v>16</v>
      </c>
    </row>
    <row r="1307" spans="1:8" x14ac:dyDescent="0.2">
      <c r="A1307" s="5" t="s">
        <v>13</v>
      </c>
      <c r="B1307" s="6" t="s">
        <v>19</v>
      </c>
      <c r="C1307" s="7" t="s">
        <v>1269</v>
      </c>
      <c r="D1307" s="7"/>
      <c r="E1307" s="8">
        <v>-1.7937209999999999</v>
      </c>
      <c r="F1307" s="8">
        <v>-2.9352471000000002</v>
      </c>
      <c r="G1307" s="7" t="str">
        <f t="shared" si="11"/>
        <v>Direct</v>
      </c>
      <c r="H1307" s="7" t="s">
        <v>1270</v>
      </c>
    </row>
    <row r="1308" spans="1:8" x14ac:dyDescent="0.2">
      <c r="A1308" s="5" t="s">
        <v>13</v>
      </c>
      <c r="B1308" s="6" t="s">
        <v>19</v>
      </c>
      <c r="C1308" s="7" t="s">
        <v>1271</v>
      </c>
      <c r="D1308" s="7"/>
      <c r="E1308" s="8">
        <v>-3.9913786</v>
      </c>
      <c r="F1308" s="8">
        <v>-3.9306559000000001</v>
      </c>
      <c r="G1308" s="7" t="str">
        <f t="shared" si="11"/>
        <v>Direct</v>
      </c>
      <c r="H1308" s="7" t="s">
        <v>1272</v>
      </c>
    </row>
    <row r="1309" spans="1:8" x14ac:dyDescent="0.2">
      <c r="A1309" s="5" t="s">
        <v>13</v>
      </c>
      <c r="B1309" s="6" t="s">
        <v>19</v>
      </c>
      <c r="C1309" s="7" t="s">
        <v>1273</v>
      </c>
      <c r="D1309" s="7"/>
      <c r="E1309" s="8">
        <v>1.5378635300000001</v>
      </c>
      <c r="F1309" s="8">
        <v>1.7033102099999999</v>
      </c>
      <c r="G1309" s="7" t="str">
        <f t="shared" si="11"/>
        <v>Direct</v>
      </c>
      <c r="H1309" s="7" t="s">
        <v>728</v>
      </c>
    </row>
    <row r="1310" spans="1:8" x14ac:dyDescent="0.2">
      <c r="A1310" s="5" t="s">
        <v>13</v>
      </c>
      <c r="B1310" s="6" t="s">
        <v>19</v>
      </c>
      <c r="C1310" s="7" t="s">
        <v>1274</v>
      </c>
      <c r="D1310" s="7"/>
      <c r="E1310" s="8">
        <v>-1.0100321000000001</v>
      </c>
      <c r="F1310" s="8">
        <v>-1.2387870000000001</v>
      </c>
      <c r="G1310" s="7" t="str">
        <f t="shared" si="11"/>
        <v>Direct</v>
      </c>
      <c r="H1310" s="7" t="s">
        <v>16</v>
      </c>
    </row>
    <row r="1311" spans="1:8" x14ac:dyDescent="0.2">
      <c r="A1311" s="5" t="s">
        <v>13</v>
      </c>
      <c r="B1311" s="6" t="s">
        <v>19</v>
      </c>
      <c r="C1311" s="7" t="s">
        <v>1275</v>
      </c>
      <c r="D1311" s="7"/>
      <c r="E1311" s="8">
        <v>1.4389479199999999</v>
      </c>
      <c r="F1311" s="8">
        <v>1.7389572200000001</v>
      </c>
      <c r="G1311" s="7" t="str">
        <f t="shared" si="11"/>
        <v>Direct</v>
      </c>
      <c r="H1311" s="7" t="s">
        <v>1276</v>
      </c>
    </row>
    <row r="1312" spans="1:8" x14ac:dyDescent="0.2">
      <c r="A1312" s="5" t="s">
        <v>13</v>
      </c>
      <c r="B1312" s="6" t="s">
        <v>19</v>
      </c>
      <c r="C1312" s="7" t="s">
        <v>143</v>
      </c>
      <c r="D1312" s="7"/>
      <c r="E1312" s="8">
        <v>5.1796364400000003</v>
      </c>
      <c r="F1312" s="8">
        <v>3.8233547400000001</v>
      </c>
      <c r="G1312" s="7" t="str">
        <f t="shared" si="11"/>
        <v>Direct</v>
      </c>
      <c r="H1312" s="7" t="s">
        <v>144</v>
      </c>
    </row>
    <row r="1313" spans="1:8" x14ac:dyDescent="0.2">
      <c r="A1313" s="5" t="s">
        <v>13</v>
      </c>
      <c r="B1313" s="6" t="s">
        <v>19</v>
      </c>
      <c r="C1313" s="7" t="s">
        <v>1277</v>
      </c>
      <c r="D1313" s="7"/>
      <c r="E1313" s="8">
        <v>-1.3166509</v>
      </c>
      <c r="F1313" s="8">
        <v>-1.0858728</v>
      </c>
      <c r="G1313" s="7" t="str">
        <f t="shared" si="11"/>
        <v>Direct</v>
      </c>
      <c r="H1313" s="7" t="s">
        <v>16</v>
      </c>
    </row>
    <row r="1314" spans="1:8" x14ac:dyDescent="0.2">
      <c r="A1314" s="5" t="s">
        <v>13</v>
      </c>
      <c r="B1314" s="6" t="s">
        <v>19</v>
      </c>
      <c r="C1314" s="7" t="s">
        <v>1278</v>
      </c>
      <c r="D1314" s="7"/>
      <c r="E1314" s="8">
        <v>-2.9619143999999999</v>
      </c>
      <c r="F1314" s="8">
        <v>-4.5829693999999996</v>
      </c>
      <c r="G1314" s="7" t="str">
        <f t="shared" si="11"/>
        <v>Direct</v>
      </c>
      <c r="H1314" s="7" t="s">
        <v>1279</v>
      </c>
    </row>
    <row r="1315" spans="1:8" x14ac:dyDescent="0.2">
      <c r="A1315" s="5" t="s">
        <v>13</v>
      </c>
      <c r="B1315" s="6" t="s">
        <v>19</v>
      </c>
      <c r="C1315" s="7" t="s">
        <v>1280</v>
      </c>
      <c r="D1315" s="7"/>
      <c r="E1315" s="8">
        <v>-3.5008645</v>
      </c>
      <c r="F1315" s="8">
        <v>-3.1480144999999999</v>
      </c>
      <c r="G1315" s="7" t="str">
        <f t="shared" si="11"/>
        <v>Direct</v>
      </c>
      <c r="H1315" s="7" t="s">
        <v>1281</v>
      </c>
    </row>
    <row r="1316" spans="1:8" x14ac:dyDescent="0.2">
      <c r="A1316" s="5" t="s">
        <v>13</v>
      </c>
      <c r="B1316" s="6" t="s">
        <v>19</v>
      </c>
      <c r="C1316" s="7" t="s">
        <v>145</v>
      </c>
      <c r="D1316" s="7"/>
      <c r="E1316" s="8">
        <v>-1.1428632999999999</v>
      </c>
      <c r="F1316" s="8">
        <v>-1.0145465</v>
      </c>
      <c r="G1316" s="7" t="str">
        <f t="shared" si="11"/>
        <v>Direct</v>
      </c>
      <c r="H1316" s="7" t="s">
        <v>16</v>
      </c>
    </row>
    <row r="1317" spans="1:8" x14ac:dyDescent="0.2">
      <c r="A1317" s="5" t="s">
        <v>13</v>
      </c>
      <c r="B1317" s="6" t="s">
        <v>19</v>
      </c>
      <c r="C1317" s="7" t="s">
        <v>1282</v>
      </c>
      <c r="D1317" s="7"/>
      <c r="E1317" s="8">
        <v>1.09433391</v>
      </c>
      <c r="F1317" s="8">
        <v>1.3807971400000001</v>
      </c>
      <c r="G1317" s="7" t="str">
        <f t="shared" si="11"/>
        <v>Direct</v>
      </c>
      <c r="H1317" s="7" t="s">
        <v>1283</v>
      </c>
    </row>
    <row r="1318" spans="1:8" x14ac:dyDescent="0.2">
      <c r="A1318" s="5" t="s">
        <v>13</v>
      </c>
      <c r="B1318" s="6" t="s">
        <v>19</v>
      </c>
      <c r="C1318" s="7" t="s">
        <v>1284</v>
      </c>
      <c r="D1318" s="7"/>
      <c r="E1318" s="8">
        <v>-1.8635356999999999</v>
      </c>
      <c r="F1318" s="8">
        <v>-1.9405531</v>
      </c>
      <c r="G1318" s="7" t="str">
        <f t="shared" si="11"/>
        <v>Direct</v>
      </c>
      <c r="H1318" s="7" t="s">
        <v>1285</v>
      </c>
    </row>
    <row r="1319" spans="1:8" x14ac:dyDescent="0.2">
      <c r="A1319" s="5" t="s">
        <v>13</v>
      </c>
      <c r="B1319" s="6" t="s">
        <v>19</v>
      </c>
      <c r="C1319" s="7" t="s">
        <v>1286</v>
      </c>
      <c r="D1319" s="7"/>
      <c r="E1319" s="8">
        <v>-1.3747388</v>
      </c>
      <c r="F1319" s="8">
        <v>-3.7818029000000002</v>
      </c>
      <c r="G1319" s="7" t="str">
        <f t="shared" si="11"/>
        <v>Direct</v>
      </c>
      <c r="H1319" s="7" t="s">
        <v>172</v>
      </c>
    </row>
    <row r="1320" spans="1:8" x14ac:dyDescent="0.2">
      <c r="A1320" s="5" t="s">
        <v>13</v>
      </c>
      <c r="B1320" s="6" t="s">
        <v>19</v>
      </c>
      <c r="C1320" s="7" t="s">
        <v>1287</v>
      </c>
      <c r="D1320" s="7"/>
      <c r="E1320" s="8">
        <v>-1.6268487</v>
      </c>
      <c r="F1320" s="8">
        <v>-1.6162972</v>
      </c>
      <c r="G1320" s="7" t="str">
        <f t="shared" si="11"/>
        <v>Direct</v>
      </c>
      <c r="H1320" s="7" t="s">
        <v>172</v>
      </c>
    </row>
    <row r="1321" spans="1:8" x14ac:dyDescent="0.2">
      <c r="A1321" s="5" t="s">
        <v>13</v>
      </c>
      <c r="B1321" s="6" t="s">
        <v>19</v>
      </c>
      <c r="C1321" s="7" t="s">
        <v>146</v>
      </c>
      <c r="D1321" s="7"/>
      <c r="E1321" s="8">
        <v>-2.1717857</v>
      </c>
      <c r="F1321" s="8">
        <v>-1.2246884</v>
      </c>
      <c r="G1321" s="7" t="str">
        <f t="shared" si="11"/>
        <v>Direct</v>
      </c>
      <c r="H1321" s="7" t="s">
        <v>147</v>
      </c>
    </row>
    <row r="1322" spans="1:8" x14ac:dyDescent="0.2">
      <c r="A1322" s="5" t="s">
        <v>13</v>
      </c>
      <c r="B1322" s="6" t="s">
        <v>19</v>
      </c>
      <c r="C1322" s="7" t="s">
        <v>1288</v>
      </c>
      <c r="D1322" s="7"/>
      <c r="E1322" s="8">
        <v>-4.0335339000000001</v>
      </c>
      <c r="F1322" s="8">
        <v>-1.4354594000000001</v>
      </c>
      <c r="G1322" s="7" t="str">
        <f t="shared" si="11"/>
        <v>Direct</v>
      </c>
      <c r="H1322" s="7" t="s">
        <v>1289</v>
      </c>
    </row>
    <row r="1323" spans="1:8" x14ac:dyDescent="0.2">
      <c r="A1323" s="5" t="s">
        <v>13</v>
      </c>
      <c r="B1323" s="6" t="s">
        <v>19</v>
      </c>
      <c r="C1323" s="7" t="s">
        <v>148</v>
      </c>
      <c r="D1323" s="7"/>
      <c r="E1323" s="8">
        <v>-1.2630813999999999</v>
      </c>
      <c r="F1323" s="8">
        <v>-1.0982787000000001</v>
      </c>
      <c r="G1323" s="7" t="str">
        <f t="shared" si="11"/>
        <v>Direct</v>
      </c>
      <c r="H1323" s="7" t="s">
        <v>16</v>
      </c>
    </row>
    <row r="1324" spans="1:8" x14ac:dyDescent="0.2">
      <c r="A1324" s="5" t="s">
        <v>13</v>
      </c>
      <c r="B1324" s="6" t="s">
        <v>19</v>
      </c>
      <c r="C1324" s="7" t="s">
        <v>150</v>
      </c>
      <c r="D1324" s="7"/>
      <c r="E1324" s="8">
        <v>-1.2283656000000001</v>
      </c>
      <c r="F1324" s="8">
        <v>-1.7615905999999999</v>
      </c>
      <c r="G1324" s="7" t="str">
        <f t="shared" si="11"/>
        <v>Direct</v>
      </c>
      <c r="H1324" s="7" t="s">
        <v>16</v>
      </c>
    </row>
    <row r="1325" spans="1:8" x14ac:dyDescent="0.2">
      <c r="A1325" s="5" t="s">
        <v>13</v>
      </c>
      <c r="B1325" s="6" t="s">
        <v>19</v>
      </c>
      <c r="C1325" s="7" t="s">
        <v>151</v>
      </c>
      <c r="D1325" s="7"/>
      <c r="E1325" s="8">
        <v>2.9027899100000001</v>
      </c>
      <c r="F1325" s="8">
        <v>1.4768663900000001</v>
      </c>
      <c r="G1325" s="7" t="str">
        <f t="shared" si="11"/>
        <v>Direct</v>
      </c>
      <c r="H1325" s="7" t="s">
        <v>16</v>
      </c>
    </row>
    <row r="1326" spans="1:8" x14ac:dyDescent="0.2">
      <c r="A1326" s="5" t="s">
        <v>13</v>
      </c>
      <c r="B1326" s="6" t="s">
        <v>19</v>
      </c>
      <c r="C1326" s="7" t="s">
        <v>1290</v>
      </c>
      <c r="D1326" s="7"/>
      <c r="E1326" s="8">
        <v>-6.2040150000000001</v>
      </c>
      <c r="F1326" s="8">
        <v>-4.1896142000000003</v>
      </c>
      <c r="G1326" s="7" t="str">
        <f t="shared" si="11"/>
        <v>Direct</v>
      </c>
      <c r="H1326" s="7" t="s">
        <v>16</v>
      </c>
    </row>
    <row r="1327" spans="1:8" x14ac:dyDescent="0.2">
      <c r="A1327" s="5" t="s">
        <v>13</v>
      </c>
      <c r="B1327" s="6" t="s">
        <v>19</v>
      </c>
      <c r="C1327" s="7" t="s">
        <v>1291</v>
      </c>
      <c r="D1327" s="7"/>
      <c r="E1327" s="8">
        <v>1.1514300900000001</v>
      </c>
      <c r="F1327" s="8">
        <v>1.0123337699999999</v>
      </c>
      <c r="G1327" s="7" t="str">
        <f t="shared" si="11"/>
        <v>Direct</v>
      </c>
      <c r="H1327" s="7" t="s">
        <v>16</v>
      </c>
    </row>
    <row r="1328" spans="1:8" x14ac:dyDescent="0.2">
      <c r="A1328" s="5" t="s">
        <v>13</v>
      </c>
      <c r="B1328" s="6" t="s">
        <v>19</v>
      </c>
      <c r="C1328" s="7" t="s">
        <v>1292</v>
      </c>
      <c r="D1328" s="7"/>
      <c r="E1328" s="8">
        <v>-3.2578128999999998</v>
      </c>
      <c r="F1328" s="8">
        <v>-1.9547025</v>
      </c>
      <c r="G1328" s="7" t="str">
        <f t="shared" si="11"/>
        <v>Direct</v>
      </c>
      <c r="H1328" s="7" t="s">
        <v>1293</v>
      </c>
    </row>
    <row r="1329" spans="1:8" x14ac:dyDescent="0.2">
      <c r="A1329" s="5" t="s">
        <v>13</v>
      </c>
      <c r="B1329" s="6" t="s">
        <v>19</v>
      </c>
      <c r="C1329" s="7" t="s">
        <v>1294</v>
      </c>
      <c r="D1329" s="7"/>
      <c r="E1329" s="8">
        <v>-1.4608017</v>
      </c>
      <c r="F1329" s="8">
        <v>-1.5629497999999999</v>
      </c>
      <c r="G1329" s="7" t="str">
        <f t="shared" si="11"/>
        <v>Direct</v>
      </c>
      <c r="H1329" s="7" t="s">
        <v>1295</v>
      </c>
    </row>
    <row r="1330" spans="1:8" x14ac:dyDescent="0.2">
      <c r="A1330" s="5" t="s">
        <v>13</v>
      </c>
      <c r="B1330" s="6" t="s">
        <v>19</v>
      </c>
      <c r="C1330" s="7" t="s">
        <v>1296</v>
      </c>
      <c r="D1330" s="7"/>
      <c r="E1330" s="8">
        <v>-3.9698500000000001</v>
      </c>
      <c r="F1330" s="8">
        <v>-7.7500979000000001</v>
      </c>
      <c r="G1330" s="7" t="str">
        <f t="shared" si="11"/>
        <v>Direct</v>
      </c>
      <c r="H1330" s="7" t="s">
        <v>1297</v>
      </c>
    </row>
    <row r="1331" spans="1:8" x14ac:dyDescent="0.2">
      <c r="A1331" s="5" t="s">
        <v>13</v>
      </c>
      <c r="B1331" s="6" t="s">
        <v>19</v>
      </c>
      <c r="C1331" s="7" t="s">
        <v>1298</v>
      </c>
      <c r="D1331" s="7"/>
      <c r="E1331" s="8">
        <v>-3.0131098000000001</v>
      </c>
      <c r="F1331" s="8">
        <v>-2.1396568</v>
      </c>
      <c r="G1331" s="7" t="str">
        <f t="shared" si="11"/>
        <v>Direct</v>
      </c>
      <c r="H1331" s="7" t="s">
        <v>16</v>
      </c>
    </row>
    <row r="1332" spans="1:8" x14ac:dyDescent="0.2">
      <c r="A1332" s="5" t="s">
        <v>13</v>
      </c>
      <c r="B1332" s="6" t="s">
        <v>19</v>
      </c>
      <c r="C1332" s="7" t="s">
        <v>1299</v>
      </c>
      <c r="D1332" s="7"/>
      <c r="E1332" s="8">
        <v>-3.5799034999999999</v>
      </c>
      <c r="F1332" s="8">
        <v>-3.3864689000000001</v>
      </c>
      <c r="G1332" s="7" t="str">
        <f t="shared" si="11"/>
        <v>Direct</v>
      </c>
      <c r="H1332" s="7" t="s">
        <v>16</v>
      </c>
    </row>
    <row r="1333" spans="1:8" x14ac:dyDescent="0.2">
      <c r="A1333" s="5" t="s">
        <v>13</v>
      </c>
      <c r="B1333" s="6" t="s">
        <v>19</v>
      </c>
      <c r="C1333" s="7" t="s">
        <v>152</v>
      </c>
      <c r="D1333" s="7"/>
      <c r="E1333" s="8">
        <v>-5.9039951000000004</v>
      </c>
      <c r="F1333" s="8">
        <v>-5.9316244999999999</v>
      </c>
      <c r="G1333" s="7" t="str">
        <f t="shared" si="11"/>
        <v>Direct</v>
      </c>
      <c r="H1333" s="7" t="s">
        <v>16</v>
      </c>
    </row>
    <row r="1334" spans="1:8" x14ac:dyDescent="0.2">
      <c r="A1334" s="5" t="s">
        <v>13</v>
      </c>
      <c r="B1334" s="6" t="s">
        <v>19</v>
      </c>
      <c r="C1334" s="7" t="s">
        <v>1300</v>
      </c>
      <c r="D1334" s="7"/>
      <c r="E1334" s="8">
        <v>-5.2504967000000002</v>
      </c>
      <c r="F1334" s="8">
        <v>-2.3983661000000001</v>
      </c>
      <c r="G1334" s="7" t="str">
        <f t="shared" si="11"/>
        <v>Direct</v>
      </c>
      <c r="H1334" s="7" t="s">
        <v>16</v>
      </c>
    </row>
    <row r="1335" spans="1:8" x14ac:dyDescent="0.2">
      <c r="A1335" s="5" t="s">
        <v>13</v>
      </c>
      <c r="B1335" s="6" t="s">
        <v>19</v>
      </c>
      <c r="C1335" s="7" t="s">
        <v>1301</v>
      </c>
      <c r="D1335" s="7"/>
      <c r="E1335" s="8">
        <v>1.51372171</v>
      </c>
      <c r="F1335" s="8">
        <v>1.73701679</v>
      </c>
      <c r="G1335" s="7" t="str">
        <f t="shared" si="11"/>
        <v>Direct</v>
      </c>
      <c r="H1335" s="7" t="s">
        <v>1302</v>
      </c>
    </row>
    <row r="1336" spans="1:8" x14ac:dyDescent="0.2">
      <c r="A1336" s="5" t="s">
        <v>13</v>
      </c>
      <c r="B1336" s="6" t="s">
        <v>19</v>
      </c>
      <c r="C1336" s="7" t="s">
        <v>1303</v>
      </c>
      <c r="D1336" s="7"/>
      <c r="E1336" s="8">
        <v>-1.3630002999999999</v>
      </c>
      <c r="F1336" s="8">
        <v>-1.6164523</v>
      </c>
      <c r="G1336" s="7" t="str">
        <f t="shared" si="11"/>
        <v>Direct</v>
      </c>
      <c r="H1336" s="7" t="s">
        <v>1304</v>
      </c>
    </row>
    <row r="1337" spans="1:8" x14ac:dyDescent="0.2">
      <c r="A1337" s="5" t="s">
        <v>13</v>
      </c>
      <c r="B1337" s="6" t="s">
        <v>19</v>
      </c>
      <c r="C1337" s="7" t="s">
        <v>1305</v>
      </c>
      <c r="D1337" s="7"/>
      <c r="E1337" s="8">
        <v>2.52446299</v>
      </c>
      <c r="F1337" s="8">
        <v>3.3014205099999998</v>
      </c>
      <c r="G1337" s="7" t="str">
        <f t="shared" si="11"/>
        <v>Direct</v>
      </c>
      <c r="H1337" s="7" t="s">
        <v>16</v>
      </c>
    </row>
    <row r="1338" spans="1:8" x14ac:dyDescent="0.2">
      <c r="A1338" s="5" t="s">
        <v>13</v>
      </c>
      <c r="B1338" s="6" t="s">
        <v>19</v>
      </c>
      <c r="C1338" s="7" t="s">
        <v>1306</v>
      </c>
      <c r="D1338" s="7"/>
      <c r="E1338" s="8">
        <v>1.14759531</v>
      </c>
      <c r="F1338" s="8">
        <v>1.2992908000000001</v>
      </c>
      <c r="G1338" s="7" t="str">
        <f t="shared" si="11"/>
        <v>Direct</v>
      </c>
      <c r="H1338" s="7" t="s">
        <v>16</v>
      </c>
    </row>
    <row r="1339" spans="1:8" x14ac:dyDescent="0.2">
      <c r="A1339" s="5" t="s">
        <v>13</v>
      </c>
      <c r="B1339" s="6" t="s">
        <v>19</v>
      </c>
      <c r="C1339" s="7" t="s">
        <v>1307</v>
      </c>
      <c r="D1339" s="7"/>
      <c r="E1339" s="8">
        <v>-2.3122736000000002</v>
      </c>
      <c r="F1339" s="8">
        <v>-2.4006302000000002</v>
      </c>
      <c r="G1339" s="7" t="str">
        <f t="shared" si="11"/>
        <v>Direct</v>
      </c>
      <c r="H1339" s="7" t="s">
        <v>16</v>
      </c>
    </row>
    <row r="1340" spans="1:8" x14ac:dyDescent="0.2">
      <c r="A1340" s="5" t="s">
        <v>13</v>
      </c>
      <c r="B1340" s="6" t="s">
        <v>19</v>
      </c>
      <c r="C1340" s="7" t="s">
        <v>1308</v>
      </c>
      <c r="D1340" s="7"/>
      <c r="E1340" s="8">
        <v>-1.5787053</v>
      </c>
      <c r="F1340" s="8">
        <v>-1.0946214000000001</v>
      </c>
      <c r="G1340" s="7" t="str">
        <f t="shared" si="11"/>
        <v>Direct</v>
      </c>
      <c r="H1340" s="7" t="s">
        <v>1309</v>
      </c>
    </row>
    <row r="1341" spans="1:8" x14ac:dyDescent="0.2">
      <c r="A1341" s="5" t="s">
        <v>13</v>
      </c>
      <c r="B1341" s="6" t="s">
        <v>19</v>
      </c>
      <c r="C1341" s="7" t="s">
        <v>1310</v>
      </c>
      <c r="D1341" s="7"/>
      <c r="E1341" s="8">
        <v>-1.9104555000000001</v>
      </c>
      <c r="F1341" s="8">
        <v>-1.2798700000000001</v>
      </c>
      <c r="G1341" s="7" t="str">
        <f t="shared" si="11"/>
        <v>Direct</v>
      </c>
      <c r="H1341" s="7" t="s">
        <v>16</v>
      </c>
    </row>
    <row r="1342" spans="1:8" x14ac:dyDescent="0.2">
      <c r="A1342" s="5" t="s">
        <v>13</v>
      </c>
      <c r="B1342" s="6" t="s">
        <v>19</v>
      </c>
      <c r="C1342" s="7" t="s">
        <v>1311</v>
      </c>
      <c r="D1342" s="7"/>
      <c r="E1342" s="8">
        <v>3.27914824</v>
      </c>
      <c r="F1342" s="8">
        <v>1.40087271</v>
      </c>
      <c r="G1342" s="7" t="str">
        <f t="shared" si="11"/>
        <v>Direct</v>
      </c>
      <c r="H1342" s="7" t="s">
        <v>16</v>
      </c>
    </row>
    <row r="1343" spans="1:8" x14ac:dyDescent="0.2">
      <c r="A1343" s="5" t="s">
        <v>13</v>
      </c>
      <c r="B1343" s="6" t="s">
        <v>19</v>
      </c>
      <c r="C1343" s="7" t="s">
        <v>1312</v>
      </c>
      <c r="D1343" s="7"/>
      <c r="E1343" s="8">
        <v>-1.0831917</v>
      </c>
      <c r="F1343" s="8">
        <v>-2.3352479000000002</v>
      </c>
      <c r="G1343" s="7" t="str">
        <f t="shared" si="11"/>
        <v>Direct</v>
      </c>
      <c r="H1343" s="7" t="s">
        <v>1313</v>
      </c>
    </row>
    <row r="1344" spans="1:8" x14ac:dyDescent="0.2">
      <c r="A1344" s="5" t="s">
        <v>13</v>
      </c>
      <c r="B1344" s="6" t="s">
        <v>19</v>
      </c>
      <c r="C1344" s="7" t="s">
        <v>1314</v>
      </c>
      <c r="D1344" s="7"/>
      <c r="E1344" s="8">
        <v>-3.7521952999999999</v>
      </c>
      <c r="F1344" s="8">
        <v>-3.8899550000000001</v>
      </c>
      <c r="G1344" s="7" t="str">
        <f t="shared" si="11"/>
        <v>Direct</v>
      </c>
      <c r="H1344" s="7" t="s">
        <v>1315</v>
      </c>
    </row>
    <row r="1345" spans="1:8" x14ac:dyDescent="0.2">
      <c r="A1345" s="5" t="s">
        <v>13</v>
      </c>
      <c r="B1345" s="6" t="s">
        <v>19</v>
      </c>
      <c r="C1345" s="7" t="s">
        <v>1316</v>
      </c>
      <c r="D1345" s="7"/>
      <c r="E1345" s="8">
        <v>2.2511085199999998</v>
      </c>
      <c r="F1345" s="8">
        <v>2.74803738</v>
      </c>
      <c r="G1345" s="7" t="str">
        <f t="shared" si="11"/>
        <v>Direct</v>
      </c>
      <c r="H1345" s="7" t="s">
        <v>1317</v>
      </c>
    </row>
    <row r="1346" spans="1:8" x14ac:dyDescent="0.2">
      <c r="A1346" s="5" t="s">
        <v>13</v>
      </c>
      <c r="B1346" s="6" t="s">
        <v>19</v>
      </c>
      <c r="C1346" s="7" t="s">
        <v>1318</v>
      </c>
      <c r="D1346" s="7"/>
      <c r="E1346" s="8">
        <v>1.4785510399999999</v>
      </c>
      <c r="F1346" s="8">
        <v>1.2272971800000001</v>
      </c>
      <c r="G1346" s="7" t="str">
        <f t="shared" si="11"/>
        <v>Direct</v>
      </c>
      <c r="H1346" s="7" t="s">
        <v>1319</v>
      </c>
    </row>
    <row r="1347" spans="1:8" x14ac:dyDescent="0.2">
      <c r="A1347" s="5" t="s">
        <v>13</v>
      </c>
      <c r="B1347" s="6" t="s">
        <v>19</v>
      </c>
      <c r="C1347" s="7" t="s">
        <v>1320</v>
      </c>
      <c r="D1347" s="7"/>
      <c r="E1347" s="8">
        <v>-1.2520986999999999</v>
      </c>
      <c r="F1347" s="8">
        <v>-1.1662952</v>
      </c>
      <c r="G1347" s="7" t="str">
        <f t="shared" si="11"/>
        <v>Direct</v>
      </c>
      <c r="H1347" s="7" t="s">
        <v>567</v>
      </c>
    </row>
    <row r="1348" spans="1:8" x14ac:dyDescent="0.2">
      <c r="A1348" s="5" t="s">
        <v>13</v>
      </c>
      <c r="B1348" s="6" t="s">
        <v>19</v>
      </c>
      <c r="C1348" s="7" t="s">
        <v>1321</v>
      </c>
      <c r="D1348" s="7"/>
      <c r="E1348" s="8">
        <v>-2.0248203999999999</v>
      </c>
      <c r="F1348" s="8">
        <v>-1.6798005</v>
      </c>
      <c r="G1348" s="7" t="str">
        <f t="shared" si="11"/>
        <v>Direct</v>
      </c>
      <c r="H1348" s="7" t="s">
        <v>655</v>
      </c>
    </row>
    <row r="1349" spans="1:8" x14ac:dyDescent="0.2">
      <c r="A1349" s="5" t="s">
        <v>13</v>
      </c>
      <c r="B1349" s="6" t="s">
        <v>19</v>
      </c>
      <c r="C1349" s="7" t="s">
        <v>1322</v>
      </c>
      <c r="D1349" s="7"/>
      <c r="E1349" s="8">
        <v>-1.5584271999999999</v>
      </c>
      <c r="F1349" s="8">
        <v>-1.3062514999999999</v>
      </c>
      <c r="G1349" s="7" t="str">
        <f t="shared" si="11"/>
        <v>Direct</v>
      </c>
      <c r="H1349" s="7" t="s">
        <v>1323</v>
      </c>
    </row>
    <row r="1350" spans="1:8" x14ac:dyDescent="0.2">
      <c r="A1350" s="5" t="s">
        <v>13</v>
      </c>
      <c r="B1350" s="6" t="s">
        <v>19</v>
      </c>
      <c r="C1350" s="7" t="s">
        <v>1324</v>
      </c>
      <c r="D1350" s="7"/>
      <c r="E1350" s="8">
        <v>-2.3766479</v>
      </c>
      <c r="F1350" s="8">
        <v>-2.5162602000000001</v>
      </c>
      <c r="G1350" s="7" t="str">
        <f t="shared" si="11"/>
        <v>Direct</v>
      </c>
      <c r="H1350" s="7" t="s">
        <v>1325</v>
      </c>
    </row>
    <row r="1351" spans="1:8" x14ac:dyDescent="0.2">
      <c r="A1351" s="5" t="s">
        <v>13</v>
      </c>
      <c r="B1351" s="6" t="s">
        <v>19</v>
      </c>
      <c r="C1351" s="7" t="s">
        <v>1326</v>
      </c>
      <c r="D1351" s="7"/>
      <c r="E1351" s="8">
        <v>-9.7235800999999995</v>
      </c>
      <c r="F1351" s="8">
        <v>-5.9963252999999996</v>
      </c>
      <c r="G1351" s="7" t="str">
        <f t="shared" si="11"/>
        <v>Direct</v>
      </c>
      <c r="H1351" s="7" t="s">
        <v>1327</v>
      </c>
    </row>
    <row r="1352" spans="1:8" x14ac:dyDescent="0.2">
      <c r="A1352" s="5" t="s">
        <v>13</v>
      </c>
      <c r="B1352" s="6" t="s">
        <v>19</v>
      </c>
      <c r="C1352" s="7" t="s">
        <v>1328</v>
      </c>
      <c r="D1352" s="7"/>
      <c r="E1352" s="8">
        <v>-1.5027484</v>
      </c>
      <c r="F1352" s="8">
        <v>-1.1877911999999999</v>
      </c>
      <c r="G1352" s="7" t="str">
        <f t="shared" si="11"/>
        <v>Direct</v>
      </c>
      <c r="H1352" s="7" t="s">
        <v>1329</v>
      </c>
    </row>
    <row r="1353" spans="1:8" x14ac:dyDescent="0.2">
      <c r="A1353" s="5" t="s">
        <v>13</v>
      </c>
      <c r="B1353" s="6" t="s">
        <v>19</v>
      </c>
      <c r="C1353" s="7" t="s">
        <v>1330</v>
      </c>
      <c r="D1353" s="7"/>
      <c r="E1353" s="8">
        <v>-25.408259999999999</v>
      </c>
      <c r="F1353" s="8">
        <v>-21.638473000000001</v>
      </c>
      <c r="G1353" s="7" t="str">
        <f t="shared" si="11"/>
        <v>Direct</v>
      </c>
      <c r="H1353" s="7" t="s">
        <v>1331</v>
      </c>
    </row>
    <row r="1354" spans="1:8" x14ac:dyDescent="0.2">
      <c r="A1354" s="5" t="s">
        <v>13</v>
      </c>
      <c r="B1354" s="6" t="s">
        <v>19</v>
      </c>
      <c r="C1354" s="7" t="s">
        <v>154</v>
      </c>
      <c r="D1354" s="7"/>
      <c r="E1354" s="8">
        <v>-2.2814610000000002</v>
      </c>
      <c r="F1354" s="8">
        <v>-1.4044270000000001</v>
      </c>
      <c r="G1354" s="7" t="str">
        <f t="shared" si="11"/>
        <v>Direct</v>
      </c>
      <c r="H1354" s="7" t="s">
        <v>155</v>
      </c>
    </row>
    <row r="1355" spans="1:8" x14ac:dyDescent="0.2">
      <c r="A1355" s="5" t="s">
        <v>13</v>
      </c>
      <c r="B1355" s="6" t="s">
        <v>19</v>
      </c>
      <c r="C1355" s="7" t="s">
        <v>1332</v>
      </c>
      <c r="D1355" s="7"/>
      <c r="E1355" s="8">
        <v>-1.3073112</v>
      </c>
      <c r="F1355" s="8">
        <v>-1.9726809999999999</v>
      </c>
      <c r="G1355" s="7" t="str">
        <f t="shared" si="11"/>
        <v>Direct</v>
      </c>
      <c r="H1355" s="7" t="s">
        <v>1333</v>
      </c>
    </row>
    <row r="1356" spans="1:8" x14ac:dyDescent="0.2">
      <c r="A1356" s="5" t="s">
        <v>13</v>
      </c>
      <c r="B1356" s="6" t="s">
        <v>19</v>
      </c>
      <c r="C1356" s="7" t="s">
        <v>1334</v>
      </c>
      <c r="D1356" s="7"/>
      <c r="E1356" s="8">
        <v>-2.6121259999999999</v>
      </c>
      <c r="F1356" s="8">
        <v>-3.7123751999999999</v>
      </c>
      <c r="G1356" s="7" t="str">
        <f t="shared" si="11"/>
        <v>Direct</v>
      </c>
      <c r="H1356" s="7" t="s">
        <v>655</v>
      </c>
    </row>
    <row r="1357" spans="1:8" x14ac:dyDescent="0.2">
      <c r="A1357" s="5" t="s">
        <v>13</v>
      </c>
      <c r="B1357" s="6" t="s">
        <v>19</v>
      </c>
      <c r="C1357" s="7" t="s">
        <v>1335</v>
      </c>
      <c r="D1357" s="7"/>
      <c r="E1357" s="8">
        <v>-1.5824541000000001</v>
      </c>
      <c r="F1357" s="8">
        <v>-2.2037949999999999</v>
      </c>
      <c r="G1357" s="7" t="str">
        <f t="shared" si="11"/>
        <v>Direct</v>
      </c>
      <c r="H1357" s="7" t="s">
        <v>16</v>
      </c>
    </row>
    <row r="1358" spans="1:8" x14ac:dyDescent="0.2">
      <c r="A1358" s="5" t="s">
        <v>13</v>
      </c>
      <c r="B1358" s="6" t="s">
        <v>19</v>
      </c>
      <c r="C1358" s="7" t="s">
        <v>1336</v>
      </c>
      <c r="D1358" s="7"/>
      <c r="E1358" s="8">
        <v>-2.1578639000000002</v>
      </c>
      <c r="F1358" s="8">
        <v>-2.0908834000000001</v>
      </c>
      <c r="G1358" s="7" t="str">
        <f t="shared" si="11"/>
        <v>Direct</v>
      </c>
      <c r="H1358" s="7" t="s">
        <v>1337</v>
      </c>
    </row>
    <row r="1359" spans="1:8" x14ac:dyDescent="0.2">
      <c r="A1359" s="5" t="s">
        <v>13</v>
      </c>
      <c r="B1359" s="6" t="s">
        <v>19</v>
      </c>
      <c r="C1359" s="7" t="s">
        <v>156</v>
      </c>
      <c r="D1359" s="7"/>
      <c r="E1359" s="8">
        <v>-1.1746506000000001</v>
      </c>
      <c r="F1359" s="8">
        <v>-1.0592686</v>
      </c>
      <c r="G1359" s="7" t="str">
        <f t="shared" si="11"/>
        <v>Direct</v>
      </c>
      <c r="H1359" s="7" t="s">
        <v>157</v>
      </c>
    </row>
    <row r="1360" spans="1:8" x14ac:dyDescent="0.2">
      <c r="A1360" s="5" t="s">
        <v>13</v>
      </c>
      <c r="B1360" s="6" t="s">
        <v>19</v>
      </c>
      <c r="C1360" s="7" t="s">
        <v>1338</v>
      </c>
      <c r="D1360" s="7"/>
      <c r="E1360" s="8">
        <v>1.3414585800000001</v>
      </c>
      <c r="F1360" s="8">
        <v>1.1425035800000001</v>
      </c>
      <c r="G1360" s="7" t="str">
        <f t="shared" si="11"/>
        <v>Direct</v>
      </c>
      <c r="H1360" s="7" t="s">
        <v>16</v>
      </c>
    </row>
    <row r="1361" spans="1:8" x14ac:dyDescent="0.2">
      <c r="A1361" s="5" t="s">
        <v>13</v>
      </c>
      <c r="B1361" s="6" t="s">
        <v>19</v>
      </c>
      <c r="C1361" s="7" t="s">
        <v>1339</v>
      </c>
      <c r="D1361" s="7"/>
      <c r="E1361" s="8">
        <v>2.4753671800000001</v>
      </c>
      <c r="F1361" s="8">
        <v>2.9705713</v>
      </c>
      <c r="G1361" s="7" t="str">
        <f t="shared" si="11"/>
        <v>Direct</v>
      </c>
      <c r="H1361" s="7" t="s">
        <v>1340</v>
      </c>
    </row>
    <row r="1362" spans="1:8" x14ac:dyDescent="0.2">
      <c r="A1362" s="5" t="s">
        <v>13</v>
      </c>
      <c r="B1362" s="6" t="s">
        <v>19</v>
      </c>
      <c r="C1362" s="7" t="s">
        <v>1341</v>
      </c>
      <c r="D1362" s="7"/>
      <c r="E1362" s="8">
        <v>-2.5277364000000002</v>
      </c>
      <c r="F1362" s="8">
        <v>-2.0839428</v>
      </c>
      <c r="G1362" s="7" t="str">
        <f t="shared" si="11"/>
        <v>Direct</v>
      </c>
      <c r="H1362" s="7" t="s">
        <v>1342</v>
      </c>
    </row>
    <row r="1363" spans="1:8" x14ac:dyDescent="0.2">
      <c r="A1363" s="5" t="s">
        <v>13</v>
      </c>
      <c r="B1363" s="6" t="s">
        <v>19</v>
      </c>
      <c r="C1363" s="7" t="s">
        <v>158</v>
      </c>
      <c r="D1363" s="7"/>
      <c r="E1363" s="8">
        <v>-2.9910899</v>
      </c>
      <c r="F1363" s="8">
        <v>-3.3749215000000001</v>
      </c>
      <c r="G1363" s="7" t="str">
        <f t="shared" si="11"/>
        <v>Direct</v>
      </c>
      <c r="H1363" s="7" t="s">
        <v>16</v>
      </c>
    </row>
    <row r="1364" spans="1:8" x14ac:dyDescent="0.2">
      <c r="A1364" s="5" t="s">
        <v>13</v>
      </c>
      <c r="B1364" s="6" t="s">
        <v>19</v>
      </c>
      <c r="C1364" s="7" t="s">
        <v>159</v>
      </c>
      <c r="D1364" s="7"/>
      <c r="E1364" s="8">
        <v>-2.150131</v>
      </c>
      <c r="F1364" s="8">
        <v>-1.7736155</v>
      </c>
      <c r="G1364" s="7" t="str">
        <f t="shared" si="11"/>
        <v>Direct</v>
      </c>
      <c r="H1364" s="7" t="s">
        <v>160</v>
      </c>
    </row>
    <row r="1365" spans="1:8" x14ac:dyDescent="0.2">
      <c r="A1365" s="5" t="s">
        <v>13</v>
      </c>
      <c r="B1365" s="6" t="s">
        <v>19</v>
      </c>
      <c r="C1365" s="7" t="s">
        <v>1343</v>
      </c>
      <c r="D1365" s="7"/>
      <c r="E1365" s="8">
        <v>1.2144253599999999</v>
      </c>
      <c r="F1365" s="8">
        <v>1.9826328099999999</v>
      </c>
      <c r="G1365" s="7" t="str">
        <f t="shared" si="11"/>
        <v>Direct</v>
      </c>
      <c r="H1365" s="7" t="s">
        <v>16</v>
      </c>
    </row>
    <row r="1366" spans="1:8" x14ac:dyDescent="0.2">
      <c r="A1366" s="5" t="s">
        <v>13</v>
      </c>
      <c r="B1366" s="6" t="s">
        <v>19</v>
      </c>
      <c r="C1366" s="7" t="s">
        <v>1344</v>
      </c>
      <c r="D1366" s="7"/>
      <c r="E1366" s="8">
        <v>2.5129334800000001</v>
      </c>
      <c r="F1366" s="8">
        <v>2.3827589900000001</v>
      </c>
      <c r="G1366" s="7" t="str">
        <f t="shared" si="11"/>
        <v>Direct</v>
      </c>
      <c r="H1366" s="7" t="s">
        <v>16</v>
      </c>
    </row>
    <row r="1367" spans="1:8" x14ac:dyDescent="0.2">
      <c r="A1367" s="5" t="s">
        <v>13</v>
      </c>
      <c r="B1367" s="6" t="s">
        <v>19</v>
      </c>
      <c r="C1367" s="7" t="s">
        <v>1345</v>
      </c>
      <c r="D1367" s="7"/>
      <c r="E1367" s="8">
        <v>1.3008507</v>
      </c>
      <c r="F1367" s="8">
        <v>1.48663897</v>
      </c>
      <c r="G1367" s="7" t="str">
        <f t="shared" si="11"/>
        <v>Direct</v>
      </c>
      <c r="H1367" s="7" t="s">
        <v>1346</v>
      </c>
    </row>
    <row r="1368" spans="1:8" x14ac:dyDescent="0.2">
      <c r="A1368" s="5" t="s">
        <v>13</v>
      </c>
      <c r="B1368" s="6" t="s">
        <v>19</v>
      </c>
      <c r="C1368" s="7" t="s">
        <v>1347</v>
      </c>
      <c r="D1368" s="7"/>
      <c r="E1368" s="8">
        <v>2.5784941300000002</v>
      </c>
      <c r="F1368" s="8">
        <v>4.3868294199999998</v>
      </c>
      <c r="G1368" s="7" t="str">
        <f t="shared" si="11"/>
        <v>Direct</v>
      </c>
      <c r="H1368" s="7" t="s">
        <v>1348</v>
      </c>
    </row>
    <row r="1369" spans="1:8" x14ac:dyDescent="0.2">
      <c r="A1369" s="5" t="s">
        <v>13</v>
      </c>
      <c r="B1369" s="6" t="s">
        <v>19</v>
      </c>
      <c r="C1369" s="7" t="s">
        <v>1349</v>
      </c>
      <c r="D1369" s="7"/>
      <c r="E1369" s="8">
        <v>-1.5511984999999999</v>
      </c>
      <c r="F1369" s="8">
        <v>-1.8186937000000001</v>
      </c>
      <c r="G1369" s="7" t="str">
        <f t="shared" si="11"/>
        <v>Direct</v>
      </c>
      <c r="H1369" s="7" t="s">
        <v>199</v>
      </c>
    </row>
    <row r="1370" spans="1:8" x14ac:dyDescent="0.2">
      <c r="A1370" s="5" t="s">
        <v>13</v>
      </c>
      <c r="B1370" s="6" t="s">
        <v>19</v>
      </c>
      <c r="C1370" s="7" t="s">
        <v>1350</v>
      </c>
      <c r="D1370" s="7"/>
      <c r="E1370" s="8">
        <v>1.2921486600000001</v>
      </c>
      <c r="F1370" s="8">
        <v>1.08653826</v>
      </c>
      <c r="G1370" s="7" t="str">
        <f t="shared" si="11"/>
        <v>Direct</v>
      </c>
      <c r="H1370" s="7" t="s">
        <v>1351</v>
      </c>
    </row>
    <row r="1371" spans="1:8" x14ac:dyDescent="0.2">
      <c r="A1371" s="5" t="s">
        <v>13</v>
      </c>
      <c r="B1371" s="6" t="s">
        <v>19</v>
      </c>
      <c r="C1371" s="7" t="s">
        <v>1352</v>
      </c>
      <c r="D1371" s="7"/>
      <c r="E1371" s="8">
        <v>-3.6749081000000001</v>
      </c>
      <c r="F1371" s="8">
        <v>-1.5568234000000001</v>
      </c>
      <c r="G1371" s="7" t="str">
        <f t="shared" si="11"/>
        <v>Direct</v>
      </c>
      <c r="H1371" s="7" t="s">
        <v>1353</v>
      </c>
    </row>
    <row r="1372" spans="1:8" x14ac:dyDescent="0.2">
      <c r="A1372" s="5" t="s">
        <v>13</v>
      </c>
      <c r="B1372" s="6" t="s">
        <v>19</v>
      </c>
      <c r="C1372" s="7" t="s">
        <v>1354</v>
      </c>
      <c r="D1372" s="7"/>
      <c r="E1372" s="8">
        <v>-1.0559886000000001</v>
      </c>
      <c r="F1372" s="8">
        <v>-1.5654151000000001</v>
      </c>
      <c r="G1372" s="7" t="str">
        <f t="shared" si="11"/>
        <v>Direct</v>
      </c>
      <c r="H1372" s="7" t="s">
        <v>1355</v>
      </c>
    </row>
    <row r="1373" spans="1:8" x14ac:dyDescent="0.2">
      <c r="A1373" s="5" t="s">
        <v>13</v>
      </c>
      <c r="B1373" s="6" t="s">
        <v>19</v>
      </c>
      <c r="C1373" s="7" t="s">
        <v>1356</v>
      </c>
      <c r="D1373" s="7"/>
      <c r="E1373" s="8">
        <v>1.47837288</v>
      </c>
      <c r="F1373" s="8">
        <v>1.75289147</v>
      </c>
      <c r="G1373" s="7" t="str">
        <f t="shared" si="11"/>
        <v>Direct</v>
      </c>
      <c r="H1373" s="7" t="s">
        <v>16</v>
      </c>
    </row>
    <row r="1374" spans="1:8" x14ac:dyDescent="0.2">
      <c r="A1374" s="5" t="s">
        <v>13</v>
      </c>
      <c r="B1374" s="6" t="s">
        <v>19</v>
      </c>
      <c r="C1374" s="7" t="s">
        <v>1357</v>
      </c>
      <c r="D1374" s="7"/>
      <c r="E1374" s="8">
        <v>-1.2989375999999999</v>
      </c>
      <c r="F1374" s="8">
        <v>-1.0702691</v>
      </c>
      <c r="G1374" s="7" t="str">
        <f t="shared" si="11"/>
        <v>Direct</v>
      </c>
      <c r="H1374" s="7" t="s">
        <v>1358</v>
      </c>
    </row>
    <row r="1375" spans="1:8" x14ac:dyDescent="0.2">
      <c r="A1375" s="5" t="s">
        <v>13</v>
      </c>
      <c r="B1375" s="6" t="s">
        <v>19</v>
      </c>
      <c r="C1375" s="7" t="s">
        <v>1359</v>
      </c>
      <c r="D1375" s="7"/>
      <c r="E1375" s="8">
        <v>-2.9279706000000001</v>
      </c>
      <c r="F1375" s="8">
        <v>-1.8523472999999999</v>
      </c>
      <c r="G1375" s="7" t="str">
        <f t="shared" si="11"/>
        <v>Direct</v>
      </c>
      <c r="H1375" s="7" t="s">
        <v>1360</v>
      </c>
    </row>
    <row r="1376" spans="1:8" x14ac:dyDescent="0.2">
      <c r="A1376" s="5" t="s">
        <v>13</v>
      </c>
      <c r="B1376" s="6" t="s">
        <v>19</v>
      </c>
      <c r="C1376" s="7" t="s">
        <v>164</v>
      </c>
      <c r="D1376" s="7"/>
      <c r="E1376" s="8">
        <v>3.5476460400000001</v>
      </c>
      <c r="F1376" s="8">
        <v>2.6109064399999999</v>
      </c>
      <c r="G1376" s="7" t="str">
        <f t="shared" si="11"/>
        <v>Direct</v>
      </c>
      <c r="H1376" s="7" t="s">
        <v>16</v>
      </c>
    </row>
    <row r="1377" spans="1:8" x14ac:dyDescent="0.2">
      <c r="A1377" s="5" t="s">
        <v>13</v>
      </c>
      <c r="B1377" s="6" t="s">
        <v>19</v>
      </c>
      <c r="C1377" s="7" t="s">
        <v>1361</v>
      </c>
      <c r="D1377" s="7"/>
      <c r="E1377" s="8">
        <v>5.6181349799999998</v>
      </c>
      <c r="F1377" s="8">
        <v>4.6394772700000004</v>
      </c>
      <c r="G1377" s="7" t="str">
        <f t="shared" si="11"/>
        <v>Direct</v>
      </c>
      <c r="H1377" s="7" t="s">
        <v>16</v>
      </c>
    </row>
    <row r="1378" spans="1:8" x14ac:dyDescent="0.2">
      <c r="A1378" s="5" t="s">
        <v>13</v>
      </c>
      <c r="B1378" s="6" t="s">
        <v>19</v>
      </c>
      <c r="C1378" s="7" t="s">
        <v>165</v>
      </c>
      <c r="D1378" s="7"/>
      <c r="E1378" s="8">
        <v>-2.5206974</v>
      </c>
      <c r="F1378" s="8">
        <v>-2.1651099</v>
      </c>
      <c r="G1378" s="7" t="str">
        <f t="shared" si="11"/>
        <v>Direct</v>
      </c>
      <c r="H1378" s="7" t="s">
        <v>16</v>
      </c>
    </row>
    <row r="1379" spans="1:8" x14ac:dyDescent="0.2">
      <c r="A1379" s="5" t="s">
        <v>13</v>
      </c>
      <c r="B1379" s="6" t="s">
        <v>19</v>
      </c>
      <c r="C1379" s="7" t="s">
        <v>166</v>
      </c>
      <c r="D1379" s="7"/>
      <c r="E1379" s="8">
        <v>-2.9880575</v>
      </c>
      <c r="F1379" s="8">
        <v>-1.3903958000000001</v>
      </c>
      <c r="G1379" s="7" t="str">
        <f t="shared" si="11"/>
        <v>Direct</v>
      </c>
      <c r="H1379" s="7" t="s">
        <v>16</v>
      </c>
    </row>
    <row r="1380" spans="1:8" x14ac:dyDescent="0.2">
      <c r="A1380" s="5" t="s">
        <v>13</v>
      </c>
      <c r="B1380" s="6" t="s">
        <v>19</v>
      </c>
      <c r="C1380" s="7" t="s">
        <v>1362</v>
      </c>
      <c r="D1380" s="7"/>
      <c r="E1380" s="8">
        <v>-1.993771</v>
      </c>
      <c r="F1380" s="8">
        <v>-2.1296662999999998</v>
      </c>
      <c r="G1380" s="7" t="str">
        <f t="shared" si="11"/>
        <v>Direct</v>
      </c>
      <c r="H1380" s="7" t="s">
        <v>1363</v>
      </c>
    </row>
    <row r="1381" spans="1:8" x14ac:dyDescent="0.2">
      <c r="A1381" s="5" t="s">
        <v>13</v>
      </c>
      <c r="B1381" s="6" t="s">
        <v>19</v>
      </c>
      <c r="C1381" s="7" t="s">
        <v>1364</v>
      </c>
      <c r="D1381" s="7"/>
      <c r="E1381" s="8">
        <v>-1.1965805</v>
      </c>
      <c r="F1381" s="8">
        <v>-2.0218956000000001</v>
      </c>
      <c r="G1381" s="7" t="str">
        <f t="shared" si="11"/>
        <v>Direct</v>
      </c>
      <c r="H1381" s="7" t="s">
        <v>16</v>
      </c>
    </row>
    <row r="1382" spans="1:8" x14ac:dyDescent="0.2">
      <c r="A1382" s="5" t="s">
        <v>13</v>
      </c>
      <c r="B1382" s="6" t="s">
        <v>19</v>
      </c>
      <c r="C1382" s="7" t="s">
        <v>1365</v>
      </c>
      <c r="D1382" s="7"/>
      <c r="E1382" s="8">
        <v>1.01207402</v>
      </c>
      <c r="F1382" s="8">
        <v>1.1545008699999999</v>
      </c>
      <c r="G1382" s="7" t="str">
        <f t="shared" si="11"/>
        <v>Direct</v>
      </c>
      <c r="H1382" s="7" t="s">
        <v>16</v>
      </c>
    </row>
    <row r="1383" spans="1:8" x14ac:dyDescent="0.2">
      <c r="A1383" s="5" t="s">
        <v>13</v>
      </c>
      <c r="B1383" s="6" t="s">
        <v>19</v>
      </c>
      <c r="C1383" s="7" t="s">
        <v>167</v>
      </c>
      <c r="D1383" s="7"/>
      <c r="E1383" s="8">
        <v>-2.6374094000000001</v>
      </c>
      <c r="F1383" s="8">
        <v>-2.1348970999999999</v>
      </c>
      <c r="G1383" s="7" t="str">
        <f t="shared" si="11"/>
        <v>Direct</v>
      </c>
      <c r="H1383" s="7" t="s">
        <v>16</v>
      </c>
    </row>
    <row r="1384" spans="1:8" x14ac:dyDescent="0.2">
      <c r="A1384" s="5" t="s">
        <v>13</v>
      </c>
      <c r="B1384" s="6" t="s">
        <v>19</v>
      </c>
      <c r="C1384" s="7" t="s">
        <v>1366</v>
      </c>
      <c r="D1384" s="7"/>
      <c r="E1384" s="8">
        <v>-1.3046145</v>
      </c>
      <c r="F1384" s="8">
        <v>-1.0419448</v>
      </c>
      <c r="G1384" s="7" t="str">
        <f t="shared" si="11"/>
        <v>Direct</v>
      </c>
      <c r="H1384" s="7" t="s">
        <v>1367</v>
      </c>
    </row>
    <row r="1385" spans="1:8" x14ac:dyDescent="0.2">
      <c r="A1385" s="5" t="s">
        <v>13</v>
      </c>
      <c r="B1385" s="6" t="s">
        <v>19</v>
      </c>
      <c r="C1385" s="7" t="s">
        <v>1368</v>
      </c>
      <c r="D1385" s="7"/>
      <c r="E1385" s="8">
        <v>1.5247225600000001</v>
      </c>
      <c r="F1385" s="8">
        <v>1.07026906</v>
      </c>
      <c r="G1385" s="7" t="str">
        <f t="shared" si="11"/>
        <v>Direct</v>
      </c>
      <c r="H1385" s="7" t="s">
        <v>16</v>
      </c>
    </row>
    <row r="1386" spans="1:8" x14ac:dyDescent="0.2">
      <c r="A1386" s="5" t="s">
        <v>13</v>
      </c>
      <c r="B1386" s="6" t="s">
        <v>19</v>
      </c>
      <c r="C1386" s="7" t="s">
        <v>1369</v>
      </c>
      <c r="D1386" s="7"/>
      <c r="E1386" s="8">
        <v>1.0303295299999999</v>
      </c>
      <c r="F1386" s="8">
        <v>1.8790826300000001</v>
      </c>
      <c r="G1386" s="7" t="str">
        <f t="shared" si="11"/>
        <v>Direct</v>
      </c>
      <c r="H1386" s="7" t="s">
        <v>16</v>
      </c>
    </row>
    <row r="1387" spans="1:8" x14ac:dyDescent="0.2">
      <c r="A1387" s="5" t="s">
        <v>13</v>
      </c>
      <c r="B1387" s="6" t="s">
        <v>19</v>
      </c>
      <c r="C1387" s="7" t="s">
        <v>1370</v>
      </c>
      <c r="D1387" s="7"/>
      <c r="E1387" s="8">
        <v>-1.3070332</v>
      </c>
      <c r="F1387" s="8">
        <v>-2.3466675000000001</v>
      </c>
      <c r="G1387" s="7" t="str">
        <f t="shared" si="11"/>
        <v>Direct</v>
      </c>
      <c r="H1387" s="7" t="s">
        <v>16</v>
      </c>
    </row>
    <row r="1388" spans="1:8" x14ac:dyDescent="0.2">
      <c r="A1388" s="5" t="s">
        <v>13</v>
      </c>
      <c r="B1388" s="6" t="s">
        <v>19</v>
      </c>
      <c r="C1388" s="7" t="s">
        <v>1371</v>
      </c>
      <c r="D1388" s="7"/>
      <c r="E1388" s="8">
        <v>-4.0150994999999998</v>
      </c>
      <c r="F1388" s="8">
        <v>-3.9847041000000001</v>
      </c>
      <c r="G1388" s="7" t="str">
        <f t="shared" si="11"/>
        <v>Direct</v>
      </c>
      <c r="H1388" s="7" t="s">
        <v>1372</v>
      </c>
    </row>
    <row r="1389" spans="1:8" x14ac:dyDescent="0.2">
      <c r="A1389" s="5" t="s">
        <v>13</v>
      </c>
      <c r="B1389" s="6" t="s">
        <v>19</v>
      </c>
      <c r="C1389" s="7" t="s">
        <v>1373</v>
      </c>
      <c r="D1389" s="7"/>
      <c r="E1389" s="8">
        <v>-1.838303</v>
      </c>
      <c r="F1389" s="8">
        <v>-1.0386245999999999</v>
      </c>
      <c r="G1389" s="7" t="str">
        <f t="shared" si="11"/>
        <v>Direct</v>
      </c>
      <c r="H1389" s="7" t="s">
        <v>1374</v>
      </c>
    </row>
    <row r="1390" spans="1:8" x14ac:dyDescent="0.2">
      <c r="A1390" s="5" t="s">
        <v>13</v>
      </c>
      <c r="B1390" s="6" t="s">
        <v>19</v>
      </c>
      <c r="C1390" s="7" t="s">
        <v>1375</v>
      </c>
      <c r="D1390" s="7"/>
      <c r="E1390" s="8">
        <v>-2.8778557999999999</v>
      </c>
      <c r="F1390" s="8">
        <v>-3.0171576999999998</v>
      </c>
      <c r="G1390" s="7" t="str">
        <f t="shared" si="11"/>
        <v>Direct</v>
      </c>
      <c r="H1390" s="7" t="s">
        <v>1376</v>
      </c>
    </row>
    <row r="1391" spans="1:8" x14ac:dyDescent="0.2">
      <c r="A1391" s="5" t="s">
        <v>13</v>
      </c>
      <c r="B1391" s="6" t="s">
        <v>19</v>
      </c>
      <c r="C1391" s="7" t="s">
        <v>1377</v>
      </c>
      <c r="D1391" s="7"/>
      <c r="E1391" s="8">
        <v>-1.1893397000000001</v>
      </c>
      <c r="F1391" s="8">
        <v>-1.3110972000000001</v>
      </c>
      <c r="G1391" s="7" t="str">
        <f t="shared" si="11"/>
        <v>Direct</v>
      </c>
      <c r="H1391" s="7" t="s">
        <v>1378</v>
      </c>
    </row>
    <row r="1392" spans="1:8" x14ac:dyDescent="0.2">
      <c r="A1392" s="5" t="s">
        <v>13</v>
      </c>
      <c r="B1392" s="6" t="s">
        <v>19</v>
      </c>
      <c r="C1392" s="7" t="s">
        <v>1379</v>
      </c>
      <c r="D1392" s="7"/>
      <c r="E1392" s="8">
        <v>-2.1680456000000001</v>
      </c>
      <c r="F1392" s="8">
        <v>-1.6755717000000001</v>
      </c>
      <c r="G1392" s="7" t="str">
        <f t="shared" si="11"/>
        <v>Direct</v>
      </c>
      <c r="H1392" s="7" t="s">
        <v>1380</v>
      </c>
    </row>
    <row r="1393" spans="1:8" x14ac:dyDescent="0.2">
      <c r="A1393" s="5" t="s">
        <v>13</v>
      </c>
      <c r="B1393" s="6" t="s">
        <v>19</v>
      </c>
      <c r="C1393" s="7" t="s">
        <v>168</v>
      </c>
      <c r="D1393" s="7"/>
      <c r="E1393" s="8">
        <v>-10.202484999999999</v>
      </c>
      <c r="F1393" s="8">
        <v>-8.0849633000000001</v>
      </c>
      <c r="G1393" s="7" t="str">
        <f t="shared" si="11"/>
        <v>Direct</v>
      </c>
      <c r="H1393" s="7" t="s">
        <v>16</v>
      </c>
    </row>
    <row r="1394" spans="1:8" x14ac:dyDescent="0.2">
      <c r="A1394" s="5" t="s">
        <v>13</v>
      </c>
      <c r="B1394" s="6" t="s">
        <v>19</v>
      </c>
      <c r="C1394" s="7" t="s">
        <v>1381</v>
      </c>
      <c r="D1394" s="7"/>
      <c r="E1394" s="8">
        <v>-4.5279505999999996</v>
      </c>
      <c r="F1394" s="8">
        <v>-5.7667088</v>
      </c>
      <c r="G1394" s="7" t="str">
        <f t="shared" si="11"/>
        <v>Direct</v>
      </c>
      <c r="H1394" s="7" t="s">
        <v>16</v>
      </c>
    </row>
    <row r="1395" spans="1:8" x14ac:dyDescent="0.2">
      <c r="A1395" s="5" t="s">
        <v>13</v>
      </c>
      <c r="B1395" s="6" t="s">
        <v>19</v>
      </c>
      <c r="C1395" s="7" t="s">
        <v>1382</v>
      </c>
      <c r="D1395" s="7"/>
      <c r="E1395" s="8">
        <v>-3.9344635999999999</v>
      </c>
      <c r="F1395" s="8">
        <v>-4.2454754000000001</v>
      </c>
      <c r="G1395" s="7" t="str">
        <f t="shared" si="11"/>
        <v>Direct</v>
      </c>
      <c r="H1395" s="7" t="s">
        <v>1383</v>
      </c>
    </row>
    <row r="1396" spans="1:8" x14ac:dyDescent="0.2">
      <c r="A1396" s="5" t="s">
        <v>13</v>
      </c>
      <c r="B1396" s="6" t="s">
        <v>19</v>
      </c>
      <c r="C1396" s="7" t="s">
        <v>1384</v>
      </c>
      <c r="D1396" s="7"/>
      <c r="E1396" s="8">
        <v>-1.1752885</v>
      </c>
      <c r="F1396" s="8">
        <v>-2.8617349999999999</v>
      </c>
      <c r="G1396" s="7" t="str">
        <f t="shared" si="11"/>
        <v>Direct</v>
      </c>
      <c r="H1396" s="7" t="s">
        <v>1385</v>
      </c>
    </row>
    <row r="1397" spans="1:8" x14ac:dyDescent="0.2">
      <c r="A1397" s="5" t="s">
        <v>13</v>
      </c>
      <c r="B1397" s="6" t="s">
        <v>19</v>
      </c>
      <c r="C1397" s="7" t="s">
        <v>1386</v>
      </c>
      <c r="D1397" s="7"/>
      <c r="E1397" s="8">
        <v>1.1073693200000001</v>
      </c>
      <c r="F1397" s="8">
        <v>1.5753047099999999</v>
      </c>
      <c r="G1397" s="7" t="str">
        <f t="shared" si="11"/>
        <v>Direct</v>
      </c>
      <c r="H1397" s="7" t="s">
        <v>1387</v>
      </c>
    </row>
    <row r="1398" spans="1:8" x14ac:dyDescent="0.2">
      <c r="A1398" s="5" t="s">
        <v>13</v>
      </c>
      <c r="B1398" s="6" t="s">
        <v>19</v>
      </c>
      <c r="C1398" s="7" t="s">
        <v>1388</v>
      </c>
      <c r="D1398" s="7"/>
      <c r="E1398" s="8">
        <v>4.5772127300000003</v>
      </c>
      <c r="F1398" s="8">
        <v>1.84869679</v>
      </c>
      <c r="G1398" s="7" t="str">
        <f t="shared" si="11"/>
        <v>Direct</v>
      </c>
      <c r="H1398" s="7" t="s">
        <v>16</v>
      </c>
    </row>
    <row r="1399" spans="1:8" x14ac:dyDescent="0.2">
      <c r="A1399" s="5" t="s">
        <v>13</v>
      </c>
      <c r="B1399" s="6" t="s">
        <v>19</v>
      </c>
      <c r="C1399" s="7" t="s">
        <v>1389</v>
      </c>
      <c r="D1399" s="7"/>
      <c r="E1399" s="8">
        <v>-1.7109084000000001</v>
      </c>
      <c r="F1399" s="8">
        <v>-2.6959466999999999</v>
      </c>
      <c r="G1399" s="7" t="str">
        <f t="shared" si="11"/>
        <v>Direct</v>
      </c>
      <c r="H1399" s="7" t="s">
        <v>16</v>
      </c>
    </row>
    <row r="1400" spans="1:8" x14ac:dyDescent="0.2">
      <c r="A1400" s="5" t="s">
        <v>13</v>
      </c>
      <c r="B1400" s="6" t="s">
        <v>19</v>
      </c>
      <c r="C1400" s="7" t="s">
        <v>1390</v>
      </c>
      <c r="D1400" s="7"/>
      <c r="E1400" s="8">
        <v>-7.6821298000000002</v>
      </c>
      <c r="F1400" s="8">
        <v>-4.5697907000000004</v>
      </c>
      <c r="G1400" s="7" t="str">
        <f t="shared" si="11"/>
        <v>Direct</v>
      </c>
      <c r="H1400" s="7" t="s">
        <v>16</v>
      </c>
    </row>
    <row r="1401" spans="1:8" x14ac:dyDescent="0.2">
      <c r="A1401" s="5" t="s">
        <v>13</v>
      </c>
      <c r="B1401" s="6" t="s">
        <v>19</v>
      </c>
      <c r="C1401" s="7" t="s">
        <v>1391</v>
      </c>
      <c r="D1401" s="7"/>
      <c r="E1401" s="8">
        <v>1.2754581599999999</v>
      </c>
      <c r="F1401" s="8">
        <v>1.29655601</v>
      </c>
      <c r="G1401" s="7" t="str">
        <f t="shared" si="11"/>
        <v>Direct</v>
      </c>
      <c r="H1401" s="7" t="s">
        <v>16</v>
      </c>
    </row>
    <row r="1402" spans="1:8" x14ac:dyDescent="0.2">
      <c r="A1402" s="5" t="s">
        <v>13</v>
      </c>
      <c r="B1402" s="6" t="s">
        <v>19</v>
      </c>
      <c r="C1402" s="7" t="s">
        <v>1392</v>
      </c>
      <c r="D1402" s="7"/>
      <c r="E1402" s="8">
        <v>-3.6017193999999999</v>
      </c>
      <c r="F1402" s="8">
        <v>-3.7676745999999999</v>
      </c>
      <c r="G1402" s="7" t="str">
        <f t="shared" si="11"/>
        <v>Direct</v>
      </c>
      <c r="H1402" s="7" t="s">
        <v>1393</v>
      </c>
    </row>
    <row r="1403" spans="1:8" x14ac:dyDescent="0.2">
      <c r="A1403" s="5" t="s">
        <v>13</v>
      </c>
      <c r="B1403" s="6" t="s">
        <v>19</v>
      </c>
      <c r="C1403" s="7" t="s">
        <v>1394</v>
      </c>
      <c r="D1403" s="7"/>
      <c r="E1403" s="8">
        <v>2.0328490499999998</v>
      </c>
      <c r="F1403" s="8">
        <v>2.1851371400000001</v>
      </c>
      <c r="G1403" s="7" t="str">
        <f t="shared" si="11"/>
        <v>Direct</v>
      </c>
      <c r="H1403" s="7" t="s">
        <v>1395</v>
      </c>
    </row>
    <row r="1404" spans="1:8" x14ac:dyDescent="0.2">
      <c r="A1404" s="5" t="s">
        <v>13</v>
      </c>
      <c r="B1404" s="6" t="s">
        <v>19</v>
      </c>
      <c r="C1404" s="7" t="s">
        <v>1396</v>
      </c>
      <c r="D1404" s="7"/>
      <c r="E1404" s="8">
        <v>-2.3066734000000002</v>
      </c>
      <c r="F1404" s="8">
        <v>-1.7345892000000001</v>
      </c>
      <c r="G1404" s="7" t="str">
        <f t="shared" si="11"/>
        <v>Direct</v>
      </c>
      <c r="H1404" s="7" t="s">
        <v>16</v>
      </c>
    </row>
    <row r="1405" spans="1:8" x14ac:dyDescent="0.2">
      <c r="A1405" s="5" t="s">
        <v>13</v>
      </c>
      <c r="B1405" s="6" t="s">
        <v>19</v>
      </c>
      <c r="C1405" s="7" t="s">
        <v>170</v>
      </c>
      <c r="D1405" s="7"/>
      <c r="E1405" s="8">
        <v>-8.2597427999999997</v>
      </c>
      <c r="F1405" s="8">
        <v>-5.7540063999999997</v>
      </c>
      <c r="G1405" s="7" t="str">
        <f t="shared" si="11"/>
        <v>Direct</v>
      </c>
      <c r="H1405" s="7" t="s">
        <v>16</v>
      </c>
    </row>
    <row r="1406" spans="1:8" x14ac:dyDescent="0.2">
      <c r="A1406" s="5" t="s">
        <v>13</v>
      </c>
      <c r="B1406" s="6" t="s">
        <v>19</v>
      </c>
      <c r="C1406" s="7" t="s">
        <v>1397</v>
      </c>
      <c r="D1406" s="7"/>
      <c r="E1406" s="8">
        <v>5.0168784400000002</v>
      </c>
      <c r="F1406" s="8">
        <v>3.06053716</v>
      </c>
      <c r="G1406" s="7" t="str">
        <f t="shared" si="11"/>
        <v>Direct</v>
      </c>
      <c r="H1406" s="7" t="s">
        <v>970</v>
      </c>
    </row>
    <row r="1407" spans="1:8" x14ac:dyDescent="0.2">
      <c r="A1407" s="5" t="s">
        <v>13</v>
      </c>
      <c r="B1407" s="6" t="s">
        <v>19</v>
      </c>
      <c r="C1407" s="7" t="s">
        <v>1398</v>
      </c>
      <c r="D1407" s="7"/>
      <c r="E1407" s="8">
        <v>4.14519634</v>
      </c>
      <c r="F1407" s="8">
        <v>3.4369439499999999</v>
      </c>
      <c r="G1407" s="7" t="str">
        <f t="shared" si="11"/>
        <v>Direct</v>
      </c>
      <c r="H1407" s="7" t="s">
        <v>1399</v>
      </c>
    </row>
    <row r="1408" spans="1:8" x14ac:dyDescent="0.2">
      <c r="A1408" s="5" t="s">
        <v>13</v>
      </c>
      <c r="B1408" s="6" t="s">
        <v>19</v>
      </c>
      <c r="C1408" s="7" t="s">
        <v>1400</v>
      </c>
      <c r="D1408" s="7"/>
      <c r="E1408" s="8">
        <v>1.2443656700000001</v>
      </c>
      <c r="F1408" s="8">
        <v>1.8987651800000001</v>
      </c>
      <c r="G1408" s="7" t="str">
        <f t="shared" si="11"/>
        <v>Direct</v>
      </c>
      <c r="H1408" s="7" t="s">
        <v>1401</v>
      </c>
    </row>
    <row r="1409" spans="1:8" x14ac:dyDescent="0.2">
      <c r="A1409" s="5" t="s">
        <v>13</v>
      </c>
      <c r="B1409" s="6" t="s">
        <v>19</v>
      </c>
      <c r="C1409" s="7" t="s">
        <v>1402</v>
      </c>
      <c r="D1409" s="7"/>
      <c r="E1409" s="8">
        <v>1.4108104400000001</v>
      </c>
      <c r="F1409" s="8">
        <v>1.3259813499999999</v>
      </c>
      <c r="G1409" s="7" t="str">
        <f t="shared" si="11"/>
        <v>Direct</v>
      </c>
      <c r="H1409" s="7" t="s">
        <v>1401</v>
      </c>
    </row>
    <row r="1410" spans="1:8" x14ac:dyDescent="0.2">
      <c r="A1410" s="5" t="s">
        <v>13</v>
      </c>
      <c r="B1410" s="6" t="s">
        <v>19</v>
      </c>
      <c r="C1410" s="7" t="s">
        <v>171</v>
      </c>
      <c r="D1410" s="7"/>
      <c r="E1410" s="8">
        <v>-1.9057978</v>
      </c>
      <c r="F1410" s="8">
        <v>-2.1960316999999998</v>
      </c>
      <c r="G1410" s="7" t="str">
        <f t="shared" si="11"/>
        <v>Direct</v>
      </c>
      <c r="H1410" s="7" t="s">
        <v>172</v>
      </c>
    </row>
    <row r="1411" spans="1:8" x14ac:dyDescent="0.2">
      <c r="A1411" s="5" t="s">
        <v>13</v>
      </c>
      <c r="B1411" s="6" t="s">
        <v>19</v>
      </c>
      <c r="C1411" s="7" t="s">
        <v>1403</v>
      </c>
      <c r="D1411" s="7"/>
      <c r="E1411" s="8">
        <v>-1.9039516999999999</v>
      </c>
      <c r="F1411" s="8">
        <v>-2.0048341999999999</v>
      </c>
      <c r="G1411" s="7" t="str">
        <f t="shared" si="11"/>
        <v>Direct</v>
      </c>
      <c r="H1411" s="7" t="s">
        <v>1404</v>
      </c>
    </row>
    <row r="1412" spans="1:8" x14ac:dyDescent="0.2">
      <c r="A1412" s="5" t="s">
        <v>13</v>
      </c>
      <c r="B1412" s="6" t="s">
        <v>19</v>
      </c>
      <c r="C1412" s="7" t="s">
        <v>1405</v>
      </c>
      <c r="D1412" s="7"/>
      <c r="E1412" s="8">
        <v>-1.7464472</v>
      </c>
      <c r="F1412" s="8">
        <v>-1.3256929</v>
      </c>
      <c r="G1412" s="7" t="str">
        <f t="shared" si="11"/>
        <v>Direct</v>
      </c>
      <c r="H1412" s="7" t="s">
        <v>1406</v>
      </c>
    </row>
    <row r="1413" spans="1:8" x14ac:dyDescent="0.2">
      <c r="A1413" s="5" t="s">
        <v>13</v>
      </c>
      <c r="B1413" s="6" t="s">
        <v>19</v>
      </c>
      <c r="C1413" s="7" t="s">
        <v>1407</v>
      </c>
      <c r="D1413" s="7"/>
      <c r="E1413" s="8">
        <v>1.66220415</v>
      </c>
      <c r="F1413" s="8">
        <v>3.5468106800000001</v>
      </c>
      <c r="G1413" s="7" t="str">
        <f t="shared" si="11"/>
        <v>Direct</v>
      </c>
      <c r="H1413" s="7" t="s">
        <v>1408</v>
      </c>
    </row>
    <row r="1414" spans="1:8" x14ac:dyDescent="0.2">
      <c r="A1414" s="5" t="s">
        <v>13</v>
      </c>
      <c r="B1414" s="6" t="s">
        <v>19</v>
      </c>
      <c r="C1414" s="7" t="s">
        <v>1409</v>
      </c>
      <c r="D1414" s="7"/>
      <c r="E1414" s="8">
        <v>2.2447086299999999</v>
      </c>
      <c r="F1414" s="8">
        <v>3.4710764300000001</v>
      </c>
      <c r="G1414" s="7" t="str">
        <f t="shared" si="11"/>
        <v>Direct</v>
      </c>
      <c r="H1414" s="7" t="s">
        <v>1410</v>
      </c>
    </row>
    <row r="1415" spans="1:8" x14ac:dyDescent="0.2">
      <c r="A1415" s="5" t="s">
        <v>13</v>
      </c>
      <c r="B1415" s="6" t="s">
        <v>19</v>
      </c>
      <c r="C1415" s="7" t="s">
        <v>1411</v>
      </c>
      <c r="D1415" s="7"/>
      <c r="E1415" s="8">
        <v>1.74407289</v>
      </c>
      <c r="F1415" s="8">
        <v>1.74110751</v>
      </c>
      <c r="G1415" s="7" t="str">
        <f t="shared" si="11"/>
        <v>Direct</v>
      </c>
      <c r="H1415" s="7" t="s">
        <v>1412</v>
      </c>
    </row>
    <row r="1416" spans="1:8" x14ac:dyDescent="0.2">
      <c r="A1416" s="5" t="s">
        <v>13</v>
      </c>
      <c r="B1416" s="6" t="s">
        <v>19</v>
      </c>
      <c r="C1416" s="7" t="s">
        <v>1413</v>
      </c>
      <c r="D1416" s="7"/>
      <c r="E1416" s="8">
        <v>-1.3468541999999999</v>
      </c>
      <c r="F1416" s="8">
        <v>-1.5187455999999999</v>
      </c>
      <c r="G1416" s="7" t="str">
        <f t="shared" si="11"/>
        <v>Direct</v>
      </c>
      <c r="H1416" s="7" t="s">
        <v>1414</v>
      </c>
    </row>
    <row r="1417" spans="1:8" x14ac:dyDescent="0.2">
      <c r="A1417" s="5" t="s">
        <v>13</v>
      </c>
      <c r="B1417" s="6" t="s">
        <v>19</v>
      </c>
      <c r="C1417" s="7" t="s">
        <v>173</v>
      </c>
      <c r="D1417" s="7"/>
      <c r="E1417" s="8">
        <v>-6.7266336999999998</v>
      </c>
      <c r="F1417" s="8">
        <v>-4.4670538999999998</v>
      </c>
      <c r="G1417" s="7" t="str">
        <f t="shared" si="11"/>
        <v>Direct</v>
      </c>
      <c r="H1417" s="7" t="s">
        <v>174</v>
      </c>
    </row>
    <row r="1418" spans="1:8" x14ac:dyDescent="0.2">
      <c r="A1418" s="5" t="s">
        <v>13</v>
      </c>
      <c r="B1418" s="6" t="s">
        <v>19</v>
      </c>
      <c r="C1418" s="7" t="s">
        <v>1415</v>
      </c>
      <c r="D1418" s="7"/>
      <c r="E1418" s="8">
        <v>-5.0845688000000004</v>
      </c>
      <c r="F1418" s="8">
        <v>-2.2580512000000001</v>
      </c>
      <c r="G1418" s="7" t="str">
        <f t="shared" si="11"/>
        <v>Direct</v>
      </c>
      <c r="H1418" s="7" t="s">
        <v>1416</v>
      </c>
    </row>
    <row r="1419" spans="1:8" x14ac:dyDescent="0.2">
      <c r="A1419" s="5" t="s">
        <v>13</v>
      </c>
      <c r="B1419" s="6" t="s">
        <v>19</v>
      </c>
      <c r="C1419" s="7" t="s">
        <v>1417</v>
      </c>
      <c r="D1419" s="7"/>
      <c r="E1419" s="8">
        <v>-2.7211997999999999</v>
      </c>
      <c r="F1419" s="8">
        <v>-1.4354594000000001</v>
      </c>
      <c r="G1419" s="7" t="str">
        <f t="shared" si="11"/>
        <v>Direct</v>
      </c>
      <c r="H1419" s="7" t="s">
        <v>16</v>
      </c>
    </row>
    <row r="1420" spans="1:8" x14ac:dyDescent="0.2">
      <c r="A1420" s="5" t="s">
        <v>13</v>
      </c>
      <c r="B1420" s="6" t="s">
        <v>19</v>
      </c>
      <c r="C1420" s="7" t="s">
        <v>1418</v>
      </c>
      <c r="D1420" s="7"/>
      <c r="E1420" s="8">
        <v>-1.7305969000000001</v>
      </c>
      <c r="F1420" s="8">
        <v>-1.3173007000000001</v>
      </c>
      <c r="G1420" s="7" t="str">
        <f t="shared" si="11"/>
        <v>Direct</v>
      </c>
      <c r="H1420" s="7" t="s">
        <v>1419</v>
      </c>
    </row>
    <row r="1421" spans="1:8" x14ac:dyDescent="0.2">
      <c r="A1421" s="5" t="s">
        <v>13</v>
      </c>
      <c r="B1421" s="6" t="s">
        <v>19</v>
      </c>
      <c r="C1421" s="7" t="s">
        <v>1420</v>
      </c>
      <c r="D1421" s="7"/>
      <c r="E1421" s="8">
        <v>-4.5580657000000002</v>
      </c>
      <c r="F1421" s="8">
        <v>-4.0303547000000002</v>
      </c>
      <c r="G1421" s="7" t="str">
        <f t="shared" si="11"/>
        <v>Direct</v>
      </c>
      <c r="H1421" s="7" t="s">
        <v>1421</v>
      </c>
    </row>
    <row r="1422" spans="1:8" x14ac:dyDescent="0.2">
      <c r="A1422" s="5" t="s">
        <v>13</v>
      </c>
      <c r="B1422" s="6" t="s">
        <v>19</v>
      </c>
      <c r="C1422" s="7" t="s">
        <v>175</v>
      </c>
      <c r="D1422" s="7"/>
      <c r="E1422" s="8">
        <v>-3.0610819</v>
      </c>
      <c r="F1422" s="8">
        <v>-3.3103343999999999</v>
      </c>
      <c r="G1422" s="7" t="str">
        <f t="shared" si="11"/>
        <v>Direct</v>
      </c>
      <c r="H1422" s="7" t="s">
        <v>176</v>
      </c>
    </row>
    <row r="1423" spans="1:8" x14ac:dyDescent="0.2">
      <c r="A1423" s="5" t="s">
        <v>13</v>
      </c>
      <c r="B1423" s="6" t="s">
        <v>19</v>
      </c>
      <c r="C1423" s="7" t="s">
        <v>177</v>
      </c>
      <c r="D1423" s="7"/>
      <c r="E1423" s="8">
        <v>-7.5633414999999999</v>
      </c>
      <c r="F1423" s="8">
        <v>-5.7048078000000002</v>
      </c>
      <c r="G1423" s="7" t="str">
        <f t="shared" si="11"/>
        <v>Direct</v>
      </c>
      <c r="H1423" s="7" t="s">
        <v>178</v>
      </c>
    </row>
    <row r="1424" spans="1:8" x14ac:dyDescent="0.2">
      <c r="A1424" s="5" t="s">
        <v>13</v>
      </c>
      <c r="B1424" s="6" t="s">
        <v>19</v>
      </c>
      <c r="C1424" s="7" t="s">
        <v>1422</v>
      </c>
      <c r="D1424" s="7"/>
      <c r="E1424" s="8">
        <v>-3.8295110000000001</v>
      </c>
      <c r="F1424" s="8">
        <v>-3.4064059000000002</v>
      </c>
      <c r="G1424" s="7" t="str">
        <f t="shared" si="11"/>
        <v>Direct</v>
      </c>
      <c r="H1424" s="7" t="s">
        <v>419</v>
      </c>
    </row>
    <row r="1425" spans="1:8" x14ac:dyDescent="0.2">
      <c r="A1425" s="5" t="s">
        <v>13</v>
      </c>
      <c r="B1425" s="6" t="s">
        <v>19</v>
      </c>
      <c r="C1425" s="7" t="s">
        <v>1423</v>
      </c>
      <c r="D1425" s="7"/>
      <c r="E1425" s="8">
        <v>-1.5601474</v>
      </c>
      <c r="F1425" s="8">
        <v>-3.2533718999999999</v>
      </c>
      <c r="G1425" s="7" t="str">
        <f t="shared" si="11"/>
        <v>Direct</v>
      </c>
      <c r="H1425" s="7" t="s">
        <v>16</v>
      </c>
    </row>
    <row r="1426" spans="1:8" x14ac:dyDescent="0.2">
      <c r="A1426" s="5" t="s">
        <v>13</v>
      </c>
      <c r="B1426" s="6" t="s">
        <v>19</v>
      </c>
      <c r="C1426" s="7" t="s">
        <v>1424</v>
      </c>
      <c r="D1426" s="7"/>
      <c r="E1426" s="8">
        <v>1.8326999399999999</v>
      </c>
      <c r="F1426" s="8">
        <v>1.50115497</v>
      </c>
      <c r="G1426" s="7" t="str">
        <f t="shared" si="11"/>
        <v>Direct</v>
      </c>
      <c r="H1426" s="7" t="s">
        <v>1425</v>
      </c>
    </row>
    <row r="1427" spans="1:8" x14ac:dyDescent="0.2">
      <c r="A1427" s="5" t="s">
        <v>13</v>
      </c>
      <c r="B1427" s="6" t="s">
        <v>19</v>
      </c>
      <c r="C1427" s="7" t="s">
        <v>1426</v>
      </c>
      <c r="D1427" s="7"/>
      <c r="E1427" s="8">
        <v>-2.5831037999999999</v>
      </c>
      <c r="F1427" s="8">
        <v>-2.2474614000000002</v>
      </c>
      <c r="G1427" s="7" t="str">
        <f t="shared" si="11"/>
        <v>Direct</v>
      </c>
      <c r="H1427" s="7" t="s">
        <v>1427</v>
      </c>
    </row>
    <row r="1428" spans="1:8" x14ac:dyDescent="0.2">
      <c r="A1428" s="5" t="s">
        <v>13</v>
      </c>
      <c r="B1428" s="6" t="s">
        <v>19</v>
      </c>
      <c r="C1428" s="7" t="s">
        <v>1428</v>
      </c>
      <c r="D1428" s="7"/>
      <c r="E1428" s="8">
        <v>-1.6314654</v>
      </c>
      <c r="F1428" s="8">
        <v>-2.8760463999999999</v>
      </c>
      <c r="G1428" s="7" t="str">
        <f t="shared" si="11"/>
        <v>Direct</v>
      </c>
      <c r="H1428" s="7" t="s">
        <v>1429</v>
      </c>
    </row>
    <row r="1429" spans="1:8" x14ac:dyDescent="0.2">
      <c r="A1429" s="5" t="s">
        <v>13</v>
      </c>
      <c r="B1429" s="6" t="s">
        <v>19</v>
      </c>
      <c r="C1429" s="7" t="s">
        <v>179</v>
      </c>
      <c r="D1429" s="7"/>
      <c r="E1429" s="8">
        <v>-8.1125793999999996</v>
      </c>
      <c r="F1429" s="8">
        <v>-4.7158123999999999</v>
      </c>
      <c r="G1429" s="7" t="str">
        <f t="shared" si="11"/>
        <v>Direct</v>
      </c>
      <c r="H1429" s="7" t="s">
        <v>180</v>
      </c>
    </row>
    <row r="1430" spans="1:8" x14ac:dyDescent="0.2">
      <c r="A1430" s="5" t="s">
        <v>13</v>
      </c>
      <c r="B1430" s="6" t="s">
        <v>19</v>
      </c>
      <c r="C1430" s="7" t="s">
        <v>1430</v>
      </c>
      <c r="D1430" s="7"/>
      <c r="E1430" s="8">
        <v>-2.8498659000000002</v>
      </c>
      <c r="F1430" s="8">
        <v>-2.1349743000000001</v>
      </c>
      <c r="G1430" s="7" t="str">
        <f t="shared" si="11"/>
        <v>Direct</v>
      </c>
      <c r="H1430" s="7" t="s">
        <v>16</v>
      </c>
    </row>
    <row r="1431" spans="1:8" x14ac:dyDescent="0.2">
      <c r="A1431" s="5" t="s">
        <v>13</v>
      </c>
      <c r="B1431" s="6" t="s">
        <v>19</v>
      </c>
      <c r="C1431" s="7" t="s">
        <v>181</v>
      </c>
      <c r="D1431" s="7"/>
      <c r="E1431" s="8">
        <v>-3.1252213000000002</v>
      </c>
      <c r="F1431" s="8">
        <v>-4.5880786999999996</v>
      </c>
      <c r="G1431" s="7" t="str">
        <f t="shared" si="11"/>
        <v>Direct</v>
      </c>
      <c r="H1431" s="7" t="s">
        <v>182</v>
      </c>
    </row>
    <row r="1432" spans="1:8" x14ac:dyDescent="0.2">
      <c r="A1432" s="5" t="s">
        <v>13</v>
      </c>
      <c r="B1432" s="6" t="s">
        <v>19</v>
      </c>
      <c r="C1432" s="7" t="s">
        <v>183</v>
      </c>
      <c r="D1432" s="7"/>
      <c r="E1432" s="8">
        <v>-2.8826820999999998</v>
      </c>
      <c r="F1432" s="8">
        <v>-4.5094564999999998</v>
      </c>
      <c r="G1432" s="7" t="str">
        <f t="shared" si="11"/>
        <v>Direct</v>
      </c>
      <c r="H1432" s="7" t="s">
        <v>182</v>
      </c>
    </row>
    <row r="1433" spans="1:8" x14ac:dyDescent="0.2">
      <c r="A1433" s="5" t="s">
        <v>13</v>
      </c>
      <c r="B1433" s="6" t="s">
        <v>19</v>
      </c>
      <c r="C1433" s="7" t="s">
        <v>1431</v>
      </c>
      <c r="D1433" s="7"/>
      <c r="E1433" s="8">
        <v>-1.2797622</v>
      </c>
      <c r="F1433" s="8">
        <v>-1.0155394</v>
      </c>
      <c r="G1433" s="7" t="str">
        <f t="shared" si="11"/>
        <v>Direct</v>
      </c>
      <c r="H1433" s="7" t="s">
        <v>1432</v>
      </c>
    </row>
    <row r="1434" spans="1:8" x14ac:dyDescent="0.2">
      <c r="A1434" s="5" t="s">
        <v>13</v>
      </c>
      <c r="B1434" s="6" t="s">
        <v>19</v>
      </c>
      <c r="C1434" s="7" t="s">
        <v>1433</v>
      </c>
      <c r="D1434" s="7"/>
      <c r="E1434" s="8">
        <v>2.9166690100000001</v>
      </c>
      <c r="F1434" s="8">
        <v>3.9207926500000001</v>
      </c>
      <c r="G1434" s="7" t="str">
        <f t="shared" si="11"/>
        <v>Direct</v>
      </c>
      <c r="H1434" s="7" t="s">
        <v>1434</v>
      </c>
    </row>
    <row r="1435" spans="1:8" x14ac:dyDescent="0.2">
      <c r="A1435" s="5" t="s">
        <v>13</v>
      </c>
      <c r="B1435" s="6" t="s">
        <v>19</v>
      </c>
      <c r="C1435" s="7" t="s">
        <v>1435</v>
      </c>
      <c r="D1435" s="7"/>
      <c r="E1435" s="8">
        <v>-2.4251189000000002</v>
      </c>
      <c r="F1435" s="8">
        <v>-2.699408</v>
      </c>
      <c r="G1435" s="7" t="str">
        <f t="shared" si="11"/>
        <v>Direct</v>
      </c>
      <c r="H1435" s="7" t="s">
        <v>1429</v>
      </c>
    </row>
    <row r="1436" spans="1:8" x14ac:dyDescent="0.2">
      <c r="A1436" s="5" t="s">
        <v>13</v>
      </c>
      <c r="B1436" s="6" t="s">
        <v>19</v>
      </c>
      <c r="C1436" s="7" t="s">
        <v>1436</v>
      </c>
      <c r="D1436" s="7"/>
      <c r="E1436" s="8">
        <v>-1.5142869000000001</v>
      </c>
      <c r="F1436" s="8">
        <v>-1.5276957</v>
      </c>
      <c r="G1436" s="7" t="str">
        <f t="shared" si="11"/>
        <v>Direct</v>
      </c>
      <c r="H1436" s="7" t="s">
        <v>16</v>
      </c>
    </row>
    <row r="1437" spans="1:8" x14ac:dyDescent="0.2">
      <c r="A1437" s="5" t="s">
        <v>13</v>
      </c>
      <c r="B1437" s="6" t="s">
        <v>19</v>
      </c>
      <c r="C1437" s="7" t="s">
        <v>1437</v>
      </c>
      <c r="D1437" s="7"/>
      <c r="E1437" s="8">
        <v>2.71191446</v>
      </c>
      <c r="F1437" s="8">
        <v>2.29098655</v>
      </c>
      <c r="G1437" s="7" t="str">
        <f t="shared" si="11"/>
        <v>Direct</v>
      </c>
      <c r="H1437" s="7" t="s">
        <v>16</v>
      </c>
    </row>
    <row r="1438" spans="1:8" x14ac:dyDescent="0.2">
      <c r="A1438" s="5" t="s">
        <v>13</v>
      </c>
      <c r="B1438" s="6" t="s">
        <v>19</v>
      </c>
      <c r="C1438" s="7" t="s">
        <v>1438</v>
      </c>
      <c r="D1438" s="7"/>
      <c r="E1438" s="8">
        <v>-1.6597919999999999</v>
      </c>
      <c r="F1438" s="8">
        <v>-1.3659146</v>
      </c>
      <c r="G1438" s="7" t="str">
        <f t="shared" si="11"/>
        <v>Direct</v>
      </c>
      <c r="H1438" s="7" t="s">
        <v>905</v>
      </c>
    </row>
    <row r="1439" spans="1:8" x14ac:dyDescent="0.2">
      <c r="A1439" s="5" t="s">
        <v>13</v>
      </c>
      <c r="B1439" s="6" t="s">
        <v>19</v>
      </c>
      <c r="C1439" s="7" t="s">
        <v>184</v>
      </c>
      <c r="D1439" s="7"/>
      <c r="E1439" s="8">
        <v>-3.3983694999999998</v>
      </c>
      <c r="F1439" s="8">
        <v>-5.3052636</v>
      </c>
      <c r="G1439" s="7" t="str">
        <f t="shared" si="11"/>
        <v>Direct</v>
      </c>
      <c r="H1439" s="7" t="s">
        <v>185</v>
      </c>
    </row>
    <row r="1440" spans="1:8" x14ac:dyDescent="0.2">
      <c r="A1440" s="5" t="s">
        <v>13</v>
      </c>
      <c r="B1440" s="6" t="s">
        <v>19</v>
      </c>
      <c r="C1440" s="7" t="s">
        <v>1439</v>
      </c>
      <c r="D1440" s="7"/>
      <c r="E1440" s="8">
        <v>-2.8661468999999999</v>
      </c>
      <c r="F1440" s="8">
        <v>-5.0100951</v>
      </c>
      <c r="G1440" s="7" t="str">
        <f t="shared" si="11"/>
        <v>Direct</v>
      </c>
      <c r="H1440" s="7" t="s">
        <v>1440</v>
      </c>
    </row>
    <row r="1441" spans="1:8" x14ac:dyDescent="0.2">
      <c r="A1441" s="5" t="s">
        <v>13</v>
      </c>
      <c r="B1441" s="6" t="s">
        <v>19</v>
      </c>
      <c r="C1441" s="7" t="s">
        <v>1441</v>
      </c>
      <c r="D1441" s="7"/>
      <c r="E1441" s="8">
        <v>-2.0886556999999999</v>
      </c>
      <c r="F1441" s="8">
        <v>-2.9633991000000002</v>
      </c>
      <c r="G1441" s="7" t="str">
        <f t="shared" si="11"/>
        <v>Direct</v>
      </c>
      <c r="H1441" s="7" t="s">
        <v>16</v>
      </c>
    </row>
    <row r="1442" spans="1:8" x14ac:dyDescent="0.2">
      <c r="A1442" s="5" t="s">
        <v>13</v>
      </c>
      <c r="B1442" s="6" t="s">
        <v>19</v>
      </c>
      <c r="C1442" s="7" t="s">
        <v>1442</v>
      </c>
      <c r="D1442" s="7"/>
      <c r="E1442" s="8">
        <v>1.6907876900000001</v>
      </c>
      <c r="F1442" s="8">
        <v>1.1892381299999999</v>
      </c>
      <c r="G1442" s="7" t="str">
        <f t="shared" si="11"/>
        <v>Direct</v>
      </c>
      <c r="H1442" s="7" t="s">
        <v>1443</v>
      </c>
    </row>
    <row r="1443" spans="1:8" x14ac:dyDescent="0.2">
      <c r="A1443" s="5" t="s">
        <v>13</v>
      </c>
      <c r="B1443" s="6" t="s">
        <v>19</v>
      </c>
      <c r="C1443" s="7" t="s">
        <v>186</v>
      </c>
      <c r="D1443" s="7"/>
      <c r="E1443" s="8">
        <v>-1.4136807</v>
      </c>
      <c r="F1443" s="8">
        <v>-1.0366668000000001</v>
      </c>
      <c r="G1443" s="7" t="str">
        <f t="shared" si="11"/>
        <v>Direct</v>
      </c>
      <c r="H1443" s="7" t="s">
        <v>187</v>
      </c>
    </row>
    <row r="1444" spans="1:8" x14ac:dyDescent="0.2">
      <c r="A1444" s="5" t="s">
        <v>13</v>
      </c>
      <c r="B1444" s="6" t="s">
        <v>19</v>
      </c>
      <c r="C1444" s="7" t="s">
        <v>1444</v>
      </c>
      <c r="D1444" s="7"/>
      <c r="E1444" s="8">
        <v>1.5883636999999999</v>
      </c>
      <c r="F1444" s="8">
        <v>1.65088623</v>
      </c>
      <c r="G1444" s="7" t="str">
        <f t="shared" si="11"/>
        <v>Direct</v>
      </c>
      <c r="H1444" s="7" t="s">
        <v>16</v>
      </c>
    </row>
    <row r="1445" spans="1:8" x14ac:dyDescent="0.2">
      <c r="A1445" s="5" t="s">
        <v>13</v>
      </c>
      <c r="B1445" s="6" t="s">
        <v>19</v>
      </c>
      <c r="C1445" s="7" t="s">
        <v>1445</v>
      </c>
      <c r="D1445" s="7"/>
      <c r="E1445" s="8">
        <v>-1.589251</v>
      </c>
      <c r="F1445" s="8">
        <v>-1.8068683000000001</v>
      </c>
      <c r="G1445" s="7" t="str">
        <f t="shared" si="11"/>
        <v>Direct</v>
      </c>
      <c r="H1445" s="7" t="s">
        <v>16</v>
      </c>
    </row>
    <row r="1446" spans="1:8" x14ac:dyDescent="0.2">
      <c r="A1446" s="5" t="s">
        <v>13</v>
      </c>
      <c r="B1446" s="6" t="s">
        <v>19</v>
      </c>
      <c r="C1446" s="7" t="s">
        <v>188</v>
      </c>
      <c r="D1446" s="7"/>
      <c r="E1446" s="8">
        <v>-1.035539</v>
      </c>
      <c r="F1446" s="8">
        <v>-2.7710477999999998</v>
      </c>
      <c r="G1446" s="7" t="str">
        <f t="shared" si="11"/>
        <v>Direct</v>
      </c>
      <c r="H1446" s="7" t="s">
        <v>16</v>
      </c>
    </row>
    <row r="1447" spans="1:8" x14ac:dyDescent="0.2">
      <c r="A1447" s="5" t="s">
        <v>13</v>
      </c>
      <c r="B1447" s="6" t="s">
        <v>19</v>
      </c>
      <c r="C1447" s="7" t="s">
        <v>1446</v>
      </c>
      <c r="D1447" s="7"/>
      <c r="E1447" s="8">
        <v>3.5504895900000002</v>
      </c>
      <c r="F1447" s="8">
        <v>1.4104051799999999</v>
      </c>
      <c r="G1447" s="7" t="str">
        <f t="shared" si="11"/>
        <v>Direct</v>
      </c>
      <c r="H1447" s="7" t="s">
        <v>16</v>
      </c>
    </row>
    <row r="1448" spans="1:8" x14ac:dyDescent="0.2">
      <c r="A1448" s="5" t="s">
        <v>13</v>
      </c>
      <c r="B1448" s="6" t="s">
        <v>19</v>
      </c>
      <c r="C1448" s="7" t="s">
        <v>1447</v>
      </c>
      <c r="D1448" s="7"/>
      <c r="E1448" s="8">
        <v>-2.4852552000000001</v>
      </c>
      <c r="F1448" s="8">
        <v>-2.4384527</v>
      </c>
      <c r="G1448" s="7" t="str">
        <f t="shared" si="11"/>
        <v>Direct</v>
      </c>
      <c r="H1448" s="7" t="s">
        <v>1448</v>
      </c>
    </row>
    <row r="1449" spans="1:8" x14ac:dyDescent="0.2">
      <c r="A1449" s="5" t="s">
        <v>13</v>
      </c>
      <c r="B1449" s="6" t="s">
        <v>19</v>
      </c>
      <c r="C1449" s="7" t="s">
        <v>1449</v>
      </c>
      <c r="D1449" s="7"/>
      <c r="E1449" s="8">
        <v>2.3457051199999999</v>
      </c>
      <c r="F1449" s="8">
        <v>2.8591411199999999</v>
      </c>
      <c r="G1449" s="7" t="str">
        <f t="shared" si="11"/>
        <v>Direct</v>
      </c>
      <c r="H1449" s="7" t="s">
        <v>1450</v>
      </c>
    </row>
    <row r="1450" spans="1:8" x14ac:dyDescent="0.2">
      <c r="A1450" s="5" t="s">
        <v>13</v>
      </c>
      <c r="B1450" s="6" t="s">
        <v>19</v>
      </c>
      <c r="C1450" s="7" t="s">
        <v>1451</v>
      </c>
      <c r="D1450" s="7"/>
      <c r="E1450" s="8">
        <v>-1.8351548</v>
      </c>
      <c r="F1450" s="8">
        <v>-1.0762031999999999</v>
      </c>
      <c r="G1450" s="7" t="str">
        <f t="shared" si="11"/>
        <v>Direct</v>
      </c>
      <c r="H1450" s="7" t="s">
        <v>1452</v>
      </c>
    </row>
    <row r="1451" spans="1:8" x14ac:dyDescent="0.2">
      <c r="A1451" s="5" t="s">
        <v>13</v>
      </c>
      <c r="B1451" s="6" t="s">
        <v>19</v>
      </c>
      <c r="C1451" s="7" t="s">
        <v>1453</v>
      </c>
      <c r="D1451" s="7"/>
      <c r="E1451" s="8">
        <v>1.7312240400000001</v>
      </c>
      <c r="F1451" s="8">
        <v>1.4384162599999999</v>
      </c>
      <c r="G1451" s="7" t="str">
        <f t="shared" si="11"/>
        <v>Direct</v>
      </c>
      <c r="H1451" s="7" t="s">
        <v>1454</v>
      </c>
    </row>
    <row r="1452" spans="1:8" x14ac:dyDescent="0.2">
      <c r="A1452" s="5" t="s">
        <v>13</v>
      </c>
      <c r="B1452" s="6" t="s">
        <v>19</v>
      </c>
      <c r="C1452" s="7" t="s">
        <v>1455</v>
      </c>
      <c r="D1452" s="7"/>
      <c r="E1452" s="8">
        <v>-1.5432205000000001</v>
      </c>
      <c r="F1452" s="8">
        <v>-1.3705232000000001</v>
      </c>
      <c r="G1452" s="7" t="str">
        <f t="shared" si="11"/>
        <v>Direct</v>
      </c>
      <c r="H1452" s="7" t="s">
        <v>16</v>
      </c>
    </row>
    <row r="1453" spans="1:8" x14ac:dyDescent="0.2">
      <c r="A1453" s="5" t="s">
        <v>13</v>
      </c>
      <c r="B1453" s="6" t="s">
        <v>19</v>
      </c>
      <c r="C1453" s="7" t="s">
        <v>1456</v>
      </c>
      <c r="D1453" s="7"/>
      <c r="E1453" s="8">
        <v>3.9920762600000002</v>
      </c>
      <c r="F1453" s="8">
        <v>5.6284804299999998</v>
      </c>
      <c r="G1453" s="7" t="str">
        <f t="shared" si="11"/>
        <v>Direct</v>
      </c>
      <c r="H1453" s="7" t="s">
        <v>16</v>
      </c>
    </row>
    <row r="1454" spans="1:8" x14ac:dyDescent="0.2">
      <c r="A1454" s="5" t="s">
        <v>13</v>
      </c>
      <c r="B1454" s="6" t="s">
        <v>19</v>
      </c>
      <c r="C1454" s="7" t="s">
        <v>1457</v>
      </c>
      <c r="D1454" s="7"/>
      <c r="E1454" s="8">
        <v>-4.3342542000000002</v>
      </c>
      <c r="F1454" s="8">
        <v>-2.8959397</v>
      </c>
      <c r="G1454" s="7" t="str">
        <f t="shared" si="11"/>
        <v>Direct</v>
      </c>
      <c r="H1454" s="7" t="s">
        <v>1458</v>
      </c>
    </row>
    <row r="1455" spans="1:8" x14ac:dyDescent="0.2">
      <c r="A1455" s="5" t="s">
        <v>13</v>
      </c>
      <c r="B1455" s="6" t="s">
        <v>19</v>
      </c>
      <c r="C1455" s="7" t="s">
        <v>1459</v>
      </c>
      <c r="D1455" s="7"/>
      <c r="E1455" s="8">
        <v>-3.4410810000000001</v>
      </c>
      <c r="F1455" s="8">
        <v>-1.2050913999999999</v>
      </c>
      <c r="G1455" s="7" t="str">
        <f t="shared" si="11"/>
        <v>Direct</v>
      </c>
      <c r="H1455" s="7" t="s">
        <v>1460</v>
      </c>
    </row>
    <row r="1456" spans="1:8" x14ac:dyDescent="0.2">
      <c r="A1456" s="5" t="s">
        <v>13</v>
      </c>
      <c r="B1456" s="6" t="s">
        <v>19</v>
      </c>
      <c r="C1456" s="7" t="s">
        <v>1461</v>
      </c>
      <c r="D1456" s="7"/>
      <c r="E1456" s="8">
        <v>-3.1376178000000001</v>
      </c>
      <c r="F1456" s="8">
        <v>-1.6855708</v>
      </c>
      <c r="G1456" s="7" t="str">
        <f t="shared" si="11"/>
        <v>Direct</v>
      </c>
      <c r="H1456" s="7" t="s">
        <v>1462</v>
      </c>
    </row>
    <row r="1457" spans="1:8" x14ac:dyDescent="0.2">
      <c r="A1457" s="5" t="s">
        <v>13</v>
      </c>
      <c r="B1457" s="6" t="s">
        <v>19</v>
      </c>
      <c r="C1457" s="7" t="s">
        <v>1463</v>
      </c>
      <c r="D1457" s="7"/>
      <c r="E1457" s="8">
        <v>2.9382684600000002</v>
      </c>
      <c r="F1457" s="8">
        <v>2.1327193699999998</v>
      </c>
      <c r="G1457" s="7" t="str">
        <f t="shared" si="11"/>
        <v>Direct</v>
      </c>
      <c r="H1457" s="7" t="s">
        <v>1216</v>
      </c>
    </row>
    <row r="1458" spans="1:8" x14ac:dyDescent="0.2">
      <c r="A1458" s="5" t="s">
        <v>13</v>
      </c>
      <c r="B1458" s="6" t="s">
        <v>19</v>
      </c>
      <c r="C1458" s="7" t="s">
        <v>1464</v>
      </c>
      <c r="D1458" s="7"/>
      <c r="E1458" s="8">
        <v>1.6533750700000001</v>
      </c>
      <c r="F1458" s="8">
        <v>1.9666331800000001</v>
      </c>
      <c r="G1458" s="7" t="str">
        <f t="shared" si="11"/>
        <v>Direct</v>
      </c>
      <c r="H1458" s="7" t="s">
        <v>1465</v>
      </c>
    </row>
    <row r="1459" spans="1:8" x14ac:dyDescent="0.2">
      <c r="A1459" s="5" t="s">
        <v>13</v>
      </c>
      <c r="B1459" s="6" t="s">
        <v>19</v>
      </c>
      <c r="C1459" s="7" t="s">
        <v>1466</v>
      </c>
      <c r="D1459" s="7"/>
      <c r="E1459" s="8">
        <v>1.21081408</v>
      </c>
      <c r="F1459" s="8">
        <v>2.1171918500000002</v>
      </c>
      <c r="G1459" s="7" t="str">
        <f t="shared" si="11"/>
        <v>Direct</v>
      </c>
      <c r="H1459" s="7" t="s">
        <v>1467</v>
      </c>
    </row>
    <row r="1460" spans="1:8" x14ac:dyDescent="0.2">
      <c r="A1460" s="5" t="s">
        <v>13</v>
      </c>
      <c r="B1460" s="6" t="s">
        <v>19</v>
      </c>
      <c r="C1460" s="7" t="s">
        <v>1468</v>
      </c>
      <c r="D1460" s="7"/>
      <c r="E1460" s="8">
        <v>-3.7215023</v>
      </c>
      <c r="F1460" s="8">
        <v>-2.1099154000000002</v>
      </c>
      <c r="G1460" s="7" t="str">
        <f t="shared" si="11"/>
        <v>Direct</v>
      </c>
      <c r="H1460" s="7" t="s">
        <v>1469</v>
      </c>
    </row>
    <row r="1461" spans="1:8" x14ac:dyDescent="0.2">
      <c r="A1461" s="5" t="s">
        <v>13</v>
      </c>
      <c r="B1461" s="6" t="s">
        <v>19</v>
      </c>
      <c r="C1461" s="7" t="s">
        <v>1470</v>
      </c>
      <c r="D1461" s="7"/>
      <c r="E1461" s="8">
        <v>1.93465726</v>
      </c>
      <c r="F1461" s="8">
        <v>1.94735725</v>
      </c>
      <c r="G1461" s="7" t="str">
        <f t="shared" si="11"/>
        <v>Direct</v>
      </c>
      <c r="H1461" s="7" t="s">
        <v>16</v>
      </c>
    </row>
    <row r="1462" spans="1:8" x14ac:dyDescent="0.2">
      <c r="A1462" s="5" t="s">
        <v>13</v>
      </c>
      <c r="B1462" s="6" t="s">
        <v>19</v>
      </c>
      <c r="C1462" s="7" t="s">
        <v>1471</v>
      </c>
      <c r="D1462" s="7"/>
      <c r="E1462" s="8">
        <v>-2.2660661000000002</v>
      </c>
      <c r="F1462" s="8">
        <v>-3.7818029000000002</v>
      </c>
      <c r="G1462" s="7" t="str">
        <f t="shared" si="11"/>
        <v>Direct</v>
      </c>
      <c r="H1462" s="7" t="s">
        <v>655</v>
      </c>
    </row>
    <row r="1463" spans="1:8" x14ac:dyDescent="0.2">
      <c r="A1463" s="5" t="s">
        <v>13</v>
      </c>
      <c r="B1463" s="6" t="s">
        <v>19</v>
      </c>
      <c r="C1463" s="7" t="s">
        <v>189</v>
      </c>
      <c r="D1463" s="7"/>
      <c r="E1463" s="8">
        <v>-2.6791520000000002</v>
      </c>
      <c r="F1463" s="8">
        <v>-1.4890428</v>
      </c>
      <c r="G1463" s="7" t="str">
        <f t="shared" si="11"/>
        <v>Direct</v>
      </c>
      <c r="H1463" s="7" t="s">
        <v>190</v>
      </c>
    </row>
    <row r="1464" spans="1:8" x14ac:dyDescent="0.2">
      <c r="A1464" s="5" t="s">
        <v>13</v>
      </c>
      <c r="B1464" s="6" t="s">
        <v>19</v>
      </c>
      <c r="C1464" s="7" t="s">
        <v>1472</v>
      </c>
      <c r="D1464" s="7"/>
      <c r="E1464" s="8">
        <v>-3.0080635999999998</v>
      </c>
      <c r="F1464" s="8">
        <v>-3.9843818</v>
      </c>
      <c r="G1464" s="7" t="str">
        <f t="shared" si="11"/>
        <v>Direct</v>
      </c>
      <c r="H1464" s="7" t="s">
        <v>1473</v>
      </c>
    </row>
    <row r="1465" spans="1:8" x14ac:dyDescent="0.2">
      <c r="A1465" s="5" t="s">
        <v>13</v>
      </c>
      <c r="B1465" s="6" t="s">
        <v>19</v>
      </c>
      <c r="C1465" s="7" t="s">
        <v>1474</v>
      </c>
      <c r="D1465" s="7"/>
      <c r="E1465" s="8">
        <v>-4.0761082000000002</v>
      </c>
      <c r="F1465" s="8">
        <v>-3.5736726999999999</v>
      </c>
      <c r="G1465" s="7" t="str">
        <f t="shared" si="11"/>
        <v>Direct</v>
      </c>
      <c r="H1465" s="7" t="s">
        <v>1475</v>
      </c>
    </row>
    <row r="1466" spans="1:8" x14ac:dyDescent="0.2">
      <c r="A1466" s="5" t="s">
        <v>13</v>
      </c>
      <c r="B1466" s="6" t="s">
        <v>19</v>
      </c>
      <c r="C1466" s="7" t="s">
        <v>1476</v>
      </c>
      <c r="D1466" s="7"/>
      <c r="E1466" s="8">
        <v>-2.1436633</v>
      </c>
      <c r="F1466" s="8">
        <v>-2.1721336999999998</v>
      </c>
      <c r="G1466" s="7" t="str">
        <f t="shared" si="11"/>
        <v>Direct</v>
      </c>
      <c r="H1466" s="7" t="s">
        <v>1477</v>
      </c>
    </row>
    <row r="1467" spans="1:8" x14ac:dyDescent="0.2">
      <c r="A1467" s="5" t="s">
        <v>13</v>
      </c>
      <c r="B1467" s="6" t="s">
        <v>19</v>
      </c>
      <c r="C1467" s="7" t="s">
        <v>1478</v>
      </c>
      <c r="D1467" s="7"/>
      <c r="E1467" s="8">
        <v>3.3903875800000001</v>
      </c>
      <c r="F1467" s="8">
        <v>1.8987651800000001</v>
      </c>
      <c r="G1467" s="7" t="str">
        <f t="shared" si="11"/>
        <v>Direct</v>
      </c>
      <c r="H1467" s="7" t="s">
        <v>1479</v>
      </c>
    </row>
    <row r="1468" spans="1:8" x14ac:dyDescent="0.2">
      <c r="A1468" s="5" t="s">
        <v>13</v>
      </c>
      <c r="B1468" s="6" t="s">
        <v>19</v>
      </c>
      <c r="C1468" s="7" t="s">
        <v>1480</v>
      </c>
      <c r="D1468" s="7"/>
      <c r="E1468" s="8">
        <v>-4.7779064</v>
      </c>
      <c r="F1468" s="8">
        <v>-10.737738999999999</v>
      </c>
      <c r="G1468" s="7" t="str">
        <f t="shared" si="11"/>
        <v>Direct</v>
      </c>
      <c r="H1468" s="7" t="s">
        <v>1481</v>
      </c>
    </row>
    <row r="1469" spans="1:8" x14ac:dyDescent="0.2">
      <c r="A1469" s="5" t="s">
        <v>13</v>
      </c>
      <c r="B1469" s="6" t="s">
        <v>19</v>
      </c>
      <c r="C1469" s="7" t="s">
        <v>191</v>
      </c>
      <c r="D1469" s="7"/>
      <c r="E1469" s="8">
        <v>-6.6230773999999997</v>
      </c>
      <c r="F1469" s="8">
        <v>-7.2786657999999997</v>
      </c>
      <c r="G1469" s="7" t="str">
        <f t="shared" si="11"/>
        <v>Direct</v>
      </c>
      <c r="H1469" s="7" t="s">
        <v>192</v>
      </c>
    </row>
    <row r="1470" spans="1:8" x14ac:dyDescent="0.2">
      <c r="A1470" s="5" t="s">
        <v>13</v>
      </c>
      <c r="B1470" s="6" t="s">
        <v>19</v>
      </c>
      <c r="C1470" s="7" t="s">
        <v>1482</v>
      </c>
      <c r="D1470" s="7"/>
      <c r="E1470" s="8">
        <v>1.8738624399999999</v>
      </c>
      <c r="F1470" s="8">
        <v>1.1592162399999999</v>
      </c>
      <c r="G1470" s="7" t="str">
        <f t="shared" si="11"/>
        <v>Direct</v>
      </c>
      <c r="H1470" s="7" t="s">
        <v>16</v>
      </c>
    </row>
    <row r="1471" spans="1:8" x14ac:dyDescent="0.2">
      <c r="A1471" s="5" t="s">
        <v>13</v>
      </c>
      <c r="B1471" s="6" t="s">
        <v>19</v>
      </c>
      <c r="C1471" s="7" t="s">
        <v>1483</v>
      </c>
      <c r="D1471" s="7"/>
      <c r="E1471" s="8">
        <v>-4.7341600000000001</v>
      </c>
      <c r="F1471" s="8">
        <v>-3.3291417999999999</v>
      </c>
      <c r="G1471" s="7" t="str">
        <f t="shared" si="11"/>
        <v>Direct</v>
      </c>
      <c r="H1471" s="7" t="s">
        <v>1484</v>
      </c>
    </row>
    <row r="1472" spans="1:8" x14ac:dyDescent="0.2">
      <c r="A1472" s="5" t="s">
        <v>13</v>
      </c>
      <c r="B1472" s="6" t="s">
        <v>19</v>
      </c>
      <c r="C1472" s="7" t="s">
        <v>1485</v>
      </c>
      <c r="D1472" s="7"/>
      <c r="E1472" s="8">
        <v>-1.1240836000000001</v>
      </c>
      <c r="F1472" s="8">
        <v>-1.8002762999999999</v>
      </c>
      <c r="G1472" s="7" t="str">
        <f t="shared" si="11"/>
        <v>Direct</v>
      </c>
      <c r="H1472" s="7" t="s">
        <v>172</v>
      </c>
    </row>
    <row r="1473" spans="1:8" x14ac:dyDescent="0.2">
      <c r="A1473" s="5" t="s">
        <v>13</v>
      </c>
      <c r="B1473" s="6" t="s">
        <v>19</v>
      </c>
      <c r="C1473" s="7" t="s">
        <v>1486</v>
      </c>
      <c r="D1473" s="7"/>
      <c r="E1473" s="8">
        <v>-1.3336760999999999</v>
      </c>
      <c r="F1473" s="8">
        <v>-1.0748717000000001</v>
      </c>
      <c r="G1473" s="7" t="str">
        <f t="shared" si="11"/>
        <v>Direct</v>
      </c>
      <c r="H1473" s="7" t="s">
        <v>869</v>
      </c>
    </row>
    <row r="1474" spans="1:8" x14ac:dyDescent="0.2">
      <c r="A1474" s="5" t="s">
        <v>13</v>
      </c>
      <c r="B1474" s="6" t="s">
        <v>19</v>
      </c>
      <c r="C1474" s="7" t="s">
        <v>1487</v>
      </c>
      <c r="D1474" s="7"/>
      <c r="E1474" s="8">
        <v>6.2973846900000003</v>
      </c>
      <c r="F1474" s="8">
        <v>4.2065845499999996</v>
      </c>
      <c r="G1474" s="7" t="str">
        <f t="shared" si="11"/>
        <v>Direct</v>
      </c>
      <c r="H1474" s="7" t="s">
        <v>1488</v>
      </c>
    </row>
    <row r="1475" spans="1:8" x14ac:dyDescent="0.2">
      <c r="A1475" s="5" t="s">
        <v>13</v>
      </c>
      <c r="B1475" s="6" t="s">
        <v>19</v>
      </c>
      <c r="C1475" s="7" t="s">
        <v>1489</v>
      </c>
      <c r="D1475" s="7"/>
      <c r="E1475" s="8">
        <v>-3.6739025999999999</v>
      </c>
      <c r="F1475" s="8">
        <v>-4.9511038000000003</v>
      </c>
      <c r="G1475" s="7" t="str">
        <f t="shared" si="11"/>
        <v>Direct</v>
      </c>
      <c r="H1475" s="7" t="s">
        <v>16</v>
      </c>
    </row>
    <row r="1476" spans="1:8" x14ac:dyDescent="0.2">
      <c r="A1476" s="5" t="s">
        <v>13</v>
      </c>
      <c r="B1476" s="6" t="s">
        <v>19</v>
      </c>
      <c r="C1476" s="7" t="s">
        <v>1490</v>
      </c>
      <c r="D1476" s="7"/>
      <c r="E1476" s="8">
        <v>1.0762348900000001</v>
      </c>
      <c r="F1476" s="8">
        <v>1.4816596399999999</v>
      </c>
      <c r="G1476" s="7" t="str">
        <f t="shared" si="11"/>
        <v>Direct</v>
      </c>
      <c r="H1476" s="7" t="s">
        <v>16</v>
      </c>
    </row>
    <row r="1477" spans="1:8" x14ac:dyDescent="0.2">
      <c r="A1477" s="5" t="s">
        <v>13</v>
      </c>
      <c r="B1477" s="6" t="s">
        <v>19</v>
      </c>
      <c r="C1477" s="7" t="s">
        <v>1491</v>
      </c>
      <c r="D1477" s="7"/>
      <c r="E1477" s="8">
        <v>-1.2631653</v>
      </c>
      <c r="F1477" s="8">
        <v>-1.1025167</v>
      </c>
      <c r="G1477" s="7" t="str">
        <f t="shared" si="11"/>
        <v>Direct</v>
      </c>
      <c r="H1477" s="7" t="s">
        <v>16</v>
      </c>
    </row>
    <row r="1478" spans="1:8" x14ac:dyDescent="0.2">
      <c r="A1478" s="5" t="s">
        <v>13</v>
      </c>
      <c r="B1478" s="6" t="s">
        <v>19</v>
      </c>
      <c r="C1478" s="7" t="s">
        <v>1492</v>
      </c>
      <c r="D1478" s="7"/>
      <c r="E1478" s="8">
        <v>-1.352676</v>
      </c>
      <c r="F1478" s="8">
        <v>-2.1260222</v>
      </c>
      <c r="G1478" s="7" t="str">
        <f t="shared" si="11"/>
        <v>Direct</v>
      </c>
      <c r="H1478" s="7" t="s">
        <v>1493</v>
      </c>
    </row>
    <row r="1479" spans="1:8" x14ac:dyDescent="0.2">
      <c r="A1479" s="5" t="s">
        <v>13</v>
      </c>
      <c r="B1479" s="6" t="s">
        <v>19</v>
      </c>
      <c r="C1479" s="7" t="s">
        <v>193</v>
      </c>
      <c r="D1479" s="7"/>
      <c r="E1479" s="8">
        <v>-2.7345996000000001</v>
      </c>
      <c r="F1479" s="8">
        <v>-2.0432020999999998</v>
      </c>
      <c r="G1479" s="7" t="str">
        <f t="shared" si="11"/>
        <v>Direct</v>
      </c>
      <c r="H1479" s="7" t="s">
        <v>194</v>
      </c>
    </row>
    <row r="1480" spans="1:8" x14ac:dyDescent="0.2">
      <c r="A1480" s="5" t="s">
        <v>13</v>
      </c>
      <c r="B1480" s="6" t="s">
        <v>19</v>
      </c>
      <c r="C1480" s="7" t="s">
        <v>195</v>
      </c>
      <c r="D1480" s="7"/>
      <c r="E1480" s="8">
        <v>-1.6595061</v>
      </c>
      <c r="F1480" s="8">
        <v>-1.1125571999999999</v>
      </c>
      <c r="G1480" s="7" t="str">
        <f t="shared" si="11"/>
        <v>Direct</v>
      </c>
      <c r="H1480" s="7" t="s">
        <v>196</v>
      </c>
    </row>
    <row r="1481" spans="1:8" x14ac:dyDescent="0.2">
      <c r="A1481" s="5" t="s">
        <v>13</v>
      </c>
      <c r="B1481" s="6" t="s">
        <v>19</v>
      </c>
      <c r="C1481" s="7" t="s">
        <v>1494</v>
      </c>
      <c r="D1481" s="7"/>
      <c r="E1481" s="8">
        <v>1.14446366</v>
      </c>
      <c r="F1481" s="8">
        <v>1.82776665</v>
      </c>
      <c r="G1481" s="7" t="str">
        <f t="shared" si="11"/>
        <v>Direct</v>
      </c>
      <c r="H1481" s="7" t="s">
        <v>1495</v>
      </c>
    </row>
    <row r="1482" spans="1:8" x14ac:dyDescent="0.2">
      <c r="A1482" s="5" t="s">
        <v>13</v>
      </c>
      <c r="B1482" s="6" t="s">
        <v>19</v>
      </c>
      <c r="C1482" s="7" t="s">
        <v>197</v>
      </c>
      <c r="D1482" s="7"/>
      <c r="E1482" s="8">
        <v>1.3369834199999999</v>
      </c>
      <c r="F1482" s="8">
        <v>1.2629336600000001</v>
      </c>
      <c r="G1482" s="7" t="str">
        <f t="shared" si="11"/>
        <v>Direct</v>
      </c>
      <c r="H1482" s="7" t="s">
        <v>142</v>
      </c>
    </row>
    <row r="1483" spans="1:8" x14ac:dyDescent="0.2">
      <c r="A1483" s="5" t="s">
        <v>13</v>
      </c>
      <c r="B1483" s="6" t="s">
        <v>19</v>
      </c>
      <c r="C1483" s="7" t="s">
        <v>1496</v>
      </c>
      <c r="D1483" s="7"/>
      <c r="E1483" s="8">
        <v>-2.6562636999999998</v>
      </c>
      <c r="F1483" s="8">
        <v>-2.6377790000000001</v>
      </c>
      <c r="G1483" s="7" t="str">
        <f t="shared" ref="G1483:G1737" si="12">IF(OR(AND(E1483&gt;0,F1483&gt;0),AND(E1483&lt;0,F1483&lt;0)),"Direct","Inverse")</f>
        <v>Direct</v>
      </c>
      <c r="H1483" s="7" t="s">
        <v>1497</v>
      </c>
    </row>
    <row r="1484" spans="1:8" x14ac:dyDescent="0.2">
      <c r="A1484" s="5" t="s">
        <v>13</v>
      </c>
      <c r="B1484" s="6" t="s">
        <v>19</v>
      </c>
      <c r="C1484" s="7" t="s">
        <v>198</v>
      </c>
      <c r="D1484" s="7"/>
      <c r="E1484" s="8">
        <v>1.9575851799999999</v>
      </c>
      <c r="F1484" s="8">
        <v>1.9401130200000001</v>
      </c>
      <c r="G1484" s="7" t="str">
        <f t="shared" si="12"/>
        <v>Direct</v>
      </c>
      <c r="H1484" s="7" t="s">
        <v>199</v>
      </c>
    </row>
    <row r="1485" spans="1:8" x14ac:dyDescent="0.2">
      <c r="A1485" s="5" t="s">
        <v>13</v>
      </c>
      <c r="B1485" s="6" t="s">
        <v>19</v>
      </c>
      <c r="C1485" s="7" t="s">
        <v>1498</v>
      </c>
      <c r="D1485" s="7"/>
      <c r="E1485" s="8">
        <v>2.3770897999999998</v>
      </c>
      <c r="F1485" s="8">
        <v>1.59325103</v>
      </c>
      <c r="G1485" s="7" t="str">
        <f t="shared" si="12"/>
        <v>Direct</v>
      </c>
      <c r="H1485" s="7" t="s">
        <v>728</v>
      </c>
    </row>
    <row r="1486" spans="1:8" x14ac:dyDescent="0.2">
      <c r="A1486" s="5" t="s">
        <v>13</v>
      </c>
      <c r="B1486" s="6" t="s">
        <v>19</v>
      </c>
      <c r="C1486" s="7" t="s">
        <v>1499</v>
      </c>
      <c r="D1486" s="7"/>
      <c r="E1486" s="8">
        <v>1.0975644899999999</v>
      </c>
      <c r="F1486" s="8">
        <v>1.4635449199999999</v>
      </c>
      <c r="G1486" s="7" t="str">
        <f t="shared" si="12"/>
        <v>Direct</v>
      </c>
      <c r="H1486" s="7" t="s">
        <v>16</v>
      </c>
    </row>
    <row r="1487" spans="1:8" x14ac:dyDescent="0.2">
      <c r="A1487" s="5" t="s">
        <v>13</v>
      </c>
      <c r="B1487" s="6" t="s">
        <v>19</v>
      </c>
      <c r="C1487" s="7" t="s">
        <v>1500</v>
      </c>
      <c r="D1487" s="7"/>
      <c r="E1487" s="8">
        <v>-3.3971884999999999</v>
      </c>
      <c r="F1487" s="8">
        <v>-2.7962695000000002</v>
      </c>
      <c r="G1487" s="7" t="str">
        <f t="shared" si="12"/>
        <v>Direct</v>
      </c>
      <c r="H1487" s="7" t="s">
        <v>1501</v>
      </c>
    </row>
    <row r="1488" spans="1:8" x14ac:dyDescent="0.2">
      <c r="A1488" s="5" t="s">
        <v>13</v>
      </c>
      <c r="B1488" s="6" t="s">
        <v>19</v>
      </c>
      <c r="C1488" s="7" t="s">
        <v>1502</v>
      </c>
      <c r="D1488" s="7"/>
      <c r="E1488" s="8">
        <v>1.4339197100000001</v>
      </c>
      <c r="F1488" s="8">
        <v>1.3812105800000001</v>
      </c>
      <c r="G1488" s="7" t="str">
        <f t="shared" si="12"/>
        <v>Direct</v>
      </c>
      <c r="H1488" s="7" t="s">
        <v>131</v>
      </c>
    </row>
    <row r="1489" spans="1:8" x14ac:dyDescent="0.2">
      <c r="A1489" s="5" t="s">
        <v>13</v>
      </c>
      <c r="B1489" s="6" t="s">
        <v>19</v>
      </c>
      <c r="C1489" s="7" t="s">
        <v>200</v>
      </c>
      <c r="D1489" s="7"/>
      <c r="E1489" s="8">
        <v>-1.4149843</v>
      </c>
      <c r="F1489" s="8">
        <v>-3.9635571999999999</v>
      </c>
      <c r="G1489" s="7" t="str">
        <f t="shared" si="12"/>
        <v>Direct</v>
      </c>
      <c r="H1489" s="7" t="s">
        <v>201</v>
      </c>
    </row>
    <row r="1490" spans="1:8" x14ac:dyDescent="0.2">
      <c r="A1490" s="5" t="s">
        <v>13</v>
      </c>
      <c r="B1490" s="6" t="s">
        <v>19</v>
      </c>
      <c r="C1490" s="7" t="s">
        <v>1503</v>
      </c>
      <c r="D1490" s="7"/>
      <c r="E1490" s="8">
        <v>-1.8028682</v>
      </c>
      <c r="F1490" s="8">
        <v>-1.0843666999999999</v>
      </c>
      <c r="G1490" s="7" t="str">
        <f t="shared" si="12"/>
        <v>Direct</v>
      </c>
      <c r="H1490" s="7" t="s">
        <v>16</v>
      </c>
    </row>
    <row r="1491" spans="1:8" x14ac:dyDescent="0.2">
      <c r="A1491" s="5" t="s">
        <v>13</v>
      </c>
      <c r="B1491" s="6" t="s">
        <v>19</v>
      </c>
      <c r="C1491" s="7" t="s">
        <v>1504</v>
      </c>
      <c r="D1491" s="7"/>
      <c r="E1491" s="8">
        <v>4.4843304499999999</v>
      </c>
      <c r="F1491" s="8">
        <v>5.4021792099999999</v>
      </c>
      <c r="G1491" s="7" t="str">
        <f t="shared" si="12"/>
        <v>Direct</v>
      </c>
      <c r="H1491" s="7" t="s">
        <v>1505</v>
      </c>
    </row>
    <row r="1492" spans="1:8" x14ac:dyDescent="0.2">
      <c r="A1492" s="5" t="s">
        <v>13</v>
      </c>
      <c r="B1492" s="6" t="s">
        <v>19</v>
      </c>
      <c r="C1492" s="7" t="s">
        <v>1506</v>
      </c>
      <c r="D1492" s="7"/>
      <c r="E1492" s="8">
        <v>-1.7810009</v>
      </c>
      <c r="F1492" s="8">
        <v>-2.2253329000000002</v>
      </c>
      <c r="G1492" s="7" t="str">
        <f t="shared" si="12"/>
        <v>Direct</v>
      </c>
      <c r="H1492" s="7" t="s">
        <v>1507</v>
      </c>
    </row>
    <row r="1493" spans="1:8" x14ac:dyDescent="0.2">
      <c r="A1493" s="5" t="s">
        <v>13</v>
      </c>
      <c r="B1493" s="6" t="s">
        <v>19</v>
      </c>
      <c r="C1493" s="7" t="s">
        <v>1508</v>
      </c>
      <c r="D1493" s="7"/>
      <c r="E1493" s="8">
        <v>1.4128935300000001</v>
      </c>
      <c r="F1493" s="8">
        <v>2.0647513700000002</v>
      </c>
      <c r="G1493" s="7" t="str">
        <f t="shared" si="12"/>
        <v>Direct</v>
      </c>
      <c r="H1493" s="7" t="s">
        <v>16</v>
      </c>
    </row>
    <row r="1494" spans="1:8" x14ac:dyDescent="0.2">
      <c r="A1494" s="5" t="s">
        <v>13</v>
      </c>
      <c r="B1494" s="6" t="s">
        <v>19</v>
      </c>
      <c r="C1494" s="7" t="s">
        <v>1509</v>
      </c>
      <c r="D1494" s="7"/>
      <c r="E1494" s="8">
        <v>-1.2492764999999999</v>
      </c>
      <c r="F1494" s="8">
        <v>-1.2632019000000001</v>
      </c>
      <c r="G1494" s="7" t="str">
        <f t="shared" si="12"/>
        <v>Direct</v>
      </c>
      <c r="H1494" s="7" t="s">
        <v>1510</v>
      </c>
    </row>
    <row r="1495" spans="1:8" x14ac:dyDescent="0.2">
      <c r="A1495" s="5" t="s">
        <v>13</v>
      </c>
      <c r="B1495" s="6" t="s">
        <v>19</v>
      </c>
      <c r="C1495" s="7" t="s">
        <v>202</v>
      </c>
      <c r="D1495" s="7"/>
      <c r="E1495" s="8">
        <v>-1.0971276999999999</v>
      </c>
      <c r="F1495" s="8">
        <v>-2.7064200999999999</v>
      </c>
      <c r="G1495" s="7" t="str">
        <f t="shared" si="12"/>
        <v>Direct</v>
      </c>
      <c r="H1495" s="7" t="s">
        <v>16</v>
      </c>
    </row>
    <row r="1496" spans="1:8" x14ac:dyDescent="0.2">
      <c r="A1496" s="5" t="s">
        <v>13</v>
      </c>
      <c r="B1496" s="6" t="s">
        <v>19</v>
      </c>
      <c r="C1496" s="7" t="s">
        <v>1511</v>
      </c>
      <c r="D1496" s="7"/>
      <c r="E1496" s="8">
        <v>-3.4420228000000002</v>
      </c>
      <c r="F1496" s="8">
        <v>-1.6188167</v>
      </c>
      <c r="G1496" s="7" t="str">
        <f t="shared" si="12"/>
        <v>Direct</v>
      </c>
      <c r="H1496" s="7" t="s">
        <v>1512</v>
      </c>
    </row>
    <row r="1497" spans="1:8" x14ac:dyDescent="0.2">
      <c r="A1497" s="5" t="s">
        <v>13</v>
      </c>
      <c r="B1497" s="6" t="s">
        <v>19</v>
      </c>
      <c r="C1497" s="7" t="s">
        <v>1513</v>
      </c>
      <c r="D1497" s="7"/>
      <c r="E1497" s="8">
        <v>-2.8207954000000002</v>
      </c>
      <c r="F1497" s="8">
        <v>-1.6030667999999999</v>
      </c>
      <c r="G1497" s="7" t="str">
        <f t="shared" si="12"/>
        <v>Direct</v>
      </c>
      <c r="H1497" s="7" t="s">
        <v>1514</v>
      </c>
    </row>
    <row r="1498" spans="1:8" x14ac:dyDescent="0.2">
      <c r="A1498" s="5" t="s">
        <v>13</v>
      </c>
      <c r="B1498" s="6" t="s">
        <v>19</v>
      </c>
      <c r="C1498" s="7" t="s">
        <v>1515</v>
      </c>
      <c r="D1498" s="7"/>
      <c r="E1498" s="8">
        <v>-1.6543595</v>
      </c>
      <c r="F1498" s="8">
        <v>-2.7965271</v>
      </c>
      <c r="G1498" s="7" t="str">
        <f t="shared" si="12"/>
        <v>Direct</v>
      </c>
      <c r="H1498" s="7" t="s">
        <v>16</v>
      </c>
    </row>
    <row r="1499" spans="1:8" x14ac:dyDescent="0.2">
      <c r="A1499" s="5" t="s">
        <v>13</v>
      </c>
      <c r="B1499" s="6" t="s">
        <v>19</v>
      </c>
      <c r="C1499" s="7" t="s">
        <v>1516</v>
      </c>
      <c r="D1499" s="7"/>
      <c r="E1499" s="8">
        <v>-4.0428512000000003</v>
      </c>
      <c r="F1499" s="8">
        <v>-2.6392414</v>
      </c>
      <c r="G1499" s="7" t="str">
        <f t="shared" si="12"/>
        <v>Direct</v>
      </c>
      <c r="H1499" s="7" t="s">
        <v>16</v>
      </c>
    </row>
    <row r="1500" spans="1:8" x14ac:dyDescent="0.2">
      <c r="A1500" s="5" t="s">
        <v>13</v>
      </c>
      <c r="B1500" s="6" t="s">
        <v>19</v>
      </c>
      <c r="C1500" s="7" t="s">
        <v>1517</v>
      </c>
      <c r="D1500" s="7"/>
      <c r="E1500" s="8">
        <v>-4.0335339000000001</v>
      </c>
      <c r="F1500" s="8">
        <v>-5.3121115000000003</v>
      </c>
      <c r="G1500" s="7" t="str">
        <f t="shared" si="12"/>
        <v>Direct</v>
      </c>
      <c r="H1500" s="7" t="s">
        <v>16</v>
      </c>
    </row>
    <row r="1501" spans="1:8" x14ac:dyDescent="0.2">
      <c r="A1501" s="5" t="s">
        <v>13</v>
      </c>
      <c r="B1501" s="6" t="s">
        <v>19</v>
      </c>
      <c r="C1501" s="7" t="s">
        <v>1518</v>
      </c>
      <c r="D1501" s="7"/>
      <c r="E1501" s="8">
        <v>-1.939289</v>
      </c>
      <c r="F1501" s="8">
        <v>-2.0647514</v>
      </c>
      <c r="G1501" s="7" t="str">
        <f t="shared" si="12"/>
        <v>Direct</v>
      </c>
      <c r="H1501" s="7" t="s">
        <v>349</v>
      </c>
    </row>
    <row r="1502" spans="1:8" x14ac:dyDescent="0.2">
      <c r="A1502" s="5" t="s">
        <v>13</v>
      </c>
      <c r="B1502" s="6" t="s">
        <v>19</v>
      </c>
      <c r="C1502" s="7" t="s">
        <v>1519</v>
      </c>
      <c r="D1502" s="7"/>
      <c r="E1502" s="8">
        <v>5.4122463700000001</v>
      </c>
      <c r="F1502" s="8">
        <v>3.4249050799999998</v>
      </c>
      <c r="G1502" s="7" t="str">
        <f t="shared" si="12"/>
        <v>Direct</v>
      </c>
      <c r="H1502" s="7" t="s">
        <v>16</v>
      </c>
    </row>
    <row r="1503" spans="1:8" x14ac:dyDescent="0.2">
      <c r="A1503" s="5" t="s">
        <v>13</v>
      </c>
      <c r="B1503" s="6" t="s">
        <v>19</v>
      </c>
      <c r="C1503" s="7" t="s">
        <v>1520</v>
      </c>
      <c r="D1503" s="7"/>
      <c r="E1503" s="8">
        <v>-1.4922933</v>
      </c>
      <c r="F1503" s="8">
        <v>-1.5180111999999999</v>
      </c>
      <c r="G1503" s="7" t="str">
        <f t="shared" si="12"/>
        <v>Direct</v>
      </c>
      <c r="H1503" s="7" t="s">
        <v>1521</v>
      </c>
    </row>
    <row r="1504" spans="1:8" x14ac:dyDescent="0.2">
      <c r="A1504" s="5" t="s">
        <v>13</v>
      </c>
      <c r="B1504" s="6" t="s">
        <v>19</v>
      </c>
      <c r="C1504" s="7" t="s">
        <v>203</v>
      </c>
      <c r="D1504" s="7"/>
      <c r="E1504" s="8">
        <v>-6.4734021000000004</v>
      </c>
      <c r="F1504" s="8">
        <v>-5.5217682999999997</v>
      </c>
      <c r="G1504" s="7" t="str">
        <f t="shared" si="12"/>
        <v>Direct</v>
      </c>
      <c r="H1504" s="7" t="s">
        <v>16</v>
      </c>
    </row>
    <row r="1505" spans="1:8" x14ac:dyDescent="0.2">
      <c r="A1505" s="5" t="s">
        <v>13</v>
      </c>
      <c r="B1505" s="6" t="s">
        <v>19</v>
      </c>
      <c r="C1505" s="7" t="s">
        <v>1522</v>
      </c>
      <c r="D1505" s="7"/>
      <c r="E1505" s="8">
        <v>2.2727125400000001</v>
      </c>
      <c r="F1505" s="8">
        <v>3.2929693699999998</v>
      </c>
      <c r="G1505" s="7" t="str">
        <f t="shared" si="12"/>
        <v>Direct</v>
      </c>
      <c r="H1505" s="7" t="s">
        <v>1523</v>
      </c>
    </row>
    <row r="1506" spans="1:8" x14ac:dyDescent="0.2">
      <c r="A1506" s="5" t="s">
        <v>13</v>
      </c>
      <c r="B1506" s="6" t="s">
        <v>19</v>
      </c>
      <c r="C1506" s="7" t="s">
        <v>1524</v>
      </c>
      <c r="D1506" s="7"/>
      <c r="E1506" s="8">
        <v>-1.814662</v>
      </c>
      <c r="F1506" s="8">
        <v>-1.2283656999999999</v>
      </c>
      <c r="G1506" s="7" t="str">
        <f t="shared" si="12"/>
        <v>Direct</v>
      </c>
      <c r="H1506" s="7" t="s">
        <v>16</v>
      </c>
    </row>
    <row r="1507" spans="1:8" x14ac:dyDescent="0.2">
      <c r="A1507" s="5" t="s">
        <v>13</v>
      </c>
      <c r="B1507" s="6" t="s">
        <v>19</v>
      </c>
      <c r="C1507" s="7" t="s">
        <v>1525</v>
      </c>
      <c r="D1507" s="7"/>
      <c r="E1507" s="8">
        <v>-1.4961228</v>
      </c>
      <c r="F1507" s="8">
        <v>-1.3696778999999999</v>
      </c>
      <c r="G1507" s="7" t="str">
        <f t="shared" si="12"/>
        <v>Direct</v>
      </c>
      <c r="H1507" s="7" t="s">
        <v>1526</v>
      </c>
    </row>
    <row r="1508" spans="1:8" x14ac:dyDescent="0.2">
      <c r="A1508" s="5" t="s">
        <v>13</v>
      </c>
      <c r="B1508" s="6" t="s">
        <v>19</v>
      </c>
      <c r="C1508" s="7" t="s">
        <v>205</v>
      </c>
      <c r="D1508" s="7"/>
      <c r="E1508" s="8">
        <v>2.4125611600000001</v>
      </c>
      <c r="F1508" s="8">
        <v>2.02918237</v>
      </c>
      <c r="G1508" s="7" t="str">
        <f t="shared" si="12"/>
        <v>Direct</v>
      </c>
      <c r="H1508" s="7" t="s">
        <v>206</v>
      </c>
    </row>
    <row r="1509" spans="1:8" x14ac:dyDescent="0.2">
      <c r="A1509" s="5" t="s">
        <v>13</v>
      </c>
      <c r="B1509" s="6" t="s">
        <v>19</v>
      </c>
      <c r="C1509" s="7" t="s">
        <v>1527</v>
      </c>
      <c r="D1509" s="7"/>
      <c r="E1509" s="8">
        <v>-1.1277898</v>
      </c>
      <c r="F1509" s="8">
        <v>-2.1770922000000001</v>
      </c>
      <c r="G1509" s="7" t="str">
        <f t="shared" si="12"/>
        <v>Direct</v>
      </c>
      <c r="H1509" s="7" t="s">
        <v>16</v>
      </c>
    </row>
    <row r="1510" spans="1:8" x14ac:dyDescent="0.2">
      <c r="A1510" s="5" t="s">
        <v>13</v>
      </c>
      <c r="B1510" s="6" t="s">
        <v>19</v>
      </c>
      <c r="C1510" s="7" t="s">
        <v>1528</v>
      </c>
      <c r="D1510" s="7"/>
      <c r="E1510" s="8">
        <v>-1.448707</v>
      </c>
      <c r="F1510" s="8">
        <v>-1.4092657</v>
      </c>
      <c r="G1510" s="7" t="str">
        <f t="shared" si="12"/>
        <v>Direct</v>
      </c>
      <c r="H1510" s="7" t="s">
        <v>16</v>
      </c>
    </row>
    <row r="1511" spans="1:8" x14ac:dyDescent="0.2">
      <c r="A1511" s="5" t="s">
        <v>13</v>
      </c>
      <c r="B1511" s="6" t="s">
        <v>19</v>
      </c>
      <c r="C1511" s="7" t="s">
        <v>1529</v>
      </c>
      <c r="D1511" s="7"/>
      <c r="E1511" s="8">
        <v>1.3793191300000001</v>
      </c>
      <c r="F1511" s="8">
        <v>1.52241867</v>
      </c>
      <c r="G1511" s="7" t="str">
        <f t="shared" si="12"/>
        <v>Direct</v>
      </c>
      <c r="H1511" s="7" t="s">
        <v>16</v>
      </c>
    </row>
    <row r="1512" spans="1:8" x14ac:dyDescent="0.2">
      <c r="A1512" s="5" t="s">
        <v>13</v>
      </c>
      <c r="B1512" s="6" t="s">
        <v>19</v>
      </c>
      <c r="C1512" s="7" t="s">
        <v>1530</v>
      </c>
      <c r="D1512" s="7"/>
      <c r="E1512" s="8">
        <v>-10.060563999999999</v>
      </c>
      <c r="F1512" s="8">
        <v>-7.1696667999999999</v>
      </c>
      <c r="G1512" s="7" t="str">
        <f t="shared" si="12"/>
        <v>Direct</v>
      </c>
      <c r="H1512" s="7" t="s">
        <v>1531</v>
      </c>
    </row>
    <row r="1513" spans="1:8" x14ac:dyDescent="0.2">
      <c r="A1513" s="5" t="s">
        <v>13</v>
      </c>
      <c r="B1513" s="6" t="s">
        <v>19</v>
      </c>
      <c r="C1513" s="7" t="s">
        <v>1532</v>
      </c>
      <c r="D1513" s="7"/>
      <c r="E1513" s="8">
        <v>-1.9191324999999999</v>
      </c>
      <c r="F1513" s="8">
        <v>-1.7335046000000001</v>
      </c>
      <c r="G1513" s="7" t="str">
        <f t="shared" si="12"/>
        <v>Direct</v>
      </c>
      <c r="H1513" s="7" t="s">
        <v>1533</v>
      </c>
    </row>
    <row r="1514" spans="1:8" x14ac:dyDescent="0.2">
      <c r="A1514" s="5" t="s">
        <v>13</v>
      </c>
      <c r="B1514" s="6" t="s">
        <v>19</v>
      </c>
      <c r="C1514" s="7" t="s">
        <v>1534</v>
      </c>
      <c r="D1514" s="7"/>
      <c r="E1514" s="8">
        <v>-1.2631691</v>
      </c>
      <c r="F1514" s="8">
        <v>-2.3249434</v>
      </c>
      <c r="G1514" s="7" t="str">
        <f t="shared" si="12"/>
        <v>Direct</v>
      </c>
      <c r="H1514" s="7" t="s">
        <v>1535</v>
      </c>
    </row>
    <row r="1515" spans="1:8" x14ac:dyDescent="0.2">
      <c r="A1515" s="5" t="s">
        <v>13</v>
      </c>
      <c r="B1515" s="6" t="s">
        <v>19</v>
      </c>
      <c r="C1515" s="7" t="s">
        <v>207</v>
      </c>
      <c r="D1515" s="7"/>
      <c r="E1515" s="8">
        <v>-24.308772000000001</v>
      </c>
      <c r="F1515" s="8">
        <v>-18.000022999999999</v>
      </c>
      <c r="G1515" s="7" t="str">
        <f t="shared" si="12"/>
        <v>Direct</v>
      </c>
      <c r="H1515" s="7" t="s">
        <v>16</v>
      </c>
    </row>
    <row r="1516" spans="1:8" x14ac:dyDescent="0.2">
      <c r="A1516" s="5" t="s">
        <v>13</v>
      </c>
      <c r="B1516" s="6" t="s">
        <v>19</v>
      </c>
      <c r="C1516" s="7" t="s">
        <v>1536</v>
      </c>
      <c r="D1516" s="7"/>
      <c r="E1516" s="8">
        <v>1.2731072999999999</v>
      </c>
      <c r="F1516" s="8">
        <v>1.59114143</v>
      </c>
      <c r="G1516" s="7" t="str">
        <f t="shared" si="12"/>
        <v>Direct</v>
      </c>
      <c r="H1516" s="7" t="s">
        <v>16</v>
      </c>
    </row>
    <row r="1517" spans="1:8" x14ac:dyDescent="0.2">
      <c r="A1517" s="5" t="s">
        <v>13</v>
      </c>
      <c r="B1517" s="6" t="s">
        <v>19</v>
      </c>
      <c r="C1517" s="7" t="s">
        <v>208</v>
      </c>
      <c r="D1517" s="7"/>
      <c r="E1517" s="8">
        <v>-4.1913777000000003</v>
      </c>
      <c r="F1517" s="8">
        <v>-2.3010587</v>
      </c>
      <c r="G1517" s="7" t="str">
        <f t="shared" si="12"/>
        <v>Direct</v>
      </c>
      <c r="H1517" s="7" t="s">
        <v>16</v>
      </c>
    </row>
    <row r="1518" spans="1:8" x14ac:dyDescent="0.2">
      <c r="A1518" s="5" t="s">
        <v>13</v>
      </c>
      <c r="B1518" s="6" t="s">
        <v>19</v>
      </c>
      <c r="C1518" s="7" t="s">
        <v>1537</v>
      </c>
      <c r="D1518" s="7"/>
      <c r="E1518" s="8">
        <v>-3.9137637000000001</v>
      </c>
      <c r="F1518" s="8">
        <v>-2.730931</v>
      </c>
      <c r="G1518" s="7" t="str">
        <f t="shared" si="12"/>
        <v>Direct</v>
      </c>
      <c r="H1518" s="7" t="s">
        <v>16</v>
      </c>
    </row>
    <row r="1519" spans="1:8" x14ac:dyDescent="0.2">
      <c r="A1519" s="5" t="s">
        <v>13</v>
      </c>
      <c r="B1519" s="6" t="s">
        <v>19</v>
      </c>
      <c r="C1519" s="7" t="s">
        <v>209</v>
      </c>
      <c r="D1519" s="7"/>
      <c r="E1519" s="8">
        <v>3.0659373400000001</v>
      </c>
      <c r="F1519" s="8">
        <v>2.6462789299999998</v>
      </c>
      <c r="G1519" s="7" t="str">
        <f t="shared" si="12"/>
        <v>Direct</v>
      </c>
      <c r="H1519" s="7" t="s">
        <v>16</v>
      </c>
    </row>
    <row r="1520" spans="1:8" x14ac:dyDescent="0.2">
      <c r="A1520" s="5" t="s">
        <v>13</v>
      </c>
      <c r="B1520" s="6" t="s">
        <v>19</v>
      </c>
      <c r="C1520" s="7" t="s">
        <v>210</v>
      </c>
      <c r="D1520" s="7"/>
      <c r="E1520" s="8">
        <v>-1.8648393999999999</v>
      </c>
      <c r="F1520" s="8">
        <v>-1.4068578</v>
      </c>
      <c r="G1520" s="7" t="str">
        <f t="shared" si="12"/>
        <v>Direct</v>
      </c>
      <c r="H1520" s="7" t="s">
        <v>16</v>
      </c>
    </row>
    <row r="1521" spans="1:8" x14ac:dyDescent="0.2">
      <c r="A1521" s="5" t="s">
        <v>13</v>
      </c>
      <c r="B1521" s="6" t="s">
        <v>19</v>
      </c>
      <c r="C1521" s="7" t="s">
        <v>1538</v>
      </c>
      <c r="D1521" s="7"/>
      <c r="E1521" s="8">
        <v>1.12139447</v>
      </c>
      <c r="F1521" s="8">
        <v>1.6672977899999999</v>
      </c>
      <c r="G1521" s="7" t="str">
        <f t="shared" si="12"/>
        <v>Direct</v>
      </c>
      <c r="H1521" s="7" t="s">
        <v>1539</v>
      </c>
    </row>
    <row r="1522" spans="1:8" x14ac:dyDescent="0.2">
      <c r="A1522" s="5" t="s">
        <v>13</v>
      </c>
      <c r="B1522" s="6" t="s">
        <v>19</v>
      </c>
      <c r="C1522" s="7" t="s">
        <v>1540</v>
      </c>
      <c r="D1522" s="7"/>
      <c r="E1522" s="8">
        <v>1.605013</v>
      </c>
      <c r="F1522" s="8">
        <v>1.11255718</v>
      </c>
      <c r="G1522" s="7" t="str">
        <f t="shared" si="12"/>
        <v>Direct</v>
      </c>
      <c r="H1522" s="7" t="s">
        <v>16</v>
      </c>
    </row>
    <row r="1523" spans="1:8" x14ac:dyDescent="0.2">
      <c r="A1523" s="5" t="s">
        <v>13</v>
      </c>
      <c r="B1523" s="6" t="s">
        <v>19</v>
      </c>
      <c r="C1523" s="7" t="s">
        <v>1541</v>
      </c>
      <c r="D1523" s="7"/>
      <c r="E1523" s="8">
        <v>-1.5839848999999999</v>
      </c>
      <c r="F1523" s="8">
        <v>-1.6696518</v>
      </c>
      <c r="G1523" s="7" t="str">
        <f t="shared" si="12"/>
        <v>Direct</v>
      </c>
      <c r="H1523" s="7" t="s">
        <v>1542</v>
      </c>
    </row>
    <row r="1524" spans="1:8" x14ac:dyDescent="0.2">
      <c r="A1524" s="5" t="s">
        <v>13</v>
      </c>
      <c r="B1524" s="6" t="s">
        <v>19</v>
      </c>
      <c r="C1524" s="7" t="s">
        <v>1543</v>
      </c>
      <c r="D1524" s="7"/>
      <c r="E1524" s="8">
        <v>1.93228117</v>
      </c>
      <c r="F1524" s="8">
        <v>1.0607764399999999</v>
      </c>
      <c r="G1524" s="7" t="str">
        <f t="shared" si="12"/>
        <v>Direct</v>
      </c>
      <c r="H1524" s="7" t="s">
        <v>1544</v>
      </c>
    </row>
    <row r="1525" spans="1:8" x14ac:dyDescent="0.2">
      <c r="A1525" s="5" t="s">
        <v>13</v>
      </c>
      <c r="B1525" s="6" t="s">
        <v>19</v>
      </c>
      <c r="C1525" s="7" t="s">
        <v>1545</v>
      </c>
      <c r="D1525" s="7"/>
      <c r="E1525" s="8">
        <v>-4.5328926000000003</v>
      </c>
      <c r="F1525" s="8">
        <v>-4.7530767000000003</v>
      </c>
      <c r="G1525" s="7" t="str">
        <f t="shared" si="12"/>
        <v>Direct</v>
      </c>
      <c r="H1525" s="7" t="s">
        <v>1070</v>
      </c>
    </row>
    <row r="1526" spans="1:8" x14ac:dyDescent="0.2">
      <c r="A1526" s="5" t="s">
        <v>13</v>
      </c>
      <c r="B1526" s="6" t="s">
        <v>19</v>
      </c>
      <c r="C1526" s="7" t="s">
        <v>1546</v>
      </c>
      <c r="D1526" s="7"/>
      <c r="E1526" s="8">
        <v>2.2332836999999999</v>
      </c>
      <c r="F1526" s="8">
        <v>1.76207026</v>
      </c>
      <c r="G1526" s="7" t="str">
        <f t="shared" si="12"/>
        <v>Direct</v>
      </c>
      <c r="H1526" s="7" t="s">
        <v>16</v>
      </c>
    </row>
    <row r="1527" spans="1:8" x14ac:dyDescent="0.2">
      <c r="A1527" s="5" t="s">
        <v>13</v>
      </c>
      <c r="B1527" s="6" t="s">
        <v>19</v>
      </c>
      <c r="C1527" s="7" t="s">
        <v>1547</v>
      </c>
      <c r="D1527" s="7"/>
      <c r="E1527" s="8">
        <v>-3.5490487000000002</v>
      </c>
      <c r="F1527" s="8">
        <v>-3.7720853000000001</v>
      </c>
      <c r="G1527" s="7" t="str">
        <f t="shared" si="12"/>
        <v>Direct</v>
      </c>
      <c r="H1527" s="7" t="s">
        <v>1548</v>
      </c>
    </row>
    <row r="1528" spans="1:8" x14ac:dyDescent="0.2">
      <c r="A1528" s="5" t="s">
        <v>13</v>
      </c>
      <c r="B1528" s="6" t="s">
        <v>19</v>
      </c>
      <c r="C1528" s="7" t="s">
        <v>1549</v>
      </c>
      <c r="D1528" s="7"/>
      <c r="E1528" s="8">
        <v>-3.3597785</v>
      </c>
      <c r="F1528" s="8">
        <v>-2.0840926</v>
      </c>
      <c r="G1528" s="7" t="str">
        <f t="shared" si="12"/>
        <v>Direct</v>
      </c>
      <c r="H1528" s="7" t="s">
        <v>1006</v>
      </c>
    </row>
    <row r="1529" spans="1:8" x14ac:dyDescent="0.2">
      <c r="A1529" s="5" t="s">
        <v>13</v>
      </c>
      <c r="B1529" s="6" t="s">
        <v>19</v>
      </c>
      <c r="C1529" s="7" t="s">
        <v>1550</v>
      </c>
      <c r="D1529" s="7"/>
      <c r="E1529" s="8">
        <v>-1.7825088</v>
      </c>
      <c r="F1529" s="8">
        <v>-1.0957642999999999</v>
      </c>
      <c r="G1529" s="7" t="str">
        <f t="shared" si="12"/>
        <v>Direct</v>
      </c>
      <c r="H1529" s="7" t="s">
        <v>1551</v>
      </c>
    </row>
    <row r="1530" spans="1:8" x14ac:dyDescent="0.2">
      <c r="A1530" s="5" t="s">
        <v>13</v>
      </c>
      <c r="B1530" s="6" t="s">
        <v>19</v>
      </c>
      <c r="C1530" s="7" t="s">
        <v>1552</v>
      </c>
      <c r="D1530" s="7"/>
      <c r="E1530" s="8">
        <v>3.8278919</v>
      </c>
      <c r="F1530" s="8">
        <v>3.0273173999999998</v>
      </c>
      <c r="G1530" s="7" t="str">
        <f t="shared" si="12"/>
        <v>Direct</v>
      </c>
      <c r="H1530" s="7" t="s">
        <v>1553</v>
      </c>
    </row>
    <row r="1531" spans="1:8" x14ac:dyDescent="0.2">
      <c r="A1531" s="5" t="s">
        <v>13</v>
      </c>
      <c r="B1531" s="6" t="s">
        <v>19</v>
      </c>
      <c r="C1531" s="7" t="s">
        <v>1554</v>
      </c>
      <c r="D1531" s="7"/>
      <c r="E1531" s="8">
        <v>-2.2016865999999999</v>
      </c>
      <c r="F1531" s="8">
        <v>-2.2603339999999998</v>
      </c>
      <c r="G1531" s="7" t="str">
        <f t="shared" si="12"/>
        <v>Direct</v>
      </c>
      <c r="H1531" s="7" t="s">
        <v>1555</v>
      </c>
    </row>
    <row r="1532" spans="1:8" x14ac:dyDescent="0.2">
      <c r="A1532" s="5" t="s">
        <v>13</v>
      </c>
      <c r="B1532" s="6" t="s">
        <v>19</v>
      </c>
      <c r="C1532" s="7" t="s">
        <v>1556</v>
      </c>
      <c r="D1532" s="7"/>
      <c r="E1532" s="8">
        <v>-1.2033634</v>
      </c>
      <c r="F1532" s="8">
        <v>-2.3330777999999999</v>
      </c>
      <c r="G1532" s="7" t="str">
        <f t="shared" si="12"/>
        <v>Direct</v>
      </c>
      <c r="H1532" s="7" t="s">
        <v>88</v>
      </c>
    </row>
    <row r="1533" spans="1:8" x14ac:dyDescent="0.2">
      <c r="A1533" s="5" t="s">
        <v>13</v>
      </c>
      <c r="B1533" s="6" t="s">
        <v>19</v>
      </c>
      <c r="C1533" s="7" t="s">
        <v>211</v>
      </c>
      <c r="D1533" s="7"/>
      <c r="E1533" s="8">
        <v>-1.8144252000000001</v>
      </c>
      <c r="F1533" s="8">
        <v>-5.0524354999999996</v>
      </c>
      <c r="G1533" s="7" t="str">
        <f t="shared" si="12"/>
        <v>Direct</v>
      </c>
      <c r="H1533" s="7" t="s">
        <v>212</v>
      </c>
    </row>
    <row r="1534" spans="1:8" x14ac:dyDescent="0.2">
      <c r="A1534" s="5" t="s">
        <v>13</v>
      </c>
      <c r="B1534" s="6" t="s">
        <v>19</v>
      </c>
      <c r="C1534" s="7" t="s">
        <v>1557</v>
      </c>
      <c r="D1534" s="7"/>
      <c r="E1534" s="8">
        <v>-8.6966529000000001</v>
      </c>
      <c r="F1534" s="8">
        <v>-4.805294</v>
      </c>
      <c r="G1534" s="7" t="str">
        <f t="shared" si="12"/>
        <v>Direct</v>
      </c>
      <c r="H1534" s="7" t="s">
        <v>1558</v>
      </c>
    </row>
    <row r="1535" spans="1:8" x14ac:dyDescent="0.2">
      <c r="A1535" s="5" t="s">
        <v>13</v>
      </c>
      <c r="B1535" s="6" t="s">
        <v>19</v>
      </c>
      <c r="C1535" s="7" t="s">
        <v>1559</v>
      </c>
      <c r="D1535" s="7"/>
      <c r="E1535" s="8">
        <v>-43.719456999999998</v>
      </c>
      <c r="F1535" s="8">
        <v>-39.369808999999997</v>
      </c>
      <c r="G1535" s="7" t="str">
        <f t="shared" si="12"/>
        <v>Direct</v>
      </c>
      <c r="H1535" s="7" t="s">
        <v>1560</v>
      </c>
    </row>
    <row r="1536" spans="1:8" x14ac:dyDescent="0.2">
      <c r="A1536" s="5" t="s">
        <v>13</v>
      </c>
      <c r="B1536" s="6" t="s">
        <v>19</v>
      </c>
      <c r="C1536" s="7" t="s">
        <v>1561</v>
      </c>
      <c r="D1536" s="7"/>
      <c r="E1536" s="8">
        <v>1.3935271899999999</v>
      </c>
      <c r="F1536" s="8">
        <v>1.29183622</v>
      </c>
      <c r="G1536" s="7" t="str">
        <f t="shared" si="12"/>
        <v>Direct</v>
      </c>
      <c r="H1536" s="7" t="s">
        <v>1562</v>
      </c>
    </row>
    <row r="1537" spans="1:8" x14ac:dyDescent="0.2">
      <c r="A1537" s="5" t="s">
        <v>13</v>
      </c>
      <c r="B1537" s="6" t="s">
        <v>19</v>
      </c>
      <c r="C1537" s="7" t="s">
        <v>215</v>
      </c>
      <c r="D1537" s="7"/>
      <c r="E1537" s="8">
        <v>-2.4303267000000002</v>
      </c>
      <c r="F1537" s="8">
        <v>-1.8079599</v>
      </c>
      <c r="G1537" s="7" t="str">
        <f t="shared" si="12"/>
        <v>Direct</v>
      </c>
      <c r="H1537" s="7" t="s">
        <v>216</v>
      </c>
    </row>
    <row r="1538" spans="1:8" x14ac:dyDescent="0.2">
      <c r="A1538" s="5" t="s">
        <v>13</v>
      </c>
      <c r="B1538" s="6" t="s">
        <v>19</v>
      </c>
      <c r="C1538" s="7" t="s">
        <v>1563</v>
      </c>
      <c r="D1538" s="7"/>
      <c r="E1538" s="8">
        <v>-3.3581793000000002</v>
      </c>
      <c r="F1538" s="8">
        <v>-3.7249555999999999</v>
      </c>
      <c r="G1538" s="7" t="str">
        <f t="shared" si="12"/>
        <v>Direct</v>
      </c>
      <c r="H1538" s="7" t="s">
        <v>1564</v>
      </c>
    </row>
    <row r="1539" spans="1:8" x14ac:dyDescent="0.2">
      <c r="A1539" s="5" t="s">
        <v>13</v>
      </c>
      <c r="B1539" s="6" t="s">
        <v>19</v>
      </c>
      <c r="C1539" s="7" t="s">
        <v>1565</v>
      </c>
      <c r="D1539" s="7"/>
      <c r="E1539" s="8">
        <v>-1.5824590999999999</v>
      </c>
      <c r="F1539" s="8">
        <v>-3.2079338000000002</v>
      </c>
      <c r="G1539" s="7" t="str">
        <f t="shared" si="12"/>
        <v>Direct</v>
      </c>
      <c r="H1539" s="7" t="s">
        <v>905</v>
      </c>
    </row>
    <row r="1540" spans="1:8" x14ac:dyDescent="0.2">
      <c r="A1540" s="5" t="s">
        <v>13</v>
      </c>
      <c r="B1540" s="6" t="s">
        <v>19</v>
      </c>
      <c r="C1540" s="7" t="s">
        <v>1566</v>
      </c>
      <c r="D1540" s="7"/>
      <c r="E1540" s="8">
        <v>-1.1666449999999999</v>
      </c>
      <c r="F1540" s="8">
        <v>-1.6409815000000001</v>
      </c>
      <c r="G1540" s="7" t="str">
        <f t="shared" si="12"/>
        <v>Direct</v>
      </c>
      <c r="H1540" s="7" t="s">
        <v>16</v>
      </c>
    </row>
    <row r="1541" spans="1:8" x14ac:dyDescent="0.2">
      <c r="A1541" s="5" t="s">
        <v>13</v>
      </c>
      <c r="B1541" s="6" t="s">
        <v>19</v>
      </c>
      <c r="C1541" s="7" t="s">
        <v>1567</v>
      </c>
      <c r="D1541" s="7"/>
      <c r="E1541" s="8">
        <v>-1.9542018000000001</v>
      </c>
      <c r="F1541" s="8">
        <v>-1.6679908999999999</v>
      </c>
      <c r="G1541" s="7" t="str">
        <f t="shared" si="12"/>
        <v>Direct</v>
      </c>
      <c r="H1541" s="7" t="s">
        <v>16</v>
      </c>
    </row>
    <row r="1542" spans="1:8" x14ac:dyDescent="0.2">
      <c r="A1542" s="5" t="s">
        <v>13</v>
      </c>
      <c r="B1542" s="6" t="s">
        <v>19</v>
      </c>
      <c r="C1542" s="7" t="s">
        <v>1568</v>
      </c>
      <c r="D1542" s="7"/>
      <c r="E1542" s="8">
        <v>1.06726342</v>
      </c>
      <c r="F1542" s="8">
        <v>1.1093362499999999</v>
      </c>
      <c r="G1542" s="7" t="str">
        <f t="shared" si="12"/>
        <v>Direct</v>
      </c>
      <c r="H1542" s="7" t="s">
        <v>16</v>
      </c>
    </row>
    <row r="1543" spans="1:8" x14ac:dyDescent="0.2">
      <c r="A1543" s="5" t="s">
        <v>13</v>
      </c>
      <c r="B1543" s="6" t="s">
        <v>19</v>
      </c>
      <c r="C1543" s="7" t="s">
        <v>1569</v>
      </c>
      <c r="D1543" s="7"/>
      <c r="E1543" s="8">
        <v>-1.1793951</v>
      </c>
      <c r="F1543" s="8">
        <v>-1.2602541</v>
      </c>
      <c r="G1543" s="7" t="str">
        <f t="shared" si="12"/>
        <v>Direct</v>
      </c>
      <c r="H1543" s="7" t="s">
        <v>16</v>
      </c>
    </row>
    <row r="1544" spans="1:8" x14ac:dyDescent="0.2">
      <c r="A1544" s="5" t="s">
        <v>13</v>
      </c>
      <c r="B1544" s="6" t="s">
        <v>19</v>
      </c>
      <c r="C1544" s="7" t="s">
        <v>217</v>
      </c>
      <c r="D1544" s="7"/>
      <c r="E1544" s="8">
        <v>-1.3350090999999999</v>
      </c>
      <c r="F1544" s="8">
        <v>-1.9667110000000001</v>
      </c>
      <c r="G1544" s="7" t="str">
        <f t="shared" si="12"/>
        <v>Direct</v>
      </c>
      <c r="H1544" s="7" t="s">
        <v>16</v>
      </c>
    </row>
    <row r="1545" spans="1:8" x14ac:dyDescent="0.2">
      <c r="A1545" s="5" t="s">
        <v>13</v>
      </c>
      <c r="B1545" s="6" t="s">
        <v>19</v>
      </c>
      <c r="C1545" s="7" t="s">
        <v>218</v>
      </c>
      <c r="D1545" s="7"/>
      <c r="E1545" s="8">
        <v>-13.336264</v>
      </c>
      <c r="F1545" s="8">
        <v>-13.537568</v>
      </c>
      <c r="G1545" s="7" t="str">
        <f t="shared" si="12"/>
        <v>Direct</v>
      </c>
      <c r="H1545" s="7" t="s">
        <v>16</v>
      </c>
    </row>
    <row r="1546" spans="1:8" x14ac:dyDescent="0.2">
      <c r="A1546" s="5" t="s">
        <v>13</v>
      </c>
      <c r="B1546" s="6" t="s">
        <v>19</v>
      </c>
      <c r="C1546" s="7" t="s">
        <v>1570</v>
      </c>
      <c r="D1546" s="7"/>
      <c r="E1546" s="8">
        <v>6.7071046499999998</v>
      </c>
      <c r="F1546" s="8">
        <v>5.5157655400000003</v>
      </c>
      <c r="G1546" s="7" t="str">
        <f t="shared" si="12"/>
        <v>Direct</v>
      </c>
      <c r="H1546" s="7" t="s">
        <v>16</v>
      </c>
    </row>
    <row r="1547" spans="1:8" x14ac:dyDescent="0.2">
      <c r="A1547" s="5" t="s">
        <v>13</v>
      </c>
      <c r="B1547" s="6" t="s">
        <v>19</v>
      </c>
      <c r="C1547" s="7" t="s">
        <v>1571</v>
      </c>
      <c r="D1547" s="7"/>
      <c r="E1547" s="8">
        <v>-2.2467538</v>
      </c>
      <c r="F1547" s="8">
        <v>-1.9723889999999999</v>
      </c>
      <c r="G1547" s="7" t="str">
        <f t="shared" si="12"/>
        <v>Direct</v>
      </c>
      <c r="H1547" s="7" t="s">
        <v>1572</v>
      </c>
    </row>
    <row r="1548" spans="1:8" x14ac:dyDescent="0.2">
      <c r="A1548" s="5" t="s">
        <v>13</v>
      </c>
      <c r="B1548" s="6" t="s">
        <v>19</v>
      </c>
      <c r="C1548" s="7" t="s">
        <v>1573</v>
      </c>
      <c r="D1548" s="7"/>
      <c r="E1548" s="8">
        <v>-5.1880343</v>
      </c>
      <c r="F1548" s="8">
        <v>-3.1976738999999998</v>
      </c>
      <c r="G1548" s="7" t="str">
        <f t="shared" si="12"/>
        <v>Direct</v>
      </c>
      <c r="H1548" s="7" t="s">
        <v>1006</v>
      </c>
    </row>
    <row r="1549" spans="1:8" x14ac:dyDescent="0.2">
      <c r="A1549" s="5" t="s">
        <v>13</v>
      </c>
      <c r="B1549" s="6" t="s">
        <v>19</v>
      </c>
      <c r="C1549" s="7" t="s">
        <v>1574</v>
      </c>
      <c r="D1549" s="7"/>
      <c r="E1549" s="8">
        <v>-1.4636191000000001</v>
      </c>
      <c r="F1549" s="8">
        <v>-3.4011171</v>
      </c>
      <c r="G1549" s="7" t="str">
        <f t="shared" si="12"/>
        <v>Direct</v>
      </c>
      <c r="H1549" s="7" t="s">
        <v>1006</v>
      </c>
    </row>
    <row r="1550" spans="1:8" x14ac:dyDescent="0.2">
      <c r="A1550" s="5" t="s">
        <v>13</v>
      </c>
      <c r="B1550" s="6" t="s">
        <v>19</v>
      </c>
      <c r="C1550" s="7" t="s">
        <v>1575</v>
      </c>
      <c r="D1550" s="7"/>
      <c r="E1550" s="8">
        <v>-2.6497674</v>
      </c>
      <c r="F1550" s="8">
        <v>-4.4367001000000004</v>
      </c>
      <c r="G1550" s="7" t="str">
        <f t="shared" si="12"/>
        <v>Direct</v>
      </c>
      <c r="H1550" s="7" t="s">
        <v>1006</v>
      </c>
    </row>
    <row r="1551" spans="1:8" x14ac:dyDescent="0.2">
      <c r="A1551" s="5" t="s">
        <v>13</v>
      </c>
      <c r="B1551" s="6" t="s">
        <v>19</v>
      </c>
      <c r="C1551" s="7" t="s">
        <v>219</v>
      </c>
      <c r="D1551" s="7"/>
      <c r="E1551" s="8">
        <v>-1.0658957</v>
      </c>
      <c r="F1551" s="8">
        <v>-1.0058069000000001</v>
      </c>
      <c r="G1551" s="7" t="str">
        <f t="shared" si="12"/>
        <v>Direct</v>
      </c>
      <c r="H1551" s="7" t="s">
        <v>220</v>
      </c>
    </row>
    <row r="1552" spans="1:8" x14ac:dyDescent="0.2">
      <c r="A1552" s="5" t="s">
        <v>13</v>
      </c>
      <c r="B1552" s="6" t="s">
        <v>19</v>
      </c>
      <c r="C1552" s="7" t="s">
        <v>1576</v>
      </c>
      <c r="D1552" s="7"/>
      <c r="E1552" s="8">
        <v>1.7007342599999999</v>
      </c>
      <c r="F1552" s="8">
        <v>3.15131513</v>
      </c>
      <c r="G1552" s="7" t="str">
        <f t="shared" si="12"/>
        <v>Direct</v>
      </c>
      <c r="H1552" s="7" t="s">
        <v>1577</v>
      </c>
    </row>
    <row r="1553" spans="1:8" x14ac:dyDescent="0.2">
      <c r="A1553" s="5" t="s">
        <v>13</v>
      </c>
      <c r="B1553" s="6" t="s">
        <v>19</v>
      </c>
      <c r="C1553" s="7" t="s">
        <v>1578</v>
      </c>
      <c r="D1553" s="7"/>
      <c r="E1553" s="8">
        <v>-3.4682824000000001</v>
      </c>
      <c r="F1553" s="8">
        <v>-2.2956658999999999</v>
      </c>
      <c r="G1553" s="7" t="str">
        <f t="shared" si="12"/>
        <v>Direct</v>
      </c>
      <c r="H1553" s="7" t="s">
        <v>728</v>
      </c>
    </row>
    <row r="1554" spans="1:8" x14ac:dyDescent="0.2">
      <c r="A1554" s="5" t="s">
        <v>13</v>
      </c>
      <c r="B1554" s="6" t="s">
        <v>19</v>
      </c>
      <c r="C1554" s="7" t="s">
        <v>221</v>
      </c>
      <c r="D1554" s="7"/>
      <c r="E1554" s="8">
        <v>-2.2291856000000001</v>
      </c>
      <c r="F1554" s="8">
        <v>-3.7445648</v>
      </c>
      <c r="G1554" s="7" t="str">
        <f t="shared" si="12"/>
        <v>Direct</v>
      </c>
      <c r="H1554" s="7" t="s">
        <v>222</v>
      </c>
    </row>
    <row r="1555" spans="1:8" x14ac:dyDescent="0.2">
      <c r="A1555" s="5" t="s">
        <v>13</v>
      </c>
      <c r="B1555" s="6" t="s">
        <v>19</v>
      </c>
      <c r="C1555" s="7" t="s">
        <v>1579</v>
      </c>
      <c r="D1555" s="7"/>
      <c r="E1555" s="8">
        <v>-1.0344316</v>
      </c>
      <c r="F1555" s="8">
        <v>-1.3360692000000001</v>
      </c>
      <c r="G1555" s="7" t="str">
        <f t="shared" si="12"/>
        <v>Direct</v>
      </c>
      <c r="H1555" s="7" t="s">
        <v>1580</v>
      </c>
    </row>
    <row r="1556" spans="1:8" x14ac:dyDescent="0.2">
      <c r="A1556" s="5" t="s">
        <v>13</v>
      </c>
      <c r="B1556" s="6" t="s">
        <v>19</v>
      </c>
      <c r="C1556" s="7" t="s">
        <v>1581</v>
      </c>
      <c r="D1556" s="7"/>
      <c r="E1556" s="8">
        <v>-1.5690211999999999</v>
      </c>
      <c r="F1556" s="8">
        <v>-1.7248357999999999</v>
      </c>
      <c r="G1556" s="7" t="str">
        <f t="shared" si="12"/>
        <v>Direct</v>
      </c>
      <c r="H1556" s="7" t="s">
        <v>1582</v>
      </c>
    </row>
    <row r="1557" spans="1:8" x14ac:dyDescent="0.2">
      <c r="A1557" s="5" t="s">
        <v>13</v>
      </c>
      <c r="B1557" s="6" t="s">
        <v>19</v>
      </c>
      <c r="C1557" s="7" t="s">
        <v>1583</v>
      </c>
      <c r="D1557" s="7"/>
      <c r="E1557" s="8">
        <v>2.7458296799999999</v>
      </c>
      <c r="F1557" s="8">
        <v>2.8598778999999999</v>
      </c>
      <c r="G1557" s="7" t="str">
        <f t="shared" si="12"/>
        <v>Direct</v>
      </c>
      <c r="H1557" s="7" t="s">
        <v>1584</v>
      </c>
    </row>
    <row r="1558" spans="1:8" x14ac:dyDescent="0.2">
      <c r="A1558" s="5" t="s">
        <v>13</v>
      </c>
      <c r="B1558" s="6" t="s">
        <v>19</v>
      </c>
      <c r="C1558" s="7" t="s">
        <v>1585</v>
      </c>
      <c r="D1558" s="7"/>
      <c r="E1558" s="8">
        <v>-1.6617082000000001</v>
      </c>
      <c r="F1558" s="8">
        <v>-2.8279782</v>
      </c>
      <c r="G1558" s="7" t="str">
        <f t="shared" si="12"/>
        <v>Direct</v>
      </c>
      <c r="H1558" s="7" t="s">
        <v>1586</v>
      </c>
    </row>
    <row r="1559" spans="1:8" x14ac:dyDescent="0.2">
      <c r="A1559" s="5" t="s">
        <v>13</v>
      </c>
      <c r="B1559" s="6" t="s">
        <v>19</v>
      </c>
      <c r="C1559" s="7" t="s">
        <v>1587</v>
      </c>
      <c r="D1559" s="7"/>
      <c r="E1559" s="8">
        <v>-3.5321543000000002</v>
      </c>
      <c r="F1559" s="8">
        <v>-5.0880841999999999</v>
      </c>
      <c r="G1559" s="7" t="str">
        <f t="shared" si="12"/>
        <v>Direct</v>
      </c>
      <c r="H1559" s="7" t="s">
        <v>1588</v>
      </c>
    </row>
    <row r="1560" spans="1:8" x14ac:dyDescent="0.2">
      <c r="A1560" s="5" t="s">
        <v>13</v>
      </c>
      <c r="B1560" s="6" t="s">
        <v>19</v>
      </c>
      <c r="C1560" s="7" t="s">
        <v>1589</v>
      </c>
      <c r="D1560" s="7"/>
      <c r="E1560" s="8">
        <v>-2.0784810999999999</v>
      </c>
      <c r="F1560" s="8">
        <v>-2.0693508</v>
      </c>
      <c r="G1560" s="7" t="str">
        <f t="shared" si="12"/>
        <v>Direct</v>
      </c>
      <c r="H1560" s="7" t="s">
        <v>16</v>
      </c>
    </row>
    <row r="1561" spans="1:8" x14ac:dyDescent="0.2">
      <c r="A1561" s="5" t="s">
        <v>13</v>
      </c>
      <c r="B1561" s="6" t="s">
        <v>19</v>
      </c>
      <c r="C1561" s="7" t="s">
        <v>1590</v>
      </c>
      <c r="D1561" s="7"/>
      <c r="E1561" s="8">
        <v>-1.5027484</v>
      </c>
      <c r="F1561" s="8">
        <v>-2.0625144999999998</v>
      </c>
      <c r="G1561" s="7" t="str">
        <f t="shared" si="12"/>
        <v>Direct</v>
      </c>
      <c r="H1561" s="7" t="s">
        <v>1591</v>
      </c>
    </row>
    <row r="1562" spans="1:8" x14ac:dyDescent="0.2">
      <c r="A1562" s="5" t="s">
        <v>13</v>
      </c>
      <c r="B1562" s="6" t="s">
        <v>19</v>
      </c>
      <c r="C1562" s="7" t="s">
        <v>1592</v>
      </c>
      <c r="D1562" s="7"/>
      <c r="E1562" s="8">
        <v>2.36239658</v>
      </c>
      <c r="F1562" s="8">
        <v>1.9465352199999999</v>
      </c>
      <c r="G1562" s="7" t="str">
        <f t="shared" si="12"/>
        <v>Direct</v>
      </c>
      <c r="H1562" s="7" t="s">
        <v>16</v>
      </c>
    </row>
    <row r="1563" spans="1:8" x14ac:dyDescent="0.2">
      <c r="A1563" s="5" t="s">
        <v>13</v>
      </c>
      <c r="B1563" s="6" t="s">
        <v>19</v>
      </c>
      <c r="C1563" s="7" t="s">
        <v>1593</v>
      </c>
      <c r="D1563" s="7"/>
      <c r="E1563" s="8">
        <v>-1.8611613</v>
      </c>
      <c r="F1563" s="8">
        <v>-2.5570791000000002</v>
      </c>
      <c r="G1563" s="7" t="str">
        <f t="shared" si="12"/>
        <v>Direct</v>
      </c>
      <c r="H1563" s="7" t="s">
        <v>16</v>
      </c>
    </row>
    <row r="1564" spans="1:8" x14ac:dyDescent="0.2">
      <c r="A1564" s="5" t="s">
        <v>13</v>
      </c>
      <c r="B1564" s="6" t="s">
        <v>19</v>
      </c>
      <c r="C1564" s="7" t="s">
        <v>1594</v>
      </c>
      <c r="D1564" s="7"/>
      <c r="E1564" s="8">
        <v>-1.1763162</v>
      </c>
      <c r="F1564" s="8">
        <v>-1.4123272</v>
      </c>
      <c r="G1564" s="7" t="str">
        <f t="shared" si="12"/>
        <v>Direct</v>
      </c>
      <c r="H1564" s="7" t="s">
        <v>16</v>
      </c>
    </row>
    <row r="1565" spans="1:8" x14ac:dyDescent="0.2">
      <c r="A1565" s="5" t="s">
        <v>13</v>
      </c>
      <c r="B1565" s="6" t="s">
        <v>19</v>
      </c>
      <c r="C1565" s="7" t="s">
        <v>1595</v>
      </c>
      <c r="D1565" s="7"/>
      <c r="E1565" s="8">
        <v>-1.3617710000000001</v>
      </c>
      <c r="F1565" s="8">
        <v>-2.1744002</v>
      </c>
      <c r="G1565" s="7" t="str">
        <f t="shared" si="12"/>
        <v>Direct</v>
      </c>
      <c r="H1565" s="7" t="s">
        <v>16</v>
      </c>
    </row>
    <row r="1566" spans="1:8" x14ac:dyDescent="0.2">
      <c r="A1566" s="5" t="s">
        <v>13</v>
      </c>
      <c r="B1566" s="6" t="s">
        <v>19</v>
      </c>
      <c r="C1566" s="7" t="s">
        <v>1596</v>
      </c>
      <c r="D1566" s="7"/>
      <c r="E1566" s="8">
        <v>-1.5565659999999999</v>
      </c>
      <c r="F1566" s="8">
        <v>-1.782079</v>
      </c>
      <c r="G1566" s="7" t="str">
        <f t="shared" si="12"/>
        <v>Direct</v>
      </c>
      <c r="H1566" s="7" t="s">
        <v>1597</v>
      </c>
    </row>
    <row r="1567" spans="1:8" x14ac:dyDescent="0.2">
      <c r="A1567" s="5" t="s">
        <v>13</v>
      </c>
      <c r="B1567" s="6" t="s">
        <v>19</v>
      </c>
      <c r="C1567" s="7" t="s">
        <v>1598</v>
      </c>
      <c r="D1567" s="7"/>
      <c r="E1567" s="8">
        <v>1.3530833499999999</v>
      </c>
      <c r="F1567" s="8">
        <v>1.5999363</v>
      </c>
      <c r="G1567" s="7" t="str">
        <f t="shared" si="12"/>
        <v>Direct</v>
      </c>
      <c r="H1567" s="7" t="s">
        <v>16</v>
      </c>
    </row>
    <row r="1568" spans="1:8" x14ac:dyDescent="0.2">
      <c r="A1568" s="5" t="s">
        <v>13</v>
      </c>
      <c r="B1568" s="6" t="s">
        <v>19</v>
      </c>
      <c r="C1568" s="7" t="s">
        <v>1599</v>
      </c>
      <c r="D1568" s="7"/>
      <c r="E1568" s="8">
        <v>3.0605920200000001</v>
      </c>
      <c r="F1568" s="8">
        <v>2.33367272</v>
      </c>
      <c r="G1568" s="7" t="str">
        <f t="shared" si="12"/>
        <v>Direct</v>
      </c>
      <c r="H1568" s="7" t="s">
        <v>16</v>
      </c>
    </row>
    <row r="1569" spans="1:8" x14ac:dyDescent="0.2">
      <c r="A1569" s="5" t="s">
        <v>13</v>
      </c>
      <c r="B1569" s="6" t="s">
        <v>19</v>
      </c>
      <c r="C1569" s="7" t="s">
        <v>1600</v>
      </c>
      <c r="D1569" s="7"/>
      <c r="E1569" s="8">
        <v>-1.8025948000000001</v>
      </c>
      <c r="F1569" s="8">
        <v>-3.2206394999999999</v>
      </c>
      <c r="G1569" s="7" t="str">
        <f t="shared" si="12"/>
        <v>Direct</v>
      </c>
      <c r="H1569" s="7" t="s">
        <v>1601</v>
      </c>
    </row>
    <row r="1570" spans="1:8" x14ac:dyDescent="0.2">
      <c r="A1570" s="5" t="s">
        <v>13</v>
      </c>
      <c r="B1570" s="6" t="s">
        <v>19</v>
      </c>
      <c r="C1570" s="7" t="s">
        <v>223</v>
      </c>
      <c r="D1570" s="7"/>
      <c r="E1570" s="8">
        <v>15.966555700000001</v>
      </c>
      <c r="F1570" s="8">
        <v>13.5590796</v>
      </c>
      <c r="G1570" s="7" t="str">
        <f t="shared" si="12"/>
        <v>Direct</v>
      </c>
      <c r="H1570" s="7" t="s">
        <v>224</v>
      </c>
    </row>
    <row r="1571" spans="1:8" x14ac:dyDescent="0.2">
      <c r="A1571" s="5" t="s">
        <v>13</v>
      </c>
      <c r="B1571" s="6" t="s">
        <v>19</v>
      </c>
      <c r="C1571" s="7" t="s">
        <v>1602</v>
      </c>
      <c r="D1571" s="7"/>
      <c r="E1571" s="8">
        <v>2.2214629299999999</v>
      </c>
      <c r="F1571" s="8">
        <v>3.3995915600000002</v>
      </c>
      <c r="G1571" s="7" t="str">
        <f t="shared" si="12"/>
        <v>Direct</v>
      </c>
      <c r="H1571" s="7" t="s">
        <v>1603</v>
      </c>
    </row>
    <row r="1572" spans="1:8" x14ac:dyDescent="0.2">
      <c r="A1572" s="5" t="s">
        <v>13</v>
      </c>
      <c r="B1572" s="6" t="s">
        <v>19</v>
      </c>
      <c r="C1572" s="7" t="s">
        <v>225</v>
      </c>
      <c r="D1572" s="7"/>
      <c r="E1572" s="8">
        <v>-1.3415815</v>
      </c>
      <c r="F1572" s="8">
        <v>-1.594708</v>
      </c>
      <c r="G1572" s="7" t="str">
        <f t="shared" si="12"/>
        <v>Direct</v>
      </c>
      <c r="H1572" s="7" t="s">
        <v>16</v>
      </c>
    </row>
    <row r="1573" spans="1:8" x14ac:dyDescent="0.2">
      <c r="A1573" s="5" t="s">
        <v>13</v>
      </c>
      <c r="B1573" s="6" t="s">
        <v>19</v>
      </c>
      <c r="C1573" s="7" t="s">
        <v>1604</v>
      </c>
      <c r="D1573" s="7"/>
      <c r="E1573" s="8">
        <v>1.6628804500000001</v>
      </c>
      <c r="F1573" s="8">
        <v>3.0653718200000002</v>
      </c>
      <c r="G1573" s="7" t="str">
        <f t="shared" si="12"/>
        <v>Direct</v>
      </c>
      <c r="H1573" s="7" t="s">
        <v>16</v>
      </c>
    </row>
    <row r="1574" spans="1:8" x14ac:dyDescent="0.2">
      <c r="A1574" s="5" t="s">
        <v>13</v>
      </c>
      <c r="B1574" s="6" t="s">
        <v>19</v>
      </c>
      <c r="C1574" s="7" t="s">
        <v>1605</v>
      </c>
      <c r="D1574" s="7"/>
      <c r="E1574" s="8">
        <v>-1.7530815</v>
      </c>
      <c r="F1574" s="8">
        <v>-1.1806235</v>
      </c>
      <c r="G1574" s="7" t="str">
        <f t="shared" si="12"/>
        <v>Direct</v>
      </c>
      <c r="H1574" s="7" t="s">
        <v>16</v>
      </c>
    </row>
    <row r="1575" spans="1:8" x14ac:dyDescent="0.2">
      <c r="A1575" s="5" t="s">
        <v>13</v>
      </c>
      <c r="B1575" s="6" t="s">
        <v>19</v>
      </c>
      <c r="C1575" s="7" t="s">
        <v>1606</v>
      </c>
      <c r="D1575" s="7"/>
      <c r="E1575" s="8">
        <v>3.5462875899999999</v>
      </c>
      <c r="F1575" s="8">
        <v>2.4155219899999998</v>
      </c>
      <c r="G1575" s="7" t="str">
        <f t="shared" si="12"/>
        <v>Direct</v>
      </c>
      <c r="H1575" s="7" t="s">
        <v>1607</v>
      </c>
    </row>
    <row r="1576" spans="1:8" x14ac:dyDescent="0.2">
      <c r="A1576" s="5" t="s">
        <v>13</v>
      </c>
      <c r="B1576" s="6" t="s">
        <v>19</v>
      </c>
      <c r="C1576" s="7" t="s">
        <v>1608</v>
      </c>
      <c r="D1576" s="7"/>
      <c r="E1576" s="8">
        <v>2.2738345199999999</v>
      </c>
      <c r="F1576" s="8">
        <v>2.1201713</v>
      </c>
      <c r="G1576" s="7" t="str">
        <f t="shared" si="12"/>
        <v>Direct</v>
      </c>
      <c r="H1576" s="7" t="s">
        <v>1609</v>
      </c>
    </row>
    <row r="1577" spans="1:8" x14ac:dyDescent="0.2">
      <c r="A1577" s="5" t="s">
        <v>13</v>
      </c>
      <c r="B1577" s="6" t="s">
        <v>19</v>
      </c>
      <c r="C1577" s="7" t="s">
        <v>1610</v>
      </c>
      <c r="D1577" s="7"/>
      <c r="E1577" s="8">
        <v>-1.3252636</v>
      </c>
      <c r="F1577" s="8">
        <v>-1.0942483000000001</v>
      </c>
      <c r="G1577" s="7" t="str">
        <f t="shared" si="12"/>
        <v>Direct</v>
      </c>
      <c r="H1577" s="7" t="s">
        <v>1611</v>
      </c>
    </row>
    <row r="1578" spans="1:8" x14ac:dyDescent="0.2">
      <c r="A1578" s="5" t="s">
        <v>13</v>
      </c>
      <c r="B1578" s="6" t="s">
        <v>19</v>
      </c>
      <c r="C1578" s="7" t="s">
        <v>1612</v>
      </c>
      <c r="D1578" s="7"/>
      <c r="E1578" s="8">
        <v>4.0751868699999996</v>
      </c>
      <c r="F1578" s="8">
        <v>4.3257192099999999</v>
      </c>
      <c r="G1578" s="7" t="str">
        <f t="shared" si="12"/>
        <v>Direct</v>
      </c>
      <c r="H1578" s="7" t="s">
        <v>1613</v>
      </c>
    </row>
    <row r="1579" spans="1:8" x14ac:dyDescent="0.2">
      <c r="A1579" s="5" t="s">
        <v>13</v>
      </c>
      <c r="B1579" s="6" t="s">
        <v>19</v>
      </c>
      <c r="C1579" s="7" t="s">
        <v>1614</v>
      </c>
      <c r="D1579" s="7"/>
      <c r="E1579" s="8">
        <v>10.1016011</v>
      </c>
      <c r="F1579" s="8">
        <v>8.4705137300000004</v>
      </c>
      <c r="G1579" s="7" t="str">
        <f t="shared" si="12"/>
        <v>Direct</v>
      </c>
      <c r="H1579" s="7" t="s">
        <v>1615</v>
      </c>
    </row>
    <row r="1580" spans="1:8" x14ac:dyDescent="0.2">
      <c r="A1580" s="5" t="s">
        <v>13</v>
      </c>
      <c r="B1580" s="6" t="s">
        <v>19</v>
      </c>
      <c r="C1580" s="7" t="s">
        <v>1616</v>
      </c>
      <c r="D1580" s="7"/>
      <c r="E1580" s="8">
        <v>-2.0871453999999998</v>
      </c>
      <c r="F1580" s="8">
        <v>-1.6442577</v>
      </c>
      <c r="G1580" s="7" t="str">
        <f t="shared" si="12"/>
        <v>Direct</v>
      </c>
      <c r="H1580" s="7" t="s">
        <v>1617</v>
      </c>
    </row>
    <row r="1581" spans="1:8" x14ac:dyDescent="0.2">
      <c r="A1581" s="5" t="s">
        <v>13</v>
      </c>
      <c r="B1581" s="6" t="s">
        <v>19</v>
      </c>
      <c r="C1581" s="7" t="s">
        <v>1618</v>
      </c>
      <c r="D1581" s="7"/>
      <c r="E1581" s="8">
        <v>-4.3985630999999996</v>
      </c>
      <c r="F1581" s="8">
        <v>-3.9564981000000001</v>
      </c>
      <c r="G1581" s="7" t="str">
        <f t="shared" si="12"/>
        <v>Direct</v>
      </c>
      <c r="H1581" s="7" t="s">
        <v>142</v>
      </c>
    </row>
    <row r="1582" spans="1:8" x14ac:dyDescent="0.2">
      <c r="A1582" s="5" t="s">
        <v>13</v>
      </c>
      <c r="B1582" s="6" t="s">
        <v>19</v>
      </c>
      <c r="C1582" s="7" t="s">
        <v>1619</v>
      </c>
      <c r="D1582" s="7"/>
      <c r="E1582" s="8">
        <v>-7.2937557999999996</v>
      </c>
      <c r="F1582" s="8">
        <v>-7.120177</v>
      </c>
      <c r="G1582" s="7" t="str">
        <f t="shared" si="12"/>
        <v>Direct</v>
      </c>
      <c r="H1582" s="7" t="s">
        <v>142</v>
      </c>
    </row>
    <row r="1583" spans="1:8" x14ac:dyDescent="0.2">
      <c r="A1583" s="5" t="s">
        <v>13</v>
      </c>
      <c r="B1583" s="6" t="s">
        <v>19</v>
      </c>
      <c r="C1583" s="7" t="s">
        <v>1620</v>
      </c>
      <c r="D1583" s="7"/>
      <c r="E1583" s="8">
        <v>1.84475148</v>
      </c>
      <c r="F1583" s="8">
        <v>1.9465352199999999</v>
      </c>
      <c r="G1583" s="7" t="str">
        <f t="shared" si="12"/>
        <v>Direct</v>
      </c>
      <c r="H1583" s="7" t="s">
        <v>1621</v>
      </c>
    </row>
    <row r="1584" spans="1:8" x14ac:dyDescent="0.2">
      <c r="A1584" s="5" t="s">
        <v>13</v>
      </c>
      <c r="B1584" s="6" t="s">
        <v>19</v>
      </c>
      <c r="C1584" s="7" t="s">
        <v>1622</v>
      </c>
      <c r="D1584" s="7"/>
      <c r="E1584" s="8">
        <v>-3.6749081000000001</v>
      </c>
      <c r="F1584" s="8">
        <v>-2.9541648999999999</v>
      </c>
      <c r="G1584" s="7" t="str">
        <f t="shared" si="12"/>
        <v>Direct</v>
      </c>
      <c r="H1584" s="7" t="s">
        <v>1623</v>
      </c>
    </row>
    <row r="1585" spans="1:8" x14ac:dyDescent="0.2">
      <c r="A1585" s="5" t="s">
        <v>13</v>
      </c>
      <c r="B1585" s="6" t="s">
        <v>19</v>
      </c>
      <c r="C1585" s="7" t="s">
        <v>1624</v>
      </c>
      <c r="D1585" s="7"/>
      <c r="E1585" s="8">
        <v>-1.7861967999999999</v>
      </c>
      <c r="F1585" s="8">
        <v>-2.1273521999999998</v>
      </c>
      <c r="G1585" s="7" t="str">
        <f t="shared" si="12"/>
        <v>Direct</v>
      </c>
      <c r="H1585" s="7" t="s">
        <v>16</v>
      </c>
    </row>
    <row r="1586" spans="1:8" x14ac:dyDescent="0.2">
      <c r="A1586" s="5" t="s">
        <v>13</v>
      </c>
      <c r="B1586" s="6" t="s">
        <v>19</v>
      </c>
      <c r="C1586" s="7" t="s">
        <v>1625</v>
      </c>
      <c r="D1586" s="7"/>
      <c r="E1586" s="8">
        <v>-1.0460961</v>
      </c>
      <c r="F1586" s="8">
        <v>-1.0718658000000001</v>
      </c>
      <c r="G1586" s="7" t="str">
        <f t="shared" si="12"/>
        <v>Direct</v>
      </c>
      <c r="H1586" s="7" t="s">
        <v>1123</v>
      </c>
    </row>
    <row r="1587" spans="1:8" x14ac:dyDescent="0.2">
      <c r="A1587" s="5" t="s">
        <v>13</v>
      </c>
      <c r="B1587" s="6" t="s">
        <v>19</v>
      </c>
      <c r="C1587" s="7" t="s">
        <v>1626</v>
      </c>
      <c r="D1587" s="7"/>
      <c r="E1587" s="8">
        <v>-4.3196168999999998</v>
      </c>
      <c r="F1587" s="8">
        <v>-3.5452305000000002</v>
      </c>
      <c r="G1587" s="7" t="str">
        <f t="shared" si="12"/>
        <v>Direct</v>
      </c>
      <c r="H1587" s="7" t="s">
        <v>1627</v>
      </c>
    </row>
    <row r="1588" spans="1:8" x14ac:dyDescent="0.2">
      <c r="A1588" s="5" t="s">
        <v>13</v>
      </c>
      <c r="B1588" s="6" t="s">
        <v>19</v>
      </c>
      <c r="C1588" s="7" t="s">
        <v>1628</v>
      </c>
      <c r="D1588" s="7"/>
      <c r="E1588" s="8">
        <v>8.4111269199999992</v>
      </c>
      <c r="F1588" s="8">
        <v>8.7532170300000001</v>
      </c>
      <c r="G1588" s="7" t="str">
        <f t="shared" si="12"/>
        <v>Direct</v>
      </c>
      <c r="H1588" s="7" t="s">
        <v>227</v>
      </c>
    </row>
    <row r="1589" spans="1:8" x14ac:dyDescent="0.2">
      <c r="A1589" s="5" t="s">
        <v>13</v>
      </c>
      <c r="B1589" s="6" t="s">
        <v>19</v>
      </c>
      <c r="C1589" s="7" t="s">
        <v>1629</v>
      </c>
      <c r="D1589" s="7"/>
      <c r="E1589" s="8">
        <v>-2.8697157999999998</v>
      </c>
      <c r="F1589" s="8">
        <v>-3.8233546999999999</v>
      </c>
      <c r="G1589" s="7" t="str">
        <f t="shared" si="12"/>
        <v>Direct</v>
      </c>
      <c r="H1589" s="7" t="s">
        <v>1630</v>
      </c>
    </row>
    <row r="1590" spans="1:8" x14ac:dyDescent="0.2">
      <c r="A1590" s="5" t="s">
        <v>13</v>
      </c>
      <c r="B1590" s="6" t="s">
        <v>19</v>
      </c>
      <c r="C1590" s="7" t="s">
        <v>1631</v>
      </c>
      <c r="D1590" s="7"/>
      <c r="E1590" s="8">
        <v>-1.3299922</v>
      </c>
      <c r="F1590" s="8">
        <v>-2.4836554999999998</v>
      </c>
      <c r="G1590" s="7" t="str">
        <f t="shared" si="12"/>
        <v>Direct</v>
      </c>
      <c r="H1590" s="7" t="s">
        <v>818</v>
      </c>
    </row>
    <row r="1591" spans="1:8" x14ac:dyDescent="0.2">
      <c r="A1591" s="5" t="s">
        <v>13</v>
      </c>
      <c r="B1591" s="6" t="s">
        <v>19</v>
      </c>
      <c r="C1591" s="7" t="s">
        <v>1632</v>
      </c>
      <c r="D1591" s="7"/>
      <c r="E1591" s="8">
        <v>1.3620446399999999</v>
      </c>
      <c r="F1591" s="8">
        <v>1.6337493599999999</v>
      </c>
      <c r="G1591" s="7" t="str">
        <f t="shared" si="12"/>
        <v>Direct</v>
      </c>
      <c r="H1591" s="7" t="s">
        <v>162</v>
      </c>
    </row>
    <row r="1592" spans="1:8" x14ac:dyDescent="0.2">
      <c r="A1592" s="5" t="s">
        <v>13</v>
      </c>
      <c r="B1592" s="6" t="s">
        <v>19</v>
      </c>
      <c r="C1592" s="7" t="s">
        <v>1633</v>
      </c>
      <c r="D1592" s="7"/>
      <c r="E1592" s="8">
        <v>1.42446384</v>
      </c>
      <c r="F1592" s="8">
        <v>1.60896218</v>
      </c>
      <c r="G1592" s="7" t="str">
        <f t="shared" si="12"/>
        <v>Direct</v>
      </c>
      <c r="H1592" s="7" t="s">
        <v>1634</v>
      </c>
    </row>
    <row r="1593" spans="1:8" x14ac:dyDescent="0.2">
      <c r="A1593" s="5" t="s">
        <v>13</v>
      </c>
      <c r="B1593" s="6" t="s">
        <v>19</v>
      </c>
      <c r="C1593" s="7" t="s">
        <v>1635</v>
      </c>
      <c r="D1593" s="7"/>
      <c r="E1593" s="8">
        <v>-4.0316163999999999</v>
      </c>
      <c r="F1593" s="8">
        <v>-3.2132179999999999</v>
      </c>
      <c r="G1593" s="7" t="str">
        <f t="shared" si="12"/>
        <v>Direct</v>
      </c>
      <c r="H1593" s="7" t="s">
        <v>16</v>
      </c>
    </row>
    <row r="1594" spans="1:8" x14ac:dyDescent="0.2">
      <c r="A1594" s="5" t="s">
        <v>13</v>
      </c>
      <c r="B1594" s="6" t="s">
        <v>19</v>
      </c>
      <c r="C1594" s="7" t="s">
        <v>1636</v>
      </c>
      <c r="D1594" s="7"/>
      <c r="E1594" s="8">
        <v>-1.7938210999999999</v>
      </c>
      <c r="F1594" s="8">
        <v>-2.1537503999999998</v>
      </c>
      <c r="G1594" s="7" t="str">
        <f t="shared" si="12"/>
        <v>Direct</v>
      </c>
      <c r="H1594" s="7" t="s">
        <v>1637</v>
      </c>
    </row>
    <row r="1595" spans="1:8" x14ac:dyDescent="0.2">
      <c r="A1595" s="5" t="s">
        <v>13</v>
      </c>
      <c r="B1595" s="6" t="s">
        <v>19</v>
      </c>
      <c r="C1595" s="7" t="s">
        <v>1638</v>
      </c>
      <c r="D1595" s="7"/>
      <c r="E1595" s="8">
        <v>-4.5255872000000004</v>
      </c>
      <c r="F1595" s="8">
        <v>-3.7445648</v>
      </c>
      <c r="G1595" s="7" t="str">
        <f t="shared" si="12"/>
        <v>Direct</v>
      </c>
      <c r="H1595" s="7" t="s">
        <v>1637</v>
      </c>
    </row>
    <row r="1596" spans="1:8" x14ac:dyDescent="0.2">
      <c r="A1596" s="5" t="s">
        <v>13</v>
      </c>
      <c r="B1596" s="6" t="s">
        <v>19</v>
      </c>
      <c r="C1596" s="7" t="s">
        <v>1639</v>
      </c>
      <c r="D1596" s="7"/>
      <c r="E1596" s="8">
        <v>-1.3979553</v>
      </c>
      <c r="F1596" s="8">
        <v>-1.5695467000000001</v>
      </c>
      <c r="G1596" s="7" t="str">
        <f t="shared" si="12"/>
        <v>Direct</v>
      </c>
      <c r="H1596" s="7" t="s">
        <v>16</v>
      </c>
    </row>
    <row r="1597" spans="1:8" x14ac:dyDescent="0.2">
      <c r="A1597" s="5" t="s">
        <v>13</v>
      </c>
      <c r="B1597" s="6" t="s">
        <v>19</v>
      </c>
      <c r="C1597" s="7" t="s">
        <v>1640</v>
      </c>
      <c r="D1597" s="7"/>
      <c r="E1597" s="8">
        <v>-1.0993333999999999</v>
      </c>
      <c r="F1597" s="8">
        <v>-1.1082789</v>
      </c>
      <c r="G1597" s="7" t="str">
        <f t="shared" si="12"/>
        <v>Direct</v>
      </c>
      <c r="H1597" s="7" t="s">
        <v>1641</v>
      </c>
    </row>
    <row r="1598" spans="1:8" x14ac:dyDescent="0.2">
      <c r="A1598" s="5" t="s">
        <v>13</v>
      </c>
      <c r="B1598" s="6" t="s">
        <v>19</v>
      </c>
      <c r="C1598" s="7" t="s">
        <v>1642</v>
      </c>
      <c r="D1598" s="7"/>
      <c r="E1598" s="8">
        <v>2.2118431799999998</v>
      </c>
      <c r="F1598" s="8">
        <v>3.03095011</v>
      </c>
      <c r="G1598" s="7" t="str">
        <f t="shared" si="12"/>
        <v>Direct</v>
      </c>
      <c r="H1598" s="7" t="s">
        <v>1643</v>
      </c>
    </row>
    <row r="1599" spans="1:8" x14ac:dyDescent="0.2">
      <c r="A1599" s="5" t="s">
        <v>13</v>
      </c>
      <c r="B1599" s="6" t="s">
        <v>19</v>
      </c>
      <c r="C1599" s="7" t="s">
        <v>1644</v>
      </c>
      <c r="D1599" s="7"/>
      <c r="E1599" s="8">
        <v>-1.6450616</v>
      </c>
      <c r="F1599" s="8">
        <v>-1.3430244</v>
      </c>
      <c r="G1599" s="7" t="str">
        <f t="shared" si="12"/>
        <v>Direct</v>
      </c>
      <c r="H1599" s="7" t="s">
        <v>92</v>
      </c>
    </row>
    <row r="1600" spans="1:8" x14ac:dyDescent="0.2">
      <c r="A1600" s="5" t="s">
        <v>13</v>
      </c>
      <c r="B1600" s="6" t="s">
        <v>19</v>
      </c>
      <c r="C1600" s="7" t="s">
        <v>1645</v>
      </c>
      <c r="D1600" s="7"/>
      <c r="E1600" s="8">
        <v>-1.4778732999999999</v>
      </c>
      <c r="F1600" s="8">
        <v>-1.0077459</v>
      </c>
      <c r="G1600" s="7" t="str">
        <f t="shared" si="12"/>
        <v>Direct</v>
      </c>
      <c r="H1600" s="7" t="s">
        <v>16</v>
      </c>
    </row>
    <row r="1601" spans="1:8" x14ac:dyDescent="0.2">
      <c r="A1601" s="5" t="s">
        <v>13</v>
      </c>
      <c r="B1601" s="6" t="s">
        <v>19</v>
      </c>
      <c r="C1601" s="7" t="s">
        <v>1646</v>
      </c>
      <c r="D1601" s="7"/>
      <c r="E1601" s="8">
        <v>-4.6745261999999999</v>
      </c>
      <c r="F1601" s="8">
        <v>-1.7620703</v>
      </c>
      <c r="G1601" s="7" t="str">
        <f t="shared" si="12"/>
        <v>Direct</v>
      </c>
      <c r="H1601" s="7" t="s">
        <v>16</v>
      </c>
    </row>
    <row r="1602" spans="1:8" x14ac:dyDescent="0.2">
      <c r="A1602" s="5" t="s">
        <v>13</v>
      </c>
      <c r="B1602" s="6" t="s">
        <v>19</v>
      </c>
      <c r="C1602" s="7" t="s">
        <v>1647</v>
      </c>
      <c r="D1602" s="7"/>
      <c r="E1602" s="8">
        <v>-1.5839848999999999</v>
      </c>
      <c r="F1602" s="8">
        <v>-1.8674394999999999</v>
      </c>
      <c r="G1602" s="7" t="str">
        <f t="shared" si="12"/>
        <v>Direct</v>
      </c>
      <c r="H1602" s="7" t="s">
        <v>16</v>
      </c>
    </row>
    <row r="1603" spans="1:8" x14ac:dyDescent="0.2">
      <c r="A1603" s="5" t="s">
        <v>13</v>
      </c>
      <c r="B1603" s="6" t="s">
        <v>19</v>
      </c>
      <c r="C1603" s="7" t="s">
        <v>1648</v>
      </c>
      <c r="D1603" s="7"/>
      <c r="E1603" s="8">
        <v>1.60662536</v>
      </c>
      <c r="F1603" s="8">
        <v>1.1422459199999999</v>
      </c>
      <c r="G1603" s="7" t="str">
        <f t="shared" si="12"/>
        <v>Direct</v>
      </c>
      <c r="H1603" s="7" t="s">
        <v>16</v>
      </c>
    </row>
    <row r="1604" spans="1:8" x14ac:dyDescent="0.2">
      <c r="A1604" s="5" t="s">
        <v>13</v>
      </c>
      <c r="B1604" s="6" t="s">
        <v>19</v>
      </c>
      <c r="C1604" s="7" t="s">
        <v>1649</v>
      </c>
      <c r="D1604" s="7"/>
      <c r="E1604" s="8">
        <v>1.3113728</v>
      </c>
      <c r="F1604" s="8">
        <v>1.5058158500000001</v>
      </c>
      <c r="G1604" s="7" t="str">
        <f t="shared" si="12"/>
        <v>Direct</v>
      </c>
      <c r="H1604" s="7" t="s">
        <v>1650</v>
      </c>
    </row>
    <row r="1605" spans="1:8" x14ac:dyDescent="0.2">
      <c r="A1605" s="5" t="s">
        <v>13</v>
      </c>
      <c r="B1605" s="6" t="s">
        <v>19</v>
      </c>
      <c r="C1605" s="7" t="s">
        <v>228</v>
      </c>
      <c r="D1605" s="7"/>
      <c r="E1605" s="8">
        <v>-3.5753881999999999</v>
      </c>
      <c r="F1605" s="8">
        <v>-2.990529</v>
      </c>
      <c r="G1605" s="7" t="str">
        <f t="shared" si="12"/>
        <v>Direct</v>
      </c>
      <c r="H1605" s="7" t="s">
        <v>229</v>
      </c>
    </row>
    <row r="1606" spans="1:8" x14ac:dyDescent="0.2">
      <c r="A1606" s="5" t="s">
        <v>13</v>
      </c>
      <c r="B1606" s="6" t="s">
        <v>19</v>
      </c>
      <c r="C1606" s="7" t="s">
        <v>1651</v>
      </c>
      <c r="D1606" s="7"/>
      <c r="E1606" s="8">
        <v>1.1906976600000001</v>
      </c>
      <c r="F1606" s="8">
        <v>1.3328892400000001</v>
      </c>
      <c r="G1606" s="7" t="str">
        <f t="shared" si="12"/>
        <v>Direct</v>
      </c>
      <c r="H1606" s="7" t="s">
        <v>1652</v>
      </c>
    </row>
    <row r="1607" spans="1:8" x14ac:dyDescent="0.2">
      <c r="A1607" s="5" t="s">
        <v>13</v>
      </c>
      <c r="B1607" s="6" t="s">
        <v>19</v>
      </c>
      <c r="C1607" s="7" t="s">
        <v>230</v>
      </c>
      <c r="D1607" s="7"/>
      <c r="E1607" s="8">
        <v>-2.7527248000000002</v>
      </c>
      <c r="F1607" s="8">
        <v>-1.6037656</v>
      </c>
      <c r="G1607" s="7" t="str">
        <f t="shared" si="12"/>
        <v>Direct</v>
      </c>
      <c r="H1607" s="7" t="s">
        <v>231</v>
      </c>
    </row>
    <row r="1608" spans="1:8" x14ac:dyDescent="0.2">
      <c r="A1608" s="5" t="s">
        <v>13</v>
      </c>
      <c r="B1608" s="6" t="s">
        <v>19</v>
      </c>
      <c r="C1608" s="7" t="s">
        <v>1653</v>
      </c>
      <c r="D1608" s="7"/>
      <c r="E1608" s="8">
        <v>-2.3570940999999999</v>
      </c>
      <c r="F1608" s="8">
        <v>-1.8242491999999999</v>
      </c>
      <c r="G1608" s="7" t="str">
        <f t="shared" si="12"/>
        <v>Direct</v>
      </c>
      <c r="H1608" s="7" t="s">
        <v>16</v>
      </c>
    </row>
    <row r="1609" spans="1:8" x14ac:dyDescent="0.2">
      <c r="A1609" s="5" t="s">
        <v>13</v>
      </c>
      <c r="B1609" s="6" t="s">
        <v>19</v>
      </c>
      <c r="C1609" s="7" t="s">
        <v>1654</v>
      </c>
      <c r="D1609" s="7"/>
      <c r="E1609" s="8">
        <v>-1.8648393999999999</v>
      </c>
      <c r="F1609" s="8">
        <v>-1.2837067</v>
      </c>
      <c r="G1609" s="7" t="str">
        <f t="shared" si="12"/>
        <v>Direct</v>
      </c>
      <c r="H1609" s="7" t="s">
        <v>1655</v>
      </c>
    </row>
    <row r="1610" spans="1:8" x14ac:dyDescent="0.2">
      <c r="A1610" s="5" t="s">
        <v>13</v>
      </c>
      <c r="B1610" s="6" t="s">
        <v>19</v>
      </c>
      <c r="C1610" s="7" t="s">
        <v>232</v>
      </c>
      <c r="D1610" s="7"/>
      <c r="E1610" s="8">
        <v>-2.7984740000000001</v>
      </c>
      <c r="F1610" s="8">
        <v>-1.8517576</v>
      </c>
      <c r="G1610" s="7" t="str">
        <f t="shared" si="12"/>
        <v>Direct</v>
      </c>
      <c r="H1610" s="7" t="s">
        <v>233</v>
      </c>
    </row>
    <row r="1611" spans="1:8" x14ac:dyDescent="0.2">
      <c r="A1611" s="5" t="s">
        <v>13</v>
      </c>
      <c r="B1611" s="6" t="s">
        <v>19</v>
      </c>
      <c r="C1611" s="7" t="s">
        <v>1656</v>
      </c>
      <c r="D1611" s="7"/>
      <c r="E1611" s="8">
        <v>-3.6759431</v>
      </c>
      <c r="F1611" s="8">
        <v>-1.5224187</v>
      </c>
      <c r="G1611" s="7" t="str">
        <f t="shared" si="12"/>
        <v>Direct</v>
      </c>
      <c r="H1611" s="7" t="s">
        <v>1657</v>
      </c>
    </row>
    <row r="1612" spans="1:8" x14ac:dyDescent="0.2">
      <c r="A1612" s="5" t="s">
        <v>13</v>
      </c>
      <c r="B1612" s="6" t="s">
        <v>19</v>
      </c>
      <c r="C1612" s="7" t="s">
        <v>235</v>
      </c>
      <c r="D1612" s="7"/>
      <c r="E1612" s="8">
        <v>-3.4410810000000001</v>
      </c>
      <c r="F1612" s="8">
        <v>-3.9434942999999998</v>
      </c>
      <c r="G1612" s="7" t="str">
        <f t="shared" si="12"/>
        <v>Direct</v>
      </c>
      <c r="H1612" s="7" t="s">
        <v>236</v>
      </c>
    </row>
    <row r="1613" spans="1:8" x14ac:dyDescent="0.2">
      <c r="A1613" s="5" t="s">
        <v>13</v>
      </c>
      <c r="B1613" s="6" t="s">
        <v>19</v>
      </c>
      <c r="C1613" s="7" t="s">
        <v>1658</v>
      </c>
      <c r="D1613" s="7"/>
      <c r="E1613" s="8">
        <v>-4.3961722999999999</v>
      </c>
      <c r="F1613" s="8">
        <v>-3.8229120000000001</v>
      </c>
      <c r="G1613" s="7" t="str">
        <f t="shared" si="12"/>
        <v>Direct</v>
      </c>
      <c r="H1613" s="7" t="s">
        <v>1659</v>
      </c>
    </row>
    <row r="1614" spans="1:8" x14ac:dyDescent="0.2">
      <c r="A1614" s="5" t="s">
        <v>13</v>
      </c>
      <c r="B1614" s="6" t="s">
        <v>19</v>
      </c>
      <c r="C1614" s="7" t="s">
        <v>1660</v>
      </c>
      <c r="D1614" s="7"/>
      <c r="E1614" s="8">
        <v>3.6179826199999998</v>
      </c>
      <c r="F1614" s="8">
        <v>3.0684533900000002</v>
      </c>
      <c r="G1614" s="7" t="str">
        <f t="shared" si="12"/>
        <v>Direct</v>
      </c>
      <c r="H1614" s="7" t="s">
        <v>1661</v>
      </c>
    </row>
    <row r="1615" spans="1:8" x14ac:dyDescent="0.2">
      <c r="A1615" s="5" t="s">
        <v>13</v>
      </c>
      <c r="B1615" s="6" t="s">
        <v>19</v>
      </c>
      <c r="C1615" s="7" t="s">
        <v>1662</v>
      </c>
      <c r="D1615" s="7"/>
      <c r="E1615" s="8">
        <v>-2.5206974</v>
      </c>
      <c r="F1615" s="8">
        <v>-2.4989994000000002</v>
      </c>
      <c r="G1615" s="7" t="str">
        <f t="shared" si="12"/>
        <v>Direct</v>
      </c>
      <c r="H1615" s="7" t="s">
        <v>1663</v>
      </c>
    </row>
    <row r="1616" spans="1:8" x14ac:dyDescent="0.2">
      <c r="A1616" s="5" t="s">
        <v>13</v>
      </c>
      <c r="B1616" s="6" t="s">
        <v>19</v>
      </c>
      <c r="C1616" s="7" t="s">
        <v>1664</v>
      </c>
      <c r="D1616" s="7"/>
      <c r="E1616" s="8">
        <v>2.69429623</v>
      </c>
      <c r="F1616" s="8">
        <v>1.6875408700000001</v>
      </c>
      <c r="G1616" s="7" t="str">
        <f t="shared" si="12"/>
        <v>Direct</v>
      </c>
      <c r="H1616" s="7" t="s">
        <v>16</v>
      </c>
    </row>
    <row r="1617" spans="1:8" x14ac:dyDescent="0.2">
      <c r="A1617" s="5" t="s">
        <v>13</v>
      </c>
      <c r="B1617" s="6" t="s">
        <v>19</v>
      </c>
      <c r="C1617" s="7" t="s">
        <v>1665</v>
      </c>
      <c r="D1617" s="7"/>
      <c r="E1617" s="8">
        <v>2.5221043600000002</v>
      </c>
      <c r="F1617" s="8">
        <v>3.9752328299999999</v>
      </c>
      <c r="G1617" s="7" t="str">
        <f t="shared" si="12"/>
        <v>Direct</v>
      </c>
      <c r="H1617" s="7" t="s">
        <v>1666</v>
      </c>
    </row>
    <row r="1618" spans="1:8" x14ac:dyDescent="0.2">
      <c r="A1618" s="5" t="s">
        <v>13</v>
      </c>
      <c r="B1618" s="6" t="s">
        <v>19</v>
      </c>
      <c r="C1618" s="7" t="s">
        <v>1667</v>
      </c>
      <c r="D1618" s="7"/>
      <c r="E1618" s="8">
        <v>4.4668769399999997</v>
      </c>
      <c r="F1618" s="8">
        <v>2.6753609699999998</v>
      </c>
      <c r="G1618" s="7" t="str">
        <f t="shared" si="12"/>
        <v>Direct</v>
      </c>
      <c r="H1618" s="7" t="s">
        <v>1668</v>
      </c>
    </row>
    <row r="1619" spans="1:8" x14ac:dyDescent="0.2">
      <c r="A1619" s="5" t="s">
        <v>13</v>
      </c>
      <c r="B1619" s="6" t="s">
        <v>19</v>
      </c>
      <c r="C1619" s="7" t="s">
        <v>1669</v>
      </c>
      <c r="D1619" s="7"/>
      <c r="E1619" s="8">
        <v>-1.7079755999999999</v>
      </c>
      <c r="F1619" s="8">
        <v>-1.6696518</v>
      </c>
      <c r="G1619" s="7" t="str">
        <f t="shared" si="12"/>
        <v>Direct</v>
      </c>
      <c r="H1619" s="7" t="s">
        <v>1670</v>
      </c>
    </row>
    <row r="1620" spans="1:8" x14ac:dyDescent="0.2">
      <c r="A1620" s="5" t="s">
        <v>13</v>
      </c>
      <c r="B1620" s="6" t="s">
        <v>19</v>
      </c>
      <c r="C1620" s="7" t="s">
        <v>237</v>
      </c>
      <c r="D1620" s="7"/>
      <c r="E1620" s="8">
        <v>-1.0289741999999999</v>
      </c>
      <c r="F1620" s="8">
        <v>-1.7143113999999999</v>
      </c>
      <c r="G1620" s="7" t="str">
        <f t="shared" si="12"/>
        <v>Direct</v>
      </c>
      <c r="H1620" s="7" t="s">
        <v>16</v>
      </c>
    </row>
    <row r="1621" spans="1:8" x14ac:dyDescent="0.2">
      <c r="A1621" s="5" t="s">
        <v>13</v>
      </c>
      <c r="B1621" s="6" t="s">
        <v>19</v>
      </c>
      <c r="C1621" s="7" t="s">
        <v>1671</v>
      </c>
      <c r="D1621" s="7"/>
      <c r="E1621" s="8">
        <v>-3.6739025999999999</v>
      </c>
      <c r="F1621" s="8">
        <v>-4.0575580999999996</v>
      </c>
      <c r="G1621" s="7" t="str">
        <f t="shared" si="12"/>
        <v>Direct</v>
      </c>
      <c r="H1621" s="7" t="s">
        <v>1154</v>
      </c>
    </row>
    <row r="1622" spans="1:8" x14ac:dyDescent="0.2">
      <c r="A1622" s="5" t="s">
        <v>13</v>
      </c>
      <c r="B1622" s="6" t="s">
        <v>19</v>
      </c>
      <c r="C1622" s="7" t="s">
        <v>1672</v>
      </c>
      <c r="D1622" s="7"/>
      <c r="E1622" s="8">
        <v>-7.0301597999999998</v>
      </c>
      <c r="F1622" s="8">
        <v>-10.076893999999999</v>
      </c>
      <c r="G1622" s="7" t="str">
        <f t="shared" si="12"/>
        <v>Direct</v>
      </c>
      <c r="H1622" s="7" t="s">
        <v>16</v>
      </c>
    </row>
    <row r="1623" spans="1:8" x14ac:dyDescent="0.2">
      <c r="A1623" s="5" t="s">
        <v>13</v>
      </c>
      <c r="B1623" s="6" t="s">
        <v>19</v>
      </c>
      <c r="C1623" s="7" t="s">
        <v>1673</v>
      </c>
      <c r="D1623" s="7"/>
      <c r="E1623" s="8">
        <v>-4.4065833999999997</v>
      </c>
      <c r="F1623" s="8">
        <v>-4.0042317000000001</v>
      </c>
      <c r="G1623" s="7" t="str">
        <f t="shared" si="12"/>
        <v>Direct</v>
      </c>
      <c r="H1623" s="7" t="s">
        <v>1674</v>
      </c>
    </row>
    <row r="1624" spans="1:8" x14ac:dyDescent="0.2">
      <c r="A1624" s="5" t="s">
        <v>13</v>
      </c>
      <c r="B1624" s="6" t="s">
        <v>19</v>
      </c>
      <c r="C1624" s="7" t="s">
        <v>1675</v>
      </c>
      <c r="D1624" s="7"/>
      <c r="E1624" s="8">
        <v>-5.1827011000000001</v>
      </c>
      <c r="F1624" s="8">
        <v>-2.6946150000000002</v>
      </c>
      <c r="G1624" s="7" t="str">
        <f t="shared" si="12"/>
        <v>Direct</v>
      </c>
      <c r="H1624" s="7" t="s">
        <v>1676</v>
      </c>
    </row>
    <row r="1625" spans="1:8" x14ac:dyDescent="0.2">
      <c r="A1625" s="5" t="s">
        <v>13</v>
      </c>
      <c r="B1625" s="6" t="s">
        <v>19</v>
      </c>
      <c r="C1625" s="7" t="s">
        <v>238</v>
      </c>
      <c r="D1625" s="7"/>
      <c r="E1625" s="8">
        <v>-3.6708118999999999</v>
      </c>
      <c r="F1625" s="8">
        <v>-5.6995142000000003</v>
      </c>
      <c r="G1625" s="7" t="str">
        <f t="shared" si="12"/>
        <v>Direct</v>
      </c>
      <c r="H1625" s="7" t="s">
        <v>16</v>
      </c>
    </row>
    <row r="1626" spans="1:8" x14ac:dyDescent="0.2">
      <c r="A1626" s="5" t="s">
        <v>13</v>
      </c>
      <c r="B1626" s="6" t="s">
        <v>19</v>
      </c>
      <c r="C1626" s="7" t="s">
        <v>1677</v>
      </c>
      <c r="D1626" s="7"/>
      <c r="E1626" s="8">
        <v>2.7154288700000002</v>
      </c>
      <c r="F1626" s="8">
        <v>2.1634651800000002</v>
      </c>
      <c r="G1626" s="7" t="str">
        <f t="shared" si="12"/>
        <v>Direct</v>
      </c>
      <c r="H1626" s="7" t="s">
        <v>16</v>
      </c>
    </row>
    <row r="1627" spans="1:8" x14ac:dyDescent="0.2">
      <c r="A1627" s="5" t="s">
        <v>13</v>
      </c>
      <c r="B1627" s="6" t="s">
        <v>19</v>
      </c>
      <c r="C1627" s="7" t="s">
        <v>1678</v>
      </c>
      <c r="D1627" s="7"/>
      <c r="E1627" s="8">
        <v>5.9763494000000001</v>
      </c>
      <c r="F1627" s="8">
        <v>3.86083211</v>
      </c>
      <c r="G1627" s="7" t="str">
        <f t="shared" si="12"/>
        <v>Direct</v>
      </c>
      <c r="H1627" s="7" t="s">
        <v>1679</v>
      </c>
    </row>
    <row r="1628" spans="1:8" x14ac:dyDescent="0.2">
      <c r="A1628" s="5" t="s">
        <v>13</v>
      </c>
      <c r="B1628" s="6" t="s">
        <v>19</v>
      </c>
      <c r="C1628" s="7" t="s">
        <v>1680</v>
      </c>
      <c r="D1628" s="7"/>
      <c r="E1628" s="8">
        <v>-5.8582299000000004</v>
      </c>
      <c r="F1628" s="8">
        <v>-5.9332415999999997</v>
      </c>
      <c r="G1628" s="7" t="str">
        <f t="shared" si="12"/>
        <v>Direct</v>
      </c>
      <c r="H1628" s="7" t="s">
        <v>1681</v>
      </c>
    </row>
    <row r="1629" spans="1:8" x14ac:dyDescent="0.2">
      <c r="A1629" s="5" t="s">
        <v>13</v>
      </c>
      <c r="B1629" s="6" t="s">
        <v>19</v>
      </c>
      <c r="C1629" s="7" t="s">
        <v>1682</v>
      </c>
      <c r="D1629" s="7"/>
      <c r="E1629" s="8">
        <v>-1.9285051</v>
      </c>
      <c r="F1629" s="8">
        <v>-1.0546051000000001</v>
      </c>
      <c r="G1629" s="7" t="str">
        <f t="shared" si="12"/>
        <v>Direct</v>
      </c>
      <c r="H1629" s="7" t="s">
        <v>1683</v>
      </c>
    </row>
    <row r="1630" spans="1:8" x14ac:dyDescent="0.2">
      <c r="A1630" s="5" t="s">
        <v>13</v>
      </c>
      <c r="B1630" s="6" t="s">
        <v>19</v>
      </c>
      <c r="C1630" s="7" t="s">
        <v>239</v>
      </c>
      <c r="D1630" s="7"/>
      <c r="E1630" s="8">
        <v>-6.5050938</v>
      </c>
      <c r="F1630" s="8">
        <v>-4.8122166999999996</v>
      </c>
      <c r="G1630" s="7" t="str">
        <f t="shared" si="12"/>
        <v>Direct</v>
      </c>
      <c r="H1630" s="7" t="s">
        <v>16</v>
      </c>
    </row>
    <row r="1631" spans="1:8" x14ac:dyDescent="0.2">
      <c r="A1631" s="5" t="s">
        <v>13</v>
      </c>
      <c r="B1631" s="6" t="s">
        <v>19</v>
      </c>
      <c r="C1631" s="7" t="s">
        <v>1684</v>
      </c>
      <c r="D1631" s="7"/>
      <c r="E1631" s="8">
        <v>-2.7222618999999999</v>
      </c>
      <c r="F1631" s="8">
        <v>-1.4862157</v>
      </c>
      <c r="G1631" s="7" t="str">
        <f t="shared" si="12"/>
        <v>Direct</v>
      </c>
      <c r="H1631" s="7" t="s">
        <v>16</v>
      </c>
    </row>
    <row r="1632" spans="1:8" x14ac:dyDescent="0.2">
      <c r="A1632" s="5" t="s">
        <v>13</v>
      </c>
      <c r="B1632" s="6" t="s">
        <v>19</v>
      </c>
      <c r="C1632" s="7" t="s">
        <v>240</v>
      </c>
      <c r="D1632" s="7"/>
      <c r="E1632" s="8">
        <v>-4.1739416</v>
      </c>
      <c r="F1632" s="8">
        <v>-1.9324325</v>
      </c>
      <c r="G1632" s="7" t="str">
        <f t="shared" si="12"/>
        <v>Direct</v>
      </c>
      <c r="H1632" s="7" t="s">
        <v>241</v>
      </c>
    </row>
    <row r="1633" spans="1:8" x14ac:dyDescent="0.2">
      <c r="A1633" s="5" t="s">
        <v>13</v>
      </c>
      <c r="B1633" s="6" t="s">
        <v>19</v>
      </c>
      <c r="C1633" s="7" t="s">
        <v>1685</v>
      </c>
      <c r="D1633" s="7"/>
      <c r="E1633" s="8">
        <v>-1.9934269</v>
      </c>
      <c r="F1633" s="8">
        <v>-1.3872310999999999</v>
      </c>
      <c r="G1633" s="7" t="str">
        <f t="shared" si="12"/>
        <v>Direct</v>
      </c>
      <c r="H1633" s="7" t="s">
        <v>241</v>
      </c>
    </row>
    <row r="1634" spans="1:8" x14ac:dyDescent="0.2">
      <c r="A1634" s="5" t="s">
        <v>13</v>
      </c>
      <c r="B1634" s="6" t="s">
        <v>19</v>
      </c>
      <c r="C1634" s="7" t="s">
        <v>1686</v>
      </c>
      <c r="D1634" s="7"/>
      <c r="E1634" s="8">
        <v>1.9941911299999999</v>
      </c>
      <c r="F1634" s="8">
        <v>1.6059918799999999</v>
      </c>
      <c r="G1634" s="7" t="str">
        <f t="shared" si="12"/>
        <v>Direct</v>
      </c>
      <c r="H1634" s="7" t="s">
        <v>1687</v>
      </c>
    </row>
    <row r="1635" spans="1:8" x14ac:dyDescent="0.2">
      <c r="A1635" s="5" t="s">
        <v>13</v>
      </c>
      <c r="B1635" s="6" t="s">
        <v>19</v>
      </c>
      <c r="C1635" s="7" t="s">
        <v>1688</v>
      </c>
      <c r="D1635" s="7"/>
      <c r="E1635" s="8">
        <v>1.3129996399999999</v>
      </c>
      <c r="F1635" s="8">
        <v>1.56012784</v>
      </c>
      <c r="G1635" s="7" t="str">
        <f t="shared" si="12"/>
        <v>Direct</v>
      </c>
      <c r="H1635" s="7" t="s">
        <v>16</v>
      </c>
    </row>
    <row r="1636" spans="1:8" x14ac:dyDescent="0.2">
      <c r="A1636" s="5" t="s">
        <v>13</v>
      </c>
      <c r="B1636" s="6" t="s">
        <v>19</v>
      </c>
      <c r="C1636" s="7" t="s">
        <v>1689</v>
      </c>
      <c r="D1636" s="7"/>
      <c r="E1636" s="8">
        <v>-4.6892272999999998</v>
      </c>
      <c r="F1636" s="8">
        <v>-4.2775762999999998</v>
      </c>
      <c r="G1636" s="7" t="str">
        <f t="shared" si="12"/>
        <v>Direct</v>
      </c>
      <c r="H1636" s="7" t="s">
        <v>1690</v>
      </c>
    </row>
    <row r="1637" spans="1:8" x14ac:dyDescent="0.2">
      <c r="A1637" s="5" t="s">
        <v>13</v>
      </c>
      <c r="B1637" s="6" t="s">
        <v>19</v>
      </c>
      <c r="C1637" s="7" t="s">
        <v>1691</v>
      </c>
      <c r="D1637" s="7"/>
      <c r="E1637" s="8">
        <v>-3.1863990000000002</v>
      </c>
      <c r="F1637" s="8">
        <v>-1.3661818999999999</v>
      </c>
      <c r="G1637" s="7" t="str">
        <f t="shared" si="12"/>
        <v>Direct</v>
      </c>
      <c r="H1637" s="7" t="s">
        <v>365</v>
      </c>
    </row>
    <row r="1638" spans="1:8" x14ac:dyDescent="0.2">
      <c r="A1638" s="5" t="s">
        <v>13</v>
      </c>
      <c r="B1638" s="6" t="s">
        <v>19</v>
      </c>
      <c r="C1638" s="7" t="s">
        <v>1692</v>
      </c>
      <c r="D1638" s="7"/>
      <c r="E1638" s="8">
        <v>9.7993055600000005</v>
      </c>
      <c r="F1638" s="8">
        <v>7.7739355999999997</v>
      </c>
      <c r="G1638" s="7" t="str">
        <f t="shared" si="12"/>
        <v>Direct</v>
      </c>
      <c r="H1638" s="7" t="s">
        <v>1693</v>
      </c>
    </row>
    <row r="1639" spans="1:8" x14ac:dyDescent="0.2">
      <c r="A1639" s="5" t="s">
        <v>13</v>
      </c>
      <c r="B1639" s="6" t="s">
        <v>19</v>
      </c>
      <c r="C1639" s="7" t="s">
        <v>1694</v>
      </c>
      <c r="D1639" s="7"/>
      <c r="E1639" s="8">
        <v>1.1318987599999999</v>
      </c>
      <c r="F1639" s="8">
        <v>1.01378517</v>
      </c>
      <c r="G1639" s="7" t="str">
        <f t="shared" si="12"/>
        <v>Direct</v>
      </c>
      <c r="H1639" s="7" t="s">
        <v>1695</v>
      </c>
    </row>
    <row r="1640" spans="1:8" x14ac:dyDescent="0.2">
      <c r="A1640" s="5" t="s">
        <v>13</v>
      </c>
      <c r="B1640" s="6" t="s">
        <v>19</v>
      </c>
      <c r="C1640" s="7" t="s">
        <v>1696</v>
      </c>
      <c r="D1640" s="7"/>
      <c r="E1640" s="8">
        <v>-2.8763497999999998</v>
      </c>
      <c r="F1640" s="8">
        <v>-2.1090189000000001</v>
      </c>
      <c r="G1640" s="7" t="str">
        <f t="shared" si="12"/>
        <v>Direct</v>
      </c>
      <c r="H1640" s="7" t="s">
        <v>16</v>
      </c>
    </row>
    <row r="1641" spans="1:8" x14ac:dyDescent="0.2">
      <c r="A1641" s="5" t="s">
        <v>13</v>
      </c>
      <c r="B1641" s="6" t="s">
        <v>19</v>
      </c>
      <c r="C1641" s="7" t="s">
        <v>242</v>
      </c>
      <c r="D1641" s="7"/>
      <c r="E1641" s="8">
        <v>-23.779128</v>
      </c>
      <c r="F1641" s="8">
        <v>-18.395230000000002</v>
      </c>
      <c r="G1641" s="7" t="str">
        <f t="shared" si="12"/>
        <v>Direct</v>
      </c>
      <c r="H1641" s="7" t="s">
        <v>243</v>
      </c>
    </row>
    <row r="1642" spans="1:8" x14ac:dyDescent="0.2">
      <c r="A1642" s="5" t="s">
        <v>13</v>
      </c>
      <c r="B1642" s="6" t="s">
        <v>19</v>
      </c>
      <c r="C1642" s="7" t="s">
        <v>1697</v>
      </c>
      <c r="D1642" s="7"/>
      <c r="E1642" s="8">
        <v>2.6907055</v>
      </c>
      <c r="F1642" s="8">
        <v>3.6687599799999999</v>
      </c>
      <c r="G1642" s="7" t="str">
        <f t="shared" si="12"/>
        <v>Direct</v>
      </c>
      <c r="H1642" s="7" t="s">
        <v>1698</v>
      </c>
    </row>
    <row r="1643" spans="1:8" x14ac:dyDescent="0.2">
      <c r="A1643" s="5" t="s">
        <v>13</v>
      </c>
      <c r="B1643" s="6" t="s">
        <v>19</v>
      </c>
      <c r="C1643" s="7" t="s">
        <v>1699</v>
      </c>
      <c r="D1643" s="7"/>
      <c r="E1643" s="8">
        <v>1.15477009</v>
      </c>
      <c r="F1643" s="8">
        <v>1.03505764</v>
      </c>
      <c r="G1643" s="7" t="str">
        <f t="shared" si="12"/>
        <v>Direct</v>
      </c>
      <c r="H1643" s="7" t="s">
        <v>1700</v>
      </c>
    </row>
    <row r="1644" spans="1:8" x14ac:dyDescent="0.2">
      <c r="A1644" s="5" t="s">
        <v>13</v>
      </c>
      <c r="B1644" s="6" t="s">
        <v>19</v>
      </c>
      <c r="C1644" s="7" t="s">
        <v>1701</v>
      </c>
      <c r="D1644" s="7"/>
      <c r="E1644" s="8">
        <v>-1.2641017999999999</v>
      </c>
      <c r="F1644" s="8">
        <v>-1.5441254</v>
      </c>
      <c r="G1644" s="7" t="str">
        <f t="shared" si="12"/>
        <v>Direct</v>
      </c>
      <c r="H1644" s="7" t="s">
        <v>1702</v>
      </c>
    </row>
    <row r="1645" spans="1:8" x14ac:dyDescent="0.2">
      <c r="A1645" s="5" t="s">
        <v>13</v>
      </c>
      <c r="B1645" s="6" t="s">
        <v>19</v>
      </c>
      <c r="C1645" s="7" t="s">
        <v>1703</v>
      </c>
      <c r="D1645" s="7"/>
      <c r="E1645" s="8">
        <v>-6.6273445999999998</v>
      </c>
      <c r="F1645" s="8">
        <v>-4.3806871999999997</v>
      </c>
      <c r="G1645" s="7" t="str">
        <f t="shared" si="12"/>
        <v>Direct</v>
      </c>
      <c r="H1645" s="7" t="s">
        <v>1704</v>
      </c>
    </row>
    <row r="1646" spans="1:8" x14ac:dyDescent="0.2">
      <c r="A1646" s="5" t="s">
        <v>13</v>
      </c>
      <c r="B1646" s="6" t="s">
        <v>19</v>
      </c>
      <c r="C1646" s="7" t="s">
        <v>1705</v>
      </c>
      <c r="D1646" s="7"/>
      <c r="E1646" s="8">
        <v>1.38573379</v>
      </c>
      <c r="F1646" s="8">
        <v>1.59200293</v>
      </c>
      <c r="G1646" s="7" t="str">
        <f t="shared" si="12"/>
        <v>Direct</v>
      </c>
      <c r="H1646" s="7" t="s">
        <v>16</v>
      </c>
    </row>
    <row r="1647" spans="1:8" x14ac:dyDescent="0.2">
      <c r="A1647" s="5" t="s">
        <v>13</v>
      </c>
      <c r="B1647" s="6" t="s">
        <v>19</v>
      </c>
      <c r="C1647" s="7" t="s">
        <v>1706</v>
      </c>
      <c r="D1647" s="7"/>
      <c r="E1647" s="8">
        <v>2.70349073</v>
      </c>
      <c r="F1647" s="8">
        <v>1.82461396</v>
      </c>
      <c r="G1647" s="7" t="str">
        <f t="shared" si="12"/>
        <v>Direct</v>
      </c>
      <c r="H1647" s="7" t="s">
        <v>1707</v>
      </c>
    </row>
    <row r="1648" spans="1:8" x14ac:dyDescent="0.2">
      <c r="A1648" s="5" t="s">
        <v>13</v>
      </c>
      <c r="B1648" s="6" t="s">
        <v>19</v>
      </c>
      <c r="C1648" s="7" t="s">
        <v>1708</v>
      </c>
      <c r="D1648" s="7"/>
      <c r="E1648" s="8">
        <v>-1.224766</v>
      </c>
      <c r="F1648" s="8">
        <v>-3.7968267</v>
      </c>
      <c r="G1648" s="7" t="str">
        <f t="shared" si="12"/>
        <v>Direct</v>
      </c>
      <c r="H1648" s="7" t="s">
        <v>1709</v>
      </c>
    </row>
    <row r="1649" spans="1:8" x14ac:dyDescent="0.2">
      <c r="A1649" s="5" t="s">
        <v>13</v>
      </c>
      <c r="B1649" s="6" t="s">
        <v>19</v>
      </c>
      <c r="C1649" s="7" t="s">
        <v>1710</v>
      </c>
      <c r="D1649" s="7"/>
      <c r="E1649" s="8">
        <v>1.8571035600000001</v>
      </c>
      <c r="F1649" s="8">
        <v>1.8549899000000001</v>
      </c>
      <c r="G1649" s="7" t="str">
        <f t="shared" si="12"/>
        <v>Direct</v>
      </c>
      <c r="H1649" s="7" t="s">
        <v>1711</v>
      </c>
    </row>
    <row r="1650" spans="1:8" x14ac:dyDescent="0.2">
      <c r="A1650" s="5" t="s">
        <v>13</v>
      </c>
      <c r="B1650" s="6" t="s">
        <v>19</v>
      </c>
      <c r="C1650" s="7" t="s">
        <v>1712</v>
      </c>
      <c r="D1650" s="7"/>
      <c r="E1650" s="8">
        <v>-1.7081753</v>
      </c>
      <c r="F1650" s="8">
        <v>-1.3127709000000001</v>
      </c>
      <c r="G1650" s="7" t="str">
        <f t="shared" si="12"/>
        <v>Direct</v>
      </c>
      <c r="H1650" s="7" t="s">
        <v>16</v>
      </c>
    </row>
    <row r="1651" spans="1:8" x14ac:dyDescent="0.2">
      <c r="A1651" s="5" t="s">
        <v>13</v>
      </c>
      <c r="B1651" s="6" t="s">
        <v>19</v>
      </c>
      <c r="C1651" s="7" t="s">
        <v>1713</v>
      </c>
      <c r="D1651" s="7"/>
      <c r="E1651" s="8">
        <v>-7.5047553999999996</v>
      </c>
      <c r="F1651" s="8">
        <v>-5.1278819000000002</v>
      </c>
      <c r="G1651" s="7" t="str">
        <f t="shared" si="12"/>
        <v>Direct</v>
      </c>
      <c r="H1651" s="7" t="s">
        <v>1714</v>
      </c>
    </row>
    <row r="1652" spans="1:8" x14ac:dyDescent="0.2">
      <c r="A1652" s="5" t="s">
        <v>13</v>
      </c>
      <c r="B1652" s="6" t="s">
        <v>19</v>
      </c>
      <c r="C1652" s="7" t="s">
        <v>1715</v>
      </c>
      <c r="D1652" s="7"/>
      <c r="E1652" s="8">
        <v>1.3305730200000001</v>
      </c>
      <c r="F1652" s="8">
        <v>2.0889318499999998</v>
      </c>
      <c r="G1652" s="7" t="str">
        <f t="shared" si="12"/>
        <v>Direct</v>
      </c>
      <c r="H1652" s="7" t="s">
        <v>1716</v>
      </c>
    </row>
    <row r="1653" spans="1:8" x14ac:dyDescent="0.2">
      <c r="A1653" s="5" t="s">
        <v>13</v>
      </c>
      <c r="B1653" s="6" t="s">
        <v>19</v>
      </c>
      <c r="C1653" s="7" t="s">
        <v>244</v>
      </c>
      <c r="D1653" s="7"/>
      <c r="E1653" s="8">
        <v>-2.5756937</v>
      </c>
      <c r="F1653" s="8">
        <v>-1.3266332000000001</v>
      </c>
      <c r="G1653" s="7" t="str">
        <f t="shared" si="12"/>
        <v>Direct</v>
      </c>
      <c r="H1653" s="7" t="s">
        <v>16</v>
      </c>
    </row>
    <row r="1654" spans="1:8" x14ac:dyDescent="0.2">
      <c r="A1654" s="5" t="s">
        <v>13</v>
      </c>
      <c r="B1654" s="6" t="s">
        <v>19</v>
      </c>
      <c r="C1654" s="7" t="s">
        <v>1717</v>
      </c>
      <c r="D1654" s="7"/>
      <c r="E1654" s="8">
        <v>-2.8690804000000001</v>
      </c>
      <c r="F1654" s="8">
        <v>-2.1721336999999998</v>
      </c>
      <c r="G1654" s="7" t="str">
        <f t="shared" si="12"/>
        <v>Direct</v>
      </c>
      <c r="H1654" s="7" t="s">
        <v>16</v>
      </c>
    </row>
    <row r="1655" spans="1:8" x14ac:dyDescent="0.2">
      <c r="A1655" s="5" t="s">
        <v>13</v>
      </c>
      <c r="B1655" s="6" t="s">
        <v>19</v>
      </c>
      <c r="C1655" s="7" t="s">
        <v>1718</v>
      </c>
      <c r="D1655" s="7"/>
      <c r="E1655" s="8">
        <v>-1.6147655000000001</v>
      </c>
      <c r="F1655" s="8">
        <v>-1.6074162000000001</v>
      </c>
      <c r="G1655" s="7" t="str">
        <f t="shared" si="12"/>
        <v>Direct</v>
      </c>
      <c r="H1655" s="7" t="s">
        <v>1533</v>
      </c>
    </row>
    <row r="1656" spans="1:8" x14ac:dyDescent="0.2">
      <c r="A1656" s="5" t="s">
        <v>13</v>
      </c>
      <c r="B1656" s="6" t="s">
        <v>19</v>
      </c>
      <c r="C1656" s="7" t="s">
        <v>1719</v>
      </c>
      <c r="D1656" s="7"/>
      <c r="E1656" s="8">
        <v>1.8341219499999999</v>
      </c>
      <c r="F1656" s="8">
        <v>2.0280868000000001</v>
      </c>
      <c r="G1656" s="7" t="str">
        <f t="shared" si="12"/>
        <v>Direct</v>
      </c>
      <c r="H1656" s="7" t="s">
        <v>1720</v>
      </c>
    </row>
    <row r="1657" spans="1:8" x14ac:dyDescent="0.2">
      <c r="A1657" s="5" t="s">
        <v>13</v>
      </c>
      <c r="B1657" s="6" t="s">
        <v>19</v>
      </c>
      <c r="C1657" s="7" t="s">
        <v>1721</v>
      </c>
      <c r="D1657" s="7"/>
      <c r="E1657" s="8">
        <v>2.1716455799999999</v>
      </c>
      <c r="F1657" s="8">
        <v>1.9465352199999999</v>
      </c>
      <c r="G1657" s="7" t="str">
        <f t="shared" si="12"/>
        <v>Direct</v>
      </c>
      <c r="H1657" s="7" t="s">
        <v>16</v>
      </c>
    </row>
    <row r="1658" spans="1:8" x14ac:dyDescent="0.2">
      <c r="A1658" s="5" t="s">
        <v>13</v>
      </c>
      <c r="B1658" s="6" t="s">
        <v>19</v>
      </c>
      <c r="C1658" s="7" t="s">
        <v>1722</v>
      </c>
      <c r="D1658" s="7"/>
      <c r="E1658" s="8">
        <v>3.9270122700000001</v>
      </c>
      <c r="F1658" s="8">
        <v>4.8122166699999998</v>
      </c>
      <c r="G1658" s="7" t="str">
        <f t="shared" si="12"/>
        <v>Direct</v>
      </c>
      <c r="H1658" s="7" t="s">
        <v>1723</v>
      </c>
    </row>
    <row r="1659" spans="1:8" x14ac:dyDescent="0.2">
      <c r="A1659" s="5" t="s">
        <v>13</v>
      </c>
      <c r="B1659" s="6" t="s">
        <v>19</v>
      </c>
      <c r="C1659" s="7" t="s">
        <v>1724</v>
      </c>
      <c r="D1659" s="7"/>
      <c r="E1659" s="8">
        <v>-2.1542620000000001</v>
      </c>
      <c r="F1659" s="8">
        <v>-2.2209528999999999</v>
      </c>
      <c r="G1659" s="7" t="str">
        <f t="shared" si="12"/>
        <v>Direct</v>
      </c>
      <c r="H1659" s="7" t="s">
        <v>1143</v>
      </c>
    </row>
    <row r="1660" spans="1:8" x14ac:dyDescent="0.2">
      <c r="A1660" s="5" t="s">
        <v>13</v>
      </c>
      <c r="B1660" s="6" t="s">
        <v>19</v>
      </c>
      <c r="C1660" s="7" t="s">
        <v>1725</v>
      </c>
      <c r="D1660" s="7"/>
      <c r="E1660" s="8">
        <v>2.4856397499999998</v>
      </c>
      <c r="F1660" s="8">
        <v>2.3789088899999999</v>
      </c>
      <c r="G1660" s="7" t="str">
        <f t="shared" si="12"/>
        <v>Direct</v>
      </c>
      <c r="H1660" s="7" t="s">
        <v>16</v>
      </c>
    </row>
    <row r="1661" spans="1:8" x14ac:dyDescent="0.2">
      <c r="A1661" s="5" t="s">
        <v>13</v>
      </c>
      <c r="B1661" s="6" t="s">
        <v>19</v>
      </c>
      <c r="C1661" s="7" t="s">
        <v>1726</v>
      </c>
      <c r="D1661" s="7"/>
      <c r="E1661" s="8">
        <v>5.0426985599999998</v>
      </c>
      <c r="F1661" s="8">
        <v>4.1797386899999998</v>
      </c>
      <c r="G1661" s="7" t="str">
        <f t="shared" si="12"/>
        <v>Direct</v>
      </c>
      <c r="H1661" s="7" t="s">
        <v>1709</v>
      </c>
    </row>
    <row r="1662" spans="1:8" x14ac:dyDescent="0.2">
      <c r="A1662" s="5" t="s">
        <v>13</v>
      </c>
      <c r="B1662" s="6" t="s">
        <v>19</v>
      </c>
      <c r="C1662" s="7" t="s">
        <v>1727</v>
      </c>
      <c r="D1662" s="7"/>
      <c r="E1662" s="8">
        <v>1.4717894</v>
      </c>
      <c r="F1662" s="8">
        <v>1.1549912</v>
      </c>
      <c r="G1662" s="7" t="str">
        <f t="shared" si="12"/>
        <v>Direct</v>
      </c>
      <c r="H1662" s="7" t="s">
        <v>1728</v>
      </c>
    </row>
    <row r="1663" spans="1:8" x14ac:dyDescent="0.2">
      <c r="A1663" s="5" t="s">
        <v>13</v>
      </c>
      <c r="B1663" s="6" t="s">
        <v>19</v>
      </c>
      <c r="C1663" s="7" t="s">
        <v>1729</v>
      </c>
      <c r="D1663" s="7"/>
      <c r="E1663" s="8">
        <v>1.4326802199999999</v>
      </c>
      <c r="F1663" s="8">
        <v>1.64982377</v>
      </c>
      <c r="G1663" s="7" t="str">
        <f t="shared" si="12"/>
        <v>Direct</v>
      </c>
      <c r="H1663" s="7" t="s">
        <v>1730</v>
      </c>
    </row>
    <row r="1664" spans="1:8" x14ac:dyDescent="0.2">
      <c r="A1664" s="5" t="s">
        <v>13</v>
      </c>
      <c r="B1664" s="6" t="s">
        <v>19</v>
      </c>
      <c r="C1664" s="7" t="s">
        <v>1731</v>
      </c>
      <c r="D1664" s="7"/>
      <c r="E1664" s="8">
        <v>1.1716579300000001</v>
      </c>
      <c r="F1664" s="8">
        <v>1.3958370200000001</v>
      </c>
      <c r="G1664" s="7" t="str">
        <f t="shared" si="12"/>
        <v>Direct</v>
      </c>
      <c r="H1664" s="7" t="s">
        <v>16</v>
      </c>
    </row>
    <row r="1665" spans="1:8" x14ac:dyDescent="0.2">
      <c r="A1665" s="5" t="s">
        <v>13</v>
      </c>
      <c r="B1665" s="6" t="s">
        <v>19</v>
      </c>
      <c r="C1665" s="7" t="s">
        <v>1732</v>
      </c>
      <c r="D1665" s="7"/>
      <c r="E1665" s="8">
        <v>4.3750886500000004</v>
      </c>
      <c r="F1665" s="8">
        <v>4.0059216500000003</v>
      </c>
      <c r="G1665" s="7" t="str">
        <f t="shared" si="12"/>
        <v>Direct</v>
      </c>
      <c r="H1665" s="7" t="s">
        <v>1733</v>
      </c>
    </row>
    <row r="1666" spans="1:8" x14ac:dyDescent="0.2">
      <c r="A1666" s="5" t="s">
        <v>13</v>
      </c>
      <c r="B1666" s="6" t="s">
        <v>19</v>
      </c>
      <c r="C1666" s="7" t="s">
        <v>1734</v>
      </c>
      <c r="D1666" s="7"/>
      <c r="E1666" s="8">
        <v>-2.3667357</v>
      </c>
      <c r="F1666" s="8">
        <v>-1.7345892000000001</v>
      </c>
      <c r="G1666" s="7" t="str">
        <f t="shared" si="12"/>
        <v>Direct</v>
      </c>
      <c r="H1666" s="7" t="s">
        <v>1735</v>
      </c>
    </row>
    <row r="1667" spans="1:8" x14ac:dyDescent="0.2">
      <c r="A1667" s="5" t="s">
        <v>13</v>
      </c>
      <c r="B1667" s="6" t="s">
        <v>19</v>
      </c>
      <c r="C1667" s="7" t="s">
        <v>245</v>
      </c>
      <c r="D1667" s="7"/>
      <c r="E1667" s="8">
        <v>-4.5119194</v>
      </c>
      <c r="F1667" s="8">
        <v>-2.7710477999999998</v>
      </c>
      <c r="G1667" s="7" t="str">
        <f t="shared" si="12"/>
        <v>Direct</v>
      </c>
      <c r="H1667" s="7" t="s">
        <v>16</v>
      </c>
    </row>
    <row r="1668" spans="1:8" x14ac:dyDescent="0.2">
      <c r="A1668" s="5" t="s">
        <v>13</v>
      </c>
      <c r="B1668" s="6" t="s">
        <v>19</v>
      </c>
      <c r="C1668" s="7" t="s">
        <v>246</v>
      </c>
      <c r="D1668" s="7"/>
      <c r="E1668" s="8">
        <v>-2.4463737000000001</v>
      </c>
      <c r="F1668" s="8">
        <v>-1.6798005</v>
      </c>
      <c r="G1668" s="7" t="str">
        <f t="shared" si="12"/>
        <v>Direct</v>
      </c>
      <c r="H1668" s="7" t="s">
        <v>16</v>
      </c>
    </row>
    <row r="1669" spans="1:8" x14ac:dyDescent="0.2">
      <c r="A1669" s="5" t="s">
        <v>13</v>
      </c>
      <c r="B1669" s="6" t="s">
        <v>19</v>
      </c>
      <c r="C1669" s="7" t="s">
        <v>1736</v>
      </c>
      <c r="D1669" s="7"/>
      <c r="E1669" s="8">
        <v>-3.8175142000000002</v>
      </c>
      <c r="F1669" s="8">
        <v>-1.7663278</v>
      </c>
      <c r="G1669" s="7" t="str">
        <f t="shared" si="12"/>
        <v>Direct</v>
      </c>
      <c r="H1669" s="7" t="s">
        <v>1737</v>
      </c>
    </row>
    <row r="1670" spans="1:8" x14ac:dyDescent="0.2">
      <c r="A1670" s="5" t="s">
        <v>13</v>
      </c>
      <c r="B1670" s="6" t="s">
        <v>19</v>
      </c>
      <c r="C1670" s="7" t="s">
        <v>1738</v>
      </c>
      <c r="D1670" s="7"/>
      <c r="E1670" s="8">
        <v>-2.2727124999999999</v>
      </c>
      <c r="F1670" s="8">
        <v>-1.7525725000000001</v>
      </c>
      <c r="G1670" s="7" t="str">
        <f t="shared" si="12"/>
        <v>Direct</v>
      </c>
      <c r="H1670" s="7" t="s">
        <v>1739</v>
      </c>
    </row>
    <row r="1671" spans="1:8" x14ac:dyDescent="0.2">
      <c r="A1671" s="5" t="s">
        <v>13</v>
      </c>
      <c r="B1671" s="6" t="s">
        <v>19</v>
      </c>
      <c r="C1671" s="7" t="s">
        <v>1740</v>
      </c>
      <c r="D1671" s="7"/>
      <c r="E1671" s="8">
        <v>1.54010453</v>
      </c>
      <c r="F1671" s="8">
        <v>2.1034209599999998</v>
      </c>
      <c r="G1671" s="7" t="str">
        <f t="shared" si="12"/>
        <v>Direct</v>
      </c>
      <c r="H1671" s="7" t="s">
        <v>16</v>
      </c>
    </row>
    <row r="1672" spans="1:8" x14ac:dyDescent="0.2">
      <c r="A1672" s="5" t="s">
        <v>13</v>
      </c>
      <c r="B1672" s="6" t="s">
        <v>19</v>
      </c>
      <c r="C1672" s="7" t="s">
        <v>1741</v>
      </c>
      <c r="D1672" s="7"/>
      <c r="E1672" s="8">
        <v>2.4907797700000001</v>
      </c>
      <c r="F1672" s="8">
        <v>3.2565142599999999</v>
      </c>
      <c r="G1672" s="7" t="str">
        <f t="shared" si="12"/>
        <v>Direct</v>
      </c>
      <c r="H1672" s="7" t="s">
        <v>16</v>
      </c>
    </row>
    <row r="1673" spans="1:8" x14ac:dyDescent="0.2">
      <c r="A1673" s="5" t="s">
        <v>13</v>
      </c>
      <c r="B1673" s="6" t="s">
        <v>19</v>
      </c>
      <c r="C1673" s="7" t="s">
        <v>1742</v>
      </c>
      <c r="D1673" s="7"/>
      <c r="E1673" s="8">
        <v>-1.0383366000000001</v>
      </c>
      <c r="F1673" s="8">
        <v>-1.4920679999999999</v>
      </c>
      <c r="G1673" s="7" t="str">
        <f t="shared" si="12"/>
        <v>Direct</v>
      </c>
      <c r="H1673" s="7" t="s">
        <v>16</v>
      </c>
    </row>
    <row r="1674" spans="1:8" x14ac:dyDescent="0.2">
      <c r="A1674" s="5" t="s">
        <v>13</v>
      </c>
      <c r="B1674" s="6" t="s">
        <v>19</v>
      </c>
      <c r="C1674" s="7" t="s">
        <v>1743</v>
      </c>
      <c r="D1674" s="7"/>
      <c r="E1674" s="8">
        <v>-2.1953369</v>
      </c>
      <c r="F1674" s="8">
        <v>-3.5176460000000001</v>
      </c>
      <c r="G1674" s="7" t="str">
        <f t="shared" si="12"/>
        <v>Direct</v>
      </c>
      <c r="H1674" s="7" t="s">
        <v>1744</v>
      </c>
    </row>
    <row r="1675" spans="1:8" x14ac:dyDescent="0.2">
      <c r="A1675" s="5" t="s">
        <v>13</v>
      </c>
      <c r="B1675" s="6" t="s">
        <v>19</v>
      </c>
      <c r="C1675" s="7" t="s">
        <v>1745</v>
      </c>
      <c r="D1675" s="7"/>
      <c r="E1675" s="8">
        <v>-1.3316204</v>
      </c>
      <c r="F1675" s="8">
        <v>-2.3460011999999999</v>
      </c>
      <c r="G1675" s="7" t="str">
        <f t="shared" si="12"/>
        <v>Direct</v>
      </c>
      <c r="H1675" s="7" t="s">
        <v>16</v>
      </c>
    </row>
    <row r="1676" spans="1:8" x14ac:dyDescent="0.2">
      <c r="A1676" s="5" t="s">
        <v>13</v>
      </c>
      <c r="B1676" s="6" t="s">
        <v>19</v>
      </c>
      <c r="C1676" s="7" t="s">
        <v>1746</v>
      </c>
      <c r="D1676" s="7"/>
      <c r="E1676" s="8">
        <v>-2.2983041000000002</v>
      </c>
      <c r="F1676" s="8">
        <v>-2.9008657000000002</v>
      </c>
      <c r="G1676" s="7" t="str">
        <f t="shared" si="12"/>
        <v>Direct</v>
      </c>
      <c r="H1676" s="7" t="s">
        <v>1747</v>
      </c>
    </row>
    <row r="1677" spans="1:8" x14ac:dyDescent="0.2">
      <c r="A1677" s="5" t="s">
        <v>13</v>
      </c>
      <c r="B1677" s="6" t="s">
        <v>19</v>
      </c>
      <c r="C1677" s="7" t="s">
        <v>1748</v>
      </c>
      <c r="D1677" s="7"/>
      <c r="E1677" s="8">
        <v>-1.3122558</v>
      </c>
      <c r="F1677" s="8">
        <v>-1.0493389</v>
      </c>
      <c r="G1677" s="7" t="str">
        <f t="shared" si="12"/>
        <v>Direct</v>
      </c>
      <c r="H1677" s="7" t="s">
        <v>1749</v>
      </c>
    </row>
    <row r="1678" spans="1:8" x14ac:dyDescent="0.2">
      <c r="A1678" s="5" t="s">
        <v>13</v>
      </c>
      <c r="B1678" s="6" t="s">
        <v>19</v>
      </c>
      <c r="C1678" s="7" t="s">
        <v>249</v>
      </c>
      <c r="D1678" s="7"/>
      <c r="E1678" s="8">
        <v>-1.5207245</v>
      </c>
      <c r="F1678" s="8">
        <v>-1.0488978</v>
      </c>
      <c r="G1678" s="7" t="str">
        <f t="shared" si="12"/>
        <v>Direct</v>
      </c>
      <c r="H1678" s="7" t="s">
        <v>250</v>
      </c>
    </row>
    <row r="1679" spans="1:8" x14ac:dyDescent="0.2">
      <c r="A1679" s="5" t="s">
        <v>13</v>
      </c>
      <c r="B1679" s="6" t="s">
        <v>19</v>
      </c>
      <c r="C1679" s="7" t="s">
        <v>251</v>
      </c>
      <c r="D1679" s="7"/>
      <c r="E1679" s="8">
        <v>-9.5294445999999997</v>
      </c>
      <c r="F1679" s="8">
        <v>-5.9181343999999996</v>
      </c>
      <c r="G1679" s="7" t="str">
        <f t="shared" si="12"/>
        <v>Direct</v>
      </c>
      <c r="H1679" s="7" t="s">
        <v>252</v>
      </c>
    </row>
    <row r="1680" spans="1:8" x14ac:dyDescent="0.2">
      <c r="A1680" s="5" t="s">
        <v>13</v>
      </c>
      <c r="B1680" s="6" t="s">
        <v>19</v>
      </c>
      <c r="C1680" s="7" t="s">
        <v>1750</v>
      </c>
      <c r="D1680" s="7"/>
      <c r="E1680" s="8">
        <v>-4.3886702</v>
      </c>
      <c r="F1680" s="8">
        <v>-3.7291169000000002</v>
      </c>
      <c r="G1680" s="7" t="str">
        <f t="shared" si="12"/>
        <v>Direct</v>
      </c>
      <c r="H1680" s="7" t="s">
        <v>16</v>
      </c>
    </row>
    <row r="1681" spans="1:8" x14ac:dyDescent="0.2">
      <c r="A1681" s="5" t="s">
        <v>13</v>
      </c>
      <c r="B1681" s="6" t="s">
        <v>19</v>
      </c>
      <c r="C1681" s="7" t="s">
        <v>1751</v>
      </c>
      <c r="D1681" s="7"/>
      <c r="E1681" s="8">
        <v>-2.1860892000000001</v>
      </c>
      <c r="F1681" s="8">
        <v>-1.7125538</v>
      </c>
      <c r="G1681" s="7" t="str">
        <f t="shared" si="12"/>
        <v>Direct</v>
      </c>
      <c r="H1681" s="7" t="s">
        <v>1752</v>
      </c>
    </row>
    <row r="1682" spans="1:8" x14ac:dyDescent="0.2">
      <c r="A1682" s="5" t="s">
        <v>13</v>
      </c>
      <c r="B1682" s="6" t="s">
        <v>19</v>
      </c>
      <c r="C1682" s="7" t="s">
        <v>253</v>
      </c>
      <c r="D1682" s="7"/>
      <c r="E1682" s="8">
        <v>-2.9109821</v>
      </c>
      <c r="F1682" s="8">
        <v>-3.8425375000000002</v>
      </c>
      <c r="G1682" s="7" t="str">
        <f t="shared" si="12"/>
        <v>Direct</v>
      </c>
      <c r="H1682" s="7" t="s">
        <v>16</v>
      </c>
    </row>
    <row r="1683" spans="1:8" x14ac:dyDescent="0.2">
      <c r="A1683" s="5" t="s">
        <v>13</v>
      </c>
      <c r="B1683" s="6" t="s">
        <v>19</v>
      </c>
      <c r="C1683" s="7" t="s">
        <v>1753</v>
      </c>
      <c r="D1683" s="7"/>
      <c r="E1683" s="8">
        <v>2.9640236099999999</v>
      </c>
      <c r="F1683" s="8">
        <v>1.82362026</v>
      </c>
      <c r="G1683" s="7" t="str">
        <f t="shared" si="12"/>
        <v>Direct</v>
      </c>
      <c r="H1683" s="7" t="s">
        <v>16</v>
      </c>
    </row>
    <row r="1684" spans="1:8" x14ac:dyDescent="0.2">
      <c r="A1684" s="5" t="s">
        <v>13</v>
      </c>
      <c r="B1684" s="6" t="s">
        <v>19</v>
      </c>
      <c r="C1684" s="7" t="s">
        <v>1754</v>
      </c>
      <c r="D1684" s="7"/>
      <c r="E1684" s="8">
        <v>-1.4982829</v>
      </c>
      <c r="F1684" s="8">
        <v>-1.4425022000000001</v>
      </c>
      <c r="G1684" s="7" t="str">
        <f t="shared" si="12"/>
        <v>Direct</v>
      </c>
      <c r="H1684" s="7" t="s">
        <v>1755</v>
      </c>
    </row>
    <row r="1685" spans="1:8" x14ac:dyDescent="0.2">
      <c r="A1685" s="5" t="s">
        <v>13</v>
      </c>
      <c r="B1685" s="6" t="s">
        <v>19</v>
      </c>
      <c r="C1685" s="7" t="s">
        <v>1756</v>
      </c>
      <c r="D1685" s="7"/>
      <c r="E1685" s="8">
        <v>2.5994073800000002</v>
      </c>
      <c r="F1685" s="8">
        <v>2.71348141</v>
      </c>
      <c r="G1685" s="7" t="str">
        <f t="shared" si="12"/>
        <v>Direct</v>
      </c>
      <c r="H1685" s="7" t="s">
        <v>16</v>
      </c>
    </row>
    <row r="1686" spans="1:8" x14ac:dyDescent="0.2">
      <c r="A1686" s="5" t="s">
        <v>13</v>
      </c>
      <c r="B1686" s="6" t="s">
        <v>19</v>
      </c>
      <c r="C1686" s="7" t="s">
        <v>1757</v>
      </c>
      <c r="D1686" s="7"/>
      <c r="E1686" s="8">
        <v>1.7702792300000001</v>
      </c>
      <c r="F1686" s="8">
        <v>1.1901716</v>
      </c>
      <c r="G1686" s="7" t="str">
        <f t="shared" si="12"/>
        <v>Direct</v>
      </c>
      <c r="H1686" s="7" t="s">
        <v>16</v>
      </c>
    </row>
    <row r="1687" spans="1:8" x14ac:dyDescent="0.2">
      <c r="A1687" s="5" t="s">
        <v>13</v>
      </c>
      <c r="B1687" s="6" t="s">
        <v>19</v>
      </c>
      <c r="C1687" s="7" t="s">
        <v>1758</v>
      </c>
      <c r="D1687" s="7"/>
      <c r="E1687" s="8">
        <v>-1.7491616000000001</v>
      </c>
      <c r="F1687" s="8">
        <v>-1.1607495000000001</v>
      </c>
      <c r="G1687" s="7" t="str">
        <f t="shared" si="12"/>
        <v>Direct</v>
      </c>
      <c r="H1687" s="7" t="s">
        <v>1759</v>
      </c>
    </row>
    <row r="1688" spans="1:8" x14ac:dyDescent="0.2">
      <c r="A1688" s="5" t="s">
        <v>13</v>
      </c>
      <c r="B1688" s="6" t="s">
        <v>19</v>
      </c>
      <c r="C1688" s="7" t="s">
        <v>254</v>
      </c>
      <c r="D1688" s="7"/>
      <c r="E1688" s="8">
        <v>-3.6287216999999998</v>
      </c>
      <c r="F1688" s="8">
        <v>-3.8267601999999998</v>
      </c>
      <c r="G1688" s="7" t="str">
        <f t="shared" si="12"/>
        <v>Direct</v>
      </c>
      <c r="H1688" s="7" t="s">
        <v>248</v>
      </c>
    </row>
    <row r="1689" spans="1:8" x14ac:dyDescent="0.2">
      <c r="A1689" s="5" t="s">
        <v>13</v>
      </c>
      <c r="B1689" s="6" t="s">
        <v>19</v>
      </c>
      <c r="C1689" s="7" t="s">
        <v>1760</v>
      </c>
      <c r="D1689" s="7"/>
      <c r="E1689" s="8">
        <v>-1.6294019</v>
      </c>
      <c r="F1689" s="8">
        <v>-1.3137082</v>
      </c>
      <c r="G1689" s="7" t="str">
        <f t="shared" si="12"/>
        <v>Direct</v>
      </c>
      <c r="H1689" s="7" t="s">
        <v>1761</v>
      </c>
    </row>
    <row r="1690" spans="1:8" x14ac:dyDescent="0.2">
      <c r="A1690" s="5" t="s">
        <v>13</v>
      </c>
      <c r="B1690" s="6" t="s">
        <v>19</v>
      </c>
      <c r="C1690" s="7" t="s">
        <v>1762</v>
      </c>
      <c r="D1690" s="7"/>
      <c r="E1690" s="8">
        <v>3.4407019499999998</v>
      </c>
      <c r="F1690" s="8">
        <v>1.7215684600000001</v>
      </c>
      <c r="G1690" s="7" t="str">
        <f t="shared" si="12"/>
        <v>Direct</v>
      </c>
      <c r="H1690" s="7" t="s">
        <v>16</v>
      </c>
    </row>
    <row r="1691" spans="1:8" x14ac:dyDescent="0.2">
      <c r="A1691" s="5" t="s">
        <v>13</v>
      </c>
      <c r="B1691" s="6" t="s">
        <v>19</v>
      </c>
      <c r="C1691" s="7" t="s">
        <v>1763</v>
      </c>
      <c r="D1691" s="7"/>
      <c r="E1691" s="8">
        <v>-1.8381154</v>
      </c>
      <c r="F1691" s="8">
        <v>-2.4603128999999999</v>
      </c>
      <c r="G1691" s="7" t="str">
        <f t="shared" si="12"/>
        <v>Direct</v>
      </c>
      <c r="H1691" s="7" t="s">
        <v>16</v>
      </c>
    </row>
    <row r="1692" spans="1:8" x14ac:dyDescent="0.2">
      <c r="A1692" s="5" t="s">
        <v>13</v>
      </c>
      <c r="B1692" s="6" t="s">
        <v>19</v>
      </c>
      <c r="C1692" s="7" t="s">
        <v>1764</v>
      </c>
      <c r="D1692" s="7"/>
      <c r="E1692" s="8">
        <v>1.41581877</v>
      </c>
      <c r="F1692" s="8">
        <v>1.1527968099999999</v>
      </c>
      <c r="G1692" s="7" t="str">
        <f t="shared" si="12"/>
        <v>Direct</v>
      </c>
      <c r="H1692" s="7" t="s">
        <v>16</v>
      </c>
    </row>
    <row r="1693" spans="1:8" x14ac:dyDescent="0.2">
      <c r="A1693" s="5" t="s">
        <v>13</v>
      </c>
      <c r="B1693" s="6" t="s">
        <v>19</v>
      </c>
      <c r="C1693" s="7" t="s">
        <v>255</v>
      </c>
      <c r="D1693" s="7"/>
      <c r="E1693" s="8">
        <v>2.2519237099999998</v>
      </c>
      <c r="F1693" s="8">
        <v>2.2747872199999999</v>
      </c>
      <c r="G1693" s="7" t="str">
        <f t="shared" si="12"/>
        <v>Direct</v>
      </c>
      <c r="H1693" s="7" t="s">
        <v>16</v>
      </c>
    </row>
    <row r="1694" spans="1:8" x14ac:dyDescent="0.2">
      <c r="A1694" s="5" t="s">
        <v>13</v>
      </c>
      <c r="B1694" s="6" t="s">
        <v>19</v>
      </c>
      <c r="C1694" s="7" t="s">
        <v>256</v>
      </c>
      <c r="D1694" s="7"/>
      <c r="E1694" s="8">
        <v>-1.4961228</v>
      </c>
      <c r="F1694" s="8">
        <v>-1.8822901999999999</v>
      </c>
      <c r="G1694" s="7" t="str">
        <f t="shared" si="12"/>
        <v>Direct</v>
      </c>
      <c r="H1694" s="7" t="s">
        <v>16</v>
      </c>
    </row>
    <row r="1695" spans="1:8" x14ac:dyDescent="0.2">
      <c r="A1695" s="5" t="s">
        <v>13</v>
      </c>
      <c r="B1695" s="6" t="s">
        <v>19</v>
      </c>
      <c r="C1695" s="7" t="s">
        <v>1765</v>
      </c>
      <c r="D1695" s="7"/>
      <c r="E1695" s="8">
        <v>-1.1820656</v>
      </c>
      <c r="F1695" s="8">
        <v>-3.1639889999999999</v>
      </c>
      <c r="G1695" s="7" t="str">
        <f t="shared" si="12"/>
        <v>Direct</v>
      </c>
      <c r="H1695" s="7" t="s">
        <v>16</v>
      </c>
    </row>
    <row r="1696" spans="1:8" x14ac:dyDescent="0.2">
      <c r="A1696" s="5" t="s">
        <v>13</v>
      </c>
      <c r="B1696" s="6" t="s">
        <v>19</v>
      </c>
      <c r="C1696" s="7" t="s">
        <v>1766</v>
      </c>
      <c r="D1696" s="7"/>
      <c r="E1696" s="8">
        <v>-3.5353300999999999</v>
      </c>
      <c r="F1696" s="8">
        <v>-4.2501923000000001</v>
      </c>
      <c r="G1696" s="7" t="str">
        <f t="shared" si="12"/>
        <v>Direct</v>
      </c>
      <c r="H1696" s="7" t="s">
        <v>1767</v>
      </c>
    </row>
    <row r="1697" spans="1:8" x14ac:dyDescent="0.2">
      <c r="A1697" s="5" t="s">
        <v>13</v>
      </c>
      <c r="B1697" s="6" t="s">
        <v>19</v>
      </c>
      <c r="C1697" s="7" t="s">
        <v>1768</v>
      </c>
      <c r="D1697" s="7"/>
      <c r="E1697" s="8">
        <v>-2.0236744</v>
      </c>
      <c r="F1697" s="8">
        <v>-3.3683695999999999</v>
      </c>
      <c r="G1697" s="7" t="str">
        <f t="shared" si="12"/>
        <v>Direct</v>
      </c>
      <c r="H1697" s="7" t="s">
        <v>16</v>
      </c>
    </row>
    <row r="1698" spans="1:8" x14ac:dyDescent="0.2">
      <c r="A1698" s="5" t="s">
        <v>13</v>
      </c>
      <c r="B1698" s="6" t="s">
        <v>19</v>
      </c>
      <c r="C1698" s="7" t="s">
        <v>1769</v>
      </c>
      <c r="D1698" s="7"/>
      <c r="E1698" s="8">
        <v>-5.1219345000000001</v>
      </c>
      <c r="F1698" s="8">
        <v>-1.2435436</v>
      </c>
      <c r="G1698" s="7" t="str">
        <f t="shared" si="12"/>
        <v>Direct</v>
      </c>
      <c r="H1698" s="7" t="s">
        <v>16</v>
      </c>
    </row>
    <row r="1699" spans="1:8" x14ac:dyDescent="0.2">
      <c r="A1699" s="5" t="s">
        <v>13</v>
      </c>
      <c r="B1699" s="6" t="s">
        <v>19</v>
      </c>
      <c r="C1699" s="7" t="s">
        <v>1770</v>
      </c>
      <c r="D1699" s="7"/>
      <c r="E1699" s="8">
        <v>2.09305188</v>
      </c>
      <c r="F1699" s="8">
        <v>1.41831401</v>
      </c>
      <c r="G1699" s="7" t="str">
        <f t="shared" si="12"/>
        <v>Direct</v>
      </c>
      <c r="H1699" s="7" t="s">
        <v>16</v>
      </c>
    </row>
    <row r="1700" spans="1:8" x14ac:dyDescent="0.2">
      <c r="A1700" s="5" t="s">
        <v>13</v>
      </c>
      <c r="B1700" s="6" t="s">
        <v>19</v>
      </c>
      <c r="C1700" s="7" t="s">
        <v>1771</v>
      </c>
      <c r="D1700" s="7"/>
      <c r="E1700" s="8">
        <v>-2.1542620000000001</v>
      </c>
      <c r="F1700" s="8">
        <v>-1.7115975000000001</v>
      </c>
      <c r="G1700" s="7" t="str">
        <f t="shared" si="12"/>
        <v>Direct</v>
      </c>
      <c r="H1700" s="7" t="s">
        <v>1772</v>
      </c>
    </row>
    <row r="1701" spans="1:8" x14ac:dyDescent="0.2">
      <c r="A1701" s="5" t="s">
        <v>13</v>
      </c>
      <c r="B1701" s="6" t="s">
        <v>19</v>
      </c>
      <c r="C1701" s="7" t="s">
        <v>1773</v>
      </c>
      <c r="D1701" s="7"/>
      <c r="E1701" s="8">
        <v>-1.4939150999999999</v>
      </c>
      <c r="F1701" s="8">
        <v>-1.1653864</v>
      </c>
      <c r="G1701" s="7" t="str">
        <f t="shared" si="12"/>
        <v>Direct</v>
      </c>
      <c r="H1701" s="7" t="s">
        <v>1358</v>
      </c>
    </row>
    <row r="1702" spans="1:8" x14ac:dyDescent="0.2">
      <c r="A1702" s="5" t="s">
        <v>13</v>
      </c>
      <c r="B1702" s="6" t="s">
        <v>19</v>
      </c>
      <c r="C1702" s="7" t="s">
        <v>259</v>
      </c>
      <c r="D1702" s="7"/>
      <c r="E1702" s="8">
        <v>-1.0938658000000001</v>
      </c>
      <c r="F1702" s="8">
        <v>-1.2836917000000001</v>
      </c>
      <c r="G1702" s="7" t="str">
        <f t="shared" si="12"/>
        <v>Direct</v>
      </c>
      <c r="H1702" s="7" t="s">
        <v>16</v>
      </c>
    </row>
    <row r="1703" spans="1:8" x14ac:dyDescent="0.2">
      <c r="A1703" s="5" t="s">
        <v>13</v>
      </c>
      <c r="B1703" s="6" t="s">
        <v>19</v>
      </c>
      <c r="C1703" s="7" t="s">
        <v>1774</v>
      </c>
      <c r="D1703" s="7"/>
      <c r="E1703" s="8">
        <v>-1.6543857</v>
      </c>
      <c r="F1703" s="8">
        <v>-1.3686654</v>
      </c>
      <c r="G1703" s="7" t="str">
        <f t="shared" si="12"/>
        <v>Direct</v>
      </c>
      <c r="H1703" s="7" t="s">
        <v>1775</v>
      </c>
    </row>
    <row r="1704" spans="1:8" x14ac:dyDescent="0.2">
      <c r="A1704" s="5" t="s">
        <v>13</v>
      </c>
      <c r="B1704" s="6" t="s">
        <v>19</v>
      </c>
      <c r="C1704" s="7" t="s">
        <v>1776</v>
      </c>
      <c r="D1704" s="7"/>
      <c r="E1704" s="8">
        <v>2.1578638799999998</v>
      </c>
      <c r="F1704" s="8">
        <v>1.8135410599999999</v>
      </c>
      <c r="G1704" s="7" t="str">
        <f t="shared" si="12"/>
        <v>Direct</v>
      </c>
      <c r="H1704" s="7" t="s">
        <v>16</v>
      </c>
    </row>
    <row r="1705" spans="1:8" x14ac:dyDescent="0.2">
      <c r="A1705" s="5" t="s">
        <v>13</v>
      </c>
      <c r="B1705" s="6" t="s">
        <v>19</v>
      </c>
      <c r="C1705" s="7" t="s">
        <v>1777</v>
      </c>
      <c r="D1705" s="7"/>
      <c r="E1705" s="8">
        <v>-1.2933866999999999</v>
      </c>
      <c r="F1705" s="8">
        <v>-1.2471753999999999</v>
      </c>
      <c r="G1705" s="7" t="str">
        <f t="shared" si="12"/>
        <v>Direct</v>
      </c>
      <c r="H1705" s="7" t="s">
        <v>1778</v>
      </c>
    </row>
    <row r="1706" spans="1:8" x14ac:dyDescent="0.2">
      <c r="A1706" s="5" t="s">
        <v>13</v>
      </c>
      <c r="B1706" s="6" t="s">
        <v>19</v>
      </c>
      <c r="C1706" s="7" t="s">
        <v>1779</v>
      </c>
      <c r="D1706" s="7"/>
      <c r="E1706" s="8">
        <v>-9.5719244999999997</v>
      </c>
      <c r="F1706" s="8">
        <v>-4.2501923000000001</v>
      </c>
      <c r="G1706" s="7" t="str">
        <f t="shared" si="12"/>
        <v>Direct</v>
      </c>
      <c r="H1706" s="7" t="s">
        <v>1780</v>
      </c>
    </row>
    <row r="1707" spans="1:8" x14ac:dyDescent="0.2">
      <c r="A1707" s="5" t="s">
        <v>13</v>
      </c>
      <c r="B1707" s="6" t="s">
        <v>19</v>
      </c>
      <c r="C1707" s="7" t="s">
        <v>1781</v>
      </c>
      <c r="D1707" s="7"/>
      <c r="E1707" s="8">
        <v>-5.0809243999999998</v>
      </c>
      <c r="F1707" s="8">
        <v>-7.9065285000000003</v>
      </c>
      <c r="G1707" s="7" t="str">
        <f t="shared" si="12"/>
        <v>Direct</v>
      </c>
      <c r="H1707" s="7" t="s">
        <v>1782</v>
      </c>
    </row>
    <row r="1708" spans="1:8" x14ac:dyDescent="0.2">
      <c r="A1708" s="5" t="s">
        <v>13</v>
      </c>
      <c r="B1708" s="6" t="s">
        <v>19</v>
      </c>
      <c r="C1708" s="7" t="s">
        <v>1783</v>
      </c>
      <c r="D1708" s="7"/>
      <c r="E1708" s="8">
        <v>3.00915738</v>
      </c>
      <c r="F1708" s="8">
        <v>5.8415617099999997</v>
      </c>
      <c r="G1708" s="7" t="str">
        <f t="shared" si="12"/>
        <v>Direct</v>
      </c>
      <c r="H1708" s="7" t="s">
        <v>16</v>
      </c>
    </row>
    <row r="1709" spans="1:8" x14ac:dyDescent="0.2">
      <c r="A1709" s="5" t="s">
        <v>13</v>
      </c>
      <c r="B1709" s="6" t="s">
        <v>19</v>
      </c>
      <c r="C1709" s="7" t="s">
        <v>1784</v>
      </c>
      <c r="D1709" s="7"/>
      <c r="E1709" s="8">
        <v>-4.0945172000000003</v>
      </c>
      <c r="F1709" s="8">
        <v>-5.7666475999999998</v>
      </c>
      <c r="G1709" s="7" t="str">
        <f t="shared" si="12"/>
        <v>Direct</v>
      </c>
      <c r="H1709" s="7" t="s">
        <v>1785</v>
      </c>
    </row>
    <row r="1710" spans="1:8" x14ac:dyDescent="0.2">
      <c r="A1710" s="5" t="s">
        <v>13</v>
      </c>
      <c r="B1710" s="6" t="s">
        <v>19</v>
      </c>
      <c r="C1710" s="7" t="s">
        <v>1786</v>
      </c>
      <c r="D1710" s="7"/>
      <c r="E1710" s="8">
        <v>-2.1838567000000002</v>
      </c>
      <c r="F1710" s="8">
        <v>-2.3688196000000001</v>
      </c>
      <c r="G1710" s="7" t="str">
        <f t="shared" si="12"/>
        <v>Direct</v>
      </c>
      <c r="H1710" s="7" t="s">
        <v>1787</v>
      </c>
    </row>
    <row r="1711" spans="1:8" x14ac:dyDescent="0.2">
      <c r="A1711" s="5" t="s">
        <v>13</v>
      </c>
      <c r="B1711" s="6" t="s">
        <v>19</v>
      </c>
      <c r="C1711" s="7" t="s">
        <v>1788</v>
      </c>
      <c r="D1711" s="7"/>
      <c r="E1711" s="8">
        <v>-2.1504843999999999</v>
      </c>
      <c r="F1711" s="8">
        <v>-1.9506897000000001</v>
      </c>
      <c r="G1711" s="7" t="str">
        <f t="shared" si="12"/>
        <v>Direct</v>
      </c>
      <c r="H1711" s="7" t="s">
        <v>1789</v>
      </c>
    </row>
    <row r="1712" spans="1:8" x14ac:dyDescent="0.2">
      <c r="A1712" s="5" t="s">
        <v>13</v>
      </c>
      <c r="B1712" s="6" t="s">
        <v>19</v>
      </c>
      <c r="C1712" s="7" t="s">
        <v>260</v>
      </c>
      <c r="D1712" s="7"/>
      <c r="E1712" s="8">
        <v>2.2042480599999998</v>
      </c>
      <c r="F1712" s="8">
        <v>1.84582713</v>
      </c>
      <c r="G1712" s="7" t="str">
        <f t="shared" si="12"/>
        <v>Direct</v>
      </c>
      <c r="H1712" s="7" t="s">
        <v>16</v>
      </c>
    </row>
    <row r="1713" spans="1:8" x14ac:dyDescent="0.2">
      <c r="A1713" s="5" t="s">
        <v>13</v>
      </c>
      <c r="B1713" s="6" t="s">
        <v>19</v>
      </c>
      <c r="C1713" s="7" t="s">
        <v>1790</v>
      </c>
      <c r="D1713" s="7"/>
      <c r="E1713" s="8">
        <v>3.02969606</v>
      </c>
      <c r="F1713" s="8">
        <v>3.7004698500000002</v>
      </c>
      <c r="G1713" s="7" t="str">
        <f t="shared" si="12"/>
        <v>Direct</v>
      </c>
      <c r="H1713" s="7" t="s">
        <v>1791</v>
      </c>
    </row>
    <row r="1714" spans="1:8" x14ac:dyDescent="0.2">
      <c r="A1714" s="5" t="s">
        <v>13</v>
      </c>
      <c r="B1714" s="6" t="s">
        <v>19</v>
      </c>
      <c r="C1714" s="7" t="s">
        <v>1792</v>
      </c>
      <c r="D1714" s="7"/>
      <c r="E1714" s="8">
        <v>3.35361149</v>
      </c>
      <c r="F1714" s="8">
        <v>1.94949628</v>
      </c>
      <c r="G1714" s="7" t="str">
        <f t="shared" si="12"/>
        <v>Direct</v>
      </c>
      <c r="H1714" s="7" t="s">
        <v>16</v>
      </c>
    </row>
    <row r="1715" spans="1:8" x14ac:dyDescent="0.2">
      <c r="A1715" s="5" t="s">
        <v>13</v>
      </c>
      <c r="B1715" s="6" t="s">
        <v>19</v>
      </c>
      <c r="C1715" s="7" t="s">
        <v>1793</v>
      </c>
      <c r="D1715" s="7"/>
      <c r="E1715" s="8">
        <v>4.86108779</v>
      </c>
      <c r="F1715" s="8">
        <v>3.55852535</v>
      </c>
      <c r="G1715" s="7" t="str">
        <f t="shared" si="12"/>
        <v>Direct</v>
      </c>
      <c r="H1715" s="7" t="s">
        <v>1794</v>
      </c>
    </row>
    <row r="1716" spans="1:8" x14ac:dyDescent="0.2">
      <c r="A1716" s="5" t="s">
        <v>13</v>
      </c>
      <c r="B1716" s="6" t="s">
        <v>19</v>
      </c>
      <c r="C1716" s="7" t="s">
        <v>1795</v>
      </c>
      <c r="D1716" s="7"/>
      <c r="E1716" s="8">
        <v>4.2735700999999997</v>
      </c>
      <c r="F1716" s="8">
        <v>1.3240425499999999</v>
      </c>
      <c r="G1716" s="7" t="str">
        <f t="shared" si="12"/>
        <v>Direct</v>
      </c>
      <c r="H1716" s="7" t="s">
        <v>1484</v>
      </c>
    </row>
    <row r="1717" spans="1:8" x14ac:dyDescent="0.2">
      <c r="A1717" s="5" t="s">
        <v>13</v>
      </c>
      <c r="B1717" s="6" t="s">
        <v>19</v>
      </c>
      <c r="C1717" s="7" t="s">
        <v>1796</v>
      </c>
      <c r="D1717" s="7"/>
      <c r="E1717" s="8">
        <v>1.4922868499999999</v>
      </c>
      <c r="F1717" s="8">
        <v>1.4345454799999999</v>
      </c>
      <c r="G1717" s="7" t="str">
        <f t="shared" si="12"/>
        <v>Direct</v>
      </c>
      <c r="H1717" s="7" t="s">
        <v>1797</v>
      </c>
    </row>
    <row r="1718" spans="1:8" x14ac:dyDescent="0.2">
      <c r="A1718" s="5" t="s">
        <v>13</v>
      </c>
      <c r="B1718" s="6" t="s">
        <v>19</v>
      </c>
      <c r="C1718" s="7" t="s">
        <v>1798</v>
      </c>
      <c r="D1718" s="7"/>
      <c r="E1718" s="8">
        <v>2.79079933</v>
      </c>
      <c r="F1718" s="8">
        <v>2.18352075</v>
      </c>
      <c r="G1718" s="7" t="str">
        <f t="shared" si="12"/>
        <v>Direct</v>
      </c>
      <c r="H1718" s="7" t="s">
        <v>1799</v>
      </c>
    </row>
    <row r="1719" spans="1:8" x14ac:dyDescent="0.2">
      <c r="A1719" s="5" t="s">
        <v>13</v>
      </c>
      <c r="B1719" s="6" t="s">
        <v>19</v>
      </c>
      <c r="C1719" s="7" t="s">
        <v>1800</v>
      </c>
      <c r="D1719" s="7"/>
      <c r="E1719" s="8">
        <v>7.3020952399999999</v>
      </c>
      <c r="F1719" s="8">
        <v>6.1348121799999999</v>
      </c>
      <c r="G1719" s="7" t="str">
        <f t="shared" si="12"/>
        <v>Direct</v>
      </c>
      <c r="H1719" s="7" t="s">
        <v>1801</v>
      </c>
    </row>
    <row r="1720" spans="1:8" x14ac:dyDescent="0.2">
      <c r="A1720" s="5" t="s">
        <v>13</v>
      </c>
      <c r="B1720" s="6" t="s">
        <v>19</v>
      </c>
      <c r="C1720" s="7" t="s">
        <v>1802</v>
      </c>
      <c r="D1720" s="7"/>
      <c r="E1720" s="8">
        <v>-16.921229</v>
      </c>
      <c r="F1720" s="8">
        <v>-13.537568</v>
      </c>
      <c r="G1720" s="7" t="str">
        <f t="shared" si="12"/>
        <v>Direct</v>
      </c>
      <c r="H1720" s="7" t="s">
        <v>1803</v>
      </c>
    </row>
    <row r="1721" spans="1:8" x14ac:dyDescent="0.2">
      <c r="A1721" s="5" t="s">
        <v>13</v>
      </c>
      <c r="B1721" s="6" t="s">
        <v>19</v>
      </c>
      <c r="C1721" s="7" t="s">
        <v>1804</v>
      </c>
      <c r="D1721" s="7"/>
      <c r="E1721" s="8">
        <v>1.6791250200000001</v>
      </c>
      <c r="F1721" s="8">
        <v>3.9741448500000001</v>
      </c>
      <c r="G1721" s="7" t="str">
        <f t="shared" si="12"/>
        <v>Direct</v>
      </c>
      <c r="H1721" s="7" t="s">
        <v>16</v>
      </c>
    </row>
    <row r="1722" spans="1:8" x14ac:dyDescent="0.2">
      <c r="A1722" s="5" t="s">
        <v>13</v>
      </c>
      <c r="B1722" s="6" t="s">
        <v>19</v>
      </c>
      <c r="C1722" s="7" t="s">
        <v>1805</v>
      </c>
      <c r="D1722" s="7"/>
      <c r="E1722" s="8">
        <v>3.9751299200000001</v>
      </c>
      <c r="F1722" s="8">
        <v>2.5875758800000002</v>
      </c>
      <c r="G1722" s="7" t="str">
        <f t="shared" si="12"/>
        <v>Direct</v>
      </c>
      <c r="H1722" s="7" t="s">
        <v>16</v>
      </c>
    </row>
    <row r="1723" spans="1:8" x14ac:dyDescent="0.2">
      <c r="A1723" s="5" t="s">
        <v>13</v>
      </c>
      <c r="B1723" s="6" t="s">
        <v>19</v>
      </c>
      <c r="C1723" s="7" t="s">
        <v>1806</v>
      </c>
      <c r="D1723" s="7"/>
      <c r="E1723" s="8">
        <v>-1.7625088</v>
      </c>
      <c r="F1723" s="8">
        <v>-1.7591072000000001</v>
      </c>
      <c r="G1723" s="7" t="str">
        <f t="shared" si="12"/>
        <v>Direct</v>
      </c>
      <c r="H1723" s="7" t="s">
        <v>16</v>
      </c>
    </row>
    <row r="1724" spans="1:8" x14ac:dyDescent="0.2">
      <c r="A1724" s="5" t="s">
        <v>13</v>
      </c>
      <c r="B1724" s="6" t="s">
        <v>19</v>
      </c>
      <c r="C1724" s="7" t="s">
        <v>1807</v>
      </c>
      <c r="D1724" s="7"/>
      <c r="E1724" s="8">
        <v>-1.9242025</v>
      </c>
      <c r="F1724" s="8">
        <v>-1.5778368</v>
      </c>
      <c r="G1724" s="7" t="str">
        <f t="shared" si="12"/>
        <v>Direct</v>
      </c>
      <c r="H1724" s="7" t="s">
        <v>1808</v>
      </c>
    </row>
    <row r="1725" spans="1:8" x14ac:dyDescent="0.2">
      <c r="A1725" s="5" t="s">
        <v>13</v>
      </c>
      <c r="B1725" s="6" t="s">
        <v>19</v>
      </c>
      <c r="C1725" s="7" t="s">
        <v>1809</v>
      </c>
      <c r="D1725" s="7"/>
      <c r="E1725" s="8">
        <v>-2.7167550999999999</v>
      </c>
      <c r="F1725" s="8">
        <v>-2.5168487000000002</v>
      </c>
      <c r="G1725" s="7" t="str">
        <f t="shared" si="12"/>
        <v>Direct</v>
      </c>
      <c r="H1725" s="7" t="s">
        <v>1810</v>
      </c>
    </row>
    <row r="1726" spans="1:8" x14ac:dyDescent="0.2">
      <c r="A1726" s="5" t="s">
        <v>13</v>
      </c>
      <c r="B1726" s="6" t="s">
        <v>19</v>
      </c>
      <c r="C1726" s="7" t="s">
        <v>1811</v>
      </c>
      <c r="D1726" s="7"/>
      <c r="E1726" s="8">
        <v>-2.0850137000000002</v>
      </c>
      <c r="F1726" s="8">
        <v>-1.5884878</v>
      </c>
      <c r="G1726" s="7" t="str">
        <f t="shared" si="12"/>
        <v>Direct</v>
      </c>
      <c r="H1726" s="7" t="s">
        <v>16</v>
      </c>
    </row>
    <row r="1727" spans="1:8" x14ac:dyDescent="0.2">
      <c r="A1727" s="5" t="s">
        <v>13</v>
      </c>
      <c r="B1727" s="6" t="s">
        <v>19</v>
      </c>
      <c r="C1727" s="7" t="s">
        <v>1812</v>
      </c>
      <c r="D1727" s="7"/>
      <c r="E1727" s="8">
        <v>-1.4136807</v>
      </c>
      <c r="F1727" s="8">
        <v>-1.7321755000000001</v>
      </c>
      <c r="G1727" s="7" t="str">
        <f t="shared" si="12"/>
        <v>Direct</v>
      </c>
      <c r="H1727" s="7" t="s">
        <v>1813</v>
      </c>
    </row>
    <row r="1728" spans="1:8" x14ac:dyDescent="0.2">
      <c r="A1728" s="5" t="s">
        <v>13</v>
      </c>
      <c r="B1728" s="6" t="s">
        <v>19</v>
      </c>
      <c r="C1728" s="7" t="s">
        <v>261</v>
      </c>
      <c r="D1728" s="7"/>
      <c r="E1728" s="8">
        <v>5.0809244400000004</v>
      </c>
      <c r="F1728" s="8">
        <v>4.1339861200000003</v>
      </c>
      <c r="G1728" s="7" t="str">
        <f t="shared" si="12"/>
        <v>Direct</v>
      </c>
      <c r="H1728" s="7" t="s">
        <v>262</v>
      </c>
    </row>
    <row r="1729" spans="1:8" x14ac:dyDescent="0.2">
      <c r="A1729" s="5" t="s">
        <v>13</v>
      </c>
      <c r="B1729" s="6" t="s">
        <v>19</v>
      </c>
      <c r="C1729" s="7" t="s">
        <v>1814</v>
      </c>
      <c r="D1729" s="7"/>
      <c r="E1729" s="8">
        <v>1.3564083899999999</v>
      </c>
      <c r="F1729" s="8">
        <v>1.82557776</v>
      </c>
      <c r="G1729" s="7" t="str">
        <f t="shared" si="12"/>
        <v>Direct</v>
      </c>
      <c r="H1729" s="7" t="s">
        <v>262</v>
      </c>
    </row>
    <row r="1730" spans="1:8" x14ac:dyDescent="0.2">
      <c r="A1730" s="5" t="s">
        <v>13</v>
      </c>
      <c r="B1730" s="6" t="s">
        <v>19</v>
      </c>
      <c r="C1730" s="7" t="s">
        <v>1815</v>
      </c>
      <c r="D1730" s="7"/>
      <c r="E1730" s="8">
        <v>-3.2007501</v>
      </c>
      <c r="F1730" s="8">
        <v>-3.3984296000000001</v>
      </c>
      <c r="G1730" s="7" t="str">
        <f t="shared" si="12"/>
        <v>Direct</v>
      </c>
      <c r="H1730" s="7" t="s">
        <v>1816</v>
      </c>
    </row>
    <row r="1731" spans="1:8" x14ac:dyDescent="0.2">
      <c r="A1731" s="5" t="s">
        <v>13</v>
      </c>
      <c r="B1731" s="6" t="s">
        <v>19</v>
      </c>
      <c r="C1731" s="7" t="s">
        <v>1817</v>
      </c>
      <c r="D1731" s="7"/>
      <c r="E1731" s="8">
        <v>-7.8850864999999999</v>
      </c>
      <c r="F1731" s="8">
        <v>-9.8755729999999993</v>
      </c>
      <c r="G1731" s="7" t="str">
        <f t="shared" si="12"/>
        <v>Direct</v>
      </c>
      <c r="H1731" s="7" t="s">
        <v>1818</v>
      </c>
    </row>
    <row r="1732" spans="1:8" x14ac:dyDescent="0.2">
      <c r="A1732" s="5" t="s">
        <v>13</v>
      </c>
      <c r="B1732" s="6" t="s">
        <v>19</v>
      </c>
      <c r="C1732" s="7" t="s">
        <v>263</v>
      </c>
      <c r="D1732" s="7"/>
      <c r="E1732" s="8">
        <v>-3.3193117999999999</v>
      </c>
      <c r="F1732" s="8">
        <v>-3.5088650000000001</v>
      </c>
      <c r="G1732" s="7" t="str">
        <f t="shared" si="12"/>
        <v>Direct</v>
      </c>
      <c r="H1732" s="7" t="s">
        <v>16</v>
      </c>
    </row>
    <row r="1733" spans="1:8" x14ac:dyDescent="0.2">
      <c r="A1733" s="5" t="s">
        <v>13</v>
      </c>
      <c r="B1733" s="6" t="s">
        <v>19</v>
      </c>
      <c r="C1733" s="7" t="s">
        <v>1819</v>
      </c>
      <c r="D1733" s="7"/>
      <c r="E1733" s="8">
        <v>-2.2259454999999999</v>
      </c>
      <c r="F1733" s="8">
        <v>-4.3235362000000004</v>
      </c>
      <c r="G1733" s="7" t="str">
        <f t="shared" si="12"/>
        <v>Direct</v>
      </c>
      <c r="H1733" s="7" t="s">
        <v>1820</v>
      </c>
    </row>
    <row r="1734" spans="1:8" x14ac:dyDescent="0.2">
      <c r="A1734" s="5" t="s">
        <v>13</v>
      </c>
      <c r="B1734" s="6" t="s">
        <v>19</v>
      </c>
      <c r="C1734" s="7" t="s">
        <v>1821</v>
      </c>
      <c r="D1734" s="7"/>
      <c r="E1734" s="8">
        <v>-1.1309349</v>
      </c>
      <c r="F1734" s="8">
        <v>-2.9293873000000001</v>
      </c>
      <c r="G1734" s="7" t="str">
        <f t="shared" si="12"/>
        <v>Direct</v>
      </c>
      <c r="H1734" s="7" t="s">
        <v>1822</v>
      </c>
    </row>
    <row r="1735" spans="1:8" x14ac:dyDescent="0.2">
      <c r="A1735" s="5" t="s">
        <v>13</v>
      </c>
      <c r="B1735" s="6" t="s">
        <v>19</v>
      </c>
      <c r="C1735" s="7" t="s">
        <v>1823</v>
      </c>
      <c r="D1735" s="7"/>
      <c r="E1735" s="8">
        <v>-1.0049703000000001</v>
      </c>
      <c r="F1735" s="8">
        <v>-1.0393758</v>
      </c>
      <c r="G1735" s="7" t="str">
        <f t="shared" si="12"/>
        <v>Direct</v>
      </c>
      <c r="H1735" s="7" t="s">
        <v>1143</v>
      </c>
    </row>
    <row r="1736" spans="1:8" x14ac:dyDescent="0.2">
      <c r="A1736" s="5" t="s">
        <v>13</v>
      </c>
      <c r="B1736" s="6" t="s">
        <v>19</v>
      </c>
      <c r="C1736" s="7" t="s">
        <v>1824</v>
      </c>
      <c r="D1736" s="7"/>
      <c r="E1736" s="8">
        <v>-5.3359193999999999</v>
      </c>
      <c r="F1736" s="8">
        <v>-5.9538076000000002</v>
      </c>
      <c r="G1736" s="7" t="str">
        <f t="shared" si="12"/>
        <v>Direct</v>
      </c>
      <c r="H1736" s="7" t="s">
        <v>1825</v>
      </c>
    </row>
    <row r="1737" spans="1:8" x14ac:dyDescent="0.2">
      <c r="A1737" s="5" t="s">
        <v>13</v>
      </c>
      <c r="B1737" s="6" t="s">
        <v>19</v>
      </c>
      <c r="C1737" s="7" t="s">
        <v>1826</v>
      </c>
      <c r="D1737" s="7"/>
      <c r="E1737" s="8">
        <v>-4.3811390000000001</v>
      </c>
      <c r="F1737" s="8">
        <v>-2.3442064</v>
      </c>
      <c r="G1737" s="7" t="str">
        <f t="shared" si="12"/>
        <v>Direct</v>
      </c>
      <c r="H1737" s="7" t="s">
        <v>1825</v>
      </c>
    </row>
    <row r="1738" spans="1:8" x14ac:dyDescent="0.2">
      <c r="A1738" s="5" t="s">
        <v>13</v>
      </c>
      <c r="B1738" s="6" t="s">
        <v>19</v>
      </c>
      <c r="C1738" s="7" t="s">
        <v>1827</v>
      </c>
      <c r="D1738" s="7"/>
      <c r="E1738" s="8">
        <v>-3.6477765999999998</v>
      </c>
      <c r="F1738" s="8">
        <v>-1.4301842</v>
      </c>
      <c r="G1738" s="7" t="str">
        <f t="shared" ref="G1738:G1992" si="13">IF(OR(AND(E1738&gt;0,F1738&gt;0),AND(E1738&lt;0,F1738&lt;0)),"Direct","Inverse")</f>
        <v>Direct</v>
      </c>
      <c r="H1738" s="7" t="s">
        <v>1828</v>
      </c>
    </row>
    <row r="1739" spans="1:8" x14ac:dyDescent="0.2">
      <c r="A1739" s="5" t="s">
        <v>13</v>
      </c>
      <c r="B1739" s="6" t="s">
        <v>19</v>
      </c>
      <c r="C1739" s="7" t="s">
        <v>1829</v>
      </c>
      <c r="D1739" s="7"/>
      <c r="E1739" s="8">
        <v>-2.9109821</v>
      </c>
      <c r="F1739" s="8">
        <v>-2.1634652000000001</v>
      </c>
      <c r="G1739" s="7" t="str">
        <f t="shared" si="13"/>
        <v>Direct</v>
      </c>
      <c r="H1739" s="7" t="s">
        <v>100</v>
      </c>
    </row>
    <row r="1740" spans="1:8" x14ac:dyDescent="0.2">
      <c r="A1740" s="5" t="s">
        <v>13</v>
      </c>
      <c r="B1740" s="6" t="s">
        <v>19</v>
      </c>
      <c r="C1740" s="7" t="s">
        <v>265</v>
      </c>
      <c r="D1740" s="7"/>
      <c r="E1740" s="8">
        <v>-1.7946652000000001</v>
      </c>
      <c r="F1740" s="8">
        <v>-3.4375494</v>
      </c>
      <c r="G1740" s="7" t="str">
        <f t="shared" si="13"/>
        <v>Direct</v>
      </c>
      <c r="H1740" s="7" t="s">
        <v>266</v>
      </c>
    </row>
    <row r="1741" spans="1:8" x14ac:dyDescent="0.2">
      <c r="A1741" s="5" t="s">
        <v>13</v>
      </c>
      <c r="B1741" s="6" t="s">
        <v>19</v>
      </c>
      <c r="C1741" s="7" t="s">
        <v>1830</v>
      </c>
      <c r="D1741" s="7"/>
      <c r="E1741" s="8">
        <v>-4.1533607999999997</v>
      </c>
      <c r="F1741" s="8">
        <v>-2.2756769000000001</v>
      </c>
      <c r="G1741" s="7" t="str">
        <f t="shared" si="13"/>
        <v>Direct</v>
      </c>
      <c r="H1741" s="7" t="s">
        <v>1831</v>
      </c>
    </row>
    <row r="1742" spans="1:8" x14ac:dyDescent="0.2">
      <c r="A1742" s="5" t="s">
        <v>13</v>
      </c>
      <c r="B1742" s="6" t="s">
        <v>19</v>
      </c>
      <c r="C1742" s="7" t="s">
        <v>1832</v>
      </c>
      <c r="D1742" s="7"/>
      <c r="E1742" s="8">
        <v>-2.9597311999999998</v>
      </c>
      <c r="F1742" s="8">
        <v>-1.9493441</v>
      </c>
      <c r="G1742" s="7" t="str">
        <f t="shared" si="13"/>
        <v>Direct</v>
      </c>
      <c r="H1742" s="7" t="s">
        <v>1833</v>
      </c>
    </row>
    <row r="1743" spans="1:8" x14ac:dyDescent="0.2">
      <c r="A1743" s="5" t="s">
        <v>13</v>
      </c>
      <c r="B1743" s="6" t="s">
        <v>19</v>
      </c>
      <c r="C1743" s="7" t="s">
        <v>1834</v>
      </c>
      <c r="D1743" s="7"/>
      <c r="E1743" s="8">
        <v>-7.8087045000000002</v>
      </c>
      <c r="F1743" s="8">
        <v>-6.0584603000000001</v>
      </c>
      <c r="G1743" s="7" t="str">
        <f t="shared" si="13"/>
        <v>Direct</v>
      </c>
      <c r="H1743" s="7" t="s">
        <v>16</v>
      </c>
    </row>
    <row r="1744" spans="1:8" x14ac:dyDescent="0.2">
      <c r="A1744" s="5" t="s">
        <v>13</v>
      </c>
      <c r="B1744" s="6" t="s">
        <v>19</v>
      </c>
      <c r="C1744" s="7" t="s">
        <v>1835</v>
      </c>
      <c r="D1744" s="7"/>
      <c r="E1744" s="8">
        <v>-1.5967659000000001</v>
      </c>
      <c r="F1744" s="8">
        <v>-2.8563692999999999</v>
      </c>
      <c r="G1744" s="7" t="str">
        <f t="shared" si="13"/>
        <v>Direct</v>
      </c>
      <c r="H1744" s="7" t="s">
        <v>1836</v>
      </c>
    </row>
    <row r="1745" spans="1:8" x14ac:dyDescent="0.2">
      <c r="A1745" s="5" t="s">
        <v>13</v>
      </c>
      <c r="B1745" s="6" t="s">
        <v>19</v>
      </c>
      <c r="C1745" s="7" t="s">
        <v>1837</v>
      </c>
      <c r="D1745" s="7"/>
      <c r="E1745" s="8">
        <v>2.3847629000000001</v>
      </c>
      <c r="F1745" s="8">
        <v>3.4346033399999998</v>
      </c>
      <c r="G1745" s="7" t="str">
        <f t="shared" si="13"/>
        <v>Direct</v>
      </c>
      <c r="H1745" s="7" t="s">
        <v>16</v>
      </c>
    </row>
    <row r="1746" spans="1:8" x14ac:dyDescent="0.2">
      <c r="A1746" s="5" t="s">
        <v>13</v>
      </c>
      <c r="B1746" s="6" t="s">
        <v>19</v>
      </c>
      <c r="C1746" s="7" t="s">
        <v>1838</v>
      </c>
      <c r="D1746" s="7"/>
      <c r="E1746" s="8">
        <v>-1.0669734</v>
      </c>
      <c r="F1746" s="8">
        <v>-1.7395640999999999</v>
      </c>
      <c r="G1746" s="7" t="str">
        <f t="shared" si="13"/>
        <v>Direct</v>
      </c>
      <c r="H1746" s="7" t="s">
        <v>1839</v>
      </c>
    </row>
    <row r="1747" spans="1:8" x14ac:dyDescent="0.2">
      <c r="A1747" s="5" t="s">
        <v>13</v>
      </c>
      <c r="B1747" s="6" t="s">
        <v>19</v>
      </c>
      <c r="C1747" s="7" t="s">
        <v>267</v>
      </c>
      <c r="D1747" s="7"/>
      <c r="E1747" s="8">
        <v>-2.8554940000000002</v>
      </c>
      <c r="F1747" s="8">
        <v>-3.2152856000000001</v>
      </c>
      <c r="G1747" s="7" t="str">
        <f t="shared" si="13"/>
        <v>Direct</v>
      </c>
      <c r="H1747" s="7" t="s">
        <v>268</v>
      </c>
    </row>
    <row r="1748" spans="1:8" x14ac:dyDescent="0.2">
      <c r="A1748" s="5" t="s">
        <v>13</v>
      </c>
      <c r="B1748" s="6" t="s">
        <v>19</v>
      </c>
      <c r="C1748" s="7" t="s">
        <v>1840</v>
      </c>
      <c r="D1748" s="7"/>
      <c r="E1748" s="8">
        <v>-1.3967457000000001</v>
      </c>
      <c r="F1748" s="8">
        <v>-1.5602530999999999</v>
      </c>
      <c r="G1748" s="7" t="str">
        <f t="shared" si="13"/>
        <v>Direct</v>
      </c>
      <c r="H1748" s="7" t="s">
        <v>379</v>
      </c>
    </row>
    <row r="1749" spans="1:8" x14ac:dyDescent="0.2">
      <c r="A1749" s="5" t="s">
        <v>13</v>
      </c>
      <c r="B1749" s="6" t="s">
        <v>19</v>
      </c>
      <c r="C1749" s="7" t="s">
        <v>1841</v>
      </c>
      <c r="D1749" s="7"/>
      <c r="E1749" s="8">
        <v>-3.3827332000000001</v>
      </c>
      <c r="F1749" s="8">
        <v>-2.4393435999999999</v>
      </c>
      <c r="G1749" s="7" t="str">
        <f t="shared" si="13"/>
        <v>Direct</v>
      </c>
      <c r="H1749" s="7" t="s">
        <v>1842</v>
      </c>
    </row>
    <row r="1750" spans="1:8" x14ac:dyDescent="0.2">
      <c r="A1750" s="5" t="s">
        <v>13</v>
      </c>
      <c r="B1750" s="6" t="s">
        <v>19</v>
      </c>
      <c r="C1750" s="7" t="s">
        <v>1843</v>
      </c>
      <c r="D1750" s="7"/>
      <c r="E1750" s="8">
        <v>-7.7143147000000001</v>
      </c>
      <c r="F1750" s="8">
        <v>-7.1826040000000004</v>
      </c>
      <c r="G1750" s="7" t="str">
        <f t="shared" si="13"/>
        <v>Direct</v>
      </c>
      <c r="H1750" s="7" t="s">
        <v>854</v>
      </c>
    </row>
    <row r="1751" spans="1:8" x14ac:dyDescent="0.2">
      <c r="A1751" s="5" t="s">
        <v>13</v>
      </c>
      <c r="B1751" s="6" t="s">
        <v>19</v>
      </c>
      <c r="C1751" s="7" t="s">
        <v>269</v>
      </c>
      <c r="D1751" s="7"/>
      <c r="E1751" s="8">
        <v>-1.4714910999999999</v>
      </c>
      <c r="F1751" s="8">
        <v>-1.3661818999999999</v>
      </c>
      <c r="G1751" s="7" t="str">
        <f t="shared" si="13"/>
        <v>Direct</v>
      </c>
      <c r="H1751" s="7" t="s">
        <v>270</v>
      </c>
    </row>
    <row r="1752" spans="1:8" x14ac:dyDescent="0.2">
      <c r="A1752" s="5" t="s">
        <v>13</v>
      </c>
      <c r="B1752" s="6" t="s">
        <v>19</v>
      </c>
      <c r="C1752" s="7" t="s">
        <v>271</v>
      </c>
      <c r="D1752" s="7"/>
      <c r="E1752" s="8">
        <v>-2.6401900999999999</v>
      </c>
      <c r="F1752" s="8">
        <v>-4.147691</v>
      </c>
      <c r="G1752" s="7" t="str">
        <f t="shared" si="13"/>
        <v>Direct</v>
      </c>
      <c r="H1752" s="7" t="s">
        <v>16</v>
      </c>
    </row>
    <row r="1753" spans="1:8" x14ac:dyDescent="0.2">
      <c r="A1753" s="5" t="s">
        <v>13</v>
      </c>
      <c r="B1753" s="6" t="s">
        <v>19</v>
      </c>
      <c r="C1753" s="7" t="s">
        <v>1844</v>
      </c>
      <c r="D1753" s="7"/>
      <c r="E1753" s="8">
        <v>4.7670799700000002</v>
      </c>
      <c r="F1753" s="8">
        <v>3.67328038</v>
      </c>
      <c r="G1753" s="7" t="str">
        <f t="shared" si="13"/>
        <v>Direct</v>
      </c>
      <c r="H1753" s="7" t="s">
        <v>820</v>
      </c>
    </row>
    <row r="1754" spans="1:8" x14ac:dyDescent="0.2">
      <c r="A1754" s="5" t="s">
        <v>13</v>
      </c>
      <c r="B1754" s="6" t="s">
        <v>19</v>
      </c>
      <c r="C1754" s="7" t="s">
        <v>1845</v>
      </c>
      <c r="D1754" s="7"/>
      <c r="E1754" s="8">
        <v>-1.6055653999999999</v>
      </c>
      <c r="F1754" s="8">
        <v>-1.065204</v>
      </c>
      <c r="G1754" s="7" t="str">
        <f t="shared" si="13"/>
        <v>Direct</v>
      </c>
      <c r="H1754" s="7" t="s">
        <v>890</v>
      </c>
    </row>
    <row r="1755" spans="1:8" x14ac:dyDescent="0.2">
      <c r="A1755" s="5" t="s">
        <v>13</v>
      </c>
      <c r="B1755" s="6" t="s">
        <v>19</v>
      </c>
      <c r="C1755" s="7" t="s">
        <v>1846</v>
      </c>
      <c r="D1755" s="7"/>
      <c r="E1755" s="8">
        <v>-35.066324999999999</v>
      </c>
      <c r="F1755" s="8">
        <v>-34.782401</v>
      </c>
      <c r="G1755" s="7" t="str">
        <f t="shared" si="13"/>
        <v>Direct</v>
      </c>
      <c r="H1755" s="7" t="s">
        <v>1304</v>
      </c>
    </row>
    <row r="1756" spans="1:8" x14ac:dyDescent="0.2">
      <c r="A1756" s="5" t="s">
        <v>13</v>
      </c>
      <c r="B1756" s="6" t="s">
        <v>19</v>
      </c>
      <c r="C1756" s="7" t="s">
        <v>272</v>
      </c>
      <c r="D1756" s="7"/>
      <c r="E1756" s="8">
        <v>-4.3196168999999998</v>
      </c>
      <c r="F1756" s="8">
        <v>-2.0909224000000002</v>
      </c>
      <c r="G1756" s="7" t="str">
        <f t="shared" si="13"/>
        <v>Direct</v>
      </c>
      <c r="H1756" s="7" t="s">
        <v>16</v>
      </c>
    </row>
    <row r="1757" spans="1:8" x14ac:dyDescent="0.2">
      <c r="A1757" s="5" t="s">
        <v>13</v>
      </c>
      <c r="B1757" s="6" t="s">
        <v>19</v>
      </c>
      <c r="C1757" s="7" t="s">
        <v>1847</v>
      </c>
      <c r="D1757" s="7"/>
      <c r="E1757" s="8">
        <v>1.40158881</v>
      </c>
      <c r="F1757" s="8">
        <v>1.3349384</v>
      </c>
      <c r="G1757" s="7" t="str">
        <f t="shared" si="13"/>
        <v>Direct</v>
      </c>
      <c r="H1757" s="7" t="s">
        <v>601</v>
      </c>
    </row>
    <row r="1758" spans="1:8" x14ac:dyDescent="0.2">
      <c r="A1758" s="5" t="s">
        <v>13</v>
      </c>
      <c r="B1758" s="6" t="s">
        <v>19</v>
      </c>
      <c r="C1758" s="7" t="s">
        <v>1848</v>
      </c>
      <c r="D1758" s="7"/>
      <c r="E1758" s="8">
        <v>-1.5666389000000001</v>
      </c>
      <c r="F1758" s="8">
        <v>-1.8189177999999999</v>
      </c>
      <c r="G1758" s="7" t="str">
        <f t="shared" si="13"/>
        <v>Direct</v>
      </c>
      <c r="H1758" s="7" t="s">
        <v>1849</v>
      </c>
    </row>
    <row r="1759" spans="1:8" x14ac:dyDescent="0.2">
      <c r="A1759" s="5" t="s">
        <v>13</v>
      </c>
      <c r="B1759" s="6" t="s">
        <v>19</v>
      </c>
      <c r="C1759" s="7" t="s">
        <v>1850</v>
      </c>
      <c r="D1759" s="7"/>
      <c r="E1759" s="8">
        <v>-2.2536190999999999</v>
      </c>
      <c r="F1759" s="8">
        <v>-5.3465328000000003</v>
      </c>
      <c r="G1759" s="7" t="str">
        <f t="shared" si="13"/>
        <v>Direct</v>
      </c>
      <c r="H1759" s="7" t="s">
        <v>1851</v>
      </c>
    </row>
    <row r="1760" spans="1:8" x14ac:dyDescent="0.2">
      <c r="A1760" s="5" t="s">
        <v>13</v>
      </c>
      <c r="B1760" s="6" t="s">
        <v>19</v>
      </c>
      <c r="C1760" s="7" t="s">
        <v>1852</v>
      </c>
      <c r="D1760" s="7"/>
      <c r="E1760" s="8">
        <v>2.1909039899999998</v>
      </c>
      <c r="F1760" s="8">
        <v>2.0647513700000002</v>
      </c>
      <c r="G1760" s="7" t="str">
        <f t="shared" si="13"/>
        <v>Direct</v>
      </c>
      <c r="H1760" s="7" t="s">
        <v>1853</v>
      </c>
    </row>
    <row r="1761" spans="1:8" x14ac:dyDescent="0.2">
      <c r="A1761" s="5" t="s">
        <v>13</v>
      </c>
      <c r="B1761" s="6" t="s">
        <v>19</v>
      </c>
      <c r="C1761" s="7" t="s">
        <v>1854</v>
      </c>
      <c r="D1761" s="7"/>
      <c r="E1761" s="8">
        <v>-3.1863990000000002</v>
      </c>
      <c r="F1761" s="8">
        <v>-2.2090147999999998</v>
      </c>
      <c r="G1761" s="7" t="str">
        <f t="shared" si="13"/>
        <v>Direct</v>
      </c>
      <c r="H1761" s="7" t="s">
        <v>16</v>
      </c>
    </row>
    <row r="1762" spans="1:8" x14ac:dyDescent="0.2">
      <c r="A1762" s="5" t="s">
        <v>13</v>
      </c>
      <c r="B1762" s="6" t="s">
        <v>19</v>
      </c>
      <c r="C1762" s="7" t="s">
        <v>1855</v>
      </c>
      <c r="D1762" s="7"/>
      <c r="E1762" s="8">
        <v>-1.1406126000000001</v>
      </c>
      <c r="F1762" s="8">
        <v>-2.1378417999999999</v>
      </c>
      <c r="G1762" s="7" t="str">
        <f t="shared" si="13"/>
        <v>Direct</v>
      </c>
      <c r="H1762" s="7" t="s">
        <v>820</v>
      </c>
    </row>
    <row r="1763" spans="1:8" x14ac:dyDescent="0.2">
      <c r="A1763" s="5" t="s">
        <v>13</v>
      </c>
      <c r="B1763" s="6" t="s">
        <v>19</v>
      </c>
      <c r="C1763" s="7" t="s">
        <v>1856</v>
      </c>
      <c r="D1763" s="7"/>
      <c r="E1763" s="8">
        <v>-1.3544318</v>
      </c>
      <c r="F1763" s="8">
        <v>-1.5232222</v>
      </c>
      <c r="G1763" s="7" t="str">
        <f t="shared" si="13"/>
        <v>Direct</v>
      </c>
      <c r="H1763" s="7" t="s">
        <v>1857</v>
      </c>
    </row>
    <row r="1764" spans="1:8" x14ac:dyDescent="0.2">
      <c r="A1764" s="5" t="s">
        <v>13</v>
      </c>
      <c r="B1764" s="6" t="s">
        <v>19</v>
      </c>
      <c r="C1764" s="7" t="s">
        <v>273</v>
      </c>
      <c r="D1764" s="7"/>
      <c r="E1764" s="8">
        <v>-4.2094288000000004</v>
      </c>
      <c r="F1764" s="8">
        <v>-2.4087553000000002</v>
      </c>
      <c r="G1764" s="7" t="str">
        <f t="shared" si="13"/>
        <v>Direct</v>
      </c>
      <c r="H1764" s="7" t="s">
        <v>274</v>
      </c>
    </row>
    <row r="1765" spans="1:8" x14ac:dyDescent="0.2">
      <c r="A1765" s="5" t="s">
        <v>13</v>
      </c>
      <c r="B1765" s="6" t="s">
        <v>19</v>
      </c>
      <c r="C1765" s="7" t="s">
        <v>1858</v>
      </c>
      <c r="D1765" s="7"/>
      <c r="E1765" s="8">
        <v>3.6444004200000002</v>
      </c>
      <c r="F1765" s="8">
        <v>5.9279921499999997</v>
      </c>
      <c r="G1765" s="7" t="str">
        <f t="shared" si="13"/>
        <v>Direct</v>
      </c>
      <c r="H1765" s="7" t="s">
        <v>16</v>
      </c>
    </row>
    <row r="1766" spans="1:8" x14ac:dyDescent="0.2">
      <c r="A1766" s="5" t="s">
        <v>13</v>
      </c>
      <c r="B1766" s="6" t="s">
        <v>19</v>
      </c>
      <c r="C1766" s="7" t="s">
        <v>275</v>
      </c>
      <c r="D1766" s="7"/>
      <c r="E1766" s="8">
        <v>2.3930246999999998</v>
      </c>
      <c r="F1766" s="8">
        <v>1.0907804299999999</v>
      </c>
      <c r="G1766" s="7" t="str">
        <f t="shared" si="13"/>
        <v>Direct</v>
      </c>
      <c r="H1766" s="7" t="s">
        <v>276</v>
      </c>
    </row>
    <row r="1767" spans="1:8" x14ac:dyDescent="0.2">
      <c r="A1767" s="5" t="s">
        <v>13</v>
      </c>
      <c r="B1767" s="6" t="s">
        <v>19</v>
      </c>
      <c r="C1767" s="7" t="s">
        <v>277</v>
      </c>
      <c r="D1767" s="7"/>
      <c r="E1767" s="8">
        <v>-6.7640069</v>
      </c>
      <c r="F1767" s="8">
        <v>-4.805294</v>
      </c>
      <c r="G1767" s="7" t="str">
        <f t="shared" si="13"/>
        <v>Direct</v>
      </c>
      <c r="H1767" s="7" t="s">
        <v>278</v>
      </c>
    </row>
    <row r="1768" spans="1:8" x14ac:dyDescent="0.2">
      <c r="A1768" s="5" t="s">
        <v>13</v>
      </c>
      <c r="B1768" s="6" t="s">
        <v>19</v>
      </c>
      <c r="C1768" s="7" t="s">
        <v>1859</v>
      </c>
      <c r="D1768" s="7"/>
      <c r="E1768" s="8">
        <v>2.3393134999999998</v>
      </c>
      <c r="F1768" s="8">
        <v>2.2615965199999999</v>
      </c>
      <c r="G1768" s="7" t="str">
        <f t="shared" si="13"/>
        <v>Direct</v>
      </c>
      <c r="H1768" s="7" t="s">
        <v>1860</v>
      </c>
    </row>
    <row r="1769" spans="1:8" x14ac:dyDescent="0.2">
      <c r="A1769" s="5" t="s">
        <v>13</v>
      </c>
      <c r="B1769" s="6" t="s">
        <v>19</v>
      </c>
      <c r="C1769" s="7" t="s">
        <v>1861</v>
      </c>
      <c r="D1769" s="7"/>
      <c r="E1769" s="8">
        <v>1.42321155</v>
      </c>
      <c r="F1769" s="8">
        <v>1.19002257</v>
      </c>
      <c r="G1769" s="7" t="str">
        <f t="shared" si="13"/>
        <v>Direct</v>
      </c>
      <c r="H1769" s="7" t="s">
        <v>16</v>
      </c>
    </row>
    <row r="1770" spans="1:8" x14ac:dyDescent="0.2">
      <c r="A1770" s="5" t="s">
        <v>13</v>
      </c>
      <c r="B1770" s="6" t="s">
        <v>19</v>
      </c>
      <c r="C1770" s="7" t="s">
        <v>1862</v>
      </c>
      <c r="D1770" s="7"/>
      <c r="E1770" s="8">
        <v>-1.6580999999999999</v>
      </c>
      <c r="F1770" s="8">
        <v>-1.8251014000000001</v>
      </c>
      <c r="G1770" s="7" t="str">
        <f t="shared" si="13"/>
        <v>Direct</v>
      </c>
      <c r="H1770" s="7" t="s">
        <v>1143</v>
      </c>
    </row>
    <row r="1771" spans="1:8" x14ac:dyDescent="0.2">
      <c r="A1771" s="5" t="s">
        <v>13</v>
      </c>
      <c r="B1771" s="6" t="s">
        <v>19</v>
      </c>
      <c r="C1771" s="7" t="s">
        <v>1863</v>
      </c>
      <c r="D1771" s="7"/>
      <c r="E1771" s="8">
        <v>-1.224766</v>
      </c>
      <c r="F1771" s="8">
        <v>-1.3402944000000001</v>
      </c>
      <c r="G1771" s="7" t="str">
        <f t="shared" si="13"/>
        <v>Direct</v>
      </c>
      <c r="H1771" s="7" t="s">
        <v>395</v>
      </c>
    </row>
    <row r="1772" spans="1:8" x14ac:dyDescent="0.2">
      <c r="A1772" s="5" t="s">
        <v>13</v>
      </c>
      <c r="B1772" s="6" t="s">
        <v>19</v>
      </c>
      <c r="C1772" s="7" t="s">
        <v>1864</v>
      </c>
      <c r="D1772" s="7"/>
      <c r="E1772" s="8">
        <v>1.49124528</v>
      </c>
      <c r="F1772" s="8">
        <v>3.24670982</v>
      </c>
      <c r="G1772" s="7" t="str">
        <f t="shared" si="13"/>
        <v>Direct</v>
      </c>
      <c r="H1772" s="7" t="s">
        <v>395</v>
      </c>
    </row>
    <row r="1773" spans="1:8" x14ac:dyDescent="0.2">
      <c r="A1773" s="5" t="s">
        <v>13</v>
      </c>
      <c r="B1773" s="6" t="s">
        <v>19</v>
      </c>
      <c r="C1773" s="7" t="s">
        <v>1865</v>
      </c>
      <c r="D1773" s="7"/>
      <c r="E1773" s="8">
        <v>1.47339552</v>
      </c>
      <c r="F1773" s="8">
        <v>3.8642865</v>
      </c>
      <c r="G1773" s="7" t="str">
        <f t="shared" si="13"/>
        <v>Direct</v>
      </c>
      <c r="H1773" s="7" t="s">
        <v>16</v>
      </c>
    </row>
    <row r="1774" spans="1:8" x14ac:dyDescent="0.2">
      <c r="A1774" s="5" t="s">
        <v>13</v>
      </c>
      <c r="B1774" s="6" t="s">
        <v>19</v>
      </c>
      <c r="C1774" s="7" t="s">
        <v>1866</v>
      </c>
      <c r="D1774" s="7"/>
      <c r="E1774" s="8">
        <v>-2.7506292000000001</v>
      </c>
      <c r="F1774" s="8">
        <v>-2.4199210999999998</v>
      </c>
      <c r="G1774" s="7" t="str">
        <f t="shared" si="13"/>
        <v>Direct</v>
      </c>
      <c r="H1774" s="7" t="s">
        <v>1867</v>
      </c>
    </row>
    <row r="1775" spans="1:8" x14ac:dyDescent="0.2">
      <c r="A1775" s="5" t="s">
        <v>13</v>
      </c>
      <c r="B1775" s="6" t="s">
        <v>19</v>
      </c>
      <c r="C1775" s="7" t="s">
        <v>1868</v>
      </c>
      <c r="D1775" s="7"/>
      <c r="E1775" s="8">
        <v>-8.1289753000000005</v>
      </c>
      <c r="F1775" s="8">
        <v>-8.5871542999999999</v>
      </c>
      <c r="G1775" s="7" t="str">
        <f t="shared" si="13"/>
        <v>Direct</v>
      </c>
      <c r="H1775" s="7" t="s">
        <v>1869</v>
      </c>
    </row>
    <row r="1776" spans="1:8" x14ac:dyDescent="0.2">
      <c r="A1776" s="5" t="s">
        <v>13</v>
      </c>
      <c r="B1776" s="6" t="s">
        <v>19</v>
      </c>
      <c r="C1776" s="7" t="s">
        <v>1870</v>
      </c>
      <c r="D1776" s="7"/>
      <c r="E1776" s="8">
        <v>-4.8783753000000001</v>
      </c>
      <c r="F1776" s="8">
        <v>-5.4017911999999999</v>
      </c>
      <c r="G1776" s="7" t="str">
        <f t="shared" si="13"/>
        <v>Direct</v>
      </c>
      <c r="H1776" s="7" t="s">
        <v>16</v>
      </c>
    </row>
    <row r="1777" spans="1:8" x14ac:dyDescent="0.2">
      <c r="A1777" s="5" t="s">
        <v>13</v>
      </c>
      <c r="B1777" s="6" t="s">
        <v>19</v>
      </c>
      <c r="C1777" s="7" t="s">
        <v>1871</v>
      </c>
      <c r="D1777" s="7"/>
      <c r="E1777" s="8">
        <v>-5.8584775999999996</v>
      </c>
      <c r="F1777" s="8">
        <v>-4.813536</v>
      </c>
      <c r="G1777" s="7" t="str">
        <f t="shared" si="13"/>
        <v>Direct</v>
      </c>
      <c r="H1777" s="7" t="s">
        <v>1025</v>
      </c>
    </row>
    <row r="1778" spans="1:8" x14ac:dyDescent="0.2">
      <c r="A1778" s="5" t="s">
        <v>13</v>
      </c>
      <c r="B1778" s="6" t="s">
        <v>19</v>
      </c>
      <c r="C1778" s="7" t="s">
        <v>1872</v>
      </c>
      <c r="D1778" s="7"/>
      <c r="E1778" s="8">
        <v>-8.5346575999999992</v>
      </c>
      <c r="F1778" s="8">
        <v>-5.1379805000000003</v>
      </c>
      <c r="G1778" s="7" t="str">
        <f t="shared" si="13"/>
        <v>Direct</v>
      </c>
      <c r="H1778" s="7" t="s">
        <v>1873</v>
      </c>
    </row>
    <row r="1779" spans="1:8" x14ac:dyDescent="0.2">
      <c r="A1779" s="5" t="s">
        <v>13</v>
      </c>
      <c r="B1779" s="6" t="s">
        <v>19</v>
      </c>
      <c r="C1779" s="7" t="s">
        <v>1874</v>
      </c>
      <c r="D1779" s="7"/>
      <c r="E1779" s="8">
        <v>1.53789789</v>
      </c>
      <c r="F1779" s="8">
        <v>2.4378317900000002</v>
      </c>
      <c r="G1779" s="7" t="str">
        <f t="shared" si="13"/>
        <v>Direct</v>
      </c>
      <c r="H1779" s="7" t="s">
        <v>16</v>
      </c>
    </row>
    <row r="1780" spans="1:8" x14ac:dyDescent="0.2">
      <c r="A1780" s="5" t="s">
        <v>13</v>
      </c>
      <c r="B1780" s="6" t="s">
        <v>19</v>
      </c>
      <c r="C1780" s="7" t="s">
        <v>1875</v>
      </c>
      <c r="D1780" s="7"/>
      <c r="E1780" s="8">
        <v>2.8480490999999999</v>
      </c>
      <c r="F1780" s="8">
        <v>2.1281098699999998</v>
      </c>
      <c r="G1780" s="7" t="str">
        <f t="shared" si="13"/>
        <v>Direct</v>
      </c>
      <c r="H1780" s="7" t="s">
        <v>1429</v>
      </c>
    </row>
    <row r="1781" spans="1:8" x14ac:dyDescent="0.2">
      <c r="A1781" s="5" t="s">
        <v>13</v>
      </c>
      <c r="B1781" s="6" t="s">
        <v>19</v>
      </c>
      <c r="C1781" s="7" t="s">
        <v>1876</v>
      </c>
      <c r="D1781" s="7"/>
      <c r="E1781" s="8">
        <v>-7.2937557999999996</v>
      </c>
      <c r="F1781" s="8">
        <v>-2.5597447</v>
      </c>
      <c r="G1781" s="7" t="str">
        <f t="shared" si="13"/>
        <v>Direct</v>
      </c>
      <c r="H1781" s="7" t="s">
        <v>1877</v>
      </c>
    </row>
    <row r="1782" spans="1:8" x14ac:dyDescent="0.2">
      <c r="A1782" s="5" t="s">
        <v>13</v>
      </c>
      <c r="B1782" s="6" t="s">
        <v>19</v>
      </c>
      <c r="C1782" s="7" t="s">
        <v>1878</v>
      </c>
      <c r="D1782" s="7"/>
      <c r="E1782" s="8">
        <v>-2.1617335</v>
      </c>
      <c r="F1782" s="8">
        <v>-1.4446956</v>
      </c>
      <c r="G1782" s="7" t="str">
        <f t="shared" si="13"/>
        <v>Direct</v>
      </c>
      <c r="H1782" s="7" t="s">
        <v>16</v>
      </c>
    </row>
    <row r="1783" spans="1:8" x14ac:dyDescent="0.2">
      <c r="A1783" s="5" t="s">
        <v>13</v>
      </c>
      <c r="B1783" s="6" t="s">
        <v>19</v>
      </c>
      <c r="C1783" s="7" t="s">
        <v>1879</v>
      </c>
      <c r="D1783" s="7"/>
      <c r="E1783" s="8">
        <v>-1.2575273</v>
      </c>
      <c r="F1783" s="8">
        <v>-1.1210519999999999</v>
      </c>
      <c r="G1783" s="7" t="str">
        <f t="shared" si="13"/>
        <v>Direct</v>
      </c>
      <c r="H1783" s="7" t="s">
        <v>1880</v>
      </c>
    </row>
    <row r="1784" spans="1:8" x14ac:dyDescent="0.2">
      <c r="A1784" s="5" t="s">
        <v>13</v>
      </c>
      <c r="B1784" s="6" t="s">
        <v>19</v>
      </c>
      <c r="C1784" s="7" t="s">
        <v>1881</v>
      </c>
      <c r="D1784" s="7"/>
      <c r="E1784" s="8">
        <v>-11.167168</v>
      </c>
      <c r="F1784" s="8">
        <v>-8.1328951000000007</v>
      </c>
      <c r="G1784" s="7" t="str">
        <f t="shared" si="13"/>
        <v>Direct</v>
      </c>
      <c r="H1784" s="7" t="s">
        <v>1882</v>
      </c>
    </row>
    <row r="1785" spans="1:8" x14ac:dyDescent="0.2">
      <c r="A1785" s="5" t="s">
        <v>13</v>
      </c>
      <c r="B1785" s="6" t="s">
        <v>19</v>
      </c>
      <c r="C1785" s="7" t="s">
        <v>280</v>
      </c>
      <c r="D1785" s="7"/>
      <c r="E1785" s="8">
        <v>1.31402281</v>
      </c>
      <c r="F1785" s="8">
        <v>1.4881518499999999</v>
      </c>
      <c r="G1785" s="7" t="str">
        <f t="shared" si="13"/>
        <v>Direct</v>
      </c>
      <c r="H1785" s="7" t="s">
        <v>281</v>
      </c>
    </row>
    <row r="1786" spans="1:8" x14ac:dyDescent="0.2">
      <c r="A1786" s="5" t="s">
        <v>13</v>
      </c>
      <c r="B1786" s="6" t="s">
        <v>19</v>
      </c>
      <c r="C1786" s="7" t="s">
        <v>282</v>
      </c>
      <c r="D1786" s="7"/>
      <c r="E1786" s="8">
        <v>-2.8362677000000001</v>
      </c>
      <c r="F1786" s="8">
        <v>-3.7191633999999998</v>
      </c>
      <c r="G1786" s="7" t="str">
        <f t="shared" si="13"/>
        <v>Direct</v>
      </c>
      <c r="H1786" s="7" t="s">
        <v>283</v>
      </c>
    </row>
    <row r="1787" spans="1:8" x14ac:dyDescent="0.2">
      <c r="A1787" s="5" t="s">
        <v>13</v>
      </c>
      <c r="B1787" s="6" t="s">
        <v>19</v>
      </c>
      <c r="C1787" s="7" t="s">
        <v>1883</v>
      </c>
      <c r="D1787" s="7"/>
      <c r="E1787" s="8">
        <v>1.5787053200000001</v>
      </c>
      <c r="F1787" s="8">
        <v>1.6663037599999999</v>
      </c>
      <c r="G1787" s="7" t="str">
        <f t="shared" si="13"/>
        <v>Direct</v>
      </c>
      <c r="H1787" s="7" t="s">
        <v>16</v>
      </c>
    </row>
    <row r="1788" spans="1:8" x14ac:dyDescent="0.2">
      <c r="A1788" s="5" t="s">
        <v>13</v>
      </c>
      <c r="B1788" s="6" t="s">
        <v>19</v>
      </c>
      <c r="C1788" s="7" t="s">
        <v>1884</v>
      </c>
      <c r="D1788" s="7"/>
      <c r="E1788" s="8">
        <v>-13.868516</v>
      </c>
      <c r="F1788" s="8">
        <v>-10.942534</v>
      </c>
      <c r="G1788" s="7" t="str">
        <f t="shared" si="13"/>
        <v>Direct</v>
      </c>
      <c r="H1788" s="7" t="s">
        <v>16</v>
      </c>
    </row>
    <row r="1789" spans="1:8" x14ac:dyDescent="0.2">
      <c r="A1789" s="5" t="s">
        <v>13</v>
      </c>
      <c r="B1789" s="6" t="s">
        <v>19</v>
      </c>
      <c r="C1789" s="7" t="s">
        <v>284</v>
      </c>
      <c r="D1789" s="7"/>
      <c r="E1789" s="8">
        <v>-2.3909047999999999</v>
      </c>
      <c r="F1789" s="8">
        <v>-1.8683814999999999</v>
      </c>
      <c r="G1789" s="7" t="str">
        <f t="shared" si="13"/>
        <v>Direct</v>
      </c>
      <c r="H1789" s="7" t="s">
        <v>285</v>
      </c>
    </row>
    <row r="1790" spans="1:8" x14ac:dyDescent="0.2">
      <c r="A1790" s="5" t="s">
        <v>13</v>
      </c>
      <c r="B1790" s="6" t="s">
        <v>19</v>
      </c>
      <c r="C1790" s="7" t="s">
        <v>1885</v>
      </c>
      <c r="D1790" s="7"/>
      <c r="E1790" s="8">
        <v>-3.3762769000000001</v>
      </c>
      <c r="F1790" s="8">
        <v>-2.6808824000000002</v>
      </c>
      <c r="G1790" s="7" t="str">
        <f t="shared" si="13"/>
        <v>Direct</v>
      </c>
      <c r="H1790" s="7" t="s">
        <v>1886</v>
      </c>
    </row>
    <row r="1791" spans="1:8" x14ac:dyDescent="0.2">
      <c r="A1791" s="5" t="s">
        <v>13</v>
      </c>
      <c r="B1791" s="6" t="s">
        <v>19</v>
      </c>
      <c r="C1791" s="7" t="s">
        <v>1887</v>
      </c>
      <c r="D1791" s="7"/>
      <c r="E1791" s="8">
        <v>1.42321155</v>
      </c>
      <c r="F1791" s="8">
        <v>1.24942617</v>
      </c>
      <c r="G1791" s="7" t="str">
        <f t="shared" si="13"/>
        <v>Direct</v>
      </c>
      <c r="H1791" s="7" t="s">
        <v>1888</v>
      </c>
    </row>
    <row r="1792" spans="1:8" x14ac:dyDescent="0.2">
      <c r="A1792" s="5" t="s">
        <v>13</v>
      </c>
      <c r="B1792" s="6" t="s">
        <v>19</v>
      </c>
      <c r="C1792" s="7" t="s">
        <v>1889</v>
      </c>
      <c r="D1792" s="7"/>
      <c r="E1792" s="8">
        <v>1.8222352100000001</v>
      </c>
      <c r="F1792" s="8">
        <v>1.80301803</v>
      </c>
      <c r="G1792" s="7" t="str">
        <f t="shared" si="13"/>
        <v>Direct</v>
      </c>
      <c r="H1792" s="7" t="s">
        <v>820</v>
      </c>
    </row>
    <row r="1793" spans="1:8" x14ac:dyDescent="0.2">
      <c r="A1793" s="5" t="s">
        <v>13</v>
      </c>
      <c r="B1793" s="6" t="s">
        <v>19</v>
      </c>
      <c r="C1793" s="7" t="s">
        <v>1890</v>
      </c>
      <c r="D1793" s="7"/>
      <c r="E1793" s="8">
        <v>-3.4693521999999999</v>
      </c>
      <c r="F1793" s="8">
        <v>-2.7058757</v>
      </c>
      <c r="G1793" s="7" t="str">
        <f t="shared" si="13"/>
        <v>Direct</v>
      </c>
      <c r="H1793" s="7" t="s">
        <v>1891</v>
      </c>
    </row>
    <row r="1794" spans="1:8" x14ac:dyDescent="0.2">
      <c r="A1794" s="5" t="s">
        <v>13</v>
      </c>
      <c r="B1794" s="6" t="s">
        <v>19</v>
      </c>
      <c r="C1794" s="7" t="s">
        <v>1892</v>
      </c>
      <c r="D1794" s="7"/>
      <c r="E1794" s="8">
        <v>2.49718178</v>
      </c>
      <c r="F1794" s="8">
        <v>3.0601118</v>
      </c>
      <c r="G1794" s="7" t="str">
        <f t="shared" si="13"/>
        <v>Direct</v>
      </c>
      <c r="H1794" s="7" t="s">
        <v>1893</v>
      </c>
    </row>
    <row r="1795" spans="1:8" x14ac:dyDescent="0.2">
      <c r="A1795" s="5" t="s">
        <v>13</v>
      </c>
      <c r="B1795" s="6" t="s">
        <v>19</v>
      </c>
      <c r="C1795" s="7" t="s">
        <v>1894</v>
      </c>
      <c r="D1795" s="7"/>
      <c r="E1795" s="8">
        <v>-1.7658727999999999</v>
      </c>
      <c r="F1795" s="8">
        <v>-2.2394002999999998</v>
      </c>
      <c r="G1795" s="7" t="str">
        <f t="shared" si="13"/>
        <v>Direct</v>
      </c>
      <c r="H1795" s="7" t="s">
        <v>16</v>
      </c>
    </row>
    <row r="1796" spans="1:8" x14ac:dyDescent="0.2">
      <c r="A1796" s="5" t="s">
        <v>13</v>
      </c>
      <c r="B1796" s="6" t="s">
        <v>19</v>
      </c>
      <c r="C1796" s="7" t="s">
        <v>1895</v>
      </c>
      <c r="D1796" s="7"/>
      <c r="E1796" s="8">
        <v>4.54102914</v>
      </c>
      <c r="F1796" s="8">
        <v>3.7106127299999998</v>
      </c>
      <c r="G1796" s="7" t="str">
        <f t="shared" si="13"/>
        <v>Direct</v>
      </c>
      <c r="H1796" s="7" t="s">
        <v>16</v>
      </c>
    </row>
    <row r="1797" spans="1:8" x14ac:dyDescent="0.2">
      <c r="A1797" s="5" t="s">
        <v>13</v>
      </c>
      <c r="B1797" s="6" t="s">
        <v>19</v>
      </c>
      <c r="C1797" s="7" t="s">
        <v>286</v>
      </c>
      <c r="D1797" s="7"/>
      <c r="E1797" s="8">
        <v>-1.2729280999999999</v>
      </c>
      <c r="F1797" s="8">
        <v>-4.2433977000000001</v>
      </c>
      <c r="G1797" s="7" t="str">
        <f t="shared" si="13"/>
        <v>Direct</v>
      </c>
      <c r="H1797" s="7" t="s">
        <v>287</v>
      </c>
    </row>
    <row r="1798" spans="1:8" x14ac:dyDescent="0.2">
      <c r="A1798" s="5" t="s">
        <v>13</v>
      </c>
      <c r="B1798" s="6" t="s">
        <v>19</v>
      </c>
      <c r="C1798" s="7" t="s">
        <v>1896</v>
      </c>
      <c r="D1798" s="7"/>
      <c r="E1798" s="8">
        <v>-2.9011898999999999</v>
      </c>
      <c r="F1798" s="8">
        <v>-2.7710477999999998</v>
      </c>
      <c r="G1798" s="7" t="str">
        <f t="shared" si="13"/>
        <v>Direct</v>
      </c>
      <c r="H1798" s="7" t="s">
        <v>1897</v>
      </c>
    </row>
    <row r="1799" spans="1:8" x14ac:dyDescent="0.2">
      <c r="A1799" s="5" t="s">
        <v>13</v>
      </c>
      <c r="B1799" s="6" t="s">
        <v>19</v>
      </c>
      <c r="C1799" s="7" t="s">
        <v>1898</v>
      </c>
      <c r="D1799" s="7"/>
      <c r="E1799" s="8">
        <v>2.7154288700000002</v>
      </c>
      <c r="F1799" s="8">
        <v>1.4862157</v>
      </c>
      <c r="G1799" s="7" t="str">
        <f t="shared" si="13"/>
        <v>Direct</v>
      </c>
      <c r="H1799" s="7" t="s">
        <v>1899</v>
      </c>
    </row>
    <row r="1800" spans="1:8" x14ac:dyDescent="0.2">
      <c r="A1800" s="5" t="s">
        <v>13</v>
      </c>
      <c r="B1800" s="6" t="s">
        <v>19</v>
      </c>
      <c r="C1800" s="7" t="s">
        <v>1900</v>
      </c>
      <c r="D1800" s="7"/>
      <c r="E1800" s="8">
        <v>-1.5685575</v>
      </c>
      <c r="F1800" s="8">
        <v>-2.7019617</v>
      </c>
      <c r="G1800" s="7" t="str">
        <f t="shared" si="13"/>
        <v>Direct</v>
      </c>
      <c r="H1800" s="7" t="s">
        <v>16</v>
      </c>
    </row>
    <row r="1801" spans="1:8" x14ac:dyDescent="0.2">
      <c r="A1801" s="5" t="s">
        <v>13</v>
      </c>
      <c r="B1801" s="6" t="s">
        <v>19</v>
      </c>
      <c r="C1801" s="7" t="s">
        <v>1901</v>
      </c>
      <c r="D1801" s="7"/>
      <c r="E1801" s="8">
        <v>4.6263524900000004</v>
      </c>
      <c r="F1801" s="8">
        <v>2.6836485200000002</v>
      </c>
      <c r="G1801" s="7" t="str">
        <f t="shared" si="13"/>
        <v>Direct</v>
      </c>
      <c r="H1801" s="7" t="s">
        <v>1902</v>
      </c>
    </row>
    <row r="1802" spans="1:8" x14ac:dyDescent="0.2">
      <c r="A1802" s="5" t="s">
        <v>13</v>
      </c>
      <c r="B1802" s="6" t="s">
        <v>19</v>
      </c>
      <c r="C1802" s="7" t="s">
        <v>1903</v>
      </c>
      <c r="D1802" s="7"/>
      <c r="E1802" s="8">
        <v>-6.1633559</v>
      </c>
      <c r="F1802" s="8">
        <v>-4.8089190999999998</v>
      </c>
      <c r="G1802" s="7" t="str">
        <f t="shared" si="13"/>
        <v>Direct</v>
      </c>
      <c r="H1802" s="7" t="s">
        <v>16</v>
      </c>
    </row>
    <row r="1803" spans="1:8" x14ac:dyDescent="0.2">
      <c r="A1803" s="5" t="s">
        <v>13</v>
      </c>
      <c r="B1803" s="6" t="s">
        <v>19</v>
      </c>
      <c r="C1803" s="7" t="s">
        <v>1904</v>
      </c>
      <c r="D1803" s="7"/>
      <c r="E1803" s="8">
        <v>1.32725501</v>
      </c>
      <c r="F1803" s="8">
        <v>1.70051752</v>
      </c>
      <c r="G1803" s="7" t="str">
        <f t="shared" si="13"/>
        <v>Direct</v>
      </c>
      <c r="H1803" s="7" t="s">
        <v>16</v>
      </c>
    </row>
    <row r="1804" spans="1:8" x14ac:dyDescent="0.2">
      <c r="A1804" s="5" t="s">
        <v>13</v>
      </c>
      <c r="B1804" s="6" t="s">
        <v>19</v>
      </c>
      <c r="C1804" s="7" t="s">
        <v>1905</v>
      </c>
      <c r="D1804" s="7"/>
      <c r="E1804" s="8">
        <v>1.79901588</v>
      </c>
      <c r="F1804" s="8">
        <v>1.3475600299999999</v>
      </c>
      <c r="G1804" s="7" t="str">
        <f t="shared" si="13"/>
        <v>Direct</v>
      </c>
      <c r="H1804" s="7" t="s">
        <v>1906</v>
      </c>
    </row>
    <row r="1805" spans="1:8" x14ac:dyDescent="0.2">
      <c r="A1805" s="5" t="s">
        <v>13</v>
      </c>
      <c r="B1805" s="6" t="s">
        <v>19</v>
      </c>
      <c r="C1805" s="7" t="s">
        <v>1907</v>
      </c>
      <c r="D1805" s="7"/>
      <c r="E1805" s="8">
        <v>-2.5621136</v>
      </c>
      <c r="F1805" s="8">
        <v>-2.5366200000000001</v>
      </c>
      <c r="G1805" s="7" t="str">
        <f t="shared" si="13"/>
        <v>Direct</v>
      </c>
      <c r="H1805" s="7" t="s">
        <v>1908</v>
      </c>
    </row>
    <row r="1806" spans="1:8" x14ac:dyDescent="0.2">
      <c r="A1806" s="5" t="s">
        <v>13</v>
      </c>
      <c r="B1806" s="6" t="s">
        <v>19</v>
      </c>
      <c r="C1806" s="7" t="s">
        <v>1909</v>
      </c>
      <c r="D1806" s="7"/>
      <c r="E1806" s="8">
        <v>-12.924685999999999</v>
      </c>
      <c r="F1806" s="8">
        <v>-11.588547</v>
      </c>
      <c r="G1806" s="7" t="str">
        <f t="shared" si="13"/>
        <v>Direct</v>
      </c>
      <c r="H1806" s="7" t="s">
        <v>16</v>
      </c>
    </row>
    <row r="1807" spans="1:8" x14ac:dyDescent="0.2">
      <c r="A1807" s="5" t="s">
        <v>13</v>
      </c>
      <c r="B1807" s="6" t="s">
        <v>19</v>
      </c>
      <c r="C1807" s="7" t="s">
        <v>1910</v>
      </c>
      <c r="D1807" s="7"/>
      <c r="E1807" s="8">
        <v>-1.2115121</v>
      </c>
      <c r="F1807" s="8">
        <v>-1.1173846000000001</v>
      </c>
      <c r="G1807" s="7" t="str">
        <f t="shared" si="13"/>
        <v>Direct</v>
      </c>
      <c r="H1807" s="7" t="s">
        <v>1911</v>
      </c>
    </row>
    <row r="1808" spans="1:8" x14ac:dyDescent="0.2">
      <c r="A1808" s="5" t="s">
        <v>13</v>
      </c>
      <c r="B1808" s="6" t="s">
        <v>19</v>
      </c>
      <c r="C1808" s="7" t="s">
        <v>1912</v>
      </c>
      <c r="D1808" s="7"/>
      <c r="E1808" s="8">
        <v>-1.4336835999999999</v>
      </c>
      <c r="F1808" s="8">
        <v>-1.8544034</v>
      </c>
      <c r="G1808" s="7" t="str">
        <f t="shared" si="13"/>
        <v>Direct</v>
      </c>
      <c r="H1808" s="7" t="s">
        <v>16</v>
      </c>
    </row>
    <row r="1809" spans="1:8" x14ac:dyDescent="0.2">
      <c r="A1809" s="5" t="s">
        <v>13</v>
      </c>
      <c r="B1809" s="6" t="s">
        <v>19</v>
      </c>
      <c r="C1809" s="7" t="s">
        <v>1913</v>
      </c>
      <c r="D1809" s="7"/>
      <c r="E1809" s="8">
        <v>4.1711834699999999</v>
      </c>
      <c r="F1809" s="8">
        <v>5.6978427700000003</v>
      </c>
      <c r="G1809" s="7" t="str">
        <f t="shared" si="13"/>
        <v>Direct</v>
      </c>
      <c r="H1809" s="7" t="s">
        <v>16</v>
      </c>
    </row>
    <row r="1810" spans="1:8" x14ac:dyDescent="0.2">
      <c r="A1810" s="5" t="s">
        <v>13</v>
      </c>
      <c r="B1810" s="6" t="s">
        <v>19</v>
      </c>
      <c r="C1810" s="7" t="s">
        <v>288</v>
      </c>
      <c r="D1810" s="7"/>
      <c r="E1810" s="8">
        <v>-1.6199395999999999</v>
      </c>
      <c r="F1810" s="8">
        <v>-1.607605</v>
      </c>
      <c r="G1810" s="7" t="str">
        <f t="shared" si="13"/>
        <v>Direct</v>
      </c>
      <c r="H1810" s="7" t="s">
        <v>16</v>
      </c>
    </row>
    <row r="1811" spans="1:8" x14ac:dyDescent="0.2">
      <c r="A1811" s="5" t="s">
        <v>13</v>
      </c>
      <c r="B1811" s="6" t="s">
        <v>19</v>
      </c>
      <c r="C1811" s="7" t="s">
        <v>1914</v>
      </c>
      <c r="D1811" s="7"/>
      <c r="E1811" s="8">
        <v>1.08511047</v>
      </c>
      <c r="F1811" s="8">
        <v>1.3718815</v>
      </c>
      <c r="G1811" s="7" t="str">
        <f t="shared" si="13"/>
        <v>Direct</v>
      </c>
      <c r="H1811" s="7" t="s">
        <v>16</v>
      </c>
    </row>
    <row r="1812" spans="1:8" x14ac:dyDescent="0.2">
      <c r="A1812" s="5" t="s">
        <v>13</v>
      </c>
      <c r="B1812" s="6" t="s">
        <v>19</v>
      </c>
      <c r="C1812" s="7" t="s">
        <v>1915</v>
      </c>
      <c r="D1812" s="7"/>
      <c r="E1812" s="8">
        <v>1.58272542</v>
      </c>
      <c r="F1812" s="8">
        <v>1.29261629</v>
      </c>
      <c r="G1812" s="7" t="str">
        <f t="shared" si="13"/>
        <v>Direct</v>
      </c>
      <c r="H1812" s="7" t="s">
        <v>16</v>
      </c>
    </row>
    <row r="1813" spans="1:8" x14ac:dyDescent="0.2">
      <c r="A1813" s="5" t="s">
        <v>13</v>
      </c>
      <c r="B1813" s="6" t="s">
        <v>19</v>
      </c>
      <c r="C1813" s="7" t="s">
        <v>1916</v>
      </c>
      <c r="D1813" s="7"/>
      <c r="E1813" s="8">
        <v>2.6831800800000001</v>
      </c>
      <c r="F1813" s="8">
        <v>4.1815204000000001</v>
      </c>
      <c r="G1813" s="7" t="str">
        <f t="shared" si="13"/>
        <v>Direct</v>
      </c>
      <c r="H1813" s="7" t="s">
        <v>16</v>
      </c>
    </row>
    <row r="1814" spans="1:8" x14ac:dyDescent="0.2">
      <c r="A1814" s="5" t="s">
        <v>13</v>
      </c>
      <c r="B1814" s="6" t="s">
        <v>19</v>
      </c>
      <c r="C1814" s="7" t="s">
        <v>1917</v>
      </c>
      <c r="D1814" s="7"/>
      <c r="E1814" s="8">
        <v>1.4785510399999999</v>
      </c>
      <c r="F1814" s="8">
        <v>1.13568625</v>
      </c>
      <c r="G1814" s="7" t="str">
        <f t="shared" si="13"/>
        <v>Direct</v>
      </c>
      <c r="H1814" s="7" t="s">
        <v>16</v>
      </c>
    </row>
    <row r="1815" spans="1:8" x14ac:dyDescent="0.2">
      <c r="A1815" s="5" t="s">
        <v>13</v>
      </c>
      <c r="B1815" s="6" t="s">
        <v>19</v>
      </c>
      <c r="C1815" s="7" t="s">
        <v>1918</v>
      </c>
      <c r="D1815" s="7"/>
      <c r="E1815" s="8">
        <v>1.25051483</v>
      </c>
      <c r="F1815" s="8">
        <v>1.9190430999999999</v>
      </c>
      <c r="G1815" s="7" t="str">
        <f t="shared" si="13"/>
        <v>Direct</v>
      </c>
      <c r="H1815" s="7" t="s">
        <v>16</v>
      </c>
    </row>
    <row r="1816" spans="1:8" x14ac:dyDescent="0.2">
      <c r="A1816" s="5" t="s">
        <v>13</v>
      </c>
      <c r="B1816" s="6" t="s">
        <v>19</v>
      </c>
      <c r="C1816" s="7" t="s">
        <v>1919</v>
      </c>
      <c r="D1816" s="7"/>
      <c r="E1816" s="8">
        <v>2.6608391299999998</v>
      </c>
      <c r="F1816" s="8">
        <v>3.2705120499999998</v>
      </c>
      <c r="G1816" s="7" t="str">
        <f t="shared" si="13"/>
        <v>Direct</v>
      </c>
      <c r="H1816" s="7" t="s">
        <v>16</v>
      </c>
    </row>
    <row r="1817" spans="1:8" x14ac:dyDescent="0.2">
      <c r="A1817" s="5" t="s">
        <v>13</v>
      </c>
      <c r="B1817" s="6" t="s">
        <v>19</v>
      </c>
      <c r="C1817" s="7" t="s">
        <v>1920</v>
      </c>
      <c r="D1817" s="7"/>
      <c r="E1817" s="8">
        <v>1.82803202</v>
      </c>
      <c r="F1817" s="8">
        <v>1.63614696</v>
      </c>
      <c r="G1817" s="7" t="str">
        <f t="shared" si="13"/>
        <v>Direct</v>
      </c>
      <c r="H1817" s="7" t="s">
        <v>16</v>
      </c>
    </row>
    <row r="1818" spans="1:8" x14ac:dyDescent="0.2">
      <c r="A1818" s="5" t="s">
        <v>13</v>
      </c>
      <c r="B1818" s="6" t="s">
        <v>19</v>
      </c>
      <c r="C1818" s="7" t="s">
        <v>1921</v>
      </c>
      <c r="D1818" s="7"/>
      <c r="E1818" s="8">
        <v>1.19998823</v>
      </c>
      <c r="F1818" s="8">
        <v>1.23216075</v>
      </c>
      <c r="G1818" s="7" t="str">
        <f t="shared" si="13"/>
        <v>Direct</v>
      </c>
      <c r="H1818" s="7" t="s">
        <v>16</v>
      </c>
    </row>
    <row r="1819" spans="1:8" x14ac:dyDescent="0.2">
      <c r="A1819" s="5" t="s">
        <v>13</v>
      </c>
      <c r="B1819" s="6" t="s">
        <v>19</v>
      </c>
      <c r="C1819" s="7" t="s">
        <v>1922</v>
      </c>
      <c r="D1819" s="7"/>
      <c r="E1819" s="8">
        <v>1.5642741099999999</v>
      </c>
      <c r="F1819" s="8">
        <v>1.4219297799999999</v>
      </c>
      <c r="G1819" s="7" t="str">
        <f t="shared" si="13"/>
        <v>Direct</v>
      </c>
      <c r="H1819" s="7" t="s">
        <v>16</v>
      </c>
    </row>
    <row r="1820" spans="1:8" x14ac:dyDescent="0.2">
      <c r="A1820" s="5" t="s">
        <v>13</v>
      </c>
      <c r="B1820" s="6" t="s">
        <v>19</v>
      </c>
      <c r="C1820" s="7" t="s">
        <v>1923</v>
      </c>
      <c r="D1820" s="7"/>
      <c r="E1820" s="8">
        <v>2.3847629000000001</v>
      </c>
      <c r="F1820" s="8">
        <v>1.3373632799999999</v>
      </c>
      <c r="G1820" s="7" t="str">
        <f t="shared" si="13"/>
        <v>Direct</v>
      </c>
      <c r="H1820" s="7" t="s">
        <v>16</v>
      </c>
    </row>
    <row r="1821" spans="1:8" x14ac:dyDescent="0.2">
      <c r="A1821" s="5" t="s">
        <v>13</v>
      </c>
      <c r="B1821" s="6" t="s">
        <v>19</v>
      </c>
      <c r="C1821" s="7" t="s">
        <v>1924</v>
      </c>
      <c r="D1821" s="7"/>
      <c r="E1821" s="8">
        <v>1.4922868499999999</v>
      </c>
      <c r="F1821" s="8">
        <v>1.3633887600000001</v>
      </c>
      <c r="G1821" s="7" t="str">
        <f t="shared" si="13"/>
        <v>Direct</v>
      </c>
      <c r="H1821" s="7" t="s">
        <v>16</v>
      </c>
    </row>
    <row r="1822" spans="1:8" x14ac:dyDescent="0.2">
      <c r="A1822" s="5" t="s">
        <v>13</v>
      </c>
      <c r="B1822" s="6" t="s">
        <v>19</v>
      </c>
      <c r="C1822" s="7" t="s">
        <v>1925</v>
      </c>
      <c r="D1822" s="7"/>
      <c r="E1822" s="8">
        <v>1.2575273300000001</v>
      </c>
      <c r="F1822" s="8">
        <v>1.9643918600000001</v>
      </c>
      <c r="G1822" s="7" t="str">
        <f t="shared" si="13"/>
        <v>Direct</v>
      </c>
      <c r="H1822" s="7" t="s">
        <v>16</v>
      </c>
    </row>
    <row r="1823" spans="1:8" x14ac:dyDescent="0.2">
      <c r="A1823" s="5" t="s">
        <v>13</v>
      </c>
      <c r="B1823" s="6" t="s">
        <v>19</v>
      </c>
      <c r="C1823" s="7" t="s">
        <v>1926</v>
      </c>
      <c r="D1823" s="7"/>
      <c r="E1823" s="8">
        <v>-1.4581318999999999</v>
      </c>
      <c r="F1823" s="8">
        <v>-2.4384527</v>
      </c>
      <c r="G1823" s="7" t="str">
        <f t="shared" si="13"/>
        <v>Direct</v>
      </c>
      <c r="H1823" s="7" t="s">
        <v>16</v>
      </c>
    </row>
    <row r="1824" spans="1:8" x14ac:dyDescent="0.2">
      <c r="A1824" s="5" t="s">
        <v>13</v>
      </c>
      <c r="B1824" s="6" t="s">
        <v>19</v>
      </c>
      <c r="C1824" s="7" t="s">
        <v>1927</v>
      </c>
      <c r="D1824" s="7"/>
      <c r="E1824" s="8">
        <v>-3.2666590000000002</v>
      </c>
      <c r="F1824" s="8">
        <v>-2.4384527</v>
      </c>
      <c r="G1824" s="7" t="str">
        <f t="shared" si="13"/>
        <v>Direct</v>
      </c>
      <c r="H1824" s="7" t="s">
        <v>1928</v>
      </c>
    </row>
    <row r="1825" spans="1:8" x14ac:dyDescent="0.2">
      <c r="A1825" s="5" t="s">
        <v>13</v>
      </c>
      <c r="B1825" s="6" t="s">
        <v>19</v>
      </c>
      <c r="C1825" s="7" t="s">
        <v>1929</v>
      </c>
      <c r="D1825" s="7"/>
      <c r="E1825" s="8">
        <v>-1.3935230999999999</v>
      </c>
      <c r="F1825" s="8">
        <v>-1.2008182999999999</v>
      </c>
      <c r="G1825" s="7" t="str">
        <f t="shared" si="13"/>
        <v>Direct</v>
      </c>
      <c r="H1825" s="7" t="s">
        <v>16</v>
      </c>
    </row>
    <row r="1826" spans="1:8" x14ac:dyDescent="0.2">
      <c r="A1826" s="5" t="s">
        <v>13</v>
      </c>
      <c r="B1826" s="6" t="s">
        <v>19</v>
      </c>
      <c r="C1826" s="7" t="s">
        <v>1930</v>
      </c>
      <c r="D1826" s="7"/>
      <c r="E1826" s="8">
        <v>-5.0809243999999998</v>
      </c>
      <c r="F1826" s="8">
        <v>-2.5612594999999998</v>
      </c>
      <c r="G1826" s="7" t="str">
        <f t="shared" si="13"/>
        <v>Direct</v>
      </c>
      <c r="H1826" s="7" t="s">
        <v>1931</v>
      </c>
    </row>
    <row r="1827" spans="1:8" x14ac:dyDescent="0.2">
      <c r="A1827" s="5" t="s">
        <v>13</v>
      </c>
      <c r="B1827" s="6" t="s">
        <v>19</v>
      </c>
      <c r="C1827" s="7" t="s">
        <v>289</v>
      </c>
      <c r="D1827" s="7"/>
      <c r="E1827" s="8">
        <v>-5.9526849000000004</v>
      </c>
      <c r="F1827" s="8">
        <v>-3.9788549999999998</v>
      </c>
      <c r="G1827" s="7" t="str">
        <f t="shared" si="13"/>
        <v>Direct</v>
      </c>
      <c r="H1827" s="7" t="s">
        <v>16</v>
      </c>
    </row>
    <row r="1828" spans="1:8" x14ac:dyDescent="0.2">
      <c r="A1828" s="5" t="s">
        <v>13</v>
      </c>
      <c r="B1828" s="6" t="s">
        <v>19</v>
      </c>
      <c r="C1828" s="7" t="s">
        <v>1932</v>
      </c>
      <c r="D1828" s="7"/>
      <c r="E1828" s="8">
        <v>-1.7228777</v>
      </c>
      <c r="F1828" s="8">
        <v>-1.4155603000000001</v>
      </c>
      <c r="G1828" s="7" t="str">
        <f t="shared" si="13"/>
        <v>Direct</v>
      </c>
      <c r="H1828" s="7" t="s">
        <v>1737</v>
      </c>
    </row>
    <row r="1829" spans="1:8" x14ac:dyDescent="0.2">
      <c r="A1829" s="5" t="s">
        <v>13</v>
      </c>
      <c r="B1829" s="6" t="s">
        <v>19</v>
      </c>
      <c r="C1829" s="7" t="s">
        <v>290</v>
      </c>
      <c r="D1829" s="7"/>
      <c r="E1829" s="8">
        <v>-2.6604523000000002</v>
      </c>
      <c r="F1829" s="8">
        <v>-2.0840926</v>
      </c>
      <c r="G1829" s="7" t="str">
        <f t="shared" si="13"/>
        <v>Direct</v>
      </c>
      <c r="H1829" s="7" t="s">
        <v>178</v>
      </c>
    </row>
    <row r="1830" spans="1:8" x14ac:dyDescent="0.2">
      <c r="A1830" s="5" t="s">
        <v>13</v>
      </c>
      <c r="B1830" s="6" t="s">
        <v>19</v>
      </c>
      <c r="C1830" s="7" t="s">
        <v>1933</v>
      </c>
      <c r="D1830" s="7"/>
      <c r="E1830" s="8">
        <v>-1.7009784999999999</v>
      </c>
      <c r="F1830" s="8">
        <v>-1.4259085</v>
      </c>
      <c r="G1830" s="7" t="str">
        <f t="shared" si="13"/>
        <v>Direct</v>
      </c>
      <c r="H1830" s="7" t="s">
        <v>1934</v>
      </c>
    </row>
    <row r="1831" spans="1:8" x14ac:dyDescent="0.2">
      <c r="A1831" s="5" t="s">
        <v>13</v>
      </c>
      <c r="B1831" s="6" t="s">
        <v>19</v>
      </c>
      <c r="C1831" s="7" t="s">
        <v>1935</v>
      </c>
      <c r="D1831" s="7"/>
      <c r="E1831" s="8">
        <v>2.0753470599999999</v>
      </c>
      <c r="F1831" s="8">
        <v>1.6944823099999999</v>
      </c>
      <c r="G1831" s="7" t="str">
        <f t="shared" si="13"/>
        <v>Direct</v>
      </c>
      <c r="H1831" s="7" t="s">
        <v>1936</v>
      </c>
    </row>
    <row r="1832" spans="1:8" x14ac:dyDescent="0.2">
      <c r="A1832" s="5" t="s">
        <v>13</v>
      </c>
      <c r="B1832" s="6" t="s">
        <v>19</v>
      </c>
      <c r="C1832" s="7" t="s">
        <v>1937</v>
      </c>
      <c r="D1832" s="7"/>
      <c r="E1832" s="8">
        <v>-1.1793951</v>
      </c>
      <c r="F1832" s="8">
        <v>-1.166714</v>
      </c>
      <c r="G1832" s="7" t="str">
        <f t="shared" si="13"/>
        <v>Direct</v>
      </c>
      <c r="H1832" s="7" t="s">
        <v>1938</v>
      </c>
    </row>
    <row r="1833" spans="1:8" x14ac:dyDescent="0.2">
      <c r="A1833" s="5" t="s">
        <v>13</v>
      </c>
      <c r="B1833" s="6" t="s">
        <v>19</v>
      </c>
      <c r="C1833" s="7" t="s">
        <v>1939</v>
      </c>
      <c r="D1833" s="7"/>
      <c r="E1833" s="8">
        <v>-1.3213362</v>
      </c>
      <c r="F1833" s="8">
        <v>-1.2866739</v>
      </c>
      <c r="G1833" s="7" t="str">
        <f t="shared" si="13"/>
        <v>Direct</v>
      </c>
      <c r="H1833" s="7" t="s">
        <v>1940</v>
      </c>
    </row>
    <row r="1834" spans="1:8" x14ac:dyDescent="0.2">
      <c r="A1834" s="5" t="s">
        <v>13</v>
      </c>
      <c r="B1834" s="6" t="s">
        <v>19</v>
      </c>
      <c r="C1834" s="7" t="s">
        <v>291</v>
      </c>
      <c r="D1834" s="7"/>
      <c r="E1834" s="8">
        <v>-12.587588999999999</v>
      </c>
      <c r="F1834" s="8">
        <v>-10.826692</v>
      </c>
      <c r="G1834" s="7" t="str">
        <f t="shared" si="13"/>
        <v>Direct</v>
      </c>
      <c r="H1834" s="7" t="s">
        <v>16</v>
      </c>
    </row>
    <row r="1835" spans="1:8" x14ac:dyDescent="0.2">
      <c r="A1835" s="5" t="s">
        <v>13</v>
      </c>
      <c r="B1835" s="6" t="s">
        <v>19</v>
      </c>
      <c r="C1835" s="7" t="s">
        <v>292</v>
      </c>
      <c r="D1835" s="7"/>
      <c r="E1835" s="8">
        <v>-1.1171702999999999</v>
      </c>
      <c r="F1835" s="8">
        <v>-1.0241787</v>
      </c>
      <c r="G1835" s="7" t="str">
        <f t="shared" si="13"/>
        <v>Direct</v>
      </c>
      <c r="H1835" s="7" t="s">
        <v>16</v>
      </c>
    </row>
    <row r="1836" spans="1:8" x14ac:dyDescent="0.2">
      <c r="A1836" s="5" t="s">
        <v>13</v>
      </c>
      <c r="B1836" s="6" t="s">
        <v>19</v>
      </c>
      <c r="C1836" s="7" t="s">
        <v>293</v>
      </c>
      <c r="D1836" s="7"/>
      <c r="E1836" s="8">
        <v>-4.1251651000000003</v>
      </c>
      <c r="F1836" s="8">
        <v>-1.3498490999999999</v>
      </c>
      <c r="G1836" s="7" t="str">
        <f t="shared" si="13"/>
        <v>Direct</v>
      </c>
      <c r="H1836" s="7" t="s">
        <v>16</v>
      </c>
    </row>
    <row r="1837" spans="1:8" x14ac:dyDescent="0.2">
      <c r="A1837" s="5" t="s">
        <v>13</v>
      </c>
      <c r="B1837" s="6" t="s">
        <v>19</v>
      </c>
      <c r="C1837" s="7" t="s">
        <v>294</v>
      </c>
      <c r="D1837" s="7"/>
      <c r="E1837" s="8">
        <v>-9.0317424000000006</v>
      </c>
      <c r="F1837" s="8">
        <v>-6.3992154000000001</v>
      </c>
      <c r="G1837" s="7" t="str">
        <f t="shared" si="13"/>
        <v>Direct</v>
      </c>
      <c r="H1837" s="7" t="s">
        <v>16</v>
      </c>
    </row>
    <row r="1838" spans="1:8" x14ac:dyDescent="0.2">
      <c r="A1838" s="5" t="s">
        <v>13</v>
      </c>
      <c r="B1838" s="6" t="s">
        <v>19</v>
      </c>
      <c r="C1838" s="7" t="s">
        <v>1941</v>
      </c>
      <c r="D1838" s="7"/>
      <c r="E1838" s="8">
        <v>-4.0335339000000001</v>
      </c>
      <c r="F1838" s="8">
        <v>-4.1961500000000003</v>
      </c>
      <c r="G1838" s="7" t="str">
        <f t="shared" si="13"/>
        <v>Direct</v>
      </c>
      <c r="H1838" s="7" t="s">
        <v>16</v>
      </c>
    </row>
    <row r="1839" spans="1:8" x14ac:dyDescent="0.2">
      <c r="A1839" s="5" t="s">
        <v>13</v>
      </c>
      <c r="B1839" s="6" t="s">
        <v>19</v>
      </c>
      <c r="C1839" s="7" t="s">
        <v>295</v>
      </c>
      <c r="D1839" s="7"/>
      <c r="E1839" s="8">
        <v>-4.6565139999999996</v>
      </c>
      <c r="F1839" s="8">
        <v>-2.1636302999999999</v>
      </c>
      <c r="G1839" s="7" t="str">
        <f t="shared" si="13"/>
        <v>Direct</v>
      </c>
      <c r="H1839" s="7" t="s">
        <v>16</v>
      </c>
    </row>
    <row r="1840" spans="1:8" x14ac:dyDescent="0.2">
      <c r="A1840" s="5" t="s">
        <v>13</v>
      </c>
      <c r="B1840" s="6" t="s">
        <v>19</v>
      </c>
      <c r="C1840" s="7" t="s">
        <v>296</v>
      </c>
      <c r="D1840" s="7"/>
      <c r="E1840" s="8">
        <v>-4.5871766000000003</v>
      </c>
      <c r="F1840" s="8">
        <v>-5.2882609</v>
      </c>
      <c r="G1840" s="7" t="str">
        <f t="shared" si="13"/>
        <v>Direct</v>
      </c>
      <c r="H1840" s="7" t="s">
        <v>16</v>
      </c>
    </row>
    <row r="1841" spans="1:8" x14ac:dyDescent="0.2">
      <c r="A1841" s="5" t="s">
        <v>13</v>
      </c>
      <c r="B1841" s="6" t="s">
        <v>19</v>
      </c>
      <c r="C1841" s="7" t="s">
        <v>1942</v>
      </c>
      <c r="D1841" s="7"/>
      <c r="E1841" s="8">
        <v>-2.014742</v>
      </c>
      <c r="F1841" s="8">
        <v>-1.4952193</v>
      </c>
      <c r="G1841" s="7" t="str">
        <f t="shared" si="13"/>
        <v>Direct</v>
      </c>
      <c r="H1841" s="7" t="s">
        <v>58</v>
      </c>
    </row>
    <row r="1842" spans="1:8" x14ac:dyDescent="0.2">
      <c r="A1842" s="5" t="s">
        <v>13</v>
      </c>
      <c r="B1842" s="6" t="s">
        <v>19</v>
      </c>
      <c r="C1842" s="7" t="s">
        <v>1943</v>
      </c>
      <c r="D1842" s="7"/>
      <c r="E1842" s="8">
        <v>-2.0847007999999998</v>
      </c>
      <c r="F1842" s="8">
        <v>-1.3328892000000001</v>
      </c>
      <c r="G1842" s="7" t="str">
        <f t="shared" si="13"/>
        <v>Direct</v>
      </c>
      <c r="H1842" s="7" t="s">
        <v>16</v>
      </c>
    </row>
    <row r="1843" spans="1:8" x14ac:dyDescent="0.2">
      <c r="A1843" s="5" t="s">
        <v>13</v>
      </c>
      <c r="B1843" s="6" t="s">
        <v>19</v>
      </c>
      <c r="C1843" s="7" t="s">
        <v>297</v>
      </c>
      <c r="D1843" s="7"/>
      <c r="E1843" s="8">
        <v>-1.3213362</v>
      </c>
      <c r="F1843" s="8">
        <v>-1.9734088000000001</v>
      </c>
      <c r="G1843" s="7" t="str">
        <f t="shared" si="13"/>
        <v>Direct</v>
      </c>
      <c r="H1843" s="7" t="s">
        <v>16</v>
      </c>
    </row>
    <row r="1844" spans="1:8" x14ac:dyDescent="0.2">
      <c r="A1844" s="5" t="s">
        <v>13</v>
      </c>
      <c r="B1844" s="6" t="s">
        <v>19</v>
      </c>
      <c r="C1844" s="7" t="s">
        <v>298</v>
      </c>
      <c r="D1844" s="7"/>
      <c r="E1844" s="8">
        <v>1.14849019</v>
      </c>
      <c r="F1844" s="8">
        <v>2.2614345299999998</v>
      </c>
      <c r="G1844" s="7" t="str">
        <f t="shared" si="13"/>
        <v>Direct</v>
      </c>
      <c r="H1844" s="7" t="s">
        <v>16</v>
      </c>
    </row>
    <row r="1845" spans="1:8" x14ac:dyDescent="0.2">
      <c r="A1845" s="5" t="s">
        <v>13</v>
      </c>
      <c r="B1845" s="6" t="s">
        <v>19</v>
      </c>
      <c r="C1845" s="7" t="s">
        <v>1944</v>
      </c>
      <c r="D1845" s="7"/>
      <c r="E1845" s="8">
        <v>-3.6150821</v>
      </c>
      <c r="F1845" s="8">
        <v>-2.5484844</v>
      </c>
      <c r="G1845" s="7" t="str">
        <f t="shared" si="13"/>
        <v>Direct</v>
      </c>
      <c r="H1845" s="7" t="s">
        <v>1945</v>
      </c>
    </row>
    <row r="1846" spans="1:8" x14ac:dyDescent="0.2">
      <c r="A1846" s="5" t="s">
        <v>13</v>
      </c>
      <c r="B1846" s="6" t="s">
        <v>19</v>
      </c>
      <c r="C1846" s="7" t="s">
        <v>299</v>
      </c>
      <c r="D1846" s="7"/>
      <c r="E1846" s="8">
        <v>-2.9027899000000001</v>
      </c>
      <c r="F1846" s="8">
        <v>-2.2377034999999998</v>
      </c>
      <c r="G1846" s="7" t="str">
        <f t="shared" si="13"/>
        <v>Direct</v>
      </c>
      <c r="H1846" s="7" t="s">
        <v>16</v>
      </c>
    </row>
    <row r="1847" spans="1:8" x14ac:dyDescent="0.2">
      <c r="A1847" s="5" t="s">
        <v>13</v>
      </c>
      <c r="B1847" s="6" t="s">
        <v>19</v>
      </c>
      <c r="C1847" s="7" t="s">
        <v>1946</v>
      </c>
      <c r="D1847" s="7"/>
      <c r="E1847" s="8">
        <v>-1.8040141000000001</v>
      </c>
      <c r="F1847" s="8">
        <v>-1.0676815</v>
      </c>
      <c r="G1847" s="7" t="str">
        <f t="shared" si="13"/>
        <v>Direct</v>
      </c>
      <c r="H1847" s="7" t="s">
        <v>16</v>
      </c>
    </row>
    <row r="1848" spans="1:8" x14ac:dyDescent="0.2">
      <c r="A1848" s="5" t="s">
        <v>13</v>
      </c>
      <c r="B1848" s="6" t="s">
        <v>19</v>
      </c>
      <c r="C1848" s="7" t="s">
        <v>1947</v>
      </c>
      <c r="D1848" s="7"/>
      <c r="E1848" s="8">
        <v>-1.3686649</v>
      </c>
      <c r="F1848" s="8">
        <v>-2.1175731999999998</v>
      </c>
      <c r="G1848" s="7" t="str">
        <f t="shared" si="13"/>
        <v>Direct</v>
      </c>
      <c r="H1848" s="7" t="s">
        <v>1948</v>
      </c>
    </row>
    <row r="1849" spans="1:8" x14ac:dyDescent="0.2">
      <c r="A1849" s="5" t="s">
        <v>13</v>
      </c>
      <c r="B1849" s="6" t="s">
        <v>19</v>
      </c>
      <c r="C1849" s="7" t="s">
        <v>1949</v>
      </c>
      <c r="D1849" s="7"/>
      <c r="E1849" s="8">
        <v>-4.4792757999999999</v>
      </c>
      <c r="F1849" s="8">
        <v>-4.1613388999999996</v>
      </c>
      <c r="G1849" s="7" t="str">
        <f t="shared" si="13"/>
        <v>Direct</v>
      </c>
      <c r="H1849" s="7" t="s">
        <v>1950</v>
      </c>
    </row>
    <row r="1850" spans="1:8" x14ac:dyDescent="0.2">
      <c r="A1850" s="5" t="s">
        <v>13</v>
      </c>
      <c r="B1850" s="6" t="s">
        <v>19</v>
      </c>
      <c r="C1850" s="7" t="s">
        <v>1951</v>
      </c>
      <c r="D1850" s="7"/>
      <c r="E1850" s="8">
        <v>-4.2140867999999996</v>
      </c>
      <c r="F1850" s="8">
        <v>-3.6851945000000002</v>
      </c>
      <c r="G1850" s="7" t="str">
        <f t="shared" si="13"/>
        <v>Direct</v>
      </c>
      <c r="H1850" s="7" t="s">
        <v>1952</v>
      </c>
    </row>
    <row r="1851" spans="1:8" x14ac:dyDescent="0.2">
      <c r="A1851" s="5" t="s">
        <v>13</v>
      </c>
      <c r="B1851" s="6" t="s">
        <v>19</v>
      </c>
      <c r="C1851" s="7" t="s">
        <v>1953</v>
      </c>
      <c r="D1851" s="7"/>
      <c r="E1851" s="8">
        <v>1.4874700599999999</v>
      </c>
      <c r="F1851" s="8">
        <v>3.3381683299999998</v>
      </c>
      <c r="G1851" s="7" t="str">
        <f t="shared" si="13"/>
        <v>Direct</v>
      </c>
      <c r="H1851" s="7" t="s">
        <v>1954</v>
      </c>
    </row>
    <row r="1852" spans="1:8" x14ac:dyDescent="0.2">
      <c r="A1852" s="5" t="s">
        <v>13</v>
      </c>
      <c r="B1852" s="6" t="s">
        <v>19</v>
      </c>
      <c r="C1852" s="7" t="s">
        <v>1955</v>
      </c>
      <c r="D1852" s="7"/>
      <c r="E1852" s="8">
        <v>-1.8452103</v>
      </c>
      <c r="F1852" s="8">
        <v>-1.7736155</v>
      </c>
      <c r="G1852" s="7" t="str">
        <f t="shared" si="13"/>
        <v>Direct</v>
      </c>
      <c r="H1852" s="7" t="s">
        <v>16</v>
      </c>
    </row>
    <row r="1853" spans="1:8" x14ac:dyDescent="0.2">
      <c r="A1853" s="5" t="s">
        <v>13</v>
      </c>
      <c r="B1853" s="6" t="s">
        <v>19</v>
      </c>
      <c r="C1853" s="7" t="s">
        <v>1956</v>
      </c>
      <c r="D1853" s="7"/>
      <c r="E1853" s="8">
        <v>1.64684243</v>
      </c>
      <c r="F1853" s="8">
        <v>1.4236297600000001</v>
      </c>
      <c r="G1853" s="7" t="str">
        <f t="shared" si="13"/>
        <v>Direct</v>
      </c>
      <c r="H1853" s="7" t="s">
        <v>1957</v>
      </c>
    </row>
    <row r="1854" spans="1:8" x14ac:dyDescent="0.2">
      <c r="A1854" s="5" t="s">
        <v>13</v>
      </c>
      <c r="B1854" s="6" t="s">
        <v>19</v>
      </c>
      <c r="C1854" s="7" t="s">
        <v>1958</v>
      </c>
      <c r="D1854" s="7"/>
      <c r="E1854" s="8">
        <v>-1.3544318</v>
      </c>
      <c r="F1854" s="8">
        <v>-1.3751281</v>
      </c>
      <c r="G1854" s="7" t="str">
        <f t="shared" si="13"/>
        <v>Direct</v>
      </c>
      <c r="H1854" s="7" t="s">
        <v>16</v>
      </c>
    </row>
    <row r="1855" spans="1:8" x14ac:dyDescent="0.2">
      <c r="A1855" s="5" t="s">
        <v>13</v>
      </c>
      <c r="B1855" s="6" t="s">
        <v>19</v>
      </c>
      <c r="C1855" s="7" t="s">
        <v>1959</v>
      </c>
      <c r="D1855" s="7"/>
      <c r="E1855" s="8">
        <v>1.7414692199999999</v>
      </c>
      <c r="F1855" s="8">
        <v>1.7953366500000001</v>
      </c>
      <c r="G1855" s="7" t="str">
        <f t="shared" si="13"/>
        <v>Direct</v>
      </c>
      <c r="H1855" s="7" t="s">
        <v>1960</v>
      </c>
    </row>
    <row r="1856" spans="1:8" x14ac:dyDescent="0.2">
      <c r="A1856" s="5" t="s">
        <v>13</v>
      </c>
      <c r="B1856" s="6" t="s">
        <v>19</v>
      </c>
      <c r="C1856" s="7" t="s">
        <v>1961</v>
      </c>
      <c r="D1856" s="7"/>
      <c r="E1856" s="8">
        <v>1.63146539</v>
      </c>
      <c r="F1856" s="8">
        <v>1.0351141100000001</v>
      </c>
      <c r="G1856" s="7" t="str">
        <f t="shared" si="13"/>
        <v>Direct</v>
      </c>
      <c r="H1856" s="7" t="s">
        <v>1960</v>
      </c>
    </row>
    <row r="1857" spans="1:8" x14ac:dyDescent="0.2">
      <c r="A1857" s="5" t="s">
        <v>13</v>
      </c>
      <c r="B1857" s="6" t="s">
        <v>19</v>
      </c>
      <c r="C1857" s="7" t="s">
        <v>1962</v>
      </c>
      <c r="D1857" s="7"/>
      <c r="E1857" s="8">
        <v>1.2754581599999999</v>
      </c>
      <c r="F1857" s="8">
        <v>1.24233697</v>
      </c>
      <c r="G1857" s="7" t="str">
        <f t="shared" si="13"/>
        <v>Direct</v>
      </c>
      <c r="H1857" s="7" t="s">
        <v>16</v>
      </c>
    </row>
    <row r="1858" spans="1:8" x14ac:dyDescent="0.2">
      <c r="A1858" s="5" t="s">
        <v>13</v>
      </c>
      <c r="B1858" s="6" t="s">
        <v>19</v>
      </c>
      <c r="C1858" s="7" t="s">
        <v>1963</v>
      </c>
      <c r="D1858" s="7"/>
      <c r="E1858" s="8">
        <v>1.10811064</v>
      </c>
      <c r="F1858" s="8">
        <v>3.0279033399999999</v>
      </c>
      <c r="G1858" s="7" t="str">
        <f t="shared" si="13"/>
        <v>Direct</v>
      </c>
      <c r="H1858" s="7" t="s">
        <v>1964</v>
      </c>
    </row>
    <row r="1859" spans="1:8" x14ac:dyDescent="0.2">
      <c r="A1859" s="5" t="s">
        <v>13</v>
      </c>
      <c r="B1859" s="6" t="s">
        <v>19</v>
      </c>
      <c r="C1859" s="7" t="s">
        <v>1965</v>
      </c>
      <c r="D1859" s="7"/>
      <c r="E1859" s="8">
        <v>-2.7146913000000001</v>
      </c>
      <c r="F1859" s="8">
        <v>-1.4730736</v>
      </c>
      <c r="G1859" s="7" t="str">
        <f t="shared" si="13"/>
        <v>Direct</v>
      </c>
      <c r="H1859" s="7" t="s">
        <v>1966</v>
      </c>
    </row>
    <row r="1860" spans="1:8" x14ac:dyDescent="0.2">
      <c r="A1860" s="5" t="s">
        <v>13</v>
      </c>
      <c r="B1860" s="6" t="s">
        <v>19</v>
      </c>
      <c r="C1860" s="7" t="s">
        <v>1967</v>
      </c>
      <c r="D1860" s="7"/>
      <c r="E1860" s="8">
        <v>-1.5883938</v>
      </c>
      <c r="F1860" s="8">
        <v>-1.4010692</v>
      </c>
      <c r="G1860" s="7" t="str">
        <f t="shared" si="13"/>
        <v>Direct</v>
      </c>
      <c r="H1860" s="7" t="s">
        <v>16</v>
      </c>
    </row>
    <row r="1861" spans="1:8" x14ac:dyDescent="0.2">
      <c r="A1861" s="5" t="s">
        <v>13</v>
      </c>
      <c r="B1861" s="6" t="s">
        <v>19</v>
      </c>
      <c r="C1861" s="7" t="s">
        <v>300</v>
      </c>
      <c r="D1861" s="7"/>
      <c r="E1861" s="8">
        <v>-3.3152765999999998</v>
      </c>
      <c r="F1861" s="8">
        <v>-1.9349544999999999</v>
      </c>
      <c r="G1861" s="7" t="str">
        <f t="shared" si="13"/>
        <v>Direct</v>
      </c>
      <c r="H1861" s="7" t="s">
        <v>301</v>
      </c>
    </row>
    <row r="1862" spans="1:8" x14ac:dyDescent="0.2">
      <c r="A1862" s="5" t="s">
        <v>13</v>
      </c>
      <c r="B1862" s="6" t="s">
        <v>19</v>
      </c>
      <c r="C1862" s="7" t="s">
        <v>1968</v>
      </c>
      <c r="D1862" s="7"/>
      <c r="E1862" s="8">
        <v>1.8358275100000001</v>
      </c>
      <c r="F1862" s="8">
        <v>1.0459477800000001</v>
      </c>
      <c r="G1862" s="7" t="str">
        <f t="shared" si="13"/>
        <v>Direct</v>
      </c>
      <c r="H1862" s="7" t="s">
        <v>1969</v>
      </c>
    </row>
    <row r="1863" spans="1:8" x14ac:dyDescent="0.2">
      <c r="A1863" s="5" t="s">
        <v>13</v>
      </c>
      <c r="B1863" s="6" t="s">
        <v>19</v>
      </c>
      <c r="C1863" s="7" t="s">
        <v>1970</v>
      </c>
      <c r="D1863" s="7"/>
      <c r="E1863" s="8">
        <v>-2.6682532000000001</v>
      </c>
      <c r="F1863" s="8">
        <v>-3.2690630000000001</v>
      </c>
      <c r="G1863" s="7" t="str">
        <f t="shared" si="13"/>
        <v>Direct</v>
      </c>
      <c r="H1863" s="7" t="s">
        <v>16</v>
      </c>
    </row>
    <row r="1864" spans="1:8" x14ac:dyDescent="0.2">
      <c r="A1864" s="5" t="s">
        <v>13</v>
      </c>
      <c r="B1864" s="6" t="s">
        <v>19</v>
      </c>
      <c r="C1864" s="7" t="s">
        <v>302</v>
      </c>
      <c r="D1864" s="7"/>
      <c r="E1864" s="8">
        <v>-2.5380308</v>
      </c>
      <c r="F1864" s="8">
        <v>-1.0541026</v>
      </c>
      <c r="G1864" s="7" t="str">
        <f t="shared" si="13"/>
        <v>Direct</v>
      </c>
      <c r="H1864" s="7" t="s">
        <v>303</v>
      </c>
    </row>
    <row r="1865" spans="1:8" x14ac:dyDescent="0.2">
      <c r="A1865" s="5" t="s">
        <v>13</v>
      </c>
      <c r="B1865" s="6" t="s">
        <v>19</v>
      </c>
      <c r="C1865" s="7" t="s">
        <v>1971</v>
      </c>
      <c r="D1865" s="7"/>
      <c r="E1865" s="8">
        <v>-2.1152274000000002</v>
      </c>
      <c r="F1865" s="8">
        <v>-2.4977490000000002</v>
      </c>
      <c r="G1865" s="7" t="str">
        <f t="shared" si="13"/>
        <v>Direct</v>
      </c>
      <c r="H1865" s="7" t="s">
        <v>1972</v>
      </c>
    </row>
    <row r="1866" spans="1:8" x14ac:dyDescent="0.2">
      <c r="A1866" s="5" t="s">
        <v>13</v>
      </c>
      <c r="B1866" s="6" t="s">
        <v>19</v>
      </c>
      <c r="C1866" s="7" t="s">
        <v>1973</v>
      </c>
      <c r="D1866" s="7"/>
      <c r="E1866" s="8">
        <v>-1.7940498</v>
      </c>
      <c r="F1866" s="8">
        <v>-3.1332632</v>
      </c>
      <c r="G1866" s="7" t="str">
        <f t="shared" si="13"/>
        <v>Direct</v>
      </c>
      <c r="H1866" s="7" t="s">
        <v>16</v>
      </c>
    </row>
    <row r="1867" spans="1:8" x14ac:dyDescent="0.2">
      <c r="A1867" s="5" t="s">
        <v>13</v>
      </c>
      <c r="B1867" s="6" t="s">
        <v>19</v>
      </c>
      <c r="C1867" s="7" t="s">
        <v>304</v>
      </c>
      <c r="D1867" s="7"/>
      <c r="E1867" s="8">
        <v>-6.0089528000000003</v>
      </c>
      <c r="F1867" s="8">
        <v>-7.6526468000000003</v>
      </c>
      <c r="G1867" s="7" t="str">
        <f t="shared" si="13"/>
        <v>Direct</v>
      </c>
      <c r="H1867" s="7" t="s">
        <v>16</v>
      </c>
    </row>
    <row r="1868" spans="1:8" x14ac:dyDescent="0.2">
      <c r="A1868" s="5" t="s">
        <v>13</v>
      </c>
      <c r="B1868" s="6" t="s">
        <v>19</v>
      </c>
      <c r="C1868" s="7" t="s">
        <v>1974</v>
      </c>
      <c r="D1868" s="7"/>
      <c r="E1868" s="8">
        <v>1.03922066</v>
      </c>
      <c r="F1868" s="8">
        <v>1.17673571</v>
      </c>
      <c r="G1868" s="7" t="str">
        <f t="shared" si="13"/>
        <v>Direct</v>
      </c>
      <c r="H1868" s="7" t="s">
        <v>1975</v>
      </c>
    </row>
    <row r="1869" spans="1:8" x14ac:dyDescent="0.2">
      <c r="A1869" s="5" t="s">
        <v>13</v>
      </c>
      <c r="B1869" s="6" t="s">
        <v>19</v>
      </c>
      <c r="C1869" s="7" t="s">
        <v>1976</v>
      </c>
      <c r="D1869" s="7"/>
      <c r="E1869" s="8">
        <v>-1.8368549999999999</v>
      </c>
      <c r="F1869" s="8">
        <v>-2.6465561000000002</v>
      </c>
      <c r="G1869" s="7" t="str">
        <f t="shared" si="13"/>
        <v>Direct</v>
      </c>
      <c r="H1869" s="7" t="s">
        <v>16</v>
      </c>
    </row>
    <row r="1870" spans="1:8" x14ac:dyDescent="0.2">
      <c r="A1870" s="5" t="s">
        <v>13</v>
      </c>
      <c r="B1870" s="6" t="s">
        <v>19</v>
      </c>
      <c r="C1870" s="7" t="s">
        <v>1977</v>
      </c>
      <c r="D1870" s="7"/>
      <c r="E1870" s="8">
        <v>-1.2047285000000001</v>
      </c>
      <c r="F1870" s="8">
        <v>-2.8959397</v>
      </c>
      <c r="G1870" s="7" t="str">
        <f t="shared" si="13"/>
        <v>Direct</v>
      </c>
      <c r="H1870" s="7" t="s">
        <v>16</v>
      </c>
    </row>
    <row r="1871" spans="1:8" x14ac:dyDescent="0.2">
      <c r="A1871" s="5" t="s">
        <v>13</v>
      </c>
      <c r="B1871" s="6" t="s">
        <v>19</v>
      </c>
      <c r="C1871" s="7" t="s">
        <v>1978</v>
      </c>
      <c r="D1871" s="7"/>
      <c r="E1871" s="8">
        <v>-3.3187209000000002</v>
      </c>
      <c r="F1871" s="8">
        <v>-4.5334013999999998</v>
      </c>
      <c r="G1871" s="7" t="str">
        <f t="shared" si="13"/>
        <v>Direct</v>
      </c>
      <c r="H1871" s="7" t="s">
        <v>16</v>
      </c>
    </row>
    <row r="1872" spans="1:8" x14ac:dyDescent="0.2">
      <c r="A1872" s="5" t="s">
        <v>13</v>
      </c>
      <c r="B1872" s="6" t="s">
        <v>19</v>
      </c>
      <c r="C1872" s="7" t="s">
        <v>1979</v>
      </c>
      <c r="D1872" s="7"/>
      <c r="E1872" s="8">
        <v>-4.6256922999999999</v>
      </c>
      <c r="F1872" s="8">
        <v>-4.2236504000000004</v>
      </c>
      <c r="G1872" s="7" t="str">
        <f t="shared" si="13"/>
        <v>Direct</v>
      </c>
      <c r="H1872" s="7" t="s">
        <v>16</v>
      </c>
    </row>
    <row r="1873" spans="1:8" x14ac:dyDescent="0.2">
      <c r="A1873" s="5" t="s">
        <v>13</v>
      </c>
      <c r="B1873" s="6" t="s">
        <v>19</v>
      </c>
      <c r="C1873" s="7" t="s">
        <v>1980</v>
      </c>
      <c r="D1873" s="7"/>
      <c r="E1873" s="8">
        <v>-15.981878999999999</v>
      </c>
      <c r="F1873" s="8">
        <v>-13.189048</v>
      </c>
      <c r="G1873" s="7" t="str">
        <f t="shared" si="13"/>
        <v>Direct</v>
      </c>
      <c r="H1873" s="7" t="s">
        <v>1981</v>
      </c>
    </row>
    <row r="1874" spans="1:8" x14ac:dyDescent="0.2">
      <c r="A1874" s="5" t="s">
        <v>13</v>
      </c>
      <c r="B1874" s="6" t="s">
        <v>19</v>
      </c>
      <c r="C1874" s="7" t="s">
        <v>1982</v>
      </c>
      <c r="D1874" s="7"/>
      <c r="E1874" s="8">
        <v>-4.3235393999999996</v>
      </c>
      <c r="F1874" s="8">
        <v>-2.4653909000000001</v>
      </c>
      <c r="G1874" s="7" t="str">
        <f t="shared" si="13"/>
        <v>Direct</v>
      </c>
      <c r="H1874" s="7" t="s">
        <v>1983</v>
      </c>
    </row>
    <row r="1875" spans="1:8" x14ac:dyDescent="0.2">
      <c r="A1875" s="5" t="s">
        <v>13</v>
      </c>
      <c r="B1875" s="6" t="s">
        <v>19</v>
      </c>
      <c r="C1875" s="7" t="s">
        <v>1984</v>
      </c>
      <c r="D1875" s="7"/>
      <c r="E1875" s="8">
        <v>-4.3395292999999997</v>
      </c>
      <c r="F1875" s="8">
        <v>-2.3393978</v>
      </c>
      <c r="G1875" s="7" t="str">
        <f t="shared" si="13"/>
        <v>Direct</v>
      </c>
      <c r="H1875" s="7" t="s">
        <v>1985</v>
      </c>
    </row>
    <row r="1876" spans="1:8" x14ac:dyDescent="0.2">
      <c r="A1876" s="5" t="s">
        <v>13</v>
      </c>
      <c r="B1876" s="6" t="s">
        <v>19</v>
      </c>
      <c r="C1876" s="7" t="s">
        <v>1986</v>
      </c>
      <c r="D1876" s="7"/>
      <c r="E1876" s="8">
        <v>1.06423943</v>
      </c>
      <c r="F1876" s="8">
        <v>1.22992039</v>
      </c>
      <c r="G1876" s="7" t="str">
        <f t="shared" si="13"/>
        <v>Direct</v>
      </c>
      <c r="H1876" s="7" t="s">
        <v>1987</v>
      </c>
    </row>
    <row r="1877" spans="1:8" x14ac:dyDescent="0.2">
      <c r="A1877" s="5" t="s">
        <v>13</v>
      </c>
      <c r="B1877" s="6" t="s">
        <v>19</v>
      </c>
      <c r="C1877" s="7" t="s">
        <v>307</v>
      </c>
      <c r="D1877" s="7"/>
      <c r="E1877" s="8">
        <v>12.310794599999999</v>
      </c>
      <c r="F1877" s="8">
        <v>9.9425992599999997</v>
      </c>
      <c r="G1877" s="7" t="str">
        <f t="shared" si="13"/>
        <v>Direct</v>
      </c>
      <c r="H1877" s="7" t="s">
        <v>172</v>
      </c>
    </row>
    <row r="1878" spans="1:8" x14ac:dyDescent="0.2">
      <c r="A1878" s="5" t="s">
        <v>13</v>
      </c>
      <c r="B1878" s="6" t="s">
        <v>19</v>
      </c>
      <c r="C1878" s="7" t="s">
        <v>1988</v>
      </c>
      <c r="D1878" s="7"/>
      <c r="E1878" s="8">
        <v>33.775493300000001</v>
      </c>
      <c r="F1878" s="8">
        <v>31.8750386</v>
      </c>
      <c r="G1878" s="7" t="str">
        <f t="shared" si="13"/>
        <v>Direct</v>
      </c>
      <c r="H1878" s="7" t="s">
        <v>172</v>
      </c>
    </row>
    <row r="1879" spans="1:8" x14ac:dyDescent="0.2">
      <c r="A1879" s="5" t="s">
        <v>13</v>
      </c>
      <c r="B1879" s="6" t="s">
        <v>19</v>
      </c>
      <c r="C1879" s="7" t="s">
        <v>308</v>
      </c>
      <c r="D1879" s="7"/>
      <c r="E1879" s="8">
        <v>-8.5868011000000006</v>
      </c>
      <c r="F1879" s="8">
        <v>-8.9971692999999995</v>
      </c>
      <c r="G1879" s="7" t="str">
        <f t="shared" si="13"/>
        <v>Direct</v>
      </c>
      <c r="H1879" s="7" t="s">
        <v>16</v>
      </c>
    </row>
    <row r="1880" spans="1:8" x14ac:dyDescent="0.2">
      <c r="A1880" s="5" t="s">
        <v>13</v>
      </c>
      <c r="B1880" s="6" t="s">
        <v>19</v>
      </c>
      <c r="C1880" s="7" t="s">
        <v>1989</v>
      </c>
      <c r="D1880" s="7"/>
      <c r="E1880" s="8">
        <v>-4.4269816999999998</v>
      </c>
      <c r="F1880" s="8">
        <v>-3.0932018000000001</v>
      </c>
      <c r="G1880" s="7" t="str">
        <f t="shared" si="13"/>
        <v>Direct</v>
      </c>
      <c r="H1880" s="7" t="s">
        <v>1990</v>
      </c>
    </row>
    <row r="1881" spans="1:8" x14ac:dyDescent="0.2">
      <c r="A1881" s="5" t="s">
        <v>13</v>
      </c>
      <c r="B1881" s="6" t="s">
        <v>19</v>
      </c>
      <c r="C1881" s="7" t="s">
        <v>1991</v>
      </c>
      <c r="D1881" s="7"/>
      <c r="E1881" s="8">
        <v>-1.993771</v>
      </c>
      <c r="F1881" s="8">
        <v>-3.0666305999999999</v>
      </c>
      <c r="G1881" s="7" t="str">
        <f t="shared" si="13"/>
        <v>Direct</v>
      </c>
      <c r="H1881" s="7" t="s">
        <v>417</v>
      </c>
    </row>
    <row r="1882" spans="1:8" x14ac:dyDescent="0.2">
      <c r="A1882" s="5" t="s">
        <v>13</v>
      </c>
      <c r="B1882" s="6" t="s">
        <v>19</v>
      </c>
      <c r="C1882" s="7" t="s">
        <v>1992</v>
      </c>
      <c r="D1882" s="7"/>
      <c r="E1882" s="8">
        <v>-2.0503342999999998</v>
      </c>
      <c r="F1882" s="8">
        <v>-2.3423039999999999</v>
      </c>
      <c r="G1882" s="7" t="str">
        <f t="shared" si="13"/>
        <v>Direct</v>
      </c>
      <c r="H1882" s="7" t="s">
        <v>301</v>
      </c>
    </row>
    <row r="1883" spans="1:8" x14ac:dyDescent="0.2">
      <c r="A1883" s="5" t="s">
        <v>13</v>
      </c>
      <c r="B1883" s="6" t="s">
        <v>19</v>
      </c>
      <c r="C1883" s="7" t="s">
        <v>1993</v>
      </c>
      <c r="D1883" s="7"/>
      <c r="E1883" s="8">
        <v>-1.3790165999999999</v>
      </c>
      <c r="F1883" s="8">
        <v>-1.3592137</v>
      </c>
      <c r="G1883" s="7" t="str">
        <f t="shared" si="13"/>
        <v>Direct</v>
      </c>
      <c r="H1883" s="7" t="s">
        <v>301</v>
      </c>
    </row>
    <row r="1884" spans="1:8" x14ac:dyDescent="0.2">
      <c r="A1884" s="5" t="s">
        <v>13</v>
      </c>
      <c r="B1884" s="6" t="s">
        <v>19</v>
      </c>
      <c r="C1884" s="7" t="s">
        <v>1994</v>
      </c>
      <c r="D1884" s="7"/>
      <c r="E1884" s="8">
        <v>1.7784824400000001</v>
      </c>
      <c r="F1884" s="8">
        <v>3.1652418199999999</v>
      </c>
      <c r="G1884" s="7" t="str">
        <f t="shared" si="13"/>
        <v>Direct</v>
      </c>
      <c r="H1884" s="7" t="s">
        <v>1995</v>
      </c>
    </row>
    <row r="1885" spans="1:8" x14ac:dyDescent="0.2">
      <c r="A1885" s="5" t="s">
        <v>13</v>
      </c>
      <c r="B1885" s="6" t="s">
        <v>19</v>
      </c>
      <c r="C1885" s="7" t="s">
        <v>1996</v>
      </c>
      <c r="D1885" s="7"/>
      <c r="E1885" s="8">
        <v>-1.8447515000000001</v>
      </c>
      <c r="F1885" s="8">
        <v>-2.2996268</v>
      </c>
      <c r="G1885" s="7" t="str">
        <f t="shared" si="13"/>
        <v>Direct</v>
      </c>
      <c r="H1885" s="7" t="s">
        <v>1997</v>
      </c>
    </row>
    <row r="1886" spans="1:8" x14ac:dyDescent="0.2">
      <c r="A1886" s="5" t="s">
        <v>13</v>
      </c>
      <c r="B1886" s="6" t="s">
        <v>19</v>
      </c>
      <c r="C1886" s="7" t="s">
        <v>1998</v>
      </c>
      <c r="D1886" s="7"/>
      <c r="E1886" s="8">
        <v>-2.5458938999999998</v>
      </c>
      <c r="F1886" s="8">
        <v>-4.0007682000000004</v>
      </c>
      <c r="G1886" s="7" t="str">
        <f t="shared" si="13"/>
        <v>Direct</v>
      </c>
      <c r="H1886" s="7" t="s">
        <v>1999</v>
      </c>
    </row>
    <row r="1887" spans="1:8" x14ac:dyDescent="0.2">
      <c r="A1887" s="5" t="s">
        <v>13</v>
      </c>
      <c r="B1887" s="6" t="s">
        <v>19</v>
      </c>
      <c r="C1887" s="7" t="s">
        <v>2000</v>
      </c>
      <c r="D1887" s="7"/>
      <c r="E1887" s="8">
        <v>1.26664859</v>
      </c>
      <c r="F1887" s="8">
        <v>1.1534993200000001</v>
      </c>
      <c r="G1887" s="7" t="str">
        <f t="shared" si="13"/>
        <v>Direct</v>
      </c>
      <c r="H1887" s="7" t="s">
        <v>2001</v>
      </c>
    </row>
    <row r="1888" spans="1:8" x14ac:dyDescent="0.2">
      <c r="A1888" s="5" t="s">
        <v>13</v>
      </c>
      <c r="B1888" s="6" t="s">
        <v>19</v>
      </c>
      <c r="C1888" s="7" t="s">
        <v>2002</v>
      </c>
      <c r="D1888" s="7"/>
      <c r="E1888" s="8">
        <v>1.02815733</v>
      </c>
      <c r="F1888" s="8">
        <v>1.9151128500000001</v>
      </c>
      <c r="G1888" s="7" t="str">
        <f t="shared" si="13"/>
        <v>Direct</v>
      </c>
      <c r="H1888" s="7" t="s">
        <v>125</v>
      </c>
    </row>
    <row r="1889" spans="1:8" x14ac:dyDescent="0.2">
      <c r="A1889" s="5" t="s">
        <v>13</v>
      </c>
      <c r="B1889" s="6" t="s">
        <v>19</v>
      </c>
      <c r="C1889" s="7" t="s">
        <v>2003</v>
      </c>
      <c r="D1889" s="7"/>
      <c r="E1889" s="8">
        <v>-2.4971817999999999</v>
      </c>
      <c r="F1889" s="8">
        <v>-1.7336663999999999</v>
      </c>
      <c r="G1889" s="7" t="str">
        <f t="shared" si="13"/>
        <v>Direct</v>
      </c>
      <c r="H1889" s="7" t="s">
        <v>16</v>
      </c>
    </row>
    <row r="1890" spans="1:8" x14ac:dyDescent="0.2">
      <c r="A1890" s="5" t="s">
        <v>13</v>
      </c>
      <c r="B1890" s="6" t="s">
        <v>19</v>
      </c>
      <c r="C1890" s="7" t="s">
        <v>310</v>
      </c>
      <c r="D1890" s="7"/>
      <c r="E1890" s="8">
        <v>-1.8126918999999999</v>
      </c>
      <c r="F1890" s="8">
        <v>-3.6264740999999998</v>
      </c>
      <c r="G1890" s="7" t="str">
        <f t="shared" si="13"/>
        <v>Direct</v>
      </c>
      <c r="H1890" s="7" t="s">
        <v>311</v>
      </c>
    </row>
    <row r="1891" spans="1:8" x14ac:dyDescent="0.2">
      <c r="A1891" s="5" t="s">
        <v>13</v>
      </c>
      <c r="B1891" s="6" t="s">
        <v>19</v>
      </c>
      <c r="C1891" s="7" t="s">
        <v>2004</v>
      </c>
      <c r="D1891" s="7"/>
      <c r="E1891" s="8">
        <v>2.1367802500000002</v>
      </c>
      <c r="F1891" s="8">
        <v>1.5043826199999999</v>
      </c>
      <c r="G1891" s="7" t="str">
        <f t="shared" si="13"/>
        <v>Direct</v>
      </c>
      <c r="H1891" s="7" t="s">
        <v>2005</v>
      </c>
    </row>
    <row r="1892" spans="1:8" x14ac:dyDescent="0.2">
      <c r="A1892" s="5" t="s">
        <v>13</v>
      </c>
      <c r="B1892" s="6" t="s">
        <v>19</v>
      </c>
      <c r="C1892" s="7" t="s">
        <v>2006</v>
      </c>
      <c r="D1892" s="7"/>
      <c r="E1892" s="8">
        <v>5.7500842399999996</v>
      </c>
      <c r="F1892" s="8">
        <v>2.1976842300000001</v>
      </c>
      <c r="G1892" s="7" t="str">
        <f t="shared" si="13"/>
        <v>Direct</v>
      </c>
      <c r="H1892" s="7" t="s">
        <v>16</v>
      </c>
    </row>
    <row r="1893" spans="1:8" x14ac:dyDescent="0.2">
      <c r="A1893" s="5" t="s">
        <v>13</v>
      </c>
      <c r="B1893" s="6" t="s">
        <v>19</v>
      </c>
      <c r="C1893" s="7" t="s">
        <v>2007</v>
      </c>
      <c r="D1893" s="7"/>
      <c r="E1893" s="8">
        <v>-1.6022272</v>
      </c>
      <c r="F1893" s="8">
        <v>-1.3196467999999999</v>
      </c>
      <c r="G1893" s="7" t="str">
        <f t="shared" si="13"/>
        <v>Direct</v>
      </c>
      <c r="H1893" s="7" t="s">
        <v>16</v>
      </c>
    </row>
    <row r="1894" spans="1:8" x14ac:dyDescent="0.2">
      <c r="A1894" s="5" t="s">
        <v>13</v>
      </c>
      <c r="B1894" s="6" t="s">
        <v>19</v>
      </c>
      <c r="C1894" s="7" t="s">
        <v>313</v>
      </c>
      <c r="D1894" s="7"/>
      <c r="E1894" s="8">
        <v>-1.2425147999999999</v>
      </c>
      <c r="F1894" s="8">
        <v>-3.6987323000000001</v>
      </c>
      <c r="G1894" s="7" t="str">
        <f t="shared" si="13"/>
        <v>Direct</v>
      </c>
      <c r="H1894" s="7" t="s">
        <v>16</v>
      </c>
    </row>
    <row r="1895" spans="1:8" x14ac:dyDescent="0.2">
      <c r="A1895" s="5" t="s">
        <v>13</v>
      </c>
      <c r="B1895" s="6" t="s">
        <v>19</v>
      </c>
      <c r="C1895" s="7" t="s">
        <v>314</v>
      </c>
      <c r="D1895" s="7"/>
      <c r="E1895" s="8">
        <v>-4.7950974000000004</v>
      </c>
      <c r="F1895" s="8">
        <v>-6.0830446</v>
      </c>
      <c r="G1895" s="7" t="str">
        <f t="shared" si="13"/>
        <v>Direct</v>
      </c>
      <c r="H1895" s="7" t="s">
        <v>16</v>
      </c>
    </row>
    <row r="1896" spans="1:8" x14ac:dyDescent="0.2">
      <c r="A1896" s="5" t="s">
        <v>13</v>
      </c>
      <c r="B1896" s="6" t="s">
        <v>19</v>
      </c>
      <c r="C1896" s="7" t="s">
        <v>315</v>
      </c>
      <c r="D1896" s="7"/>
      <c r="E1896" s="8">
        <v>-6.6730483999999999</v>
      </c>
      <c r="F1896" s="8">
        <v>-6.2832705000000004</v>
      </c>
      <c r="G1896" s="7" t="str">
        <f t="shared" si="13"/>
        <v>Direct</v>
      </c>
      <c r="H1896" s="7" t="s">
        <v>16</v>
      </c>
    </row>
    <row r="1897" spans="1:8" x14ac:dyDescent="0.2">
      <c r="A1897" s="5" t="s">
        <v>13</v>
      </c>
      <c r="B1897" s="6" t="s">
        <v>19</v>
      </c>
      <c r="C1897" s="7" t="s">
        <v>316</v>
      </c>
      <c r="D1897" s="7"/>
      <c r="E1897" s="8">
        <v>-2.1367802999999999</v>
      </c>
      <c r="F1897" s="8">
        <v>-1.7711796</v>
      </c>
      <c r="G1897" s="7" t="str">
        <f t="shared" si="13"/>
        <v>Direct</v>
      </c>
      <c r="H1897" s="7" t="s">
        <v>16</v>
      </c>
    </row>
    <row r="1898" spans="1:8" x14ac:dyDescent="0.2">
      <c r="A1898" s="5" t="s">
        <v>13</v>
      </c>
      <c r="B1898" s="6" t="s">
        <v>19</v>
      </c>
      <c r="C1898" s="7" t="s">
        <v>2008</v>
      </c>
      <c r="D1898" s="7"/>
      <c r="E1898" s="8">
        <v>-1.5808542999999999</v>
      </c>
      <c r="F1898" s="8">
        <v>-1.6696518</v>
      </c>
      <c r="G1898" s="7" t="str">
        <f t="shared" si="13"/>
        <v>Direct</v>
      </c>
      <c r="H1898" s="7" t="s">
        <v>2009</v>
      </c>
    </row>
    <row r="1899" spans="1:8" x14ac:dyDescent="0.2">
      <c r="A1899" s="5" t="s">
        <v>13</v>
      </c>
      <c r="B1899" s="6" t="s">
        <v>19</v>
      </c>
      <c r="C1899" s="7" t="s">
        <v>2010</v>
      </c>
      <c r="D1899" s="7"/>
      <c r="E1899" s="8">
        <v>1.5947016300000001</v>
      </c>
      <c r="F1899" s="8">
        <v>1.35624488</v>
      </c>
      <c r="G1899" s="7" t="str">
        <f t="shared" si="13"/>
        <v>Direct</v>
      </c>
      <c r="H1899" s="7" t="s">
        <v>16</v>
      </c>
    </row>
    <row r="1900" spans="1:8" x14ac:dyDescent="0.2">
      <c r="A1900" s="5" t="s">
        <v>13</v>
      </c>
      <c r="B1900" s="6" t="s">
        <v>19</v>
      </c>
      <c r="C1900" s="7" t="s">
        <v>2011</v>
      </c>
      <c r="D1900" s="7"/>
      <c r="E1900" s="8">
        <v>-2.9124601000000001</v>
      </c>
      <c r="F1900" s="8">
        <v>-3.0242895999999999</v>
      </c>
      <c r="G1900" s="7" t="str">
        <f t="shared" si="13"/>
        <v>Direct</v>
      </c>
      <c r="H1900" s="7" t="s">
        <v>16</v>
      </c>
    </row>
    <row r="1901" spans="1:8" x14ac:dyDescent="0.2">
      <c r="A1901" s="5" t="s">
        <v>13</v>
      </c>
      <c r="B1901" s="6" t="s">
        <v>19</v>
      </c>
      <c r="C1901" s="7" t="s">
        <v>2012</v>
      </c>
      <c r="D1901" s="7"/>
      <c r="E1901" s="8">
        <v>-1.4829445999999999</v>
      </c>
      <c r="F1901" s="8">
        <v>-2.7818385999999999</v>
      </c>
      <c r="G1901" s="7" t="str">
        <f t="shared" si="13"/>
        <v>Direct</v>
      </c>
      <c r="H1901" s="7" t="s">
        <v>16</v>
      </c>
    </row>
    <row r="1902" spans="1:8" x14ac:dyDescent="0.2">
      <c r="A1902" s="5" t="s">
        <v>13</v>
      </c>
      <c r="B1902" s="6" t="s">
        <v>19</v>
      </c>
      <c r="C1902" s="7" t="s">
        <v>2013</v>
      </c>
      <c r="D1902" s="7"/>
      <c r="E1902" s="8">
        <v>-7.6455697000000002</v>
      </c>
      <c r="F1902" s="8">
        <v>-6.8659423999999998</v>
      </c>
      <c r="G1902" s="7" t="str">
        <f t="shared" si="13"/>
        <v>Direct</v>
      </c>
      <c r="H1902" s="7" t="s">
        <v>16</v>
      </c>
    </row>
    <row r="1903" spans="1:8" x14ac:dyDescent="0.2">
      <c r="A1903" s="5" t="s">
        <v>13</v>
      </c>
      <c r="B1903" s="6" t="s">
        <v>19</v>
      </c>
      <c r="C1903" s="7" t="s">
        <v>2014</v>
      </c>
      <c r="D1903" s="7"/>
      <c r="E1903" s="8">
        <v>-1.8126671000000001</v>
      </c>
      <c r="F1903" s="8">
        <v>-1.0110621</v>
      </c>
      <c r="G1903" s="7" t="str">
        <f t="shared" si="13"/>
        <v>Direct</v>
      </c>
      <c r="H1903" s="7" t="s">
        <v>16</v>
      </c>
    </row>
    <row r="1904" spans="1:8" x14ac:dyDescent="0.2">
      <c r="A1904" s="5" t="s">
        <v>13</v>
      </c>
      <c r="B1904" s="6" t="s">
        <v>19</v>
      </c>
      <c r="C1904" s="7" t="s">
        <v>2015</v>
      </c>
      <c r="D1904" s="7"/>
      <c r="E1904" s="8">
        <v>2.5890539399999999</v>
      </c>
      <c r="F1904" s="8">
        <v>1.78732701</v>
      </c>
      <c r="G1904" s="7" t="str">
        <f t="shared" si="13"/>
        <v>Direct</v>
      </c>
      <c r="H1904" s="7" t="s">
        <v>16</v>
      </c>
    </row>
    <row r="1905" spans="1:8" x14ac:dyDescent="0.2">
      <c r="A1905" s="5" t="s">
        <v>13</v>
      </c>
      <c r="B1905" s="6" t="s">
        <v>19</v>
      </c>
      <c r="C1905" s="7" t="s">
        <v>2016</v>
      </c>
      <c r="D1905" s="7"/>
      <c r="E1905" s="8">
        <v>-1.3855850000000001</v>
      </c>
      <c r="F1905" s="8">
        <v>-1.0573399000000001</v>
      </c>
      <c r="G1905" s="7" t="str">
        <f t="shared" si="13"/>
        <v>Direct</v>
      </c>
      <c r="H1905" s="7" t="s">
        <v>2017</v>
      </c>
    </row>
    <row r="1906" spans="1:8" x14ac:dyDescent="0.2">
      <c r="A1906" s="5" t="s">
        <v>13</v>
      </c>
      <c r="B1906" s="6" t="s">
        <v>19</v>
      </c>
      <c r="C1906" s="7" t="s">
        <v>2018</v>
      </c>
      <c r="D1906" s="7"/>
      <c r="E1906" s="8">
        <v>-1.5904210999999999</v>
      </c>
      <c r="F1906" s="8">
        <v>-1.1906737999999999</v>
      </c>
      <c r="G1906" s="7" t="str">
        <f t="shared" si="13"/>
        <v>Direct</v>
      </c>
      <c r="H1906" s="7" t="s">
        <v>1325</v>
      </c>
    </row>
    <row r="1907" spans="1:8" x14ac:dyDescent="0.2">
      <c r="A1907" s="5" t="s">
        <v>13</v>
      </c>
      <c r="B1907" s="6" t="s">
        <v>19</v>
      </c>
      <c r="C1907" s="7" t="s">
        <v>2019</v>
      </c>
      <c r="D1907" s="7"/>
      <c r="E1907" s="8">
        <v>-2.8851198999999998</v>
      </c>
      <c r="F1907" s="8">
        <v>-2.6285460999999999</v>
      </c>
      <c r="G1907" s="7" t="str">
        <f t="shared" si="13"/>
        <v>Direct</v>
      </c>
      <c r="H1907" s="7" t="s">
        <v>1358</v>
      </c>
    </row>
    <row r="1908" spans="1:8" x14ac:dyDescent="0.2">
      <c r="A1908" s="5" t="s">
        <v>13</v>
      </c>
      <c r="B1908" s="6" t="s">
        <v>19</v>
      </c>
      <c r="C1908" s="7" t="s">
        <v>2020</v>
      </c>
      <c r="D1908" s="7"/>
      <c r="E1908" s="8">
        <v>-1.9143204</v>
      </c>
      <c r="F1908" s="8">
        <v>-2.3220358000000001</v>
      </c>
      <c r="G1908" s="7" t="str">
        <f t="shared" si="13"/>
        <v>Direct</v>
      </c>
      <c r="H1908" s="7" t="s">
        <v>648</v>
      </c>
    </row>
    <row r="1909" spans="1:8" x14ac:dyDescent="0.2">
      <c r="A1909" s="5" t="s">
        <v>13</v>
      </c>
      <c r="B1909" s="6" t="s">
        <v>19</v>
      </c>
      <c r="C1909" s="7" t="s">
        <v>2021</v>
      </c>
      <c r="D1909" s="7"/>
      <c r="E1909" s="8">
        <v>-1.8144412999999999</v>
      </c>
      <c r="F1909" s="8">
        <v>-3.1464338000000001</v>
      </c>
      <c r="G1909" s="7" t="str">
        <f t="shared" si="13"/>
        <v>Direct</v>
      </c>
      <c r="H1909" s="7" t="s">
        <v>2022</v>
      </c>
    </row>
    <row r="1910" spans="1:8" x14ac:dyDescent="0.2">
      <c r="A1910" s="5" t="s">
        <v>13</v>
      </c>
      <c r="B1910" s="6" t="s">
        <v>19</v>
      </c>
      <c r="C1910" s="7" t="s">
        <v>2023</v>
      </c>
      <c r="D1910" s="7"/>
      <c r="E1910" s="8">
        <v>1.9555240199999999</v>
      </c>
      <c r="F1910" s="8">
        <v>1.4035885800000001</v>
      </c>
      <c r="G1910" s="7" t="str">
        <f t="shared" si="13"/>
        <v>Direct</v>
      </c>
      <c r="H1910" s="7" t="s">
        <v>2024</v>
      </c>
    </row>
    <row r="1911" spans="1:8" x14ac:dyDescent="0.2">
      <c r="A1911" s="5" t="s">
        <v>13</v>
      </c>
      <c r="B1911" s="6" t="s">
        <v>19</v>
      </c>
      <c r="C1911" s="7" t="s">
        <v>2025</v>
      </c>
      <c r="D1911" s="7"/>
      <c r="E1911" s="8">
        <v>-1.6040474</v>
      </c>
      <c r="F1911" s="8">
        <v>-2.6377959999999998</v>
      </c>
      <c r="G1911" s="7" t="str">
        <f t="shared" si="13"/>
        <v>Direct</v>
      </c>
      <c r="H1911" s="7" t="s">
        <v>2026</v>
      </c>
    </row>
    <row r="1912" spans="1:8" x14ac:dyDescent="0.2">
      <c r="A1912" s="5" t="s">
        <v>13</v>
      </c>
      <c r="B1912" s="6" t="s">
        <v>19</v>
      </c>
      <c r="C1912" s="7" t="s">
        <v>317</v>
      </c>
      <c r="D1912" s="7"/>
      <c r="E1912" s="8">
        <v>-2.8605355000000001</v>
      </c>
      <c r="F1912" s="8">
        <v>-2.6872262</v>
      </c>
      <c r="G1912" s="7" t="str">
        <f t="shared" si="13"/>
        <v>Direct</v>
      </c>
      <c r="H1912" s="7" t="s">
        <v>318</v>
      </c>
    </row>
    <row r="1913" spans="1:8" x14ac:dyDescent="0.2">
      <c r="A1913" s="5" t="s">
        <v>13</v>
      </c>
      <c r="B1913" s="6" t="s">
        <v>19</v>
      </c>
      <c r="C1913" s="7" t="s">
        <v>2027</v>
      </c>
      <c r="D1913" s="7"/>
      <c r="E1913" s="8">
        <v>-1.0575482</v>
      </c>
      <c r="F1913" s="8">
        <v>-1.3256929</v>
      </c>
      <c r="G1913" s="7" t="str">
        <f t="shared" si="13"/>
        <v>Direct</v>
      </c>
      <c r="H1913" s="7" t="s">
        <v>2028</v>
      </c>
    </row>
    <row r="1914" spans="1:8" x14ac:dyDescent="0.2">
      <c r="A1914" s="5" t="s">
        <v>13</v>
      </c>
      <c r="B1914" s="6" t="s">
        <v>19</v>
      </c>
      <c r="C1914" s="7" t="s">
        <v>2029</v>
      </c>
      <c r="D1914" s="7"/>
      <c r="E1914" s="8">
        <v>1.98006014</v>
      </c>
      <c r="F1914" s="8">
        <v>2.8154782300000001</v>
      </c>
      <c r="G1914" s="7" t="str">
        <f t="shared" si="13"/>
        <v>Direct</v>
      </c>
      <c r="H1914" s="7" t="s">
        <v>2030</v>
      </c>
    </row>
    <row r="1915" spans="1:8" x14ac:dyDescent="0.2">
      <c r="A1915" s="5" t="s">
        <v>13</v>
      </c>
      <c r="B1915" s="6" t="s">
        <v>19</v>
      </c>
      <c r="C1915" s="7" t="s">
        <v>2031</v>
      </c>
      <c r="D1915" s="7"/>
      <c r="E1915" s="8">
        <v>-7.3972883999999999</v>
      </c>
      <c r="F1915" s="8">
        <v>-7.3161357000000002</v>
      </c>
      <c r="G1915" s="7" t="str">
        <f t="shared" si="13"/>
        <v>Direct</v>
      </c>
      <c r="H1915" s="7" t="s">
        <v>2022</v>
      </c>
    </row>
    <row r="1916" spans="1:8" x14ac:dyDescent="0.2">
      <c r="A1916" s="5" t="s">
        <v>13</v>
      </c>
      <c r="B1916" s="6" t="s">
        <v>19</v>
      </c>
      <c r="C1916" s="7" t="s">
        <v>2032</v>
      </c>
      <c r="D1916" s="7"/>
      <c r="E1916" s="8">
        <v>3.9477156899999999</v>
      </c>
      <c r="F1916" s="8">
        <v>2.6268767300000002</v>
      </c>
      <c r="G1916" s="7" t="str">
        <f t="shared" si="13"/>
        <v>Direct</v>
      </c>
      <c r="H1916" s="7" t="s">
        <v>16</v>
      </c>
    </row>
    <row r="1917" spans="1:8" x14ac:dyDescent="0.2">
      <c r="A1917" s="5" t="s">
        <v>13</v>
      </c>
      <c r="B1917" s="6" t="s">
        <v>19</v>
      </c>
      <c r="C1917" s="7" t="s">
        <v>2033</v>
      </c>
      <c r="D1917" s="7"/>
      <c r="E1917" s="8">
        <v>-2.4701876</v>
      </c>
      <c r="F1917" s="8">
        <v>-1.4043322</v>
      </c>
      <c r="G1917" s="7" t="str">
        <f t="shared" si="13"/>
        <v>Direct</v>
      </c>
      <c r="H1917" s="7" t="s">
        <v>2034</v>
      </c>
    </row>
    <row r="1918" spans="1:8" x14ac:dyDescent="0.2">
      <c r="A1918" s="5" t="s">
        <v>13</v>
      </c>
      <c r="B1918" s="6" t="s">
        <v>19</v>
      </c>
      <c r="C1918" s="7" t="s">
        <v>2035</v>
      </c>
      <c r="D1918" s="7"/>
      <c r="E1918" s="8">
        <v>3.5651622999999999</v>
      </c>
      <c r="F1918" s="8">
        <v>2.4035638399999999</v>
      </c>
      <c r="G1918" s="7" t="str">
        <f t="shared" si="13"/>
        <v>Direct</v>
      </c>
      <c r="H1918" s="7" t="s">
        <v>2036</v>
      </c>
    </row>
    <row r="1919" spans="1:8" x14ac:dyDescent="0.2">
      <c r="A1919" s="5" t="s">
        <v>13</v>
      </c>
      <c r="B1919" s="6" t="s">
        <v>19</v>
      </c>
      <c r="C1919" s="7" t="s">
        <v>2037</v>
      </c>
      <c r="D1919" s="7"/>
      <c r="E1919" s="8">
        <v>-5.9460506999999998</v>
      </c>
      <c r="F1919" s="8">
        <v>-1.7066406999999999</v>
      </c>
      <c r="G1919" s="7" t="str">
        <f t="shared" si="13"/>
        <v>Direct</v>
      </c>
      <c r="H1919" s="7" t="s">
        <v>2038</v>
      </c>
    </row>
    <row r="1920" spans="1:8" x14ac:dyDescent="0.2">
      <c r="A1920" s="5" t="s">
        <v>13</v>
      </c>
      <c r="B1920" s="6" t="s">
        <v>19</v>
      </c>
      <c r="C1920" s="7" t="s">
        <v>2039</v>
      </c>
      <c r="D1920" s="7"/>
      <c r="E1920" s="8">
        <v>1.38573379</v>
      </c>
      <c r="F1920" s="8">
        <v>1.5362275299999999</v>
      </c>
      <c r="G1920" s="7" t="str">
        <f t="shared" si="13"/>
        <v>Direct</v>
      </c>
      <c r="H1920" s="7" t="s">
        <v>2040</v>
      </c>
    </row>
    <row r="1921" spans="1:8" x14ac:dyDescent="0.2">
      <c r="A1921" s="5" t="s">
        <v>13</v>
      </c>
      <c r="B1921" s="6" t="s">
        <v>19</v>
      </c>
      <c r="C1921" s="7" t="s">
        <v>2041</v>
      </c>
      <c r="D1921" s="7"/>
      <c r="E1921" s="8">
        <v>-1.5086042</v>
      </c>
      <c r="F1921" s="8">
        <v>-1.4570921999999999</v>
      </c>
      <c r="G1921" s="7" t="str">
        <f t="shared" si="13"/>
        <v>Direct</v>
      </c>
      <c r="H1921" s="7" t="s">
        <v>2042</v>
      </c>
    </row>
    <row r="1922" spans="1:8" x14ac:dyDescent="0.2">
      <c r="A1922" s="5" t="s">
        <v>13</v>
      </c>
      <c r="B1922" s="6" t="s">
        <v>19</v>
      </c>
      <c r="C1922" s="7" t="s">
        <v>2043</v>
      </c>
      <c r="D1922" s="7"/>
      <c r="E1922" s="8">
        <v>-3.5573421000000001</v>
      </c>
      <c r="F1922" s="8">
        <v>-1.9101756000000001</v>
      </c>
      <c r="G1922" s="7" t="str">
        <f t="shared" si="13"/>
        <v>Direct</v>
      </c>
      <c r="H1922" s="7" t="s">
        <v>172</v>
      </c>
    </row>
    <row r="1923" spans="1:8" x14ac:dyDescent="0.2">
      <c r="A1923" s="5" t="s">
        <v>13</v>
      </c>
      <c r="B1923" s="6" t="s">
        <v>19</v>
      </c>
      <c r="C1923" s="7" t="s">
        <v>2044</v>
      </c>
      <c r="D1923" s="7"/>
      <c r="E1923" s="8">
        <v>-2.7154289</v>
      </c>
      <c r="F1923" s="8">
        <v>-1.9011544</v>
      </c>
      <c r="G1923" s="7" t="str">
        <f t="shared" si="13"/>
        <v>Direct</v>
      </c>
      <c r="H1923" s="7" t="s">
        <v>2045</v>
      </c>
    </row>
    <row r="1924" spans="1:8" x14ac:dyDescent="0.2">
      <c r="A1924" s="5" t="s">
        <v>13</v>
      </c>
      <c r="B1924" s="6" t="s">
        <v>19</v>
      </c>
      <c r="C1924" s="7" t="s">
        <v>2046</v>
      </c>
      <c r="D1924" s="7"/>
      <c r="E1924" s="8">
        <v>-2.0930518999999999</v>
      </c>
      <c r="F1924" s="8">
        <v>-2.3563206999999999</v>
      </c>
      <c r="G1924" s="7" t="str">
        <f t="shared" si="13"/>
        <v>Direct</v>
      </c>
      <c r="H1924" s="7" t="s">
        <v>16</v>
      </c>
    </row>
    <row r="1925" spans="1:8" x14ac:dyDescent="0.2">
      <c r="A1925" s="5" t="s">
        <v>13</v>
      </c>
      <c r="B1925" s="6" t="s">
        <v>19</v>
      </c>
      <c r="C1925" s="7" t="s">
        <v>2047</v>
      </c>
      <c r="D1925" s="7"/>
      <c r="E1925" s="8">
        <v>1.1193432400000001</v>
      </c>
      <c r="F1925" s="8">
        <v>2.1871328600000002</v>
      </c>
      <c r="G1925" s="7" t="str">
        <f t="shared" si="13"/>
        <v>Direct</v>
      </c>
      <c r="H1925" s="7" t="s">
        <v>2048</v>
      </c>
    </row>
    <row r="1926" spans="1:8" x14ac:dyDescent="0.2">
      <c r="A1926" s="5" t="s">
        <v>13</v>
      </c>
      <c r="B1926" s="6" t="s">
        <v>19</v>
      </c>
      <c r="C1926" s="7" t="s">
        <v>2049</v>
      </c>
      <c r="D1926" s="7"/>
      <c r="E1926" s="8">
        <v>-2.7213837999999999</v>
      </c>
      <c r="F1926" s="8">
        <v>-3.8608321000000001</v>
      </c>
      <c r="G1926" s="7" t="str">
        <f t="shared" si="13"/>
        <v>Direct</v>
      </c>
      <c r="H1926" s="7" t="s">
        <v>2050</v>
      </c>
    </row>
    <row r="1927" spans="1:8" x14ac:dyDescent="0.2">
      <c r="A1927" s="5" t="s">
        <v>13</v>
      </c>
      <c r="B1927" s="6" t="s">
        <v>19</v>
      </c>
      <c r="C1927" s="7" t="s">
        <v>2051</v>
      </c>
      <c r="D1927" s="7"/>
      <c r="E1927" s="8">
        <v>1.87497329</v>
      </c>
      <c r="F1927" s="8">
        <v>1.0777436899999999</v>
      </c>
      <c r="G1927" s="7" t="str">
        <f t="shared" si="13"/>
        <v>Direct</v>
      </c>
      <c r="H1927" s="7" t="s">
        <v>16</v>
      </c>
    </row>
    <row r="1928" spans="1:8" x14ac:dyDescent="0.2">
      <c r="A1928" s="5" t="s">
        <v>13</v>
      </c>
      <c r="B1928" s="6" t="s">
        <v>19</v>
      </c>
      <c r="C1928" s="7" t="s">
        <v>2052</v>
      </c>
      <c r="D1928" s="7"/>
      <c r="E1928" s="8">
        <v>-1.6137067</v>
      </c>
      <c r="F1928" s="8">
        <v>-2.0217276000000002</v>
      </c>
      <c r="G1928" s="7" t="str">
        <f t="shared" si="13"/>
        <v>Direct</v>
      </c>
      <c r="H1928" s="7" t="s">
        <v>2053</v>
      </c>
    </row>
    <row r="1929" spans="1:8" x14ac:dyDescent="0.2">
      <c r="A1929" s="5" t="s">
        <v>13</v>
      </c>
      <c r="B1929" s="6" t="s">
        <v>19</v>
      </c>
      <c r="C1929" s="7" t="s">
        <v>2054</v>
      </c>
      <c r="D1929" s="7"/>
      <c r="E1929" s="8">
        <v>1.6062452700000001</v>
      </c>
      <c r="F1929" s="8">
        <v>1.8501128099999999</v>
      </c>
      <c r="G1929" s="7" t="str">
        <f t="shared" si="13"/>
        <v>Direct</v>
      </c>
      <c r="H1929" s="7" t="s">
        <v>2055</v>
      </c>
    </row>
    <row r="1930" spans="1:8" x14ac:dyDescent="0.2">
      <c r="A1930" s="5" t="s">
        <v>13</v>
      </c>
      <c r="B1930" s="6" t="s">
        <v>19</v>
      </c>
      <c r="C1930" s="7" t="s">
        <v>2056</v>
      </c>
      <c r="D1930" s="7"/>
      <c r="E1930" s="8">
        <v>2.2193911499999999</v>
      </c>
      <c r="F1930" s="8">
        <v>1.05264209</v>
      </c>
      <c r="G1930" s="7" t="str">
        <f t="shared" si="13"/>
        <v>Direct</v>
      </c>
      <c r="H1930" s="7" t="s">
        <v>16</v>
      </c>
    </row>
    <row r="1931" spans="1:8" x14ac:dyDescent="0.2">
      <c r="A1931" s="5" t="s">
        <v>13</v>
      </c>
      <c r="B1931" s="6" t="s">
        <v>19</v>
      </c>
      <c r="C1931" s="7" t="s">
        <v>2057</v>
      </c>
      <c r="D1931" s="7"/>
      <c r="E1931" s="8">
        <v>1.23790533</v>
      </c>
      <c r="F1931" s="8">
        <v>2.2134284800000001</v>
      </c>
      <c r="G1931" s="7" t="str">
        <f t="shared" si="13"/>
        <v>Direct</v>
      </c>
      <c r="H1931" s="7" t="s">
        <v>2058</v>
      </c>
    </row>
    <row r="1932" spans="1:8" x14ac:dyDescent="0.2">
      <c r="A1932" s="5" t="s">
        <v>13</v>
      </c>
      <c r="B1932" s="6" t="s">
        <v>19</v>
      </c>
      <c r="C1932" s="7" t="s">
        <v>2059</v>
      </c>
      <c r="D1932" s="7"/>
      <c r="E1932" s="8">
        <v>-1.0136045</v>
      </c>
      <c r="F1932" s="8">
        <v>-1.5101586</v>
      </c>
      <c r="G1932" s="7" t="str">
        <f t="shared" si="13"/>
        <v>Direct</v>
      </c>
      <c r="H1932" s="7" t="s">
        <v>2060</v>
      </c>
    </row>
    <row r="1933" spans="1:8" x14ac:dyDescent="0.2">
      <c r="A1933" s="5" t="s">
        <v>13</v>
      </c>
      <c r="B1933" s="6" t="s">
        <v>19</v>
      </c>
      <c r="C1933" s="7" t="s">
        <v>2061</v>
      </c>
      <c r="D1933" s="7"/>
      <c r="E1933" s="8">
        <v>-2.5027686</v>
      </c>
      <c r="F1933" s="8">
        <v>-2.3991804000000001</v>
      </c>
      <c r="G1933" s="7" t="str">
        <f t="shared" si="13"/>
        <v>Direct</v>
      </c>
      <c r="H1933" s="7" t="s">
        <v>1348</v>
      </c>
    </row>
    <row r="1934" spans="1:8" x14ac:dyDescent="0.2">
      <c r="A1934" s="5" t="s">
        <v>13</v>
      </c>
      <c r="B1934" s="6" t="s">
        <v>19</v>
      </c>
      <c r="C1934" s="7" t="s">
        <v>2062</v>
      </c>
      <c r="D1934" s="7"/>
      <c r="E1934" s="8">
        <v>6.5323156999999998</v>
      </c>
      <c r="F1934" s="8">
        <v>5.7099937599999997</v>
      </c>
      <c r="G1934" s="7" t="str">
        <f t="shared" si="13"/>
        <v>Direct</v>
      </c>
      <c r="H1934" s="7" t="s">
        <v>16</v>
      </c>
    </row>
    <row r="1935" spans="1:8" x14ac:dyDescent="0.2">
      <c r="A1935" s="5" t="s">
        <v>13</v>
      </c>
      <c r="B1935" s="6" t="s">
        <v>19</v>
      </c>
      <c r="C1935" s="7" t="s">
        <v>2063</v>
      </c>
      <c r="D1935" s="7"/>
      <c r="E1935" s="8">
        <v>-1.8960094000000001</v>
      </c>
      <c r="F1935" s="8">
        <v>-1.8633123</v>
      </c>
      <c r="G1935" s="7" t="str">
        <f t="shared" si="13"/>
        <v>Direct</v>
      </c>
      <c r="H1935" s="7" t="s">
        <v>2064</v>
      </c>
    </row>
    <row r="1936" spans="1:8" x14ac:dyDescent="0.2">
      <c r="A1936" s="5" t="s">
        <v>13</v>
      </c>
      <c r="B1936" s="6" t="s">
        <v>19</v>
      </c>
      <c r="C1936" s="7" t="s">
        <v>2065</v>
      </c>
      <c r="D1936" s="7"/>
      <c r="E1936" s="8">
        <v>1.1293549199999999</v>
      </c>
      <c r="F1936" s="8">
        <v>2.70262878</v>
      </c>
      <c r="G1936" s="7" t="str">
        <f t="shared" si="13"/>
        <v>Direct</v>
      </c>
      <c r="H1936" s="7" t="s">
        <v>16</v>
      </c>
    </row>
    <row r="1937" spans="1:8" x14ac:dyDescent="0.2">
      <c r="A1937" s="5" t="s">
        <v>13</v>
      </c>
      <c r="B1937" s="6" t="s">
        <v>19</v>
      </c>
      <c r="C1937" s="7" t="s">
        <v>2066</v>
      </c>
      <c r="D1937" s="7"/>
      <c r="E1937" s="8">
        <v>-1.6451427000000001</v>
      </c>
      <c r="F1937" s="8">
        <v>-1.0969628</v>
      </c>
      <c r="G1937" s="7" t="str">
        <f t="shared" si="13"/>
        <v>Direct</v>
      </c>
      <c r="H1937" s="7" t="s">
        <v>2067</v>
      </c>
    </row>
    <row r="1938" spans="1:8" x14ac:dyDescent="0.2">
      <c r="A1938" s="5" t="s">
        <v>13</v>
      </c>
      <c r="B1938" s="6" t="s">
        <v>19</v>
      </c>
      <c r="C1938" s="7" t="s">
        <v>2068</v>
      </c>
      <c r="D1938" s="7"/>
      <c r="E1938" s="8">
        <v>-1.8453828000000001</v>
      </c>
      <c r="F1938" s="8">
        <v>-1.6584227</v>
      </c>
      <c r="G1938" s="7" t="str">
        <f t="shared" si="13"/>
        <v>Direct</v>
      </c>
      <c r="H1938" s="7" t="s">
        <v>2069</v>
      </c>
    </row>
    <row r="1939" spans="1:8" x14ac:dyDescent="0.2">
      <c r="A1939" s="5" t="s">
        <v>13</v>
      </c>
      <c r="B1939" s="6" t="s">
        <v>19</v>
      </c>
      <c r="C1939" s="7" t="s">
        <v>319</v>
      </c>
      <c r="D1939" s="7"/>
      <c r="E1939" s="8">
        <v>-1.7750394</v>
      </c>
      <c r="F1939" s="8">
        <v>-3.0929649000000001</v>
      </c>
      <c r="G1939" s="7" t="str">
        <f t="shared" si="13"/>
        <v>Direct</v>
      </c>
      <c r="H1939" s="7" t="s">
        <v>16</v>
      </c>
    </row>
    <row r="1940" spans="1:8" x14ac:dyDescent="0.2">
      <c r="A1940" s="5" t="s">
        <v>13</v>
      </c>
      <c r="B1940" s="6" t="s">
        <v>19</v>
      </c>
      <c r="C1940" s="7" t="s">
        <v>2070</v>
      </c>
      <c r="D1940" s="7"/>
      <c r="E1940" s="8">
        <v>-1.9040087000000001</v>
      </c>
      <c r="F1940" s="8">
        <v>-1.0509042</v>
      </c>
      <c r="G1940" s="7" t="str">
        <f t="shared" si="13"/>
        <v>Direct</v>
      </c>
      <c r="H1940" s="7" t="s">
        <v>2071</v>
      </c>
    </row>
    <row r="1941" spans="1:8" x14ac:dyDescent="0.2">
      <c r="A1941" s="5" t="s">
        <v>13</v>
      </c>
      <c r="B1941" s="6" t="s">
        <v>19</v>
      </c>
      <c r="C1941" s="7" t="s">
        <v>2072</v>
      </c>
      <c r="D1941" s="7"/>
      <c r="E1941" s="8">
        <v>-1.6382582999999999</v>
      </c>
      <c r="F1941" s="8">
        <v>-2.0477740999999998</v>
      </c>
      <c r="G1941" s="7" t="str">
        <f t="shared" si="13"/>
        <v>Direct</v>
      </c>
      <c r="H1941" s="7" t="s">
        <v>16</v>
      </c>
    </row>
    <row r="1942" spans="1:8" x14ac:dyDescent="0.2">
      <c r="A1942" s="5" t="s">
        <v>13</v>
      </c>
      <c r="B1942" s="6" t="s">
        <v>19</v>
      </c>
      <c r="C1942" s="7" t="s">
        <v>2073</v>
      </c>
      <c r="D1942" s="7"/>
      <c r="E1942" s="8">
        <v>1.6700870699999999</v>
      </c>
      <c r="F1942" s="8">
        <v>2.4936718400000002</v>
      </c>
      <c r="G1942" s="7" t="str">
        <f t="shared" si="13"/>
        <v>Direct</v>
      </c>
      <c r="H1942" s="7" t="s">
        <v>333</v>
      </c>
    </row>
    <row r="1943" spans="1:8" x14ac:dyDescent="0.2">
      <c r="A1943" s="5" t="s">
        <v>13</v>
      </c>
      <c r="B1943" s="6" t="s">
        <v>19</v>
      </c>
      <c r="C1943" s="7" t="s">
        <v>320</v>
      </c>
      <c r="D1943" s="7"/>
      <c r="E1943" s="8">
        <v>-4.1238365000000003</v>
      </c>
      <c r="F1943" s="8">
        <v>-6.9626174000000001</v>
      </c>
      <c r="G1943" s="7" t="str">
        <f t="shared" si="13"/>
        <v>Direct</v>
      </c>
      <c r="H1943" s="7" t="s">
        <v>321</v>
      </c>
    </row>
    <row r="1944" spans="1:8" x14ac:dyDescent="0.2">
      <c r="A1944" s="5" t="s">
        <v>13</v>
      </c>
      <c r="B1944" s="6" t="s">
        <v>19</v>
      </c>
      <c r="C1944" s="7" t="s">
        <v>2074</v>
      </c>
      <c r="D1944" s="7"/>
      <c r="E1944" s="8">
        <v>1.4360031900000001</v>
      </c>
      <c r="F1944" s="8">
        <v>1.8228641400000001</v>
      </c>
      <c r="G1944" s="7" t="str">
        <f t="shared" si="13"/>
        <v>Direct</v>
      </c>
      <c r="H1944" s="7" t="s">
        <v>2075</v>
      </c>
    </row>
    <row r="1945" spans="1:8" x14ac:dyDescent="0.2">
      <c r="A1945" s="5" t="s">
        <v>13</v>
      </c>
      <c r="B1945" s="6" t="s">
        <v>19</v>
      </c>
      <c r="C1945" s="7" t="s">
        <v>2076</v>
      </c>
      <c r="D1945" s="7"/>
      <c r="E1945" s="8">
        <v>1.57366484</v>
      </c>
      <c r="F1945" s="8">
        <v>1.57974061</v>
      </c>
      <c r="G1945" s="7" t="str">
        <f t="shared" si="13"/>
        <v>Direct</v>
      </c>
      <c r="H1945" s="7" t="s">
        <v>2077</v>
      </c>
    </row>
    <row r="1946" spans="1:8" x14ac:dyDescent="0.2">
      <c r="A1946" s="5" t="s">
        <v>13</v>
      </c>
      <c r="B1946" s="6" t="s">
        <v>19</v>
      </c>
      <c r="C1946" s="7" t="s">
        <v>2078</v>
      </c>
      <c r="D1946" s="7"/>
      <c r="E1946" s="8">
        <v>4.1127190799999997</v>
      </c>
      <c r="F1946" s="8">
        <v>2.6959467300000002</v>
      </c>
      <c r="G1946" s="7" t="str">
        <f t="shared" si="13"/>
        <v>Direct</v>
      </c>
      <c r="H1946" s="7" t="s">
        <v>16</v>
      </c>
    </row>
    <row r="1947" spans="1:8" x14ac:dyDescent="0.2">
      <c r="A1947" s="5" t="s">
        <v>13</v>
      </c>
      <c r="B1947" s="6" t="s">
        <v>19</v>
      </c>
      <c r="C1947" s="7" t="s">
        <v>322</v>
      </c>
      <c r="D1947" s="7"/>
      <c r="E1947" s="8">
        <v>-2.8133127999999998</v>
      </c>
      <c r="F1947" s="8">
        <v>-2.2736776000000001</v>
      </c>
      <c r="G1947" s="7" t="str">
        <f t="shared" si="13"/>
        <v>Direct</v>
      </c>
      <c r="H1947" s="7" t="s">
        <v>323</v>
      </c>
    </row>
    <row r="1948" spans="1:8" x14ac:dyDescent="0.2">
      <c r="A1948" s="5" t="s">
        <v>13</v>
      </c>
      <c r="B1948" s="6" t="s">
        <v>19</v>
      </c>
      <c r="C1948" s="7" t="s">
        <v>2079</v>
      </c>
      <c r="D1948" s="7"/>
      <c r="E1948" s="8">
        <v>2.3068215099999998</v>
      </c>
      <c r="F1948" s="8">
        <v>1.3110971499999999</v>
      </c>
      <c r="G1948" s="7" t="str">
        <f t="shared" si="13"/>
        <v>Direct</v>
      </c>
      <c r="H1948" s="7" t="s">
        <v>16</v>
      </c>
    </row>
    <row r="1949" spans="1:8" x14ac:dyDescent="0.2">
      <c r="A1949" s="5" t="s">
        <v>13</v>
      </c>
      <c r="B1949" s="6" t="s">
        <v>19</v>
      </c>
      <c r="C1949" s="7" t="s">
        <v>2080</v>
      </c>
      <c r="D1949" s="7"/>
      <c r="E1949" s="8">
        <v>-2.1808396000000001</v>
      </c>
      <c r="F1949" s="8">
        <v>-2.0833181000000001</v>
      </c>
      <c r="G1949" s="7" t="str">
        <f t="shared" si="13"/>
        <v>Direct</v>
      </c>
      <c r="H1949" s="7" t="s">
        <v>16</v>
      </c>
    </row>
    <row r="1950" spans="1:8" x14ac:dyDescent="0.2">
      <c r="A1950" s="5" t="s">
        <v>13</v>
      </c>
      <c r="B1950" s="6" t="s">
        <v>19</v>
      </c>
      <c r="C1950" s="7" t="s">
        <v>2081</v>
      </c>
      <c r="D1950" s="7"/>
      <c r="E1950" s="8">
        <v>2.1716455799999999</v>
      </c>
      <c r="F1950" s="8">
        <v>1.32569293</v>
      </c>
      <c r="G1950" s="7" t="str">
        <f t="shared" si="13"/>
        <v>Direct</v>
      </c>
      <c r="H1950" s="7" t="s">
        <v>2082</v>
      </c>
    </row>
    <row r="1951" spans="1:8" x14ac:dyDescent="0.2">
      <c r="A1951" s="5" t="s">
        <v>13</v>
      </c>
      <c r="B1951" s="6" t="s">
        <v>19</v>
      </c>
      <c r="C1951" s="7" t="s">
        <v>326</v>
      </c>
      <c r="D1951" s="7"/>
      <c r="E1951" s="8">
        <v>-1.8831499</v>
      </c>
      <c r="F1951" s="8">
        <v>-2.0840926</v>
      </c>
      <c r="G1951" s="7" t="str">
        <f t="shared" si="13"/>
        <v>Direct</v>
      </c>
      <c r="H1951" s="7" t="s">
        <v>16</v>
      </c>
    </row>
    <row r="1952" spans="1:8" x14ac:dyDescent="0.2">
      <c r="A1952" s="5" t="s">
        <v>13</v>
      </c>
      <c r="B1952" s="6" t="s">
        <v>19</v>
      </c>
      <c r="C1952" s="7" t="s">
        <v>2083</v>
      </c>
      <c r="D1952" s="7"/>
      <c r="E1952" s="8">
        <v>-5.5288168999999998</v>
      </c>
      <c r="F1952" s="8">
        <v>-4.6051307000000001</v>
      </c>
      <c r="G1952" s="7" t="str">
        <f t="shared" si="13"/>
        <v>Direct</v>
      </c>
      <c r="H1952" s="7" t="s">
        <v>349</v>
      </c>
    </row>
    <row r="1953" spans="1:8" x14ac:dyDescent="0.2">
      <c r="A1953" s="5" t="s">
        <v>13</v>
      </c>
      <c r="B1953" s="6" t="s">
        <v>19</v>
      </c>
      <c r="C1953" s="7" t="s">
        <v>2084</v>
      </c>
      <c r="D1953" s="7"/>
      <c r="E1953" s="8">
        <v>-2.4069134000000001</v>
      </c>
      <c r="F1953" s="8">
        <v>-2.1807503000000001</v>
      </c>
      <c r="G1953" s="7" t="str">
        <f t="shared" si="13"/>
        <v>Direct</v>
      </c>
      <c r="H1953" s="7" t="s">
        <v>2085</v>
      </c>
    </row>
    <row r="1954" spans="1:8" x14ac:dyDescent="0.2">
      <c r="A1954" s="5" t="s">
        <v>13</v>
      </c>
      <c r="B1954" s="6" t="s">
        <v>19</v>
      </c>
      <c r="C1954" s="7" t="s">
        <v>2086</v>
      </c>
      <c r="D1954" s="7"/>
      <c r="E1954" s="8">
        <v>1.5366096600000001</v>
      </c>
      <c r="F1954" s="8">
        <v>1.1949990800000001</v>
      </c>
      <c r="G1954" s="7" t="str">
        <f t="shared" si="13"/>
        <v>Direct</v>
      </c>
      <c r="H1954" s="7" t="s">
        <v>2087</v>
      </c>
    </row>
    <row r="1955" spans="1:8" x14ac:dyDescent="0.2">
      <c r="A1955" s="5" t="s">
        <v>13</v>
      </c>
      <c r="B1955" s="6" t="s">
        <v>19</v>
      </c>
      <c r="C1955" s="7" t="s">
        <v>2088</v>
      </c>
      <c r="D1955" s="7"/>
      <c r="E1955" s="8">
        <v>2.09305188</v>
      </c>
      <c r="F1955" s="8">
        <v>1.76877748</v>
      </c>
      <c r="G1955" s="7" t="str">
        <f t="shared" si="13"/>
        <v>Direct</v>
      </c>
      <c r="H1955" s="7" t="s">
        <v>16</v>
      </c>
    </row>
    <row r="1956" spans="1:8" x14ac:dyDescent="0.2">
      <c r="A1956" s="5" t="s">
        <v>13</v>
      </c>
      <c r="B1956" s="6" t="s">
        <v>19</v>
      </c>
      <c r="C1956" s="7" t="s">
        <v>2089</v>
      </c>
      <c r="D1956" s="7"/>
      <c r="E1956" s="8">
        <v>-1.1027815000000001</v>
      </c>
      <c r="F1956" s="8">
        <v>-1.29739</v>
      </c>
      <c r="G1956" s="7" t="str">
        <f t="shared" si="13"/>
        <v>Direct</v>
      </c>
      <c r="H1956" s="7" t="s">
        <v>2090</v>
      </c>
    </row>
    <row r="1957" spans="1:8" x14ac:dyDescent="0.2">
      <c r="A1957" s="5" t="s">
        <v>13</v>
      </c>
      <c r="B1957" s="6" t="s">
        <v>19</v>
      </c>
      <c r="C1957" s="7" t="s">
        <v>2091</v>
      </c>
      <c r="D1957" s="7"/>
      <c r="E1957" s="8">
        <v>-3.0848974999999998</v>
      </c>
      <c r="F1957" s="8">
        <v>-4.4174265999999998</v>
      </c>
      <c r="G1957" s="7" t="str">
        <f t="shared" si="13"/>
        <v>Direct</v>
      </c>
      <c r="H1957" s="7" t="s">
        <v>16</v>
      </c>
    </row>
    <row r="1958" spans="1:8" x14ac:dyDescent="0.2">
      <c r="A1958" s="5" t="s">
        <v>13</v>
      </c>
      <c r="B1958" s="6" t="s">
        <v>19</v>
      </c>
      <c r="C1958" s="7" t="s">
        <v>2092</v>
      </c>
      <c r="D1958" s="7"/>
      <c r="E1958" s="8">
        <v>2.9482763300000001</v>
      </c>
      <c r="F1958" s="8">
        <v>1.6240248399999999</v>
      </c>
      <c r="G1958" s="7" t="str">
        <f t="shared" si="13"/>
        <v>Direct</v>
      </c>
      <c r="H1958" s="7" t="s">
        <v>2093</v>
      </c>
    </row>
    <row r="1959" spans="1:8" x14ac:dyDescent="0.2">
      <c r="A1959" s="5" t="s">
        <v>13</v>
      </c>
      <c r="B1959" s="6" t="s">
        <v>19</v>
      </c>
      <c r="C1959" s="7" t="s">
        <v>2094</v>
      </c>
      <c r="D1959" s="7"/>
      <c r="E1959" s="8">
        <v>9.9479958699999997</v>
      </c>
      <c r="F1959" s="8">
        <v>8.5616012599999998</v>
      </c>
      <c r="G1959" s="7" t="str">
        <f t="shared" si="13"/>
        <v>Direct</v>
      </c>
      <c r="H1959" s="7" t="s">
        <v>2095</v>
      </c>
    </row>
    <row r="1960" spans="1:8" x14ac:dyDescent="0.2">
      <c r="A1960" s="5" t="s">
        <v>13</v>
      </c>
      <c r="B1960" s="6" t="s">
        <v>19</v>
      </c>
      <c r="C1960" s="7" t="s">
        <v>2096</v>
      </c>
      <c r="D1960" s="7"/>
      <c r="E1960" s="8">
        <v>1.6157943800000001</v>
      </c>
      <c r="F1960" s="8">
        <v>1.5189690600000001</v>
      </c>
      <c r="G1960" s="7" t="str">
        <f t="shared" si="13"/>
        <v>Direct</v>
      </c>
      <c r="H1960" s="7" t="s">
        <v>1216</v>
      </c>
    </row>
    <row r="1961" spans="1:8" x14ac:dyDescent="0.2">
      <c r="A1961" s="5" t="s">
        <v>13</v>
      </c>
      <c r="B1961" s="6" t="s">
        <v>19</v>
      </c>
      <c r="C1961" s="7" t="s">
        <v>2097</v>
      </c>
      <c r="D1961" s="7"/>
      <c r="E1961" s="8">
        <v>-1.0358428</v>
      </c>
      <c r="F1961" s="8">
        <v>-1.1173846000000001</v>
      </c>
      <c r="G1961" s="7" t="str">
        <f t="shared" si="13"/>
        <v>Direct</v>
      </c>
      <c r="H1961" s="7" t="s">
        <v>16</v>
      </c>
    </row>
    <row r="1962" spans="1:8" x14ac:dyDescent="0.2">
      <c r="A1962" s="5" t="s">
        <v>13</v>
      </c>
      <c r="B1962" s="6" t="s">
        <v>19</v>
      </c>
      <c r="C1962" s="7" t="s">
        <v>2098</v>
      </c>
      <c r="D1962" s="7"/>
      <c r="E1962" s="8">
        <v>-2.7146913000000001</v>
      </c>
      <c r="F1962" s="8">
        <v>-2.6358022999999999</v>
      </c>
      <c r="G1962" s="7" t="str">
        <f t="shared" si="13"/>
        <v>Direct</v>
      </c>
      <c r="H1962" s="7" t="s">
        <v>2099</v>
      </c>
    </row>
    <row r="1963" spans="1:8" x14ac:dyDescent="0.2">
      <c r="A1963" s="5" t="s">
        <v>13</v>
      </c>
      <c r="B1963" s="6" t="s">
        <v>19</v>
      </c>
      <c r="C1963" s="7" t="s">
        <v>2100</v>
      </c>
      <c r="D1963" s="7"/>
      <c r="E1963" s="8">
        <v>1.4071293499999999</v>
      </c>
      <c r="F1963" s="8">
        <v>1.7234409399999999</v>
      </c>
      <c r="G1963" s="7" t="str">
        <f t="shared" si="13"/>
        <v>Direct</v>
      </c>
      <c r="H1963" s="7" t="s">
        <v>16</v>
      </c>
    </row>
    <row r="1964" spans="1:8" x14ac:dyDescent="0.2">
      <c r="A1964" s="5" t="s">
        <v>13</v>
      </c>
      <c r="B1964" s="6" t="s">
        <v>19</v>
      </c>
      <c r="C1964" s="7" t="s">
        <v>2101</v>
      </c>
      <c r="D1964" s="7"/>
      <c r="E1964" s="8">
        <v>2.5341509699999998</v>
      </c>
      <c r="F1964" s="8">
        <v>1.4043321600000001</v>
      </c>
      <c r="G1964" s="7" t="str">
        <f t="shared" si="13"/>
        <v>Direct</v>
      </c>
      <c r="H1964" s="7" t="s">
        <v>2102</v>
      </c>
    </row>
    <row r="1965" spans="1:8" x14ac:dyDescent="0.2">
      <c r="A1965" s="5" t="s">
        <v>13</v>
      </c>
      <c r="B1965" s="6" t="s">
        <v>19</v>
      </c>
      <c r="C1965" s="7" t="s">
        <v>2103</v>
      </c>
      <c r="D1965" s="7"/>
      <c r="E1965" s="8">
        <v>-1.7314503999999999</v>
      </c>
      <c r="F1965" s="8">
        <v>-2.4490588999999998</v>
      </c>
      <c r="G1965" s="7" t="str">
        <f t="shared" si="13"/>
        <v>Direct</v>
      </c>
      <c r="H1965" s="7" t="s">
        <v>2104</v>
      </c>
    </row>
    <row r="1966" spans="1:8" x14ac:dyDescent="0.2">
      <c r="A1966" s="5" t="s">
        <v>13</v>
      </c>
      <c r="B1966" s="6" t="s">
        <v>19</v>
      </c>
      <c r="C1966" s="7" t="s">
        <v>2105</v>
      </c>
      <c r="D1966" s="7"/>
      <c r="E1966" s="8">
        <v>-1.5198434000000001</v>
      </c>
      <c r="F1966" s="8">
        <v>-1.1586075</v>
      </c>
      <c r="G1966" s="7" t="str">
        <f t="shared" si="13"/>
        <v>Direct</v>
      </c>
      <c r="H1966" s="7" t="s">
        <v>16</v>
      </c>
    </row>
    <row r="1967" spans="1:8" x14ac:dyDescent="0.2">
      <c r="A1967" s="5" t="s">
        <v>13</v>
      </c>
      <c r="B1967" s="6" t="s">
        <v>19</v>
      </c>
      <c r="C1967" s="7" t="s">
        <v>2106</v>
      </c>
      <c r="D1967" s="7"/>
      <c r="E1967" s="8">
        <v>1.5867818899999999</v>
      </c>
      <c r="F1967" s="8">
        <v>1.5753047099999999</v>
      </c>
      <c r="G1967" s="7" t="str">
        <f t="shared" si="13"/>
        <v>Direct</v>
      </c>
      <c r="H1967" s="7" t="s">
        <v>16</v>
      </c>
    </row>
    <row r="1968" spans="1:8" x14ac:dyDescent="0.2">
      <c r="A1968" s="5" t="s">
        <v>13</v>
      </c>
      <c r="B1968" s="6" t="s">
        <v>19</v>
      </c>
      <c r="C1968" s="7" t="s">
        <v>2107</v>
      </c>
      <c r="D1968" s="7"/>
      <c r="E1968" s="8">
        <v>-3.1908310000000002</v>
      </c>
      <c r="F1968" s="8">
        <v>-1.8292908999999999</v>
      </c>
      <c r="G1968" s="7" t="str">
        <f t="shared" si="13"/>
        <v>Direct</v>
      </c>
      <c r="H1968" s="7" t="s">
        <v>2108</v>
      </c>
    </row>
    <row r="1969" spans="1:8" x14ac:dyDescent="0.2">
      <c r="A1969" s="5" t="s">
        <v>13</v>
      </c>
      <c r="B1969" s="6" t="s">
        <v>19</v>
      </c>
      <c r="C1969" s="7" t="s">
        <v>2109</v>
      </c>
      <c r="D1969" s="7"/>
      <c r="E1969" s="8">
        <v>-4.3948469000000001</v>
      </c>
      <c r="F1969" s="8">
        <v>-2.5393840000000001</v>
      </c>
      <c r="G1969" s="7" t="str">
        <f t="shared" si="13"/>
        <v>Direct</v>
      </c>
      <c r="H1969" s="7" t="s">
        <v>2110</v>
      </c>
    </row>
    <row r="1970" spans="1:8" x14ac:dyDescent="0.2">
      <c r="A1970" s="5" t="s">
        <v>13</v>
      </c>
      <c r="B1970" s="6" t="s">
        <v>19</v>
      </c>
      <c r="C1970" s="7" t="s">
        <v>327</v>
      </c>
      <c r="D1970" s="7"/>
      <c r="E1970" s="8">
        <v>-2.7907993000000002</v>
      </c>
      <c r="F1970" s="8">
        <v>-2.1051313999999999</v>
      </c>
      <c r="G1970" s="7" t="str">
        <f t="shared" si="13"/>
        <v>Direct</v>
      </c>
      <c r="H1970" s="7" t="s">
        <v>328</v>
      </c>
    </row>
    <row r="1971" spans="1:8" x14ac:dyDescent="0.2">
      <c r="A1971" s="5" t="s">
        <v>13</v>
      </c>
      <c r="B1971" s="6" t="s">
        <v>19</v>
      </c>
      <c r="C1971" s="7" t="s">
        <v>2111</v>
      </c>
      <c r="D1971" s="7"/>
      <c r="E1971" s="8">
        <v>-2.9783727</v>
      </c>
      <c r="F1971" s="8">
        <v>-2.9352504000000001</v>
      </c>
      <c r="G1971" s="7" t="str">
        <f t="shared" si="13"/>
        <v>Direct</v>
      </c>
      <c r="H1971" s="7" t="s">
        <v>916</v>
      </c>
    </row>
    <row r="1972" spans="1:8" x14ac:dyDescent="0.2">
      <c r="A1972" s="5" t="s">
        <v>13</v>
      </c>
      <c r="B1972" s="6" t="s">
        <v>19</v>
      </c>
      <c r="C1972" s="7" t="s">
        <v>2112</v>
      </c>
      <c r="D1972" s="7"/>
      <c r="E1972" s="8">
        <v>4.5028882000000001</v>
      </c>
      <c r="F1972" s="8">
        <v>2.2179174800000001</v>
      </c>
      <c r="G1972" s="7" t="str">
        <f t="shared" si="13"/>
        <v>Direct</v>
      </c>
      <c r="H1972" s="7" t="s">
        <v>16</v>
      </c>
    </row>
    <row r="1973" spans="1:8" x14ac:dyDescent="0.2">
      <c r="A1973" s="5" t="s">
        <v>13</v>
      </c>
      <c r="B1973" s="6" t="s">
        <v>19</v>
      </c>
      <c r="C1973" s="7" t="s">
        <v>2113</v>
      </c>
      <c r="D1973" s="7"/>
      <c r="E1973" s="8">
        <v>-2.7506292000000001</v>
      </c>
      <c r="F1973" s="8">
        <v>-2.4159427</v>
      </c>
      <c r="G1973" s="7" t="str">
        <f t="shared" si="13"/>
        <v>Direct</v>
      </c>
      <c r="H1973" s="7" t="s">
        <v>2114</v>
      </c>
    </row>
    <row r="1974" spans="1:8" x14ac:dyDescent="0.2">
      <c r="A1974" s="5" t="s">
        <v>13</v>
      </c>
      <c r="B1974" s="6" t="s">
        <v>19</v>
      </c>
      <c r="C1974" s="7" t="s">
        <v>2115</v>
      </c>
      <c r="D1974" s="7"/>
      <c r="E1974" s="8">
        <v>-1.6157306</v>
      </c>
      <c r="F1974" s="8">
        <v>-1.1752762999999999</v>
      </c>
      <c r="G1974" s="7" t="str">
        <f t="shared" si="13"/>
        <v>Direct</v>
      </c>
      <c r="H1974" s="7" t="s">
        <v>2116</v>
      </c>
    </row>
    <row r="1975" spans="1:8" x14ac:dyDescent="0.2">
      <c r="A1975" s="5" t="s">
        <v>13</v>
      </c>
      <c r="B1975" s="6" t="s">
        <v>19</v>
      </c>
      <c r="C1975" s="7" t="s">
        <v>2117</v>
      </c>
      <c r="D1975" s="7"/>
      <c r="E1975" s="8">
        <v>-2.4736392</v>
      </c>
      <c r="F1975" s="8">
        <v>-2.242359</v>
      </c>
      <c r="G1975" s="7" t="str">
        <f t="shared" si="13"/>
        <v>Direct</v>
      </c>
      <c r="H1975" s="7" t="s">
        <v>2118</v>
      </c>
    </row>
    <row r="1976" spans="1:8" x14ac:dyDescent="0.2">
      <c r="A1976" s="5" t="s">
        <v>13</v>
      </c>
      <c r="B1976" s="6" t="s">
        <v>19</v>
      </c>
      <c r="C1976" s="7" t="s">
        <v>329</v>
      </c>
      <c r="D1976" s="7"/>
      <c r="E1976" s="8">
        <v>-2.4480936</v>
      </c>
      <c r="F1976" s="8">
        <v>-2.0518366000000001</v>
      </c>
      <c r="G1976" s="7" t="str">
        <f t="shared" si="13"/>
        <v>Direct</v>
      </c>
      <c r="H1976" s="7" t="s">
        <v>16</v>
      </c>
    </row>
    <row r="1977" spans="1:8" x14ac:dyDescent="0.2">
      <c r="A1977" s="5" t="s">
        <v>13</v>
      </c>
      <c r="B1977" s="6" t="s">
        <v>19</v>
      </c>
      <c r="C1977" s="7" t="s">
        <v>2119</v>
      </c>
      <c r="D1977" s="7"/>
      <c r="E1977" s="8">
        <v>1.57624483</v>
      </c>
      <c r="F1977" s="8">
        <v>3.0162941999999999</v>
      </c>
      <c r="G1977" s="7" t="str">
        <f t="shared" si="13"/>
        <v>Direct</v>
      </c>
      <c r="H1977" s="7" t="s">
        <v>16</v>
      </c>
    </row>
    <row r="1978" spans="1:8" x14ac:dyDescent="0.2">
      <c r="A1978" s="5" t="s">
        <v>13</v>
      </c>
      <c r="B1978" s="6" t="s">
        <v>19</v>
      </c>
      <c r="C1978" s="7" t="s">
        <v>2120</v>
      </c>
      <c r="D1978" s="7"/>
      <c r="E1978" s="8">
        <v>-2.6374094000000001</v>
      </c>
      <c r="F1978" s="8">
        <v>-1.2889919999999999</v>
      </c>
      <c r="G1978" s="7" t="str">
        <f t="shared" si="13"/>
        <v>Direct</v>
      </c>
      <c r="H1978" s="7" t="s">
        <v>2121</v>
      </c>
    </row>
    <row r="1979" spans="1:8" x14ac:dyDescent="0.2">
      <c r="A1979" s="5" t="s">
        <v>13</v>
      </c>
      <c r="B1979" s="6" t="s">
        <v>19</v>
      </c>
      <c r="C1979" s="7" t="s">
        <v>2122</v>
      </c>
      <c r="D1979" s="7"/>
      <c r="E1979" s="8">
        <v>-6.5201409999999997</v>
      </c>
      <c r="F1979" s="8">
        <v>-3.9231310000000001</v>
      </c>
      <c r="G1979" s="7" t="str">
        <f t="shared" si="13"/>
        <v>Direct</v>
      </c>
      <c r="H1979" s="7" t="s">
        <v>2123</v>
      </c>
    </row>
    <row r="1980" spans="1:8" x14ac:dyDescent="0.2">
      <c r="A1980" s="5" t="s">
        <v>13</v>
      </c>
      <c r="B1980" s="6" t="s">
        <v>19</v>
      </c>
      <c r="C1980" s="7" t="s">
        <v>2124</v>
      </c>
      <c r="D1980" s="7"/>
      <c r="E1980" s="8">
        <v>-1.2101375000000001</v>
      </c>
      <c r="F1980" s="8">
        <v>-1.2709809999999999</v>
      </c>
      <c r="G1980" s="7" t="str">
        <f t="shared" si="13"/>
        <v>Direct</v>
      </c>
      <c r="H1980" s="7" t="s">
        <v>2125</v>
      </c>
    </row>
    <row r="1981" spans="1:8" x14ac:dyDescent="0.2">
      <c r="A1981" s="5" t="s">
        <v>13</v>
      </c>
      <c r="B1981" s="6" t="s">
        <v>19</v>
      </c>
      <c r="C1981" s="7" t="s">
        <v>2126</v>
      </c>
      <c r="D1981" s="7"/>
      <c r="E1981" s="8">
        <v>-1.5211716</v>
      </c>
      <c r="F1981" s="8">
        <v>-1.0126945000000001</v>
      </c>
      <c r="G1981" s="7" t="str">
        <f t="shared" si="13"/>
        <v>Direct</v>
      </c>
      <c r="H1981" s="7" t="s">
        <v>2127</v>
      </c>
    </row>
    <row r="1982" spans="1:8" x14ac:dyDescent="0.2">
      <c r="A1982" s="5" t="s">
        <v>13</v>
      </c>
      <c r="B1982" s="6" t="s">
        <v>19</v>
      </c>
      <c r="C1982" s="7" t="s">
        <v>2128</v>
      </c>
      <c r="D1982" s="7"/>
      <c r="E1982" s="8">
        <v>1.1112347199999999</v>
      </c>
      <c r="F1982" s="8">
        <v>1.28881633</v>
      </c>
      <c r="G1982" s="7" t="str">
        <f t="shared" si="13"/>
        <v>Direct</v>
      </c>
      <c r="H1982" s="7" t="s">
        <v>16</v>
      </c>
    </row>
    <row r="1983" spans="1:8" x14ac:dyDescent="0.2">
      <c r="A1983" s="5" t="s">
        <v>13</v>
      </c>
      <c r="B1983" s="6" t="s">
        <v>19</v>
      </c>
      <c r="C1983" s="7" t="s">
        <v>2129</v>
      </c>
      <c r="D1983" s="7"/>
      <c r="E1983" s="8">
        <v>-1.9383513000000001</v>
      </c>
      <c r="F1983" s="8">
        <v>-2.0671368999999999</v>
      </c>
      <c r="G1983" s="7" t="str">
        <f t="shared" si="13"/>
        <v>Direct</v>
      </c>
      <c r="H1983" s="7" t="s">
        <v>16</v>
      </c>
    </row>
    <row r="1984" spans="1:8" x14ac:dyDescent="0.2">
      <c r="A1984" s="5" t="s">
        <v>13</v>
      </c>
      <c r="B1984" s="6" t="s">
        <v>19</v>
      </c>
      <c r="C1984" s="7" t="s">
        <v>2130</v>
      </c>
      <c r="D1984" s="7"/>
      <c r="E1984" s="8">
        <v>1.3786644800000001</v>
      </c>
      <c r="F1984" s="8">
        <v>1.36855434</v>
      </c>
      <c r="G1984" s="7" t="str">
        <f t="shared" si="13"/>
        <v>Direct</v>
      </c>
      <c r="H1984" s="7" t="s">
        <v>2131</v>
      </c>
    </row>
    <row r="1985" spans="1:8" x14ac:dyDescent="0.2">
      <c r="A1985" s="5" t="s">
        <v>13</v>
      </c>
      <c r="B1985" s="6" t="s">
        <v>19</v>
      </c>
      <c r="C1985" s="7" t="s">
        <v>2132</v>
      </c>
      <c r="D1985" s="7"/>
      <c r="E1985" s="8">
        <v>-1.5459609000000001</v>
      </c>
      <c r="F1985" s="8">
        <v>-1.2172525999999999</v>
      </c>
      <c r="G1985" s="7" t="str">
        <f t="shared" si="13"/>
        <v>Direct</v>
      </c>
      <c r="H1985" s="7" t="s">
        <v>2133</v>
      </c>
    </row>
    <row r="1986" spans="1:8" x14ac:dyDescent="0.2">
      <c r="A1986" s="5" t="s">
        <v>13</v>
      </c>
      <c r="B1986" s="6" t="s">
        <v>19</v>
      </c>
      <c r="C1986" s="7" t="s">
        <v>2134</v>
      </c>
      <c r="D1986" s="7"/>
      <c r="E1986" s="8">
        <v>-3.5540888000000002</v>
      </c>
      <c r="F1986" s="8">
        <v>-1.7092335999999999</v>
      </c>
      <c r="G1986" s="7" t="str">
        <f t="shared" si="13"/>
        <v>Direct</v>
      </c>
      <c r="H1986" s="7" t="s">
        <v>2135</v>
      </c>
    </row>
    <row r="1987" spans="1:8" x14ac:dyDescent="0.2">
      <c r="A1987" s="5" t="s">
        <v>13</v>
      </c>
      <c r="B1987" s="6" t="s">
        <v>19</v>
      </c>
      <c r="C1987" s="7" t="s">
        <v>2136</v>
      </c>
      <c r="D1987" s="7"/>
      <c r="E1987" s="8">
        <v>2.75342025</v>
      </c>
      <c r="F1987" s="8">
        <v>1.86154771</v>
      </c>
      <c r="G1987" s="7" t="str">
        <f t="shared" si="13"/>
        <v>Direct</v>
      </c>
      <c r="H1987" s="7" t="s">
        <v>2137</v>
      </c>
    </row>
    <row r="1988" spans="1:8" x14ac:dyDescent="0.2">
      <c r="A1988" s="5" t="s">
        <v>13</v>
      </c>
      <c r="B1988" s="6" t="s">
        <v>19</v>
      </c>
      <c r="C1988" s="7" t="s">
        <v>2138</v>
      </c>
      <c r="D1988" s="7"/>
      <c r="E1988" s="8">
        <v>-1.5280332000000001</v>
      </c>
      <c r="F1988" s="8">
        <v>-1.7748325</v>
      </c>
      <c r="G1988" s="7" t="str">
        <f t="shared" si="13"/>
        <v>Direct</v>
      </c>
      <c r="H1988" s="7" t="s">
        <v>2139</v>
      </c>
    </row>
    <row r="1989" spans="1:8" x14ac:dyDescent="0.2">
      <c r="A1989" s="5" t="s">
        <v>13</v>
      </c>
      <c r="B1989" s="6" t="s">
        <v>19</v>
      </c>
      <c r="C1989" s="7" t="s">
        <v>2140</v>
      </c>
      <c r="D1989" s="7"/>
      <c r="E1989" s="8">
        <v>-10.101601</v>
      </c>
      <c r="F1989" s="8">
        <v>-8.7002501999999993</v>
      </c>
      <c r="G1989" s="7" t="str">
        <f t="shared" si="13"/>
        <v>Direct</v>
      </c>
      <c r="H1989" s="7" t="s">
        <v>16</v>
      </c>
    </row>
    <row r="1990" spans="1:8" x14ac:dyDescent="0.2">
      <c r="A1990" s="5" t="s">
        <v>13</v>
      </c>
      <c r="B1990" s="6" t="s">
        <v>19</v>
      </c>
      <c r="C1990" s="7" t="s">
        <v>2141</v>
      </c>
      <c r="D1990" s="7"/>
      <c r="E1990" s="8">
        <v>2.89510559</v>
      </c>
      <c r="F1990" s="8">
        <v>3.44003163</v>
      </c>
      <c r="G1990" s="7" t="str">
        <f t="shared" si="13"/>
        <v>Direct</v>
      </c>
      <c r="H1990" s="7" t="s">
        <v>2142</v>
      </c>
    </row>
    <row r="1991" spans="1:8" x14ac:dyDescent="0.2">
      <c r="A1991" s="5" t="s">
        <v>13</v>
      </c>
      <c r="B1991" s="6" t="s">
        <v>19</v>
      </c>
      <c r="C1991" s="7" t="s">
        <v>2143</v>
      </c>
      <c r="D1991" s="7"/>
      <c r="E1991" s="8">
        <v>-5.4043932999999997</v>
      </c>
      <c r="F1991" s="8">
        <v>-3.9352209999999999</v>
      </c>
      <c r="G1991" s="7" t="str">
        <f t="shared" si="13"/>
        <v>Direct</v>
      </c>
      <c r="H1991" s="7" t="s">
        <v>2144</v>
      </c>
    </row>
    <row r="1992" spans="1:8" x14ac:dyDescent="0.2">
      <c r="A1992" s="5" t="s">
        <v>13</v>
      </c>
      <c r="B1992" s="6" t="s">
        <v>19</v>
      </c>
      <c r="C1992" s="7" t="s">
        <v>2145</v>
      </c>
      <c r="D1992" s="7"/>
      <c r="E1992" s="8">
        <v>-1.7101382000000001</v>
      </c>
      <c r="F1992" s="8">
        <v>-1.005633</v>
      </c>
      <c r="G1992" s="7" t="str">
        <f t="shared" si="13"/>
        <v>Direct</v>
      </c>
      <c r="H1992" s="7" t="s">
        <v>2146</v>
      </c>
    </row>
    <row r="1993" spans="1:8" x14ac:dyDescent="0.2">
      <c r="A1993" s="5" t="s">
        <v>13</v>
      </c>
      <c r="B1993" s="6" t="s">
        <v>19</v>
      </c>
      <c r="C1993" s="7" t="s">
        <v>2147</v>
      </c>
      <c r="D1993" s="7"/>
      <c r="E1993" s="8">
        <v>-1.6011226999999999</v>
      </c>
      <c r="F1993" s="8">
        <v>-2.038656</v>
      </c>
      <c r="G1993" s="7" t="str">
        <f t="shared" ref="G1993:G2247" si="14">IF(OR(AND(E1993&gt;0,F1993&gt;0),AND(E1993&lt;0,F1993&lt;0)),"Direct","Inverse")</f>
        <v>Direct</v>
      </c>
      <c r="H1993" s="7" t="s">
        <v>2148</v>
      </c>
    </row>
    <row r="1994" spans="1:8" x14ac:dyDescent="0.2">
      <c r="A1994" s="5" t="s">
        <v>13</v>
      </c>
      <c r="B1994" s="6" t="s">
        <v>19</v>
      </c>
      <c r="C1994" s="7" t="s">
        <v>330</v>
      </c>
      <c r="D1994" s="7"/>
      <c r="E1994" s="8">
        <v>-2.3958917</v>
      </c>
      <c r="F1994" s="8">
        <v>-3.5067168</v>
      </c>
      <c r="G1994" s="7" t="str">
        <f t="shared" si="14"/>
        <v>Direct</v>
      </c>
      <c r="H1994" s="7" t="s">
        <v>331</v>
      </c>
    </row>
    <row r="1995" spans="1:8" x14ac:dyDescent="0.2">
      <c r="A1995" s="5" t="s">
        <v>13</v>
      </c>
      <c r="B1995" s="6" t="s">
        <v>19</v>
      </c>
      <c r="C1995" s="7" t="s">
        <v>2149</v>
      </c>
      <c r="D1995" s="7"/>
      <c r="E1995" s="8">
        <v>-1.2033601</v>
      </c>
      <c r="F1995" s="8">
        <v>-1.128695</v>
      </c>
      <c r="G1995" s="7" t="str">
        <f t="shared" si="14"/>
        <v>Direct</v>
      </c>
      <c r="H1995" s="7" t="s">
        <v>2150</v>
      </c>
    </row>
    <row r="1996" spans="1:8" x14ac:dyDescent="0.2">
      <c r="A1996" s="5" t="s">
        <v>13</v>
      </c>
      <c r="B1996" s="6" t="s">
        <v>19</v>
      </c>
      <c r="C1996" s="7" t="s">
        <v>2151</v>
      </c>
      <c r="D1996" s="7"/>
      <c r="E1996" s="8">
        <v>-1.0530851999999999</v>
      </c>
      <c r="F1996" s="8">
        <v>-1.3002023</v>
      </c>
      <c r="G1996" s="7" t="str">
        <f t="shared" si="14"/>
        <v>Direct</v>
      </c>
      <c r="H1996" s="7" t="s">
        <v>2152</v>
      </c>
    </row>
    <row r="1997" spans="1:8" x14ac:dyDescent="0.2">
      <c r="A1997" s="5" t="s">
        <v>13</v>
      </c>
      <c r="B1997" s="6" t="s">
        <v>19</v>
      </c>
      <c r="C1997" s="7" t="s">
        <v>2153</v>
      </c>
      <c r="D1997" s="7"/>
      <c r="E1997" s="8">
        <v>-1.8964973000000001</v>
      </c>
      <c r="F1997" s="8">
        <v>-1.2800471</v>
      </c>
      <c r="G1997" s="7" t="str">
        <f t="shared" si="14"/>
        <v>Direct</v>
      </c>
      <c r="H1997" s="7" t="s">
        <v>2022</v>
      </c>
    </row>
    <row r="1998" spans="1:8" x14ac:dyDescent="0.2">
      <c r="A1998" s="5" t="s">
        <v>13</v>
      </c>
      <c r="B1998" s="6" t="s">
        <v>19</v>
      </c>
      <c r="C1998" s="7" t="s">
        <v>2154</v>
      </c>
      <c r="D1998" s="7"/>
      <c r="E1998" s="8">
        <v>-3.7445105999999999</v>
      </c>
      <c r="F1998" s="8">
        <v>-2.7026509000000001</v>
      </c>
      <c r="G1998" s="7" t="str">
        <f t="shared" si="14"/>
        <v>Direct</v>
      </c>
      <c r="H1998" s="7" t="s">
        <v>655</v>
      </c>
    </row>
    <row r="1999" spans="1:8" x14ac:dyDescent="0.2">
      <c r="A1999" s="5" t="s">
        <v>13</v>
      </c>
      <c r="B1999" s="6" t="s">
        <v>19</v>
      </c>
      <c r="C1999" s="7" t="s">
        <v>2155</v>
      </c>
      <c r="D1999" s="7"/>
      <c r="E1999" s="8">
        <v>-1.335486</v>
      </c>
      <c r="F1999" s="8">
        <v>-1.6289886</v>
      </c>
      <c r="G1999" s="7" t="str">
        <f t="shared" si="14"/>
        <v>Direct</v>
      </c>
      <c r="H1999" s="7" t="s">
        <v>2156</v>
      </c>
    </row>
    <row r="2000" spans="1:8" x14ac:dyDescent="0.2">
      <c r="A2000" s="5" t="s">
        <v>13</v>
      </c>
      <c r="B2000" s="6" t="s">
        <v>19</v>
      </c>
      <c r="C2000" s="7" t="s">
        <v>2157</v>
      </c>
      <c r="D2000" s="7"/>
      <c r="E2000" s="8">
        <v>-3.0436358000000001</v>
      </c>
      <c r="F2000" s="8">
        <v>-3.1864775999999999</v>
      </c>
      <c r="G2000" s="7" t="str">
        <f t="shared" si="14"/>
        <v>Direct</v>
      </c>
      <c r="H2000" s="7" t="s">
        <v>2158</v>
      </c>
    </row>
    <row r="2001" spans="1:8" x14ac:dyDescent="0.2">
      <c r="A2001" s="5" t="s">
        <v>13</v>
      </c>
      <c r="B2001" s="6" t="s">
        <v>19</v>
      </c>
      <c r="C2001" s="7" t="s">
        <v>2159</v>
      </c>
      <c r="D2001" s="7"/>
      <c r="E2001" s="8">
        <v>-1.0281020000000001</v>
      </c>
      <c r="F2001" s="8">
        <v>-1.5667365</v>
      </c>
      <c r="G2001" s="7" t="str">
        <f t="shared" si="14"/>
        <v>Direct</v>
      </c>
      <c r="H2001" s="7" t="s">
        <v>2160</v>
      </c>
    </row>
    <row r="2002" spans="1:8" x14ac:dyDescent="0.2">
      <c r="A2002" s="5" t="s">
        <v>13</v>
      </c>
      <c r="B2002" s="6" t="s">
        <v>19</v>
      </c>
      <c r="C2002" s="7" t="s">
        <v>2161</v>
      </c>
      <c r="D2002" s="7"/>
      <c r="E2002" s="8">
        <v>-1.7557255</v>
      </c>
      <c r="F2002" s="8">
        <v>-1.5859546</v>
      </c>
      <c r="G2002" s="7" t="str">
        <f t="shared" si="14"/>
        <v>Direct</v>
      </c>
      <c r="H2002" s="7" t="s">
        <v>2162</v>
      </c>
    </row>
    <row r="2003" spans="1:8" x14ac:dyDescent="0.2">
      <c r="A2003" s="5" t="s">
        <v>13</v>
      </c>
      <c r="B2003" s="6" t="s">
        <v>19</v>
      </c>
      <c r="C2003" s="7" t="s">
        <v>2163</v>
      </c>
      <c r="D2003" s="7"/>
      <c r="E2003" s="8">
        <v>-3.6197978000000002</v>
      </c>
      <c r="F2003" s="8">
        <v>-5.7209493</v>
      </c>
      <c r="G2003" s="7" t="str">
        <f t="shared" si="14"/>
        <v>Direct</v>
      </c>
      <c r="H2003" s="7" t="s">
        <v>2164</v>
      </c>
    </row>
    <row r="2004" spans="1:8" x14ac:dyDescent="0.2">
      <c r="A2004" s="5" t="s">
        <v>13</v>
      </c>
      <c r="B2004" s="6" t="s">
        <v>19</v>
      </c>
      <c r="C2004" s="7" t="s">
        <v>2165</v>
      </c>
      <c r="D2004" s="7"/>
      <c r="E2004" s="8">
        <v>-1.4389479000000001</v>
      </c>
      <c r="F2004" s="8">
        <v>-2.5997176999999998</v>
      </c>
      <c r="G2004" s="7" t="str">
        <f t="shared" si="14"/>
        <v>Direct</v>
      </c>
      <c r="H2004" s="7" t="s">
        <v>2166</v>
      </c>
    </row>
    <row r="2005" spans="1:8" x14ac:dyDescent="0.2">
      <c r="A2005" s="5" t="s">
        <v>13</v>
      </c>
      <c r="B2005" s="6" t="s">
        <v>19</v>
      </c>
      <c r="C2005" s="7" t="s">
        <v>2167</v>
      </c>
      <c r="D2005" s="7"/>
      <c r="E2005" s="8">
        <v>-5.0494583000000004</v>
      </c>
      <c r="F2005" s="8">
        <v>-6.859286</v>
      </c>
      <c r="G2005" s="7" t="str">
        <f t="shared" si="14"/>
        <v>Direct</v>
      </c>
      <c r="H2005" s="7" t="s">
        <v>328</v>
      </c>
    </row>
    <row r="2006" spans="1:8" x14ac:dyDescent="0.2">
      <c r="A2006" s="5" t="s">
        <v>13</v>
      </c>
      <c r="B2006" s="6" t="s">
        <v>19</v>
      </c>
      <c r="C2006" s="7" t="s">
        <v>2168</v>
      </c>
      <c r="D2006" s="7"/>
      <c r="E2006" s="8">
        <v>-1.4254157000000001</v>
      </c>
      <c r="F2006" s="8">
        <v>-3.2706903000000001</v>
      </c>
      <c r="G2006" s="7" t="str">
        <f t="shared" si="14"/>
        <v>Direct</v>
      </c>
      <c r="H2006" s="7" t="s">
        <v>328</v>
      </c>
    </row>
    <row r="2007" spans="1:8" x14ac:dyDescent="0.2">
      <c r="A2007" s="5" t="s">
        <v>13</v>
      </c>
      <c r="B2007" s="6" t="s">
        <v>19</v>
      </c>
      <c r="C2007" s="7" t="s">
        <v>2169</v>
      </c>
      <c r="D2007" s="7"/>
      <c r="E2007" s="8">
        <v>-2.9076890999999998</v>
      </c>
      <c r="F2007" s="8">
        <v>-2.0854727</v>
      </c>
      <c r="G2007" s="7" t="str">
        <f t="shared" si="14"/>
        <v>Direct</v>
      </c>
      <c r="H2007" s="7" t="s">
        <v>2170</v>
      </c>
    </row>
    <row r="2008" spans="1:8" x14ac:dyDescent="0.2">
      <c r="A2008" s="5" t="s">
        <v>13</v>
      </c>
      <c r="B2008" s="6" t="s">
        <v>19</v>
      </c>
      <c r="C2008" s="7" t="s">
        <v>2171</v>
      </c>
      <c r="D2008" s="7"/>
      <c r="E2008" s="8">
        <v>-1.8100655999999999</v>
      </c>
      <c r="F2008" s="8">
        <v>-1.7873270000000001</v>
      </c>
      <c r="G2008" s="7" t="str">
        <f t="shared" si="14"/>
        <v>Direct</v>
      </c>
      <c r="H2008" s="7" t="s">
        <v>1143</v>
      </c>
    </row>
    <row r="2009" spans="1:8" x14ac:dyDescent="0.2">
      <c r="A2009" s="5" t="s">
        <v>13</v>
      </c>
      <c r="B2009" s="6" t="s">
        <v>19</v>
      </c>
      <c r="C2009" s="7" t="s">
        <v>2172</v>
      </c>
      <c r="D2009" s="7"/>
      <c r="E2009" s="8">
        <v>1.05736283</v>
      </c>
      <c r="F2009" s="8">
        <v>1.6643761699999999</v>
      </c>
      <c r="G2009" s="7" t="str">
        <f t="shared" si="14"/>
        <v>Direct</v>
      </c>
      <c r="H2009" s="7" t="s">
        <v>2173</v>
      </c>
    </row>
    <row r="2010" spans="1:8" x14ac:dyDescent="0.2">
      <c r="A2010" s="5" t="s">
        <v>13</v>
      </c>
      <c r="B2010" s="6" t="s">
        <v>19</v>
      </c>
      <c r="C2010" s="7" t="s">
        <v>2174</v>
      </c>
      <c r="D2010" s="7"/>
      <c r="E2010" s="8">
        <v>-2.7325955</v>
      </c>
      <c r="F2010" s="8">
        <v>-3.0774309999999998</v>
      </c>
      <c r="G2010" s="7" t="str">
        <f t="shared" si="14"/>
        <v>Direct</v>
      </c>
      <c r="H2010" s="7" t="s">
        <v>16</v>
      </c>
    </row>
    <row r="2011" spans="1:8" x14ac:dyDescent="0.2">
      <c r="A2011" s="5" t="s">
        <v>13</v>
      </c>
      <c r="B2011" s="6" t="s">
        <v>19</v>
      </c>
      <c r="C2011" s="7" t="s">
        <v>2175</v>
      </c>
      <c r="D2011" s="7"/>
      <c r="E2011" s="8">
        <v>-1.6497143999999999</v>
      </c>
      <c r="F2011" s="8">
        <v>-1.7334179999999999</v>
      </c>
      <c r="G2011" s="7" t="str">
        <f t="shared" si="14"/>
        <v>Direct</v>
      </c>
      <c r="H2011" s="7" t="s">
        <v>741</v>
      </c>
    </row>
    <row r="2012" spans="1:8" x14ac:dyDescent="0.2">
      <c r="A2012" s="5" t="s">
        <v>13</v>
      </c>
      <c r="B2012" s="6" t="s">
        <v>19</v>
      </c>
      <c r="C2012" s="7" t="s">
        <v>332</v>
      </c>
      <c r="D2012" s="7"/>
      <c r="E2012" s="8">
        <v>-1.1423521999999999</v>
      </c>
      <c r="F2012" s="8">
        <v>-2.5731856</v>
      </c>
      <c r="G2012" s="7" t="str">
        <f t="shared" si="14"/>
        <v>Direct</v>
      </c>
      <c r="H2012" s="7" t="s">
        <v>333</v>
      </c>
    </row>
    <row r="2013" spans="1:8" x14ac:dyDescent="0.2">
      <c r="A2013" s="5" t="s">
        <v>13</v>
      </c>
      <c r="B2013" s="6" t="s">
        <v>19</v>
      </c>
      <c r="C2013" s="7" t="s">
        <v>2176</v>
      </c>
      <c r="D2013" s="7"/>
      <c r="E2013" s="8">
        <v>-1.5681938</v>
      </c>
      <c r="F2013" s="8">
        <v>-1.2273147</v>
      </c>
      <c r="G2013" s="7" t="str">
        <f t="shared" si="14"/>
        <v>Direct</v>
      </c>
      <c r="H2013" s="7" t="s">
        <v>2177</v>
      </c>
    </row>
    <row r="2014" spans="1:8" x14ac:dyDescent="0.2">
      <c r="A2014" s="5" t="s">
        <v>13</v>
      </c>
      <c r="B2014" s="6" t="s">
        <v>19</v>
      </c>
      <c r="C2014" s="7" t="s">
        <v>2178</v>
      </c>
      <c r="D2014" s="7"/>
      <c r="E2014" s="8">
        <v>-2.1968850999999998</v>
      </c>
      <c r="F2014" s="8">
        <v>-1.1906737999999999</v>
      </c>
      <c r="G2014" s="7" t="str">
        <f t="shared" si="14"/>
        <v>Direct</v>
      </c>
      <c r="H2014" s="7" t="s">
        <v>16</v>
      </c>
    </row>
    <row r="2015" spans="1:8" x14ac:dyDescent="0.2">
      <c r="A2015" s="5" t="s">
        <v>13</v>
      </c>
      <c r="B2015" s="6" t="s">
        <v>19</v>
      </c>
      <c r="C2015" s="7" t="s">
        <v>2179</v>
      </c>
      <c r="D2015" s="7"/>
      <c r="E2015" s="8">
        <v>-2.2268276</v>
      </c>
      <c r="F2015" s="8">
        <v>-2.4095721000000001</v>
      </c>
      <c r="G2015" s="7" t="str">
        <f t="shared" si="14"/>
        <v>Direct</v>
      </c>
      <c r="H2015" s="7" t="s">
        <v>865</v>
      </c>
    </row>
    <row r="2016" spans="1:8" x14ac:dyDescent="0.2">
      <c r="A2016" s="5" t="s">
        <v>13</v>
      </c>
      <c r="B2016" s="6" t="s">
        <v>19</v>
      </c>
      <c r="C2016" s="7" t="s">
        <v>2180</v>
      </c>
      <c r="D2016" s="7"/>
      <c r="E2016" s="8">
        <v>1.9058799399999999</v>
      </c>
      <c r="F2016" s="8">
        <v>2.8736498699999999</v>
      </c>
      <c r="G2016" s="7" t="str">
        <f t="shared" si="14"/>
        <v>Direct</v>
      </c>
      <c r="H2016" s="7" t="s">
        <v>2181</v>
      </c>
    </row>
    <row r="2017" spans="1:8" x14ac:dyDescent="0.2">
      <c r="A2017" s="5" t="s">
        <v>13</v>
      </c>
      <c r="B2017" s="6" t="s">
        <v>19</v>
      </c>
      <c r="C2017" s="7" t="s">
        <v>2182</v>
      </c>
      <c r="D2017" s="7"/>
      <c r="E2017" s="8">
        <v>3.24880075</v>
      </c>
      <c r="F2017" s="8">
        <v>2.15887648</v>
      </c>
      <c r="G2017" s="7" t="str">
        <f t="shared" si="14"/>
        <v>Direct</v>
      </c>
      <c r="H2017" s="7" t="s">
        <v>1609</v>
      </c>
    </row>
    <row r="2018" spans="1:8" x14ac:dyDescent="0.2">
      <c r="A2018" s="5" t="s">
        <v>13</v>
      </c>
      <c r="B2018" s="6" t="s">
        <v>19</v>
      </c>
      <c r="C2018" s="7" t="s">
        <v>2183</v>
      </c>
      <c r="D2018" s="7"/>
      <c r="E2018" s="8">
        <v>1.4805520299999999</v>
      </c>
      <c r="F2018" s="8">
        <v>2.27882389</v>
      </c>
      <c r="G2018" s="7" t="str">
        <f t="shared" si="14"/>
        <v>Direct</v>
      </c>
      <c r="H2018" s="7" t="s">
        <v>1609</v>
      </c>
    </row>
    <row r="2019" spans="1:8" x14ac:dyDescent="0.2">
      <c r="A2019" s="5" t="s">
        <v>13</v>
      </c>
      <c r="B2019" s="6" t="s">
        <v>19</v>
      </c>
      <c r="C2019" s="7" t="s">
        <v>2184</v>
      </c>
      <c r="D2019" s="7"/>
      <c r="E2019" s="8">
        <v>2.11806648</v>
      </c>
      <c r="F2019" s="8">
        <v>1.3602902699999999</v>
      </c>
      <c r="G2019" s="7" t="str">
        <f t="shared" si="14"/>
        <v>Direct</v>
      </c>
      <c r="H2019" s="7" t="s">
        <v>2185</v>
      </c>
    </row>
    <row r="2020" spans="1:8" x14ac:dyDescent="0.2">
      <c r="A2020" s="5" t="s">
        <v>13</v>
      </c>
      <c r="B2020" s="6" t="s">
        <v>19</v>
      </c>
      <c r="C2020" s="7" t="s">
        <v>2186</v>
      </c>
      <c r="D2020" s="7"/>
      <c r="E2020" s="8">
        <v>-1.2733190000000001</v>
      </c>
      <c r="F2020" s="8">
        <v>-1.0896729000000001</v>
      </c>
      <c r="G2020" s="7" t="str">
        <f t="shared" si="14"/>
        <v>Direct</v>
      </c>
      <c r="H2020" s="7" t="s">
        <v>2187</v>
      </c>
    </row>
    <row r="2021" spans="1:8" x14ac:dyDescent="0.2">
      <c r="A2021" s="5" t="s">
        <v>13</v>
      </c>
      <c r="B2021" s="6" t="s">
        <v>19</v>
      </c>
      <c r="C2021" s="7" t="s">
        <v>2188</v>
      </c>
      <c r="D2021" s="7"/>
      <c r="E2021" s="8">
        <v>-5.4634777000000003</v>
      </c>
      <c r="F2021" s="8">
        <v>-2.5675287999999998</v>
      </c>
      <c r="G2021" s="7" t="str">
        <f t="shared" si="14"/>
        <v>Direct</v>
      </c>
      <c r="H2021" s="7" t="s">
        <v>2187</v>
      </c>
    </row>
    <row r="2022" spans="1:8" x14ac:dyDescent="0.2">
      <c r="A2022" s="5" t="s">
        <v>13</v>
      </c>
      <c r="B2022" s="6" t="s">
        <v>19</v>
      </c>
      <c r="C2022" s="7" t="s">
        <v>2189</v>
      </c>
      <c r="D2022" s="7"/>
      <c r="E2022" s="8">
        <v>3.17668689</v>
      </c>
      <c r="F2022" s="8">
        <v>1.84538387</v>
      </c>
      <c r="G2022" s="7" t="str">
        <f t="shared" si="14"/>
        <v>Direct</v>
      </c>
      <c r="H2022" s="7" t="s">
        <v>2190</v>
      </c>
    </row>
    <row r="2023" spans="1:8" x14ac:dyDescent="0.2">
      <c r="A2023" s="5" t="s">
        <v>13</v>
      </c>
      <c r="B2023" s="6" t="s">
        <v>19</v>
      </c>
      <c r="C2023" s="7" t="s">
        <v>2191</v>
      </c>
      <c r="D2023" s="7"/>
      <c r="E2023" s="8">
        <v>-1.0289741999999999</v>
      </c>
      <c r="F2023" s="8">
        <v>-1.2393592</v>
      </c>
      <c r="G2023" s="7" t="str">
        <f t="shared" si="14"/>
        <v>Direct</v>
      </c>
      <c r="H2023" s="7" t="s">
        <v>335</v>
      </c>
    </row>
    <row r="2024" spans="1:8" x14ac:dyDescent="0.2">
      <c r="A2024" s="5" t="s">
        <v>13</v>
      </c>
      <c r="B2024" s="6" t="s">
        <v>19</v>
      </c>
      <c r="C2024" s="7" t="s">
        <v>2192</v>
      </c>
      <c r="D2024" s="7"/>
      <c r="E2024" s="8">
        <v>-2.4441201000000001</v>
      </c>
      <c r="F2024" s="8">
        <v>-1.8813249000000001</v>
      </c>
      <c r="G2024" s="7" t="str">
        <f t="shared" si="14"/>
        <v>Direct</v>
      </c>
      <c r="H2024" s="7" t="s">
        <v>1906</v>
      </c>
    </row>
    <row r="2025" spans="1:8" x14ac:dyDescent="0.2">
      <c r="A2025" s="5" t="s">
        <v>13</v>
      </c>
      <c r="B2025" s="6" t="s">
        <v>19</v>
      </c>
      <c r="C2025" s="7" t="s">
        <v>2193</v>
      </c>
      <c r="D2025" s="7"/>
      <c r="E2025" s="8">
        <v>-1.0964604</v>
      </c>
      <c r="F2025" s="8">
        <v>-1.512086</v>
      </c>
      <c r="G2025" s="7" t="str">
        <f t="shared" si="14"/>
        <v>Direct</v>
      </c>
      <c r="H2025" s="7" t="s">
        <v>2194</v>
      </c>
    </row>
    <row r="2026" spans="1:8" x14ac:dyDescent="0.2">
      <c r="A2026" s="5" t="s">
        <v>13</v>
      </c>
      <c r="B2026" s="6" t="s">
        <v>19</v>
      </c>
      <c r="C2026" s="7" t="s">
        <v>2195</v>
      </c>
      <c r="D2026" s="7"/>
      <c r="E2026" s="8">
        <v>1.52778572</v>
      </c>
      <c r="F2026" s="8">
        <v>2.6150725399999999</v>
      </c>
      <c r="G2026" s="7" t="str">
        <f t="shared" si="14"/>
        <v>Direct</v>
      </c>
      <c r="H2026" s="7" t="s">
        <v>16</v>
      </c>
    </row>
    <row r="2027" spans="1:8" x14ac:dyDescent="0.2">
      <c r="A2027" s="5" t="s">
        <v>13</v>
      </c>
      <c r="B2027" s="6" t="s">
        <v>19</v>
      </c>
      <c r="C2027" s="7" t="s">
        <v>2196</v>
      </c>
      <c r="D2027" s="7"/>
      <c r="E2027" s="8">
        <v>-2.6972773999999999</v>
      </c>
      <c r="F2027" s="8">
        <v>-1.1549126000000001</v>
      </c>
      <c r="G2027" s="7" t="str">
        <f t="shared" si="14"/>
        <v>Direct</v>
      </c>
      <c r="H2027" s="7" t="s">
        <v>88</v>
      </c>
    </row>
    <row r="2028" spans="1:8" x14ac:dyDescent="0.2">
      <c r="A2028" s="5" t="s">
        <v>13</v>
      </c>
      <c r="B2028" s="6" t="s">
        <v>19</v>
      </c>
      <c r="C2028" s="7" t="s">
        <v>334</v>
      </c>
      <c r="D2028" s="7"/>
      <c r="E2028" s="8">
        <v>-1.7205128000000001</v>
      </c>
      <c r="F2028" s="8">
        <v>-1.4233359000000001</v>
      </c>
      <c r="G2028" s="7" t="str">
        <f t="shared" si="14"/>
        <v>Direct</v>
      </c>
      <c r="H2028" s="7" t="s">
        <v>335</v>
      </c>
    </row>
    <row r="2029" spans="1:8" x14ac:dyDescent="0.2">
      <c r="A2029" s="5" t="s">
        <v>13</v>
      </c>
      <c r="B2029" s="6" t="s">
        <v>19</v>
      </c>
      <c r="C2029" s="7" t="s">
        <v>2197</v>
      </c>
      <c r="D2029" s="7"/>
      <c r="E2029" s="8">
        <v>-6.4681962999999998</v>
      </c>
      <c r="F2029" s="8">
        <v>-4.7094576000000004</v>
      </c>
      <c r="G2029" s="7" t="str">
        <f t="shared" si="14"/>
        <v>Direct</v>
      </c>
      <c r="H2029" s="7" t="s">
        <v>2198</v>
      </c>
    </row>
    <row r="2030" spans="1:8" x14ac:dyDescent="0.2">
      <c r="A2030" s="5" t="s">
        <v>13</v>
      </c>
      <c r="B2030" s="6" t="s">
        <v>19</v>
      </c>
      <c r="C2030" s="7" t="s">
        <v>2199</v>
      </c>
      <c r="D2030" s="7"/>
      <c r="E2030" s="8">
        <v>-3.75868</v>
      </c>
      <c r="F2030" s="8">
        <v>-2.0647514</v>
      </c>
      <c r="G2030" s="7" t="str">
        <f t="shared" si="14"/>
        <v>Direct</v>
      </c>
      <c r="H2030" s="7" t="s">
        <v>16</v>
      </c>
    </row>
    <row r="2031" spans="1:8" x14ac:dyDescent="0.2">
      <c r="A2031" s="5" t="s">
        <v>13</v>
      </c>
      <c r="B2031" s="6" t="s">
        <v>19</v>
      </c>
      <c r="C2031" s="7" t="s">
        <v>2200</v>
      </c>
      <c r="D2031" s="7"/>
      <c r="E2031" s="8">
        <v>-8.3495024000000004</v>
      </c>
      <c r="F2031" s="8">
        <v>-6.9305494999999997</v>
      </c>
      <c r="G2031" s="7" t="str">
        <f t="shared" si="14"/>
        <v>Direct</v>
      </c>
      <c r="H2031" s="7" t="s">
        <v>2201</v>
      </c>
    </row>
    <row r="2032" spans="1:8" x14ac:dyDescent="0.2">
      <c r="A2032" s="5" t="s">
        <v>13</v>
      </c>
      <c r="B2032" s="6" t="s">
        <v>19</v>
      </c>
      <c r="C2032" s="7" t="s">
        <v>2202</v>
      </c>
      <c r="D2032" s="7"/>
      <c r="E2032" s="8">
        <v>-2.4021992999999999</v>
      </c>
      <c r="F2032" s="8">
        <v>-1.0583431000000001</v>
      </c>
      <c r="G2032" s="7" t="str">
        <f t="shared" si="14"/>
        <v>Direct</v>
      </c>
      <c r="H2032" s="7" t="s">
        <v>2203</v>
      </c>
    </row>
    <row r="2033" spans="1:8" x14ac:dyDescent="0.2">
      <c r="A2033" s="5" t="s">
        <v>13</v>
      </c>
      <c r="B2033" s="6" t="s">
        <v>19</v>
      </c>
      <c r="C2033" s="7" t="s">
        <v>2204</v>
      </c>
      <c r="D2033" s="7"/>
      <c r="E2033" s="8">
        <v>-1.6926654000000001</v>
      </c>
      <c r="F2033" s="8">
        <v>-1.3685543</v>
      </c>
      <c r="G2033" s="7" t="str">
        <f t="shared" si="14"/>
        <v>Direct</v>
      </c>
      <c r="H2033" s="7" t="s">
        <v>2205</v>
      </c>
    </row>
    <row r="2034" spans="1:8" x14ac:dyDescent="0.2">
      <c r="A2034" s="5" t="s">
        <v>13</v>
      </c>
      <c r="B2034" s="6" t="s">
        <v>19</v>
      </c>
      <c r="C2034" s="7" t="s">
        <v>2206</v>
      </c>
      <c r="D2034" s="7"/>
      <c r="E2034" s="8">
        <v>-10.044302</v>
      </c>
      <c r="F2034" s="8">
        <v>-7.3397568</v>
      </c>
      <c r="G2034" s="7" t="str">
        <f t="shared" si="14"/>
        <v>Direct</v>
      </c>
      <c r="H2034" s="7" t="s">
        <v>2207</v>
      </c>
    </row>
    <row r="2035" spans="1:8" x14ac:dyDescent="0.2">
      <c r="A2035" s="5" t="s">
        <v>13</v>
      </c>
      <c r="B2035" s="6" t="s">
        <v>19</v>
      </c>
      <c r="C2035" s="7" t="s">
        <v>2208</v>
      </c>
      <c r="D2035" s="7"/>
      <c r="E2035" s="8">
        <v>1.1327071900000001</v>
      </c>
      <c r="F2035" s="8">
        <v>1.5425196800000001</v>
      </c>
      <c r="G2035" s="7" t="str">
        <f t="shared" si="14"/>
        <v>Direct</v>
      </c>
      <c r="H2035" s="7" t="s">
        <v>2209</v>
      </c>
    </row>
    <row r="2036" spans="1:8" x14ac:dyDescent="0.2">
      <c r="A2036" s="5" t="s">
        <v>13</v>
      </c>
      <c r="B2036" s="6" t="s">
        <v>19</v>
      </c>
      <c r="C2036" s="7" t="s">
        <v>336</v>
      </c>
      <c r="D2036" s="7"/>
      <c r="E2036" s="8">
        <v>-1.6644481</v>
      </c>
      <c r="F2036" s="8">
        <v>-2.1639097</v>
      </c>
      <c r="G2036" s="7" t="str">
        <f t="shared" si="14"/>
        <v>Direct</v>
      </c>
      <c r="H2036" s="7" t="s">
        <v>337</v>
      </c>
    </row>
    <row r="2037" spans="1:8" x14ac:dyDescent="0.2">
      <c r="A2037" s="5" t="s">
        <v>13</v>
      </c>
      <c r="B2037" s="6" t="s">
        <v>19</v>
      </c>
      <c r="C2037" s="7" t="s">
        <v>338</v>
      </c>
      <c r="D2037" s="7"/>
      <c r="E2037" s="8">
        <v>-12.018731000000001</v>
      </c>
      <c r="F2037" s="8">
        <v>-6.5186299999999999</v>
      </c>
      <c r="G2037" s="7" t="str">
        <f t="shared" si="14"/>
        <v>Direct</v>
      </c>
      <c r="H2037" s="7" t="s">
        <v>16</v>
      </c>
    </row>
    <row r="2038" spans="1:8" x14ac:dyDescent="0.2">
      <c r="A2038" s="5" t="s">
        <v>13</v>
      </c>
      <c r="B2038" s="6" t="s">
        <v>19</v>
      </c>
      <c r="C2038" s="7" t="s">
        <v>2210</v>
      </c>
      <c r="D2038" s="7"/>
      <c r="E2038" s="8">
        <v>-1.5068157</v>
      </c>
      <c r="F2038" s="8">
        <v>-1.8674394999999999</v>
      </c>
      <c r="G2038" s="7" t="str">
        <f t="shared" si="14"/>
        <v>Direct</v>
      </c>
      <c r="H2038" s="7" t="s">
        <v>1803</v>
      </c>
    </row>
    <row r="2039" spans="1:8" x14ac:dyDescent="0.2">
      <c r="A2039" s="5" t="s">
        <v>13</v>
      </c>
      <c r="B2039" s="6" t="s">
        <v>19</v>
      </c>
      <c r="C2039" s="7" t="s">
        <v>2211</v>
      </c>
      <c r="D2039" s="7"/>
      <c r="E2039" s="8">
        <v>2.5733056400000001</v>
      </c>
      <c r="F2039" s="8">
        <v>2.5607130499999999</v>
      </c>
      <c r="G2039" s="7" t="str">
        <f t="shared" si="14"/>
        <v>Direct</v>
      </c>
      <c r="H2039" s="7" t="s">
        <v>16</v>
      </c>
    </row>
    <row r="2040" spans="1:8" x14ac:dyDescent="0.2">
      <c r="A2040" s="5" t="s">
        <v>13</v>
      </c>
      <c r="B2040" s="6" t="s">
        <v>19</v>
      </c>
      <c r="C2040" s="7" t="s">
        <v>339</v>
      </c>
      <c r="D2040" s="7"/>
      <c r="E2040" s="8">
        <v>-1.0211676000000001</v>
      </c>
      <c r="F2040" s="8">
        <v>-1.7929423</v>
      </c>
      <c r="G2040" s="7" t="str">
        <f t="shared" si="14"/>
        <v>Direct</v>
      </c>
      <c r="H2040" s="7" t="s">
        <v>340</v>
      </c>
    </row>
    <row r="2041" spans="1:8" x14ac:dyDescent="0.2">
      <c r="A2041" s="5" t="s">
        <v>13</v>
      </c>
      <c r="B2041" s="6" t="s">
        <v>19</v>
      </c>
      <c r="C2041" s="7" t="s">
        <v>2212</v>
      </c>
      <c r="D2041" s="7"/>
      <c r="E2041" s="8">
        <v>-1.8171834</v>
      </c>
      <c r="F2041" s="8">
        <v>-1.4486565</v>
      </c>
      <c r="G2041" s="7" t="str">
        <f t="shared" si="14"/>
        <v>Direct</v>
      </c>
      <c r="H2041" s="7" t="s">
        <v>2213</v>
      </c>
    </row>
    <row r="2042" spans="1:8" x14ac:dyDescent="0.2">
      <c r="A2042" s="5" t="s">
        <v>13</v>
      </c>
      <c r="B2042" s="6" t="s">
        <v>19</v>
      </c>
      <c r="C2042" s="7" t="s">
        <v>2214</v>
      </c>
      <c r="D2042" s="7"/>
      <c r="E2042" s="8">
        <v>-2.2137745</v>
      </c>
      <c r="F2042" s="8">
        <v>-2.1049481999999999</v>
      </c>
      <c r="G2042" s="7" t="str">
        <f t="shared" si="14"/>
        <v>Direct</v>
      </c>
      <c r="H2042" s="7" t="s">
        <v>2215</v>
      </c>
    </row>
    <row r="2043" spans="1:8" x14ac:dyDescent="0.2">
      <c r="A2043" s="5" t="s">
        <v>13</v>
      </c>
      <c r="B2043" s="6" t="s">
        <v>19</v>
      </c>
      <c r="C2043" s="7" t="s">
        <v>2216</v>
      </c>
      <c r="D2043" s="7"/>
      <c r="E2043" s="8">
        <v>-2.6990006000000002</v>
      </c>
      <c r="F2043" s="8">
        <v>-1.104438</v>
      </c>
      <c r="G2043" s="7" t="str">
        <f t="shared" si="14"/>
        <v>Direct</v>
      </c>
      <c r="H2043" s="7" t="s">
        <v>2217</v>
      </c>
    </row>
    <row r="2044" spans="1:8" x14ac:dyDescent="0.2">
      <c r="A2044" s="5" t="s">
        <v>13</v>
      </c>
      <c r="B2044" s="6" t="s">
        <v>19</v>
      </c>
      <c r="C2044" s="7" t="s">
        <v>2218</v>
      </c>
      <c r="D2044" s="7"/>
      <c r="E2044" s="8">
        <v>2.3849038500000002</v>
      </c>
      <c r="F2044" s="8">
        <v>3.7106127299999998</v>
      </c>
      <c r="G2044" s="7" t="str">
        <f t="shared" si="14"/>
        <v>Direct</v>
      </c>
      <c r="H2044" s="7" t="s">
        <v>125</v>
      </c>
    </row>
    <row r="2045" spans="1:8" x14ac:dyDescent="0.2">
      <c r="A2045" s="5" t="s">
        <v>13</v>
      </c>
      <c r="B2045" s="6" t="s">
        <v>19</v>
      </c>
      <c r="C2045" s="7" t="s">
        <v>341</v>
      </c>
      <c r="D2045" s="7"/>
      <c r="E2045" s="8">
        <v>-9.0251944000000002</v>
      </c>
      <c r="F2045" s="8">
        <v>-9.9448503000000006</v>
      </c>
      <c r="G2045" s="7" t="str">
        <f t="shared" si="14"/>
        <v>Direct</v>
      </c>
      <c r="H2045" s="7" t="s">
        <v>16</v>
      </c>
    </row>
    <row r="2046" spans="1:8" x14ac:dyDescent="0.2">
      <c r="A2046" s="5" t="s">
        <v>13</v>
      </c>
      <c r="B2046" s="6" t="s">
        <v>19</v>
      </c>
      <c r="C2046" s="7" t="s">
        <v>2219</v>
      </c>
      <c r="D2046" s="7"/>
      <c r="E2046" s="8">
        <v>1.1829733499999999</v>
      </c>
      <c r="F2046" s="8">
        <v>1.55157984</v>
      </c>
      <c r="G2046" s="7" t="str">
        <f t="shared" si="14"/>
        <v>Direct</v>
      </c>
      <c r="H2046" s="7" t="s">
        <v>16</v>
      </c>
    </row>
    <row r="2047" spans="1:8" x14ac:dyDescent="0.2">
      <c r="A2047" s="5" t="s">
        <v>13</v>
      </c>
      <c r="B2047" s="6" t="s">
        <v>19</v>
      </c>
      <c r="C2047" s="7" t="s">
        <v>2220</v>
      </c>
      <c r="D2047" s="7"/>
      <c r="E2047" s="8">
        <v>3.35001215</v>
      </c>
      <c r="F2047" s="8">
        <v>3.1433656299999999</v>
      </c>
      <c r="G2047" s="7" t="str">
        <f t="shared" si="14"/>
        <v>Direct</v>
      </c>
      <c r="H2047" s="7" t="s">
        <v>16</v>
      </c>
    </row>
    <row r="2048" spans="1:8" x14ac:dyDescent="0.2">
      <c r="A2048" s="5" t="s">
        <v>13</v>
      </c>
      <c r="B2048" s="6" t="s">
        <v>19</v>
      </c>
      <c r="C2048" s="7" t="s">
        <v>2221</v>
      </c>
      <c r="D2048" s="7"/>
      <c r="E2048" s="8">
        <v>-1.2868592999999999</v>
      </c>
      <c r="F2048" s="8">
        <v>-1.0626973</v>
      </c>
      <c r="G2048" s="7" t="str">
        <f t="shared" si="14"/>
        <v>Direct</v>
      </c>
      <c r="H2048" s="7" t="s">
        <v>16</v>
      </c>
    </row>
    <row r="2049" spans="1:8" x14ac:dyDescent="0.2">
      <c r="A2049" s="5" t="s">
        <v>13</v>
      </c>
      <c r="B2049" s="6" t="s">
        <v>19</v>
      </c>
      <c r="C2049" s="7" t="s">
        <v>2222</v>
      </c>
      <c r="D2049" s="7"/>
      <c r="E2049" s="8">
        <v>-1.674596</v>
      </c>
      <c r="F2049" s="8">
        <v>-2.5103412999999999</v>
      </c>
      <c r="G2049" s="7" t="str">
        <f t="shared" si="14"/>
        <v>Direct</v>
      </c>
      <c r="H2049" s="7" t="s">
        <v>2223</v>
      </c>
    </row>
    <row r="2050" spans="1:8" x14ac:dyDescent="0.2">
      <c r="A2050" s="5" t="s">
        <v>13</v>
      </c>
      <c r="B2050" s="6" t="s">
        <v>19</v>
      </c>
      <c r="C2050" s="7" t="s">
        <v>2224</v>
      </c>
      <c r="D2050" s="7"/>
      <c r="E2050" s="8">
        <v>-2.3909047999999999</v>
      </c>
      <c r="F2050" s="8">
        <v>-2.0477740999999998</v>
      </c>
      <c r="G2050" s="7" t="str">
        <f t="shared" si="14"/>
        <v>Direct</v>
      </c>
      <c r="H2050" s="7" t="s">
        <v>1143</v>
      </c>
    </row>
    <row r="2051" spans="1:8" x14ac:dyDescent="0.2">
      <c r="A2051" s="5" t="s">
        <v>13</v>
      </c>
      <c r="B2051" s="6" t="s">
        <v>19</v>
      </c>
      <c r="C2051" s="7" t="s">
        <v>2225</v>
      </c>
      <c r="D2051" s="7"/>
      <c r="E2051" s="8">
        <v>5.3220153200000002</v>
      </c>
      <c r="F2051" s="8">
        <v>6.18968104</v>
      </c>
      <c r="G2051" s="7" t="str">
        <f t="shared" si="14"/>
        <v>Direct</v>
      </c>
      <c r="H2051" s="7" t="s">
        <v>16</v>
      </c>
    </row>
    <row r="2052" spans="1:8" x14ac:dyDescent="0.2">
      <c r="A2052" s="5" t="s">
        <v>13</v>
      </c>
      <c r="B2052" s="6" t="s">
        <v>19</v>
      </c>
      <c r="C2052" s="7" t="s">
        <v>2226</v>
      </c>
      <c r="D2052" s="7"/>
      <c r="E2052" s="8">
        <v>-1.605013</v>
      </c>
      <c r="F2052" s="8">
        <v>-1.0806397999999999</v>
      </c>
      <c r="G2052" s="7" t="str">
        <f t="shared" si="14"/>
        <v>Direct</v>
      </c>
      <c r="H2052" s="7" t="s">
        <v>2227</v>
      </c>
    </row>
    <row r="2053" spans="1:8" x14ac:dyDescent="0.2">
      <c r="A2053" s="5" t="s">
        <v>13</v>
      </c>
      <c r="B2053" s="6" t="s">
        <v>19</v>
      </c>
      <c r="C2053" s="7" t="s">
        <v>342</v>
      </c>
      <c r="D2053" s="7"/>
      <c r="E2053" s="8">
        <v>-3.6193578</v>
      </c>
      <c r="F2053" s="8">
        <v>-1.2316579000000001</v>
      </c>
      <c r="G2053" s="7" t="str">
        <f t="shared" si="14"/>
        <v>Direct</v>
      </c>
      <c r="H2053" s="7" t="s">
        <v>343</v>
      </c>
    </row>
    <row r="2054" spans="1:8" x14ac:dyDescent="0.2">
      <c r="A2054" s="5" t="s">
        <v>13</v>
      </c>
      <c r="B2054" s="6" t="s">
        <v>19</v>
      </c>
      <c r="C2054" s="7" t="s">
        <v>2228</v>
      </c>
      <c r="D2054" s="7"/>
      <c r="E2054" s="8">
        <v>5.17815827</v>
      </c>
      <c r="F2054" s="8">
        <v>3.1875840700000002</v>
      </c>
      <c r="G2054" s="7" t="str">
        <f t="shared" si="14"/>
        <v>Direct</v>
      </c>
      <c r="H2054" s="7" t="s">
        <v>2229</v>
      </c>
    </row>
    <row r="2055" spans="1:8" x14ac:dyDescent="0.2">
      <c r="A2055" s="5" t="s">
        <v>13</v>
      </c>
      <c r="B2055" s="6" t="s">
        <v>19</v>
      </c>
      <c r="C2055" s="7" t="s">
        <v>2230</v>
      </c>
      <c r="D2055" s="7"/>
      <c r="E2055" s="8">
        <v>4.4956478600000001</v>
      </c>
      <c r="F2055" s="8">
        <v>2.12434514</v>
      </c>
      <c r="G2055" s="7" t="str">
        <f t="shared" si="14"/>
        <v>Direct</v>
      </c>
      <c r="H2055" s="7" t="s">
        <v>16</v>
      </c>
    </row>
    <row r="2056" spans="1:8" x14ac:dyDescent="0.2">
      <c r="A2056" s="5" t="s">
        <v>13</v>
      </c>
      <c r="B2056" s="6" t="s">
        <v>19</v>
      </c>
      <c r="C2056" s="7" t="s">
        <v>2231</v>
      </c>
      <c r="D2056" s="7"/>
      <c r="E2056" s="8">
        <v>-2.6189092</v>
      </c>
      <c r="F2056" s="8">
        <v>-1.7175073999999999</v>
      </c>
      <c r="G2056" s="7" t="str">
        <f t="shared" si="14"/>
        <v>Direct</v>
      </c>
      <c r="H2056" s="7" t="s">
        <v>16</v>
      </c>
    </row>
    <row r="2057" spans="1:8" x14ac:dyDescent="0.2">
      <c r="A2057" s="5" t="s">
        <v>13</v>
      </c>
      <c r="B2057" s="6" t="s">
        <v>19</v>
      </c>
      <c r="C2057" s="7" t="s">
        <v>2232</v>
      </c>
      <c r="D2057" s="7"/>
      <c r="E2057" s="8">
        <v>-2.1504843999999999</v>
      </c>
      <c r="F2057" s="8">
        <v>-1.5040427000000001</v>
      </c>
      <c r="G2057" s="7" t="str">
        <f t="shared" si="14"/>
        <v>Direct</v>
      </c>
      <c r="H2057" s="7" t="s">
        <v>2233</v>
      </c>
    </row>
    <row r="2058" spans="1:8" x14ac:dyDescent="0.2">
      <c r="A2058" s="5" t="s">
        <v>13</v>
      </c>
      <c r="B2058" s="6" t="s">
        <v>19</v>
      </c>
      <c r="C2058" s="7" t="s">
        <v>2234</v>
      </c>
      <c r="D2058" s="7"/>
      <c r="E2058" s="8">
        <v>1.5151312299999999</v>
      </c>
      <c r="F2058" s="8">
        <v>1.9021844999999999</v>
      </c>
      <c r="G2058" s="7" t="str">
        <f t="shared" si="14"/>
        <v>Direct</v>
      </c>
      <c r="H2058" s="7" t="s">
        <v>2235</v>
      </c>
    </row>
    <row r="2059" spans="1:8" x14ac:dyDescent="0.2">
      <c r="A2059" s="5" t="s">
        <v>13</v>
      </c>
      <c r="B2059" s="6" t="s">
        <v>19</v>
      </c>
      <c r="C2059" s="7" t="s">
        <v>2236</v>
      </c>
      <c r="D2059" s="7"/>
      <c r="E2059" s="8">
        <v>-3.0895209000000001</v>
      </c>
      <c r="F2059" s="8">
        <v>-1.4424972</v>
      </c>
      <c r="G2059" s="7" t="str">
        <f t="shared" si="14"/>
        <v>Direct</v>
      </c>
      <c r="H2059" s="7" t="s">
        <v>333</v>
      </c>
    </row>
    <row r="2060" spans="1:8" x14ac:dyDescent="0.2">
      <c r="A2060" s="5" t="s">
        <v>13</v>
      </c>
      <c r="B2060" s="6" t="s">
        <v>19</v>
      </c>
      <c r="C2060" s="7" t="s">
        <v>2237</v>
      </c>
      <c r="D2060" s="7"/>
      <c r="E2060" s="8">
        <v>-1.8749733</v>
      </c>
      <c r="F2060" s="8">
        <v>-2.1721336999999998</v>
      </c>
      <c r="G2060" s="7" t="str">
        <f t="shared" si="14"/>
        <v>Direct</v>
      </c>
      <c r="H2060" s="7" t="s">
        <v>2238</v>
      </c>
    </row>
    <row r="2061" spans="1:8" x14ac:dyDescent="0.2">
      <c r="A2061" s="5" t="s">
        <v>13</v>
      </c>
      <c r="B2061" s="6" t="s">
        <v>19</v>
      </c>
      <c r="C2061" s="7" t="s">
        <v>2239</v>
      </c>
      <c r="D2061" s="7"/>
      <c r="E2061" s="8">
        <v>4.0777328300000004</v>
      </c>
      <c r="F2061" s="8">
        <v>1.44714597</v>
      </c>
      <c r="G2061" s="7" t="str">
        <f t="shared" si="14"/>
        <v>Direct</v>
      </c>
      <c r="H2061" s="7" t="s">
        <v>2240</v>
      </c>
    </row>
    <row r="2062" spans="1:8" x14ac:dyDescent="0.2">
      <c r="A2062" s="5" t="s">
        <v>13</v>
      </c>
      <c r="B2062" s="6" t="s">
        <v>19</v>
      </c>
      <c r="C2062" s="7" t="s">
        <v>2241</v>
      </c>
      <c r="D2062" s="7"/>
      <c r="E2062" s="8">
        <v>-1.7264211</v>
      </c>
      <c r="F2062" s="8">
        <v>-2.0967516000000002</v>
      </c>
      <c r="G2062" s="7" t="str">
        <f t="shared" si="14"/>
        <v>Direct</v>
      </c>
      <c r="H2062" s="7" t="s">
        <v>16</v>
      </c>
    </row>
    <row r="2063" spans="1:8" x14ac:dyDescent="0.2">
      <c r="A2063" s="5" t="s">
        <v>13</v>
      </c>
      <c r="B2063" s="6" t="s">
        <v>19</v>
      </c>
      <c r="C2063" s="7" t="s">
        <v>2242</v>
      </c>
      <c r="D2063" s="7"/>
      <c r="E2063" s="8">
        <v>-1.3272550000000001</v>
      </c>
      <c r="F2063" s="8">
        <v>-1.6276143000000001</v>
      </c>
      <c r="G2063" s="7" t="str">
        <f t="shared" si="14"/>
        <v>Direct</v>
      </c>
      <c r="H2063" s="7" t="s">
        <v>2243</v>
      </c>
    </row>
    <row r="2064" spans="1:8" x14ac:dyDescent="0.2">
      <c r="A2064" s="5" t="s">
        <v>13</v>
      </c>
      <c r="B2064" s="6" t="s">
        <v>19</v>
      </c>
      <c r="C2064" s="7" t="s">
        <v>344</v>
      </c>
      <c r="D2064" s="7"/>
      <c r="E2064" s="8">
        <v>-4.8668725000000004</v>
      </c>
      <c r="F2064" s="8">
        <v>-4.805294</v>
      </c>
      <c r="G2064" s="7" t="str">
        <f t="shared" si="14"/>
        <v>Direct</v>
      </c>
      <c r="H2064" s="7" t="s">
        <v>345</v>
      </c>
    </row>
    <row r="2065" spans="1:8" x14ac:dyDescent="0.2">
      <c r="A2065" s="5" t="s">
        <v>13</v>
      </c>
      <c r="B2065" s="6" t="s">
        <v>19</v>
      </c>
      <c r="C2065" s="7" t="s">
        <v>2244</v>
      </c>
      <c r="D2065" s="7"/>
      <c r="E2065" s="8">
        <v>2.09455452</v>
      </c>
      <c r="F2065" s="8">
        <v>1.9584574800000001</v>
      </c>
      <c r="G2065" s="7" t="str">
        <f t="shared" si="14"/>
        <v>Direct</v>
      </c>
      <c r="H2065" s="7" t="s">
        <v>2245</v>
      </c>
    </row>
    <row r="2066" spans="1:8" x14ac:dyDescent="0.2">
      <c r="A2066" s="5" t="s">
        <v>13</v>
      </c>
      <c r="B2066" s="6" t="s">
        <v>19</v>
      </c>
      <c r="C2066" s="7" t="s">
        <v>2246</v>
      </c>
      <c r="D2066" s="7"/>
      <c r="E2066" s="8">
        <v>-3.5148636</v>
      </c>
      <c r="F2066" s="8">
        <v>-1.3906436</v>
      </c>
      <c r="G2066" s="7" t="str">
        <f t="shared" si="14"/>
        <v>Direct</v>
      </c>
      <c r="H2066" s="7" t="s">
        <v>2247</v>
      </c>
    </row>
    <row r="2067" spans="1:8" x14ac:dyDescent="0.2">
      <c r="A2067" s="5" t="s">
        <v>13</v>
      </c>
      <c r="B2067" s="6" t="s">
        <v>19</v>
      </c>
      <c r="C2067" s="7" t="s">
        <v>2248</v>
      </c>
      <c r="D2067" s="7"/>
      <c r="E2067" s="8">
        <v>-2.6374094000000001</v>
      </c>
      <c r="F2067" s="8">
        <v>-2.0879238999999998</v>
      </c>
      <c r="G2067" s="7" t="str">
        <f t="shared" si="14"/>
        <v>Direct</v>
      </c>
      <c r="H2067" s="7" t="s">
        <v>2249</v>
      </c>
    </row>
    <row r="2068" spans="1:8" x14ac:dyDescent="0.2">
      <c r="A2068" s="5" t="s">
        <v>13</v>
      </c>
      <c r="B2068" s="6" t="s">
        <v>19</v>
      </c>
      <c r="C2068" s="7" t="s">
        <v>2250</v>
      </c>
      <c r="D2068" s="7"/>
      <c r="E2068" s="8">
        <v>-3.0703035999999999</v>
      </c>
      <c r="F2068" s="8">
        <v>-2.1158144999999999</v>
      </c>
      <c r="G2068" s="7" t="str">
        <f t="shared" si="14"/>
        <v>Direct</v>
      </c>
      <c r="H2068" s="7" t="s">
        <v>16</v>
      </c>
    </row>
    <row r="2069" spans="1:8" x14ac:dyDescent="0.2">
      <c r="A2069" s="5" t="s">
        <v>13</v>
      </c>
      <c r="B2069" s="6" t="s">
        <v>19</v>
      </c>
      <c r="C2069" s="7" t="s">
        <v>2251</v>
      </c>
      <c r="D2069" s="7"/>
      <c r="E2069" s="8">
        <v>-1.7566227999999999</v>
      </c>
      <c r="F2069" s="8">
        <v>-1.346417</v>
      </c>
      <c r="G2069" s="7" t="str">
        <f t="shared" si="14"/>
        <v>Direct</v>
      </c>
      <c r="H2069" s="7" t="s">
        <v>2252</v>
      </c>
    </row>
    <row r="2070" spans="1:8" x14ac:dyDescent="0.2">
      <c r="A2070" s="5" t="s">
        <v>13</v>
      </c>
      <c r="B2070" s="6" t="s">
        <v>19</v>
      </c>
      <c r="C2070" s="7" t="s">
        <v>2253</v>
      </c>
      <c r="D2070" s="7"/>
      <c r="E2070" s="8">
        <v>-2.06806</v>
      </c>
      <c r="F2070" s="8">
        <v>-1.6229217</v>
      </c>
      <c r="G2070" s="7" t="str">
        <f t="shared" si="14"/>
        <v>Direct</v>
      </c>
      <c r="H2070" s="7" t="s">
        <v>2254</v>
      </c>
    </row>
    <row r="2071" spans="1:8" x14ac:dyDescent="0.2">
      <c r="A2071" s="5" t="s">
        <v>13</v>
      </c>
      <c r="B2071" s="6" t="s">
        <v>19</v>
      </c>
      <c r="C2071" s="7" t="s">
        <v>2255</v>
      </c>
      <c r="D2071" s="7"/>
      <c r="E2071" s="8">
        <v>3.8512415199999999</v>
      </c>
      <c r="F2071" s="8">
        <v>2.1725377799999999</v>
      </c>
      <c r="G2071" s="7" t="str">
        <f t="shared" si="14"/>
        <v>Direct</v>
      </c>
      <c r="H2071" s="7" t="s">
        <v>178</v>
      </c>
    </row>
    <row r="2072" spans="1:8" x14ac:dyDescent="0.2">
      <c r="A2072" s="5" t="s">
        <v>13</v>
      </c>
      <c r="B2072" s="6" t="s">
        <v>19</v>
      </c>
      <c r="C2072" s="7" t="s">
        <v>2256</v>
      </c>
      <c r="D2072" s="7"/>
      <c r="E2072" s="8">
        <v>-2.4952470999999998</v>
      </c>
      <c r="F2072" s="8">
        <v>-2.6630726</v>
      </c>
      <c r="G2072" s="7" t="str">
        <f t="shared" si="14"/>
        <v>Direct</v>
      </c>
      <c r="H2072" s="7" t="s">
        <v>16</v>
      </c>
    </row>
    <row r="2073" spans="1:8" x14ac:dyDescent="0.2">
      <c r="A2073" s="5" t="s">
        <v>13</v>
      </c>
      <c r="B2073" s="6" t="s">
        <v>19</v>
      </c>
      <c r="C2073" s="7" t="s">
        <v>2257</v>
      </c>
      <c r="D2073" s="7"/>
      <c r="E2073" s="8">
        <v>-5.0854008999999998</v>
      </c>
      <c r="F2073" s="8">
        <v>-2.5469897000000001</v>
      </c>
      <c r="G2073" s="7" t="str">
        <f t="shared" si="14"/>
        <v>Direct</v>
      </c>
      <c r="H2073" s="7" t="s">
        <v>16</v>
      </c>
    </row>
    <row r="2074" spans="1:8" x14ac:dyDescent="0.2">
      <c r="A2074" s="5" t="s">
        <v>13</v>
      </c>
      <c r="B2074" s="6" t="s">
        <v>19</v>
      </c>
      <c r="C2074" s="7" t="s">
        <v>2258</v>
      </c>
      <c r="D2074" s="7"/>
      <c r="E2074" s="8">
        <v>1.1823196499999999</v>
      </c>
      <c r="F2074" s="8">
        <v>1.6403089900000001</v>
      </c>
      <c r="G2074" s="7" t="str">
        <f t="shared" si="14"/>
        <v>Direct</v>
      </c>
      <c r="H2074" s="7" t="s">
        <v>16</v>
      </c>
    </row>
    <row r="2075" spans="1:8" x14ac:dyDescent="0.2">
      <c r="A2075" s="5" t="s">
        <v>13</v>
      </c>
      <c r="B2075" s="6" t="s">
        <v>19</v>
      </c>
      <c r="C2075" s="7" t="s">
        <v>2259</v>
      </c>
      <c r="D2075" s="7"/>
      <c r="E2075" s="8">
        <v>-1.7728067999999999</v>
      </c>
      <c r="F2075" s="8">
        <v>-1.9408358999999999</v>
      </c>
      <c r="G2075" s="7" t="str">
        <f t="shared" si="14"/>
        <v>Direct</v>
      </c>
      <c r="H2075" s="7" t="s">
        <v>2260</v>
      </c>
    </row>
    <row r="2076" spans="1:8" x14ac:dyDescent="0.2">
      <c r="A2076" s="5" t="s">
        <v>13</v>
      </c>
      <c r="B2076" s="6" t="s">
        <v>19</v>
      </c>
      <c r="C2076" s="7" t="s">
        <v>2261</v>
      </c>
      <c r="D2076" s="7"/>
      <c r="E2076" s="8">
        <v>-1.0873808</v>
      </c>
      <c r="F2076" s="8">
        <v>-1.8513793999999999</v>
      </c>
      <c r="G2076" s="7" t="str">
        <f t="shared" si="14"/>
        <v>Direct</v>
      </c>
      <c r="H2076" s="7" t="s">
        <v>16</v>
      </c>
    </row>
    <row r="2077" spans="1:8" x14ac:dyDescent="0.2">
      <c r="A2077" s="5" t="s">
        <v>13</v>
      </c>
      <c r="B2077" s="6" t="s">
        <v>19</v>
      </c>
      <c r="C2077" s="7" t="s">
        <v>2262</v>
      </c>
      <c r="D2077" s="7"/>
      <c r="E2077" s="8">
        <v>-1.8072036</v>
      </c>
      <c r="F2077" s="8">
        <v>-3.1358486999999999</v>
      </c>
      <c r="G2077" s="7" t="str">
        <f t="shared" si="14"/>
        <v>Direct</v>
      </c>
      <c r="H2077" s="7" t="s">
        <v>16</v>
      </c>
    </row>
    <row r="2078" spans="1:8" x14ac:dyDescent="0.2">
      <c r="A2078" s="5" t="s">
        <v>13</v>
      </c>
      <c r="B2078" s="6" t="s">
        <v>19</v>
      </c>
      <c r="C2078" s="7" t="s">
        <v>2263</v>
      </c>
      <c r="D2078" s="7"/>
      <c r="E2078" s="8">
        <v>-5.1834147000000002</v>
      </c>
      <c r="F2078" s="8">
        <v>-5.4021792</v>
      </c>
      <c r="G2078" s="7" t="str">
        <f t="shared" si="14"/>
        <v>Direct</v>
      </c>
      <c r="H2078" s="7" t="s">
        <v>16</v>
      </c>
    </row>
    <row r="2079" spans="1:8" x14ac:dyDescent="0.2">
      <c r="A2079" s="5" t="s">
        <v>13</v>
      </c>
      <c r="B2079" s="6" t="s">
        <v>19</v>
      </c>
      <c r="C2079" s="7" t="s">
        <v>346</v>
      </c>
      <c r="D2079" s="7"/>
      <c r="E2079" s="8">
        <v>-2.7816141000000001</v>
      </c>
      <c r="F2079" s="8">
        <v>-1.5775071000000001</v>
      </c>
      <c r="G2079" s="7" t="str">
        <f t="shared" si="14"/>
        <v>Direct</v>
      </c>
      <c r="H2079" s="7" t="s">
        <v>16</v>
      </c>
    </row>
    <row r="2080" spans="1:8" x14ac:dyDescent="0.2">
      <c r="A2080" s="5" t="s">
        <v>13</v>
      </c>
      <c r="B2080" s="6" t="s">
        <v>19</v>
      </c>
      <c r="C2080" s="7" t="s">
        <v>347</v>
      </c>
      <c r="D2080" s="7"/>
      <c r="E2080" s="8">
        <v>1.5905403899999999</v>
      </c>
      <c r="F2080" s="8">
        <v>1.76116607</v>
      </c>
      <c r="G2080" s="7" t="str">
        <f t="shared" si="14"/>
        <v>Direct</v>
      </c>
      <c r="H2080" s="7" t="s">
        <v>16</v>
      </c>
    </row>
    <row r="2081" spans="1:8" x14ac:dyDescent="0.2">
      <c r="A2081" s="5" t="s">
        <v>13</v>
      </c>
      <c r="B2081" s="6" t="s">
        <v>19</v>
      </c>
      <c r="C2081" s="7" t="s">
        <v>348</v>
      </c>
      <c r="D2081" s="7"/>
      <c r="E2081" s="8">
        <v>-1.5198434000000001</v>
      </c>
      <c r="F2081" s="8">
        <v>-1.6153369</v>
      </c>
      <c r="G2081" s="7" t="str">
        <f t="shared" si="14"/>
        <v>Direct</v>
      </c>
      <c r="H2081" s="7" t="s">
        <v>349</v>
      </c>
    </row>
    <row r="2082" spans="1:8" x14ac:dyDescent="0.2">
      <c r="A2082" s="5" t="s">
        <v>13</v>
      </c>
      <c r="B2082" s="6" t="s">
        <v>19</v>
      </c>
      <c r="C2082" s="7" t="s">
        <v>2264</v>
      </c>
      <c r="D2082" s="7"/>
      <c r="E2082" s="8">
        <v>-1.1533407</v>
      </c>
      <c r="F2082" s="8">
        <v>-1.310824</v>
      </c>
      <c r="G2082" s="7" t="str">
        <f t="shared" si="14"/>
        <v>Direct</v>
      </c>
      <c r="H2082" s="7" t="s">
        <v>2265</v>
      </c>
    </row>
    <row r="2083" spans="1:8" x14ac:dyDescent="0.2">
      <c r="A2083" s="5" t="s">
        <v>13</v>
      </c>
      <c r="B2083" s="6" t="s">
        <v>19</v>
      </c>
      <c r="C2083" s="7" t="s">
        <v>2266</v>
      </c>
      <c r="D2083" s="7"/>
      <c r="E2083" s="8">
        <v>4.8401460500000004</v>
      </c>
      <c r="F2083" s="8">
        <v>3.2343392400000002</v>
      </c>
      <c r="G2083" s="7" t="str">
        <f t="shared" si="14"/>
        <v>Direct</v>
      </c>
      <c r="H2083" s="7" t="s">
        <v>16</v>
      </c>
    </row>
    <row r="2084" spans="1:8" x14ac:dyDescent="0.2">
      <c r="A2084" s="5" t="s">
        <v>13</v>
      </c>
      <c r="B2084" s="6" t="s">
        <v>19</v>
      </c>
      <c r="C2084" s="7" t="s">
        <v>2267</v>
      </c>
      <c r="D2084" s="7"/>
      <c r="E2084" s="8">
        <v>5.7269227000000003</v>
      </c>
      <c r="F2084" s="8">
        <v>5.8460180499999996</v>
      </c>
      <c r="G2084" s="7" t="str">
        <f t="shared" si="14"/>
        <v>Direct</v>
      </c>
      <c r="H2084" s="7" t="s">
        <v>16</v>
      </c>
    </row>
    <row r="2085" spans="1:8" x14ac:dyDescent="0.2">
      <c r="A2085" s="5" t="s">
        <v>13</v>
      </c>
      <c r="B2085" s="6" t="s">
        <v>19</v>
      </c>
      <c r="C2085" s="7" t="s">
        <v>2268</v>
      </c>
      <c r="D2085" s="7"/>
      <c r="E2085" s="8">
        <v>1.08342793</v>
      </c>
      <c r="F2085" s="8">
        <v>1.53748441</v>
      </c>
      <c r="G2085" s="7" t="str">
        <f t="shared" si="14"/>
        <v>Direct</v>
      </c>
      <c r="H2085" s="7" t="s">
        <v>174</v>
      </c>
    </row>
    <row r="2086" spans="1:8" x14ac:dyDescent="0.2">
      <c r="A2086" s="5" t="s">
        <v>13</v>
      </c>
      <c r="B2086" s="6" t="s">
        <v>19</v>
      </c>
      <c r="C2086" s="7" t="s">
        <v>2269</v>
      </c>
      <c r="D2086" s="7"/>
      <c r="E2086" s="8">
        <v>4.0335339499999998</v>
      </c>
      <c r="F2086" s="8">
        <v>3.89340171</v>
      </c>
      <c r="G2086" s="7" t="str">
        <f t="shared" si="14"/>
        <v>Direct</v>
      </c>
      <c r="H2086" s="7" t="s">
        <v>16</v>
      </c>
    </row>
    <row r="2087" spans="1:8" x14ac:dyDescent="0.2">
      <c r="A2087" s="5" t="s">
        <v>13</v>
      </c>
      <c r="B2087" s="6" t="s">
        <v>19</v>
      </c>
      <c r="C2087" s="7" t="s">
        <v>2270</v>
      </c>
      <c r="D2087" s="7"/>
      <c r="E2087" s="8">
        <v>-2.0635981000000001</v>
      </c>
      <c r="F2087" s="8">
        <v>-1.2175631</v>
      </c>
      <c r="G2087" s="7" t="str">
        <f t="shared" si="14"/>
        <v>Direct</v>
      </c>
      <c r="H2087" s="7" t="s">
        <v>2271</v>
      </c>
    </row>
    <row r="2088" spans="1:8" x14ac:dyDescent="0.2">
      <c r="A2088" s="5" t="s">
        <v>13</v>
      </c>
      <c r="B2088" s="6" t="s">
        <v>19</v>
      </c>
      <c r="C2088" s="7" t="s">
        <v>2272</v>
      </c>
      <c r="D2088" s="7"/>
      <c r="E2088" s="8">
        <v>1.55877485</v>
      </c>
      <c r="F2088" s="8">
        <v>2.08930646</v>
      </c>
      <c r="G2088" s="7" t="str">
        <f t="shared" si="14"/>
        <v>Direct</v>
      </c>
      <c r="H2088" s="7" t="s">
        <v>2273</v>
      </c>
    </row>
    <row r="2089" spans="1:8" x14ac:dyDescent="0.2">
      <c r="A2089" s="5" t="s">
        <v>13</v>
      </c>
      <c r="B2089" s="6" t="s">
        <v>19</v>
      </c>
      <c r="C2089" s="7" t="s">
        <v>2274</v>
      </c>
      <c r="D2089" s="7"/>
      <c r="E2089" s="8">
        <v>1.8902249900000001</v>
      </c>
      <c r="F2089" s="8">
        <v>2.6959467300000002</v>
      </c>
      <c r="G2089" s="7" t="str">
        <f t="shared" si="14"/>
        <v>Direct</v>
      </c>
      <c r="H2089" s="7" t="s">
        <v>16</v>
      </c>
    </row>
    <row r="2090" spans="1:8" x14ac:dyDescent="0.2">
      <c r="A2090" s="5" t="s">
        <v>13</v>
      </c>
      <c r="B2090" s="6" t="s">
        <v>19</v>
      </c>
      <c r="C2090" s="7" t="s">
        <v>2275</v>
      </c>
      <c r="D2090" s="7"/>
      <c r="E2090" s="8">
        <v>-1.8291937</v>
      </c>
      <c r="F2090" s="8">
        <v>-1.3359593999999999</v>
      </c>
      <c r="G2090" s="7" t="str">
        <f t="shared" si="14"/>
        <v>Direct</v>
      </c>
      <c r="H2090" s="7" t="s">
        <v>2276</v>
      </c>
    </row>
    <row r="2091" spans="1:8" x14ac:dyDescent="0.2">
      <c r="A2091" s="5" t="s">
        <v>13</v>
      </c>
      <c r="B2091" s="6" t="s">
        <v>19</v>
      </c>
      <c r="C2091" s="7" t="s">
        <v>2277</v>
      </c>
      <c r="D2091" s="7"/>
      <c r="E2091" s="8">
        <v>1.4881253800000001</v>
      </c>
      <c r="F2091" s="8">
        <v>1.9088485100000001</v>
      </c>
      <c r="G2091" s="7" t="str">
        <f t="shared" si="14"/>
        <v>Direct</v>
      </c>
      <c r="H2091" s="7" t="s">
        <v>16</v>
      </c>
    </row>
    <row r="2092" spans="1:8" x14ac:dyDescent="0.2">
      <c r="A2092" s="5" t="s">
        <v>13</v>
      </c>
      <c r="B2092" s="6" t="s">
        <v>19</v>
      </c>
      <c r="C2092" s="7" t="s">
        <v>2278</v>
      </c>
      <c r="D2092" s="7"/>
      <c r="E2092" s="8">
        <v>-1.4050997999999999</v>
      </c>
      <c r="F2092" s="8">
        <v>-1.1607694</v>
      </c>
      <c r="G2092" s="7" t="str">
        <f t="shared" si="14"/>
        <v>Direct</v>
      </c>
      <c r="H2092" s="7" t="s">
        <v>2279</v>
      </c>
    </row>
    <row r="2093" spans="1:8" x14ac:dyDescent="0.2">
      <c r="A2093" s="5" t="s">
        <v>13</v>
      </c>
      <c r="B2093" s="6" t="s">
        <v>19</v>
      </c>
      <c r="C2093" s="7" t="s">
        <v>350</v>
      </c>
      <c r="D2093" s="7"/>
      <c r="E2093" s="8">
        <v>-1.383669</v>
      </c>
      <c r="F2093" s="8">
        <v>-1.1522363</v>
      </c>
      <c r="G2093" s="7" t="str">
        <f t="shared" si="14"/>
        <v>Direct</v>
      </c>
      <c r="H2093" s="7" t="s">
        <v>351</v>
      </c>
    </row>
    <row r="2094" spans="1:8" x14ac:dyDescent="0.2">
      <c r="A2094" s="5" t="s">
        <v>13</v>
      </c>
      <c r="B2094" s="6" t="s">
        <v>19</v>
      </c>
      <c r="C2094" s="7" t="s">
        <v>2280</v>
      </c>
      <c r="D2094" s="7"/>
      <c r="E2094" s="8">
        <v>1.45579912</v>
      </c>
      <c r="F2094" s="8">
        <v>2.2394003200000001</v>
      </c>
      <c r="G2094" s="7" t="str">
        <f t="shared" si="14"/>
        <v>Direct</v>
      </c>
      <c r="H2094" s="7" t="s">
        <v>16</v>
      </c>
    </row>
    <row r="2095" spans="1:8" x14ac:dyDescent="0.2">
      <c r="A2095" s="5" t="s">
        <v>13</v>
      </c>
      <c r="B2095" s="6" t="s">
        <v>19</v>
      </c>
      <c r="C2095" s="7" t="s">
        <v>2281</v>
      </c>
      <c r="D2095" s="7"/>
      <c r="E2095" s="8">
        <v>-17.716676</v>
      </c>
      <c r="F2095" s="8">
        <v>-16.477255</v>
      </c>
      <c r="G2095" s="7" t="str">
        <f t="shared" si="14"/>
        <v>Direct</v>
      </c>
      <c r="H2095" s="7" t="s">
        <v>16</v>
      </c>
    </row>
    <row r="2096" spans="1:8" x14ac:dyDescent="0.2">
      <c r="A2096" s="5" t="s">
        <v>13</v>
      </c>
      <c r="B2096" s="6" t="s">
        <v>19</v>
      </c>
      <c r="C2096" s="7" t="s">
        <v>2282</v>
      </c>
      <c r="D2096" s="7"/>
      <c r="E2096" s="8">
        <v>4.3149264299999999</v>
      </c>
      <c r="F2096" s="8">
        <v>1.83964124</v>
      </c>
      <c r="G2096" s="7" t="str">
        <f t="shared" si="14"/>
        <v>Direct</v>
      </c>
      <c r="H2096" s="7" t="s">
        <v>504</v>
      </c>
    </row>
    <row r="2097" spans="1:8" x14ac:dyDescent="0.2">
      <c r="A2097" s="5" t="s">
        <v>13</v>
      </c>
      <c r="B2097" s="6" t="s">
        <v>19</v>
      </c>
      <c r="C2097" s="7" t="s">
        <v>2283</v>
      </c>
      <c r="D2097" s="7"/>
      <c r="E2097" s="8">
        <v>2.2268275800000001</v>
      </c>
      <c r="F2097" s="8">
        <v>1.5134946899999999</v>
      </c>
      <c r="G2097" s="7" t="str">
        <f t="shared" si="14"/>
        <v>Direct</v>
      </c>
      <c r="H2097" s="7" t="s">
        <v>16</v>
      </c>
    </row>
    <row r="2098" spans="1:8" x14ac:dyDescent="0.2">
      <c r="A2098" s="5" t="s">
        <v>13</v>
      </c>
      <c r="B2098" s="6" t="s">
        <v>19</v>
      </c>
      <c r="C2098" s="7" t="s">
        <v>2284</v>
      </c>
      <c r="D2098" s="7"/>
      <c r="E2098" s="8">
        <v>2.3545534400000001</v>
      </c>
      <c r="F2098" s="8">
        <v>3.46215217</v>
      </c>
      <c r="G2098" s="7" t="str">
        <f t="shared" si="14"/>
        <v>Direct</v>
      </c>
      <c r="H2098" s="7" t="s">
        <v>16</v>
      </c>
    </row>
    <row r="2099" spans="1:8" x14ac:dyDescent="0.2">
      <c r="A2099" s="5" t="s">
        <v>13</v>
      </c>
      <c r="B2099" s="6" t="s">
        <v>19</v>
      </c>
      <c r="C2099" s="7" t="s">
        <v>352</v>
      </c>
      <c r="D2099" s="7"/>
      <c r="E2099" s="8">
        <v>-1.0281020000000001</v>
      </c>
      <c r="F2099" s="8">
        <v>-5.0130694</v>
      </c>
      <c r="G2099" s="7" t="str">
        <f t="shared" si="14"/>
        <v>Direct</v>
      </c>
      <c r="H2099" s="7" t="s">
        <v>16</v>
      </c>
    </row>
    <row r="2100" spans="1:8" x14ac:dyDescent="0.2">
      <c r="A2100" s="5" t="s">
        <v>13</v>
      </c>
      <c r="B2100" s="6" t="s">
        <v>19</v>
      </c>
      <c r="C2100" s="7" t="s">
        <v>2285</v>
      </c>
      <c r="D2100" s="7"/>
      <c r="E2100" s="8">
        <v>1.87560449</v>
      </c>
      <c r="F2100" s="8">
        <v>1.6602615300000001</v>
      </c>
      <c r="G2100" s="7" t="str">
        <f t="shared" si="14"/>
        <v>Direct</v>
      </c>
      <c r="H2100" s="7" t="s">
        <v>2286</v>
      </c>
    </row>
    <row r="2101" spans="1:8" x14ac:dyDescent="0.2">
      <c r="A2101" s="5" t="s">
        <v>13</v>
      </c>
      <c r="B2101" s="6" t="s">
        <v>19</v>
      </c>
      <c r="C2101" s="7" t="s">
        <v>2287</v>
      </c>
      <c r="D2101" s="7"/>
      <c r="E2101" s="8">
        <v>1.0525341800000001</v>
      </c>
      <c r="F2101" s="8">
        <v>1.58542597</v>
      </c>
      <c r="G2101" s="7" t="str">
        <f t="shared" si="14"/>
        <v>Direct</v>
      </c>
      <c r="H2101" s="7" t="s">
        <v>2001</v>
      </c>
    </row>
    <row r="2102" spans="1:8" x14ac:dyDescent="0.2">
      <c r="A2102" s="5" t="s">
        <v>13</v>
      </c>
      <c r="B2102" s="6" t="s">
        <v>19</v>
      </c>
      <c r="C2102" s="7" t="s">
        <v>2288</v>
      </c>
      <c r="D2102" s="7"/>
      <c r="E2102" s="8">
        <v>-2.3789558</v>
      </c>
      <c r="F2102" s="8">
        <v>-1.5072425</v>
      </c>
      <c r="G2102" s="7" t="str">
        <f t="shared" si="14"/>
        <v>Direct</v>
      </c>
      <c r="H2102" s="7" t="s">
        <v>100</v>
      </c>
    </row>
    <row r="2103" spans="1:8" x14ac:dyDescent="0.2">
      <c r="A2103" s="5" t="s">
        <v>13</v>
      </c>
      <c r="B2103" s="6" t="s">
        <v>19</v>
      </c>
      <c r="C2103" s="7" t="s">
        <v>2289</v>
      </c>
      <c r="D2103" s="7"/>
      <c r="E2103" s="8">
        <v>-3.0848974999999998</v>
      </c>
      <c r="F2103" s="8">
        <v>-1.2872638000000001</v>
      </c>
      <c r="G2103" s="7" t="str">
        <f t="shared" si="14"/>
        <v>Direct</v>
      </c>
      <c r="H2103" s="7" t="s">
        <v>2290</v>
      </c>
    </row>
    <row r="2104" spans="1:8" x14ac:dyDescent="0.2">
      <c r="A2104" s="5" t="s">
        <v>13</v>
      </c>
      <c r="B2104" s="6" t="s">
        <v>19</v>
      </c>
      <c r="C2104" s="7" t="s">
        <v>2291</v>
      </c>
      <c r="D2104" s="7"/>
      <c r="E2104" s="8">
        <v>-5.3505848</v>
      </c>
      <c r="F2104" s="8">
        <v>-3.6135190000000001</v>
      </c>
      <c r="G2104" s="7" t="str">
        <f t="shared" si="14"/>
        <v>Direct</v>
      </c>
      <c r="H2104" s="7" t="s">
        <v>2290</v>
      </c>
    </row>
    <row r="2105" spans="1:8" x14ac:dyDescent="0.2">
      <c r="A2105" s="5" t="s">
        <v>13</v>
      </c>
      <c r="B2105" s="6" t="s">
        <v>19</v>
      </c>
      <c r="C2105" s="7" t="s">
        <v>2292</v>
      </c>
      <c r="D2105" s="7"/>
      <c r="E2105" s="8">
        <v>3.3177773899999998</v>
      </c>
      <c r="F2105" s="8">
        <v>1.6757408899999999</v>
      </c>
      <c r="G2105" s="7" t="str">
        <f t="shared" si="14"/>
        <v>Direct</v>
      </c>
      <c r="H2105" s="7" t="s">
        <v>287</v>
      </c>
    </row>
    <row r="2106" spans="1:8" x14ac:dyDescent="0.2">
      <c r="A2106" s="5" t="s">
        <v>13</v>
      </c>
      <c r="B2106" s="6" t="s">
        <v>19</v>
      </c>
      <c r="C2106" s="7" t="s">
        <v>2293</v>
      </c>
      <c r="D2106" s="7"/>
      <c r="E2106" s="8">
        <v>9.4766624000000004</v>
      </c>
      <c r="F2106" s="8">
        <v>8.1753595200000007</v>
      </c>
      <c r="G2106" s="7" t="str">
        <f t="shared" si="14"/>
        <v>Direct</v>
      </c>
      <c r="H2106" s="7" t="s">
        <v>287</v>
      </c>
    </row>
    <row r="2107" spans="1:8" x14ac:dyDescent="0.2">
      <c r="A2107" s="5" t="s">
        <v>13</v>
      </c>
      <c r="B2107" s="6" t="s">
        <v>19</v>
      </c>
      <c r="C2107" s="7" t="s">
        <v>353</v>
      </c>
      <c r="D2107" s="7"/>
      <c r="E2107" s="8">
        <v>5.85963748</v>
      </c>
      <c r="F2107" s="8">
        <v>5.2943685199999999</v>
      </c>
      <c r="G2107" s="7" t="str">
        <f t="shared" si="14"/>
        <v>Direct</v>
      </c>
      <c r="H2107" s="7" t="s">
        <v>287</v>
      </c>
    </row>
    <row r="2108" spans="1:8" x14ac:dyDescent="0.2">
      <c r="A2108" s="5" t="s">
        <v>13</v>
      </c>
      <c r="B2108" s="6" t="s">
        <v>19</v>
      </c>
      <c r="C2108" s="7" t="s">
        <v>2294</v>
      </c>
      <c r="D2108" s="7"/>
      <c r="E2108" s="8">
        <v>3.1421277500000002</v>
      </c>
      <c r="F2108" s="8">
        <v>1.99426185</v>
      </c>
      <c r="G2108" s="7" t="str">
        <f t="shared" si="14"/>
        <v>Direct</v>
      </c>
      <c r="H2108" s="7" t="s">
        <v>287</v>
      </c>
    </row>
    <row r="2109" spans="1:8" x14ac:dyDescent="0.2">
      <c r="A2109" s="5" t="s">
        <v>13</v>
      </c>
      <c r="B2109" s="6" t="s">
        <v>19</v>
      </c>
      <c r="C2109" s="7" t="s">
        <v>2295</v>
      </c>
      <c r="D2109" s="7"/>
      <c r="E2109" s="8">
        <v>2.27165689</v>
      </c>
      <c r="F2109" s="8">
        <v>1.97190964</v>
      </c>
      <c r="G2109" s="7" t="str">
        <f t="shared" si="14"/>
        <v>Direct</v>
      </c>
      <c r="H2109" s="7" t="s">
        <v>16</v>
      </c>
    </row>
    <row r="2110" spans="1:8" x14ac:dyDescent="0.2">
      <c r="A2110" s="5" t="s">
        <v>13</v>
      </c>
      <c r="B2110" s="6" t="s">
        <v>19</v>
      </c>
      <c r="C2110" s="7" t="s">
        <v>2296</v>
      </c>
      <c r="D2110" s="7"/>
      <c r="E2110" s="8">
        <v>1.63133846</v>
      </c>
      <c r="F2110" s="8">
        <v>1.2053833199999999</v>
      </c>
      <c r="G2110" s="7" t="str">
        <f t="shared" si="14"/>
        <v>Direct</v>
      </c>
      <c r="H2110" s="7" t="s">
        <v>375</v>
      </c>
    </row>
    <row r="2111" spans="1:8" x14ac:dyDescent="0.2">
      <c r="A2111" s="5" t="s">
        <v>13</v>
      </c>
      <c r="B2111" s="6" t="s">
        <v>19</v>
      </c>
      <c r="C2111" s="7" t="s">
        <v>354</v>
      </c>
      <c r="D2111" s="7"/>
      <c r="E2111" s="8">
        <v>-8.5878376000000003</v>
      </c>
      <c r="F2111" s="8">
        <v>-5.0773902</v>
      </c>
      <c r="G2111" s="7" t="str">
        <f t="shared" si="14"/>
        <v>Direct</v>
      </c>
      <c r="H2111" s="7" t="s">
        <v>16</v>
      </c>
    </row>
    <row r="2112" spans="1:8" x14ac:dyDescent="0.2">
      <c r="A2112" s="5" t="s">
        <v>13</v>
      </c>
      <c r="B2112" s="6" t="s">
        <v>19</v>
      </c>
      <c r="C2112" s="7" t="s">
        <v>2297</v>
      </c>
      <c r="D2112" s="7"/>
      <c r="E2112" s="8">
        <v>-1.3698824000000001</v>
      </c>
      <c r="F2112" s="8">
        <v>-1.0008804</v>
      </c>
      <c r="G2112" s="7" t="str">
        <f t="shared" si="14"/>
        <v>Direct</v>
      </c>
      <c r="H2112" s="7" t="s">
        <v>2298</v>
      </c>
    </row>
    <row r="2113" spans="1:8" x14ac:dyDescent="0.2">
      <c r="A2113" s="5" t="s">
        <v>13</v>
      </c>
      <c r="B2113" s="6" t="s">
        <v>19</v>
      </c>
      <c r="C2113" s="7" t="s">
        <v>355</v>
      </c>
      <c r="D2113" s="7"/>
      <c r="E2113" s="8">
        <v>-3.1724800000000002</v>
      </c>
      <c r="F2113" s="8">
        <v>-5.9054278</v>
      </c>
      <c r="G2113" s="7" t="str">
        <f t="shared" si="14"/>
        <v>Direct</v>
      </c>
      <c r="H2113" s="7" t="s">
        <v>16</v>
      </c>
    </row>
    <row r="2114" spans="1:8" x14ac:dyDescent="0.2">
      <c r="A2114" s="5" t="s">
        <v>13</v>
      </c>
      <c r="B2114" s="6" t="s">
        <v>19</v>
      </c>
      <c r="C2114" s="7" t="s">
        <v>2299</v>
      </c>
      <c r="D2114" s="7"/>
      <c r="E2114" s="8">
        <v>1.7971804</v>
      </c>
      <c r="F2114" s="8">
        <v>1.5710769099999999</v>
      </c>
      <c r="G2114" s="7" t="str">
        <f t="shared" si="14"/>
        <v>Direct</v>
      </c>
      <c r="H2114" s="7" t="s">
        <v>16</v>
      </c>
    </row>
    <row r="2115" spans="1:8" x14ac:dyDescent="0.2">
      <c r="A2115" s="5" t="s">
        <v>13</v>
      </c>
      <c r="B2115" s="6" t="s">
        <v>19</v>
      </c>
      <c r="C2115" s="7" t="s">
        <v>2300</v>
      </c>
      <c r="D2115" s="7"/>
      <c r="E2115" s="8">
        <v>1.71842487</v>
      </c>
      <c r="F2115" s="8">
        <v>1.0375085900000001</v>
      </c>
      <c r="G2115" s="7" t="str">
        <f t="shared" si="14"/>
        <v>Direct</v>
      </c>
      <c r="H2115" s="7" t="s">
        <v>16</v>
      </c>
    </row>
    <row r="2116" spans="1:8" x14ac:dyDescent="0.2">
      <c r="A2116" s="5" t="s">
        <v>13</v>
      </c>
      <c r="B2116" s="6" t="s">
        <v>19</v>
      </c>
      <c r="C2116" s="7" t="s">
        <v>2301</v>
      </c>
      <c r="D2116" s="7"/>
      <c r="E2116" s="8">
        <v>-1.9475267999999999</v>
      </c>
      <c r="F2116" s="8">
        <v>-2.1584203</v>
      </c>
      <c r="G2116" s="7" t="str">
        <f t="shared" si="14"/>
        <v>Direct</v>
      </c>
      <c r="H2116" s="7" t="s">
        <v>16</v>
      </c>
    </row>
    <row r="2117" spans="1:8" x14ac:dyDescent="0.2">
      <c r="A2117" s="5" t="s">
        <v>13</v>
      </c>
      <c r="B2117" s="6" t="s">
        <v>19</v>
      </c>
      <c r="C2117" s="7" t="s">
        <v>2302</v>
      </c>
      <c r="D2117" s="7"/>
      <c r="E2117" s="8">
        <v>-2.0457809999999998</v>
      </c>
      <c r="F2117" s="8">
        <v>-1.0494056</v>
      </c>
      <c r="G2117" s="7" t="str">
        <f t="shared" si="14"/>
        <v>Direct</v>
      </c>
      <c r="H2117" s="7" t="s">
        <v>2303</v>
      </c>
    </row>
    <row r="2118" spans="1:8" x14ac:dyDescent="0.2">
      <c r="A2118" s="5" t="s">
        <v>13</v>
      </c>
      <c r="B2118" s="6" t="s">
        <v>19</v>
      </c>
      <c r="C2118" s="7" t="s">
        <v>2304</v>
      </c>
      <c r="D2118" s="7"/>
      <c r="E2118" s="8">
        <v>-5.1834147000000002</v>
      </c>
      <c r="F2118" s="8">
        <v>-4.0382556000000003</v>
      </c>
      <c r="G2118" s="7" t="str">
        <f t="shared" si="14"/>
        <v>Direct</v>
      </c>
      <c r="H2118" s="7" t="s">
        <v>2201</v>
      </c>
    </row>
    <row r="2119" spans="1:8" x14ac:dyDescent="0.2">
      <c r="A2119" s="5" t="s">
        <v>13</v>
      </c>
      <c r="B2119" s="6" t="s">
        <v>19</v>
      </c>
      <c r="C2119" s="7" t="s">
        <v>2305</v>
      </c>
      <c r="D2119" s="7"/>
      <c r="E2119" s="8">
        <v>-1.4949356</v>
      </c>
      <c r="F2119" s="8">
        <v>-2.5715042000000001</v>
      </c>
      <c r="G2119" s="7" t="str">
        <f t="shared" si="14"/>
        <v>Direct</v>
      </c>
      <c r="H2119" s="7" t="s">
        <v>2201</v>
      </c>
    </row>
    <row r="2120" spans="1:8" x14ac:dyDescent="0.2">
      <c r="A2120" s="5" t="s">
        <v>13</v>
      </c>
      <c r="B2120" s="6" t="s">
        <v>19</v>
      </c>
      <c r="C2120" s="7" t="s">
        <v>359</v>
      </c>
      <c r="D2120" s="7"/>
      <c r="E2120" s="8">
        <v>-3.8404848</v>
      </c>
      <c r="F2120" s="8">
        <v>-3.4872413999999998</v>
      </c>
      <c r="G2120" s="7" t="str">
        <f t="shared" si="14"/>
        <v>Direct</v>
      </c>
      <c r="H2120" s="7" t="s">
        <v>16</v>
      </c>
    </row>
    <row r="2121" spans="1:8" x14ac:dyDescent="0.2">
      <c r="A2121" s="5" t="s">
        <v>13</v>
      </c>
      <c r="B2121" s="6" t="s">
        <v>19</v>
      </c>
      <c r="C2121" s="7" t="s">
        <v>360</v>
      </c>
      <c r="D2121" s="7"/>
      <c r="E2121" s="8">
        <v>-1.3295524999999999</v>
      </c>
      <c r="F2121" s="8">
        <v>-1.4802917</v>
      </c>
      <c r="G2121" s="7" t="str">
        <f t="shared" si="14"/>
        <v>Direct</v>
      </c>
      <c r="H2121" s="7" t="s">
        <v>16</v>
      </c>
    </row>
    <row r="2122" spans="1:8" x14ac:dyDescent="0.2">
      <c r="A2122" s="5" t="s">
        <v>13</v>
      </c>
      <c r="B2122" s="6" t="s">
        <v>19</v>
      </c>
      <c r="C2122" s="7" t="s">
        <v>361</v>
      </c>
      <c r="D2122" s="7"/>
      <c r="E2122" s="8">
        <v>-2.0930518999999999</v>
      </c>
      <c r="F2122" s="8">
        <v>-1.2110082</v>
      </c>
      <c r="G2122" s="7" t="str">
        <f t="shared" si="14"/>
        <v>Direct</v>
      </c>
      <c r="H2122" s="7" t="s">
        <v>16</v>
      </c>
    </row>
    <row r="2123" spans="1:8" x14ac:dyDescent="0.2">
      <c r="A2123" s="5" t="s">
        <v>13</v>
      </c>
      <c r="B2123" s="6" t="s">
        <v>19</v>
      </c>
      <c r="C2123" s="7" t="s">
        <v>2306</v>
      </c>
      <c r="D2123" s="7"/>
      <c r="E2123" s="8">
        <v>-3.9019930999999999</v>
      </c>
      <c r="F2123" s="8">
        <v>-2.7450065000000001</v>
      </c>
      <c r="G2123" s="7" t="str">
        <f t="shared" si="14"/>
        <v>Direct</v>
      </c>
      <c r="H2123" s="7" t="s">
        <v>16</v>
      </c>
    </row>
    <row r="2124" spans="1:8" x14ac:dyDescent="0.2">
      <c r="A2124" s="5" t="s">
        <v>13</v>
      </c>
      <c r="B2124" s="6" t="s">
        <v>19</v>
      </c>
      <c r="C2124" s="7" t="s">
        <v>362</v>
      </c>
      <c r="D2124" s="7"/>
      <c r="E2124" s="8">
        <v>-12.761623</v>
      </c>
      <c r="F2124" s="8">
        <v>-7.5453058000000004</v>
      </c>
      <c r="G2124" s="7" t="str">
        <f t="shared" si="14"/>
        <v>Direct</v>
      </c>
      <c r="H2124" s="7" t="s">
        <v>16</v>
      </c>
    </row>
    <row r="2125" spans="1:8" x14ac:dyDescent="0.2">
      <c r="A2125" s="5" t="s">
        <v>13</v>
      </c>
      <c r="B2125" s="6" t="s">
        <v>19</v>
      </c>
      <c r="C2125" s="7" t="s">
        <v>2307</v>
      </c>
      <c r="D2125" s="7"/>
      <c r="E2125" s="8">
        <v>-1.2297996</v>
      </c>
      <c r="F2125" s="8">
        <v>-1.3695778000000001</v>
      </c>
      <c r="G2125" s="7" t="str">
        <f t="shared" si="14"/>
        <v>Direct</v>
      </c>
      <c r="H2125" s="7" t="s">
        <v>16</v>
      </c>
    </row>
    <row r="2126" spans="1:8" x14ac:dyDescent="0.2">
      <c r="A2126" s="5" t="s">
        <v>13</v>
      </c>
      <c r="B2126" s="6" t="s">
        <v>19</v>
      </c>
      <c r="C2126" s="7" t="s">
        <v>363</v>
      </c>
      <c r="D2126" s="7"/>
      <c r="E2126" s="8">
        <v>-7.0006687000000003</v>
      </c>
      <c r="F2126" s="8">
        <v>-3.4466915</v>
      </c>
      <c r="G2126" s="7" t="str">
        <f t="shared" si="14"/>
        <v>Direct</v>
      </c>
      <c r="H2126" s="7" t="s">
        <v>16</v>
      </c>
    </row>
    <row r="2127" spans="1:8" x14ac:dyDescent="0.2">
      <c r="A2127" s="5" t="s">
        <v>13</v>
      </c>
      <c r="B2127" s="6" t="s">
        <v>19</v>
      </c>
      <c r="C2127" s="7" t="s">
        <v>2308</v>
      </c>
      <c r="D2127" s="7"/>
      <c r="E2127" s="8">
        <v>-6.2440788999999999</v>
      </c>
      <c r="F2127" s="8">
        <v>-9.9973877000000009</v>
      </c>
      <c r="G2127" s="7" t="str">
        <f t="shared" si="14"/>
        <v>Direct</v>
      </c>
      <c r="H2127" s="7" t="s">
        <v>16</v>
      </c>
    </row>
    <row r="2128" spans="1:8" x14ac:dyDescent="0.2">
      <c r="A2128" s="5" t="s">
        <v>13</v>
      </c>
      <c r="B2128" s="6" t="s">
        <v>19</v>
      </c>
      <c r="C2128" s="7" t="s">
        <v>2309</v>
      </c>
      <c r="D2128" s="7"/>
      <c r="E2128" s="8">
        <v>-5.7105923000000001</v>
      </c>
      <c r="F2128" s="8">
        <v>-4.7352473000000002</v>
      </c>
      <c r="G2128" s="7" t="str">
        <f t="shared" si="14"/>
        <v>Direct</v>
      </c>
      <c r="H2128" s="7" t="s">
        <v>2310</v>
      </c>
    </row>
    <row r="2129" spans="1:8" x14ac:dyDescent="0.2">
      <c r="A2129" s="5" t="s">
        <v>13</v>
      </c>
      <c r="B2129" s="6" t="s">
        <v>19</v>
      </c>
      <c r="C2129" s="7" t="s">
        <v>2311</v>
      </c>
      <c r="D2129" s="7"/>
      <c r="E2129" s="8">
        <v>-2.0394594000000001</v>
      </c>
      <c r="F2129" s="8">
        <v>-1.1369587000000001</v>
      </c>
      <c r="G2129" s="7" t="str">
        <f t="shared" si="14"/>
        <v>Direct</v>
      </c>
      <c r="H2129" s="7" t="s">
        <v>2312</v>
      </c>
    </row>
    <row r="2130" spans="1:8" x14ac:dyDescent="0.2">
      <c r="A2130" s="5" t="s">
        <v>13</v>
      </c>
      <c r="B2130" s="6" t="s">
        <v>19</v>
      </c>
      <c r="C2130" s="7" t="s">
        <v>2313</v>
      </c>
      <c r="D2130" s="7"/>
      <c r="E2130" s="8">
        <v>4.1403618700000004</v>
      </c>
      <c r="F2130" s="8">
        <v>3.9818737799999999</v>
      </c>
      <c r="G2130" s="7" t="str">
        <f t="shared" si="14"/>
        <v>Direct</v>
      </c>
      <c r="H2130" s="7" t="s">
        <v>16</v>
      </c>
    </row>
    <row r="2131" spans="1:8" x14ac:dyDescent="0.2">
      <c r="A2131" s="5" t="s">
        <v>13</v>
      </c>
      <c r="B2131" s="6" t="s">
        <v>19</v>
      </c>
      <c r="C2131" s="7" t="s">
        <v>2314</v>
      </c>
      <c r="D2131" s="7"/>
      <c r="E2131" s="8">
        <v>2.64556397</v>
      </c>
      <c r="F2131" s="8">
        <v>1.5777264499999999</v>
      </c>
      <c r="G2131" s="7" t="str">
        <f t="shared" si="14"/>
        <v>Direct</v>
      </c>
      <c r="H2131" s="7" t="s">
        <v>16</v>
      </c>
    </row>
    <row r="2132" spans="1:8" x14ac:dyDescent="0.2">
      <c r="A2132" s="5" t="s">
        <v>13</v>
      </c>
      <c r="B2132" s="6" t="s">
        <v>19</v>
      </c>
      <c r="C2132" s="7" t="s">
        <v>2315</v>
      </c>
      <c r="D2132" s="7"/>
      <c r="E2132" s="8">
        <v>3.15543613</v>
      </c>
      <c r="F2132" s="8">
        <v>2.3288476500000002</v>
      </c>
      <c r="G2132" s="7" t="str">
        <f t="shared" si="14"/>
        <v>Direct</v>
      </c>
      <c r="H2132" s="7" t="s">
        <v>16</v>
      </c>
    </row>
    <row r="2133" spans="1:8" x14ac:dyDescent="0.2">
      <c r="A2133" s="5" t="s">
        <v>13</v>
      </c>
      <c r="B2133" s="6" t="s">
        <v>19</v>
      </c>
      <c r="C2133" s="7" t="s">
        <v>2316</v>
      </c>
      <c r="D2133" s="7"/>
      <c r="E2133" s="8">
        <v>-5.3275132999999997</v>
      </c>
      <c r="F2133" s="8">
        <v>-4.7769697999999998</v>
      </c>
      <c r="G2133" s="7" t="str">
        <f t="shared" si="14"/>
        <v>Direct</v>
      </c>
      <c r="H2133" s="7" t="s">
        <v>16</v>
      </c>
    </row>
    <row r="2134" spans="1:8" x14ac:dyDescent="0.2">
      <c r="A2134" s="5" t="s">
        <v>13</v>
      </c>
      <c r="B2134" s="6" t="s">
        <v>19</v>
      </c>
      <c r="C2134" s="7" t="s">
        <v>364</v>
      </c>
      <c r="D2134" s="7"/>
      <c r="E2134" s="8">
        <v>-2.7684432000000001</v>
      </c>
      <c r="F2134" s="8">
        <v>-3.5079950000000002</v>
      </c>
      <c r="G2134" s="7" t="str">
        <f t="shared" si="14"/>
        <v>Direct</v>
      </c>
      <c r="H2134" s="7" t="s">
        <v>365</v>
      </c>
    </row>
    <row r="2135" spans="1:8" x14ac:dyDescent="0.2">
      <c r="A2135" s="5" t="s">
        <v>13</v>
      </c>
      <c r="B2135" s="6" t="s">
        <v>19</v>
      </c>
      <c r="C2135" s="7" t="s">
        <v>2317</v>
      </c>
      <c r="D2135" s="7"/>
      <c r="E2135" s="8">
        <v>1.2531840299999999</v>
      </c>
      <c r="F2135" s="8">
        <v>1.2264394000000001</v>
      </c>
      <c r="G2135" s="7" t="str">
        <f t="shared" si="14"/>
        <v>Direct</v>
      </c>
      <c r="H2135" s="7" t="s">
        <v>16</v>
      </c>
    </row>
    <row r="2136" spans="1:8" x14ac:dyDescent="0.2">
      <c r="A2136" s="5" t="s">
        <v>13</v>
      </c>
      <c r="B2136" s="6" t="s">
        <v>19</v>
      </c>
      <c r="C2136" s="7" t="s">
        <v>2318</v>
      </c>
      <c r="D2136" s="7"/>
      <c r="E2136" s="8">
        <v>1.10031232</v>
      </c>
      <c r="F2136" s="8">
        <v>1.3139179000000001</v>
      </c>
      <c r="G2136" s="7" t="str">
        <f t="shared" si="14"/>
        <v>Direct</v>
      </c>
      <c r="H2136" s="7" t="s">
        <v>16</v>
      </c>
    </row>
    <row r="2137" spans="1:8" x14ac:dyDescent="0.2">
      <c r="A2137" s="5" t="s">
        <v>13</v>
      </c>
      <c r="B2137" s="6" t="s">
        <v>19</v>
      </c>
      <c r="C2137" s="7" t="s">
        <v>2319</v>
      </c>
      <c r="D2137" s="7"/>
      <c r="E2137" s="8">
        <v>1.4312118599999999</v>
      </c>
      <c r="F2137" s="8">
        <v>1.3022767799999999</v>
      </c>
      <c r="G2137" s="7" t="str">
        <f t="shared" si="14"/>
        <v>Direct</v>
      </c>
      <c r="H2137" s="7" t="s">
        <v>2320</v>
      </c>
    </row>
    <row r="2138" spans="1:8" x14ac:dyDescent="0.2">
      <c r="A2138" s="5" t="s">
        <v>13</v>
      </c>
      <c r="B2138" s="6" t="s">
        <v>19</v>
      </c>
      <c r="C2138" s="7" t="s">
        <v>2321</v>
      </c>
      <c r="D2138" s="7"/>
      <c r="E2138" s="8">
        <v>-2.7809900999999999</v>
      </c>
      <c r="F2138" s="8">
        <v>-3.3935578</v>
      </c>
      <c r="G2138" s="7" t="str">
        <f t="shared" si="14"/>
        <v>Direct</v>
      </c>
      <c r="H2138" s="7" t="s">
        <v>2322</v>
      </c>
    </row>
    <row r="2139" spans="1:8" x14ac:dyDescent="0.2">
      <c r="A2139" s="5" t="s">
        <v>13</v>
      </c>
      <c r="B2139" s="6" t="s">
        <v>19</v>
      </c>
      <c r="C2139" s="7" t="s">
        <v>2323</v>
      </c>
      <c r="D2139" s="7"/>
      <c r="E2139" s="8">
        <v>1.0907083399999999</v>
      </c>
      <c r="F2139" s="8">
        <v>1.4418172499999999</v>
      </c>
      <c r="G2139" s="7" t="str">
        <f t="shared" si="14"/>
        <v>Direct</v>
      </c>
      <c r="H2139" s="7" t="s">
        <v>16</v>
      </c>
    </row>
    <row r="2140" spans="1:8" x14ac:dyDescent="0.2">
      <c r="A2140" s="5" t="s">
        <v>13</v>
      </c>
      <c r="B2140" s="6" t="s">
        <v>19</v>
      </c>
      <c r="C2140" s="7" t="s">
        <v>2324</v>
      </c>
      <c r="D2140" s="7"/>
      <c r="E2140" s="8">
        <v>2.42067524</v>
      </c>
      <c r="F2140" s="8">
        <v>1.9612342899999999</v>
      </c>
      <c r="G2140" s="7" t="str">
        <f t="shared" si="14"/>
        <v>Direct</v>
      </c>
      <c r="H2140" s="7" t="s">
        <v>2325</v>
      </c>
    </row>
    <row r="2141" spans="1:8" x14ac:dyDescent="0.2">
      <c r="A2141" s="5" t="s">
        <v>13</v>
      </c>
      <c r="B2141" s="6" t="s">
        <v>19</v>
      </c>
      <c r="C2141" s="7" t="s">
        <v>2326</v>
      </c>
      <c r="D2141" s="7"/>
      <c r="E2141" s="8">
        <v>2.7414831799999999</v>
      </c>
      <c r="F2141" s="8">
        <v>3.0574581900000002</v>
      </c>
      <c r="G2141" s="7" t="str">
        <f t="shared" si="14"/>
        <v>Direct</v>
      </c>
      <c r="H2141" s="7" t="s">
        <v>16</v>
      </c>
    </row>
    <row r="2142" spans="1:8" x14ac:dyDescent="0.2">
      <c r="A2142" s="5" t="s">
        <v>13</v>
      </c>
      <c r="B2142" s="6" t="s">
        <v>19</v>
      </c>
      <c r="C2142" s="7" t="s">
        <v>366</v>
      </c>
      <c r="D2142" s="7"/>
      <c r="E2142" s="8">
        <v>-2.8226849999999999</v>
      </c>
      <c r="F2142" s="8">
        <v>-2.347505</v>
      </c>
      <c r="G2142" s="7" t="str">
        <f t="shared" si="14"/>
        <v>Direct</v>
      </c>
      <c r="H2142" s="7" t="s">
        <v>16</v>
      </c>
    </row>
    <row r="2143" spans="1:8" x14ac:dyDescent="0.2">
      <c r="A2143" s="5" t="s">
        <v>13</v>
      </c>
      <c r="B2143" s="6" t="s">
        <v>19</v>
      </c>
      <c r="C2143" s="7" t="s">
        <v>2327</v>
      </c>
      <c r="D2143" s="7"/>
      <c r="E2143" s="8">
        <v>3.4445382699999998</v>
      </c>
      <c r="F2143" s="8">
        <v>3.81185843</v>
      </c>
      <c r="G2143" s="7" t="str">
        <f t="shared" si="14"/>
        <v>Direct</v>
      </c>
      <c r="H2143" s="7" t="s">
        <v>2328</v>
      </c>
    </row>
    <row r="2144" spans="1:8" x14ac:dyDescent="0.2">
      <c r="A2144" s="5" t="s">
        <v>13</v>
      </c>
      <c r="B2144" s="6" t="s">
        <v>19</v>
      </c>
      <c r="C2144" s="7" t="s">
        <v>2329</v>
      </c>
      <c r="D2144" s="7"/>
      <c r="E2144" s="8">
        <v>3.38650897</v>
      </c>
      <c r="F2144" s="8">
        <v>3.9289344700000002</v>
      </c>
      <c r="G2144" s="7" t="str">
        <f t="shared" si="14"/>
        <v>Direct</v>
      </c>
      <c r="H2144" s="7" t="s">
        <v>16</v>
      </c>
    </row>
    <row r="2145" spans="1:8" x14ac:dyDescent="0.2">
      <c r="A2145" s="5" t="s">
        <v>13</v>
      </c>
      <c r="B2145" s="6" t="s">
        <v>19</v>
      </c>
      <c r="C2145" s="7" t="s">
        <v>2330</v>
      </c>
      <c r="D2145" s="7"/>
      <c r="E2145" s="8">
        <v>-1.6087689000000001</v>
      </c>
      <c r="F2145" s="8">
        <v>-2.3827590000000001</v>
      </c>
      <c r="G2145" s="7" t="str">
        <f t="shared" si="14"/>
        <v>Direct</v>
      </c>
      <c r="H2145" s="7" t="s">
        <v>2331</v>
      </c>
    </row>
    <row r="2146" spans="1:8" x14ac:dyDescent="0.2">
      <c r="A2146" s="5" t="s">
        <v>13</v>
      </c>
      <c r="B2146" s="6" t="s">
        <v>19</v>
      </c>
      <c r="C2146" s="7" t="s">
        <v>2332</v>
      </c>
      <c r="D2146" s="7"/>
      <c r="E2146" s="8">
        <v>-1.3136733</v>
      </c>
      <c r="F2146" s="8">
        <v>-1.1136244</v>
      </c>
      <c r="G2146" s="7" t="str">
        <f t="shared" si="14"/>
        <v>Direct</v>
      </c>
      <c r="H2146" s="7" t="s">
        <v>2333</v>
      </c>
    </row>
    <row r="2147" spans="1:8" x14ac:dyDescent="0.2">
      <c r="A2147" s="5" t="s">
        <v>13</v>
      </c>
      <c r="B2147" s="6" t="s">
        <v>19</v>
      </c>
      <c r="C2147" s="7" t="s">
        <v>2334</v>
      </c>
      <c r="D2147" s="7"/>
      <c r="E2147" s="8">
        <v>7.8660564600000002</v>
      </c>
      <c r="F2147" s="8">
        <v>4.7512853000000002</v>
      </c>
      <c r="G2147" s="7" t="str">
        <f t="shared" si="14"/>
        <v>Direct</v>
      </c>
      <c r="H2147" s="7" t="s">
        <v>1337</v>
      </c>
    </row>
    <row r="2148" spans="1:8" x14ac:dyDescent="0.2">
      <c r="A2148" s="5" t="s">
        <v>13</v>
      </c>
      <c r="B2148" s="6" t="s">
        <v>19</v>
      </c>
      <c r="C2148" s="7" t="s">
        <v>2335</v>
      </c>
      <c r="D2148" s="7"/>
      <c r="E2148" s="8">
        <v>-1.3273634000000001</v>
      </c>
      <c r="F2148" s="8">
        <v>-1.7466927000000001</v>
      </c>
      <c r="G2148" s="7" t="str">
        <f t="shared" si="14"/>
        <v>Direct</v>
      </c>
      <c r="H2148" s="7" t="s">
        <v>1337</v>
      </c>
    </row>
    <row r="2149" spans="1:8" x14ac:dyDescent="0.2">
      <c r="A2149" s="5" t="s">
        <v>13</v>
      </c>
      <c r="B2149" s="6" t="s">
        <v>19</v>
      </c>
      <c r="C2149" s="7" t="s">
        <v>367</v>
      </c>
      <c r="D2149" s="7"/>
      <c r="E2149" s="8">
        <v>-1.3698824000000001</v>
      </c>
      <c r="F2149" s="8">
        <v>-3.1334545</v>
      </c>
      <c r="G2149" s="7" t="str">
        <f t="shared" si="14"/>
        <v>Direct</v>
      </c>
      <c r="H2149" s="7" t="s">
        <v>16</v>
      </c>
    </row>
    <row r="2150" spans="1:8" x14ac:dyDescent="0.2">
      <c r="A2150" s="5" t="s">
        <v>13</v>
      </c>
      <c r="B2150" s="6" t="s">
        <v>19</v>
      </c>
      <c r="C2150" s="7" t="s">
        <v>2336</v>
      </c>
      <c r="D2150" s="7"/>
      <c r="E2150" s="8">
        <v>2.79079933</v>
      </c>
      <c r="F2150" s="8">
        <v>1.8501128099999999</v>
      </c>
      <c r="G2150" s="7" t="str">
        <f t="shared" si="14"/>
        <v>Direct</v>
      </c>
      <c r="H2150" s="7" t="s">
        <v>2337</v>
      </c>
    </row>
    <row r="2151" spans="1:8" x14ac:dyDescent="0.2">
      <c r="A2151" s="5" t="s">
        <v>13</v>
      </c>
      <c r="B2151" s="6" t="s">
        <v>19</v>
      </c>
      <c r="C2151" s="7" t="s">
        <v>2338</v>
      </c>
      <c r="D2151" s="7"/>
      <c r="E2151" s="8">
        <v>3.0847753</v>
      </c>
      <c r="F2151" s="8">
        <v>2.5407341400000001</v>
      </c>
      <c r="G2151" s="7" t="str">
        <f t="shared" si="14"/>
        <v>Direct</v>
      </c>
      <c r="H2151" s="7" t="s">
        <v>16</v>
      </c>
    </row>
    <row r="2152" spans="1:8" x14ac:dyDescent="0.2">
      <c r="A2152" s="5" t="s">
        <v>13</v>
      </c>
      <c r="B2152" s="6" t="s">
        <v>19</v>
      </c>
      <c r="C2152" s="7" t="s">
        <v>2339</v>
      </c>
      <c r="D2152" s="7"/>
      <c r="E2152" s="8">
        <v>5.6379971500000003</v>
      </c>
      <c r="F2152" s="8">
        <v>4.99992152</v>
      </c>
      <c r="G2152" s="7" t="str">
        <f t="shared" si="14"/>
        <v>Direct</v>
      </c>
      <c r="H2152" s="7" t="s">
        <v>16</v>
      </c>
    </row>
    <row r="2153" spans="1:8" x14ac:dyDescent="0.2">
      <c r="A2153" s="5" t="s">
        <v>13</v>
      </c>
      <c r="B2153" s="6" t="s">
        <v>19</v>
      </c>
      <c r="C2153" s="7" t="s">
        <v>2340</v>
      </c>
      <c r="D2153" s="7"/>
      <c r="E2153" s="8">
        <v>-2.3138228999999999</v>
      </c>
      <c r="F2153" s="8">
        <v>-1.6094831000000001</v>
      </c>
      <c r="G2153" s="7" t="str">
        <f t="shared" si="14"/>
        <v>Direct</v>
      </c>
      <c r="H2153" s="7" t="s">
        <v>2341</v>
      </c>
    </row>
    <row r="2154" spans="1:8" x14ac:dyDescent="0.2">
      <c r="A2154" s="5" t="s">
        <v>13</v>
      </c>
      <c r="B2154" s="6" t="s">
        <v>19</v>
      </c>
      <c r="C2154" s="7" t="s">
        <v>368</v>
      </c>
      <c r="D2154" s="7"/>
      <c r="E2154" s="8">
        <v>-19.711349999999999</v>
      </c>
      <c r="F2154" s="8">
        <v>-13.810053</v>
      </c>
      <c r="G2154" s="7" t="str">
        <f t="shared" si="14"/>
        <v>Direct</v>
      </c>
      <c r="H2154" s="7" t="s">
        <v>16</v>
      </c>
    </row>
    <row r="2155" spans="1:8" x14ac:dyDescent="0.2">
      <c r="A2155" s="5" t="s">
        <v>13</v>
      </c>
      <c r="B2155" s="6" t="s">
        <v>19</v>
      </c>
      <c r="C2155" s="7" t="s">
        <v>369</v>
      </c>
      <c r="D2155" s="7"/>
      <c r="E2155" s="8">
        <v>-6.8078526000000004</v>
      </c>
      <c r="F2155" s="8">
        <v>-4.4139945999999997</v>
      </c>
      <c r="G2155" s="7" t="str">
        <f t="shared" si="14"/>
        <v>Direct</v>
      </c>
      <c r="H2155" s="7" t="s">
        <v>16</v>
      </c>
    </row>
    <row r="2156" spans="1:8" x14ac:dyDescent="0.2">
      <c r="A2156" s="5" t="s">
        <v>13</v>
      </c>
      <c r="B2156" s="6" t="s">
        <v>19</v>
      </c>
      <c r="C2156" s="7" t="s">
        <v>370</v>
      </c>
      <c r="D2156" s="7"/>
      <c r="E2156" s="8">
        <v>-9.9175359000000007</v>
      </c>
      <c r="F2156" s="8">
        <v>-7.3825368999999998</v>
      </c>
      <c r="G2156" s="7" t="str">
        <f t="shared" si="14"/>
        <v>Direct</v>
      </c>
      <c r="H2156" s="7" t="s">
        <v>16</v>
      </c>
    </row>
    <row r="2157" spans="1:8" x14ac:dyDescent="0.2">
      <c r="A2157" s="5" t="s">
        <v>13</v>
      </c>
      <c r="B2157" s="6" t="s">
        <v>19</v>
      </c>
      <c r="C2157" s="7" t="s">
        <v>371</v>
      </c>
      <c r="D2157" s="7"/>
      <c r="E2157" s="8">
        <v>-5.7703731999999999</v>
      </c>
      <c r="F2157" s="8">
        <v>-3.3825886000000001</v>
      </c>
      <c r="G2157" s="7" t="str">
        <f t="shared" si="14"/>
        <v>Direct</v>
      </c>
      <c r="H2157" s="7" t="s">
        <v>16</v>
      </c>
    </row>
    <row r="2158" spans="1:8" x14ac:dyDescent="0.2">
      <c r="A2158" s="5" t="s">
        <v>13</v>
      </c>
      <c r="B2158" s="6" t="s">
        <v>19</v>
      </c>
      <c r="C2158" s="7" t="s">
        <v>372</v>
      </c>
      <c r="D2158" s="7"/>
      <c r="E2158" s="8">
        <v>-12.079803999999999</v>
      </c>
      <c r="F2158" s="8">
        <v>-9.5079930000000008</v>
      </c>
      <c r="G2158" s="7" t="str">
        <f t="shared" si="14"/>
        <v>Direct</v>
      </c>
      <c r="H2158" s="7" t="s">
        <v>16</v>
      </c>
    </row>
    <row r="2159" spans="1:8" x14ac:dyDescent="0.2">
      <c r="A2159" s="5" t="s">
        <v>13</v>
      </c>
      <c r="B2159" s="6" t="s">
        <v>19</v>
      </c>
      <c r="C2159" s="7" t="s">
        <v>373</v>
      </c>
      <c r="D2159" s="7"/>
      <c r="E2159" s="8">
        <v>-10.234959999999999</v>
      </c>
      <c r="F2159" s="8">
        <v>-6.7710894000000001</v>
      </c>
      <c r="G2159" s="7" t="str">
        <f t="shared" si="14"/>
        <v>Direct</v>
      </c>
      <c r="H2159" s="7" t="s">
        <v>16</v>
      </c>
    </row>
    <row r="2160" spans="1:8" x14ac:dyDescent="0.2">
      <c r="A2160" s="5" t="s">
        <v>13</v>
      </c>
      <c r="B2160" s="6" t="s">
        <v>19</v>
      </c>
      <c r="C2160" s="7" t="s">
        <v>374</v>
      </c>
      <c r="D2160" s="7"/>
      <c r="E2160" s="8">
        <v>-1.6543595</v>
      </c>
      <c r="F2160" s="8">
        <v>-2.5002469999999999</v>
      </c>
      <c r="G2160" s="7" t="str">
        <f t="shared" si="14"/>
        <v>Direct</v>
      </c>
      <c r="H2160" s="7" t="s">
        <v>375</v>
      </c>
    </row>
    <row r="2161" spans="1:8" x14ac:dyDescent="0.2">
      <c r="A2161" s="5" t="s">
        <v>13</v>
      </c>
      <c r="B2161" s="6" t="s">
        <v>19</v>
      </c>
      <c r="C2161" s="7" t="s">
        <v>2342</v>
      </c>
      <c r="D2161" s="7"/>
      <c r="E2161" s="8">
        <v>-2.4623659</v>
      </c>
      <c r="F2161" s="8">
        <v>-2.0496728000000002</v>
      </c>
      <c r="G2161" s="7" t="str">
        <f t="shared" si="14"/>
        <v>Direct</v>
      </c>
      <c r="H2161" s="7" t="s">
        <v>2343</v>
      </c>
    </row>
    <row r="2162" spans="1:8" x14ac:dyDescent="0.2">
      <c r="A2162" s="5" t="s">
        <v>13</v>
      </c>
      <c r="B2162" s="6" t="s">
        <v>19</v>
      </c>
      <c r="C2162" s="7" t="s">
        <v>376</v>
      </c>
      <c r="D2162" s="7"/>
      <c r="E2162" s="8">
        <v>5.4926876299999998</v>
      </c>
      <c r="F2162" s="8">
        <v>3.1384842100000001</v>
      </c>
      <c r="G2162" s="7" t="str">
        <f t="shared" si="14"/>
        <v>Direct</v>
      </c>
      <c r="H2162" s="7" t="s">
        <v>377</v>
      </c>
    </row>
    <row r="2163" spans="1:8" x14ac:dyDescent="0.2">
      <c r="A2163" s="5" t="s">
        <v>13</v>
      </c>
      <c r="B2163" s="6" t="s">
        <v>19</v>
      </c>
      <c r="C2163" s="7" t="s">
        <v>2344</v>
      </c>
      <c r="D2163" s="7"/>
      <c r="E2163" s="8">
        <v>-1.7410744</v>
      </c>
      <c r="F2163" s="8">
        <v>-1.6402437999999999</v>
      </c>
      <c r="G2163" s="7" t="str">
        <f t="shared" si="14"/>
        <v>Direct</v>
      </c>
      <c r="H2163" s="7" t="s">
        <v>377</v>
      </c>
    </row>
    <row r="2164" spans="1:8" x14ac:dyDescent="0.2">
      <c r="A2164" s="5" t="s">
        <v>13</v>
      </c>
      <c r="B2164" s="6" t="s">
        <v>19</v>
      </c>
      <c r="C2164" s="7" t="s">
        <v>2345</v>
      </c>
      <c r="D2164" s="7"/>
      <c r="E2164" s="8">
        <v>-1.0538543</v>
      </c>
      <c r="F2164" s="8">
        <v>-2.0408776999999998</v>
      </c>
      <c r="G2164" s="7" t="str">
        <f t="shared" si="14"/>
        <v>Direct</v>
      </c>
      <c r="H2164" s="7" t="s">
        <v>16</v>
      </c>
    </row>
    <row r="2165" spans="1:8" x14ac:dyDescent="0.2">
      <c r="A2165" s="5" t="s">
        <v>13</v>
      </c>
      <c r="B2165" s="6" t="s">
        <v>19</v>
      </c>
      <c r="C2165" s="7" t="s">
        <v>2346</v>
      </c>
      <c r="D2165" s="7"/>
      <c r="E2165" s="8">
        <v>-3.9481940999999998</v>
      </c>
      <c r="F2165" s="8">
        <v>-1.9480327</v>
      </c>
      <c r="G2165" s="7" t="str">
        <f t="shared" si="14"/>
        <v>Direct</v>
      </c>
      <c r="H2165" s="7" t="s">
        <v>2347</v>
      </c>
    </row>
    <row r="2166" spans="1:8" x14ac:dyDescent="0.2">
      <c r="A2166" s="5" t="s">
        <v>13</v>
      </c>
      <c r="B2166" s="6" t="s">
        <v>19</v>
      </c>
      <c r="C2166" s="7" t="s">
        <v>2348</v>
      </c>
      <c r="D2166" s="7"/>
      <c r="E2166" s="8">
        <v>3.1858787999999998</v>
      </c>
      <c r="F2166" s="8">
        <v>4.7930478900000004</v>
      </c>
      <c r="G2166" s="7" t="str">
        <f t="shared" si="14"/>
        <v>Direct</v>
      </c>
      <c r="H2166" s="7" t="s">
        <v>2349</v>
      </c>
    </row>
    <row r="2167" spans="1:8" x14ac:dyDescent="0.2">
      <c r="A2167" s="5" t="s">
        <v>13</v>
      </c>
      <c r="B2167" s="6" t="s">
        <v>19</v>
      </c>
      <c r="C2167" s="7" t="s">
        <v>2350</v>
      </c>
      <c r="D2167" s="7"/>
      <c r="E2167" s="8">
        <v>-2.4738687000000001</v>
      </c>
      <c r="F2167" s="8">
        <v>-2.9359487999999998</v>
      </c>
      <c r="G2167" s="7" t="str">
        <f t="shared" si="14"/>
        <v>Direct</v>
      </c>
      <c r="H2167" s="7" t="s">
        <v>2351</v>
      </c>
    </row>
    <row r="2168" spans="1:8" x14ac:dyDescent="0.2">
      <c r="A2168" s="5" t="s">
        <v>13</v>
      </c>
      <c r="B2168" s="6" t="s">
        <v>19</v>
      </c>
      <c r="C2168" s="7" t="s">
        <v>2352</v>
      </c>
      <c r="D2168" s="7"/>
      <c r="E2168" s="8">
        <v>-5.0186381000000004</v>
      </c>
      <c r="F2168" s="8">
        <v>-2.1369478000000002</v>
      </c>
      <c r="G2168" s="7" t="str">
        <f t="shared" si="14"/>
        <v>Direct</v>
      </c>
      <c r="H2168" s="7" t="s">
        <v>2353</v>
      </c>
    </row>
    <row r="2169" spans="1:8" x14ac:dyDescent="0.2">
      <c r="A2169" s="5" t="s">
        <v>13</v>
      </c>
      <c r="B2169" s="6" t="s">
        <v>19</v>
      </c>
      <c r="C2169" s="7" t="s">
        <v>2354</v>
      </c>
      <c r="D2169" s="7"/>
      <c r="E2169" s="8">
        <v>5.3812136500000003</v>
      </c>
      <c r="F2169" s="8">
        <v>1.46261682</v>
      </c>
      <c r="G2169" s="7" t="str">
        <f t="shared" si="14"/>
        <v>Direct</v>
      </c>
      <c r="H2169" s="7" t="s">
        <v>16</v>
      </c>
    </row>
    <row r="2170" spans="1:8" x14ac:dyDescent="0.2">
      <c r="A2170" s="5" t="s">
        <v>13</v>
      </c>
      <c r="B2170" s="6" t="s">
        <v>19</v>
      </c>
      <c r="C2170" s="7" t="s">
        <v>2355</v>
      </c>
      <c r="D2170" s="7"/>
      <c r="E2170" s="8">
        <v>1.5642741099999999</v>
      </c>
      <c r="F2170" s="8">
        <v>1.6582167400000001</v>
      </c>
      <c r="G2170" s="7" t="str">
        <f t="shared" si="14"/>
        <v>Direct</v>
      </c>
      <c r="H2170" s="7" t="s">
        <v>2356</v>
      </c>
    </row>
    <row r="2171" spans="1:8" x14ac:dyDescent="0.2">
      <c r="A2171" s="5" t="s">
        <v>13</v>
      </c>
      <c r="B2171" s="6" t="s">
        <v>19</v>
      </c>
      <c r="C2171" s="7" t="s">
        <v>2357</v>
      </c>
      <c r="D2171" s="7"/>
      <c r="E2171" s="8">
        <v>1.5741266599999999</v>
      </c>
      <c r="F2171" s="8">
        <v>1.3349691299999999</v>
      </c>
      <c r="G2171" s="7" t="str">
        <f t="shared" si="14"/>
        <v>Direct</v>
      </c>
      <c r="H2171" s="7" t="s">
        <v>16</v>
      </c>
    </row>
    <row r="2172" spans="1:8" x14ac:dyDescent="0.2">
      <c r="A2172" s="5" t="s">
        <v>13</v>
      </c>
      <c r="B2172" s="6" t="s">
        <v>19</v>
      </c>
      <c r="C2172" s="7" t="s">
        <v>2358</v>
      </c>
      <c r="D2172" s="7"/>
      <c r="E2172" s="8">
        <v>1.15477009</v>
      </c>
      <c r="F2172" s="8">
        <v>1.2100158700000001</v>
      </c>
      <c r="G2172" s="7" t="str">
        <f t="shared" si="14"/>
        <v>Direct</v>
      </c>
      <c r="H2172" s="7" t="s">
        <v>16</v>
      </c>
    </row>
    <row r="2173" spans="1:8" x14ac:dyDescent="0.2">
      <c r="A2173" s="5" t="s">
        <v>13</v>
      </c>
      <c r="B2173" s="6" t="s">
        <v>19</v>
      </c>
      <c r="C2173" s="7" t="s">
        <v>2359</v>
      </c>
      <c r="D2173" s="7"/>
      <c r="E2173" s="8">
        <v>-2.9756828</v>
      </c>
      <c r="F2173" s="8">
        <v>-2.7939484999999999</v>
      </c>
      <c r="G2173" s="7" t="str">
        <f t="shared" si="14"/>
        <v>Direct</v>
      </c>
      <c r="H2173" s="7" t="s">
        <v>2360</v>
      </c>
    </row>
    <row r="2174" spans="1:8" x14ac:dyDescent="0.2">
      <c r="A2174" s="5" t="s">
        <v>13</v>
      </c>
      <c r="B2174" s="6" t="s">
        <v>19</v>
      </c>
      <c r="C2174" s="7" t="s">
        <v>378</v>
      </c>
      <c r="D2174" s="7"/>
      <c r="E2174" s="8">
        <v>-2.8536402000000001</v>
      </c>
      <c r="F2174" s="8">
        <v>-6.0644499999999999</v>
      </c>
      <c r="G2174" s="7" t="str">
        <f t="shared" si="14"/>
        <v>Direct</v>
      </c>
      <c r="H2174" s="7" t="s">
        <v>379</v>
      </c>
    </row>
    <row r="2175" spans="1:8" x14ac:dyDescent="0.2">
      <c r="A2175" s="5" t="s">
        <v>13</v>
      </c>
      <c r="B2175" s="6" t="s">
        <v>19</v>
      </c>
      <c r="C2175" s="7" t="s">
        <v>380</v>
      </c>
      <c r="D2175" s="7"/>
      <c r="E2175" s="8">
        <v>-2.0045744000000001</v>
      </c>
      <c r="F2175" s="8">
        <v>-2.3943992999999999</v>
      </c>
      <c r="G2175" s="7" t="str">
        <f t="shared" si="14"/>
        <v>Direct</v>
      </c>
      <c r="H2175" s="7" t="s">
        <v>381</v>
      </c>
    </row>
    <row r="2176" spans="1:8" x14ac:dyDescent="0.2">
      <c r="A2176" s="5" t="s">
        <v>13</v>
      </c>
      <c r="B2176" s="6" t="s">
        <v>19</v>
      </c>
      <c r="C2176" s="7" t="s">
        <v>2361</v>
      </c>
      <c r="D2176" s="7"/>
      <c r="E2176" s="8">
        <v>1.84934482</v>
      </c>
      <c r="F2176" s="8">
        <v>2.0821064699999998</v>
      </c>
      <c r="G2176" s="7" t="str">
        <f t="shared" si="14"/>
        <v>Direct</v>
      </c>
      <c r="H2176" s="7" t="s">
        <v>2362</v>
      </c>
    </row>
    <row r="2177" spans="1:8" x14ac:dyDescent="0.2">
      <c r="A2177" s="5" t="s">
        <v>13</v>
      </c>
      <c r="B2177" s="6" t="s">
        <v>19</v>
      </c>
      <c r="C2177" s="7" t="s">
        <v>2363</v>
      </c>
      <c r="D2177" s="7"/>
      <c r="E2177" s="8">
        <v>-1.156677</v>
      </c>
      <c r="F2177" s="8">
        <v>-1.5980342999999999</v>
      </c>
      <c r="G2177" s="7" t="str">
        <f t="shared" si="14"/>
        <v>Direct</v>
      </c>
      <c r="H2177" s="7" t="s">
        <v>2364</v>
      </c>
    </row>
    <row r="2178" spans="1:8" x14ac:dyDescent="0.2">
      <c r="A2178" s="5" t="s">
        <v>13</v>
      </c>
      <c r="B2178" s="6" t="s">
        <v>19</v>
      </c>
      <c r="C2178" s="7" t="s">
        <v>2365</v>
      </c>
      <c r="D2178" s="7"/>
      <c r="E2178" s="8">
        <v>-2.7234655999999999</v>
      </c>
      <c r="F2178" s="8">
        <v>-2.8760463999999999</v>
      </c>
      <c r="G2178" s="7" t="str">
        <f t="shared" si="14"/>
        <v>Direct</v>
      </c>
      <c r="H2178" s="7" t="s">
        <v>16</v>
      </c>
    </row>
    <row r="2179" spans="1:8" x14ac:dyDescent="0.2">
      <c r="A2179" s="5" t="s">
        <v>13</v>
      </c>
      <c r="B2179" s="6" t="s">
        <v>19</v>
      </c>
      <c r="C2179" s="7" t="s">
        <v>384</v>
      </c>
      <c r="D2179" s="7"/>
      <c r="E2179" s="8">
        <v>-9.6895836000000006</v>
      </c>
      <c r="F2179" s="8">
        <v>-3.5140226999999999</v>
      </c>
      <c r="G2179" s="7" t="str">
        <f t="shared" si="14"/>
        <v>Direct</v>
      </c>
      <c r="H2179" s="7" t="s">
        <v>16</v>
      </c>
    </row>
    <row r="2180" spans="1:8" x14ac:dyDescent="0.2">
      <c r="A2180" s="5" t="s">
        <v>13</v>
      </c>
      <c r="B2180" s="6" t="s">
        <v>19</v>
      </c>
      <c r="C2180" s="7" t="s">
        <v>385</v>
      </c>
      <c r="D2180" s="7"/>
      <c r="E2180" s="8">
        <v>-9.9196059000000005</v>
      </c>
      <c r="F2180" s="8">
        <v>-7.6146982999999997</v>
      </c>
      <c r="G2180" s="7" t="str">
        <f t="shared" si="14"/>
        <v>Direct</v>
      </c>
      <c r="H2180" s="7" t="s">
        <v>16</v>
      </c>
    </row>
    <row r="2181" spans="1:8" x14ac:dyDescent="0.2">
      <c r="A2181" s="5" t="s">
        <v>13</v>
      </c>
      <c r="B2181" s="6" t="s">
        <v>19</v>
      </c>
      <c r="C2181" s="7" t="s">
        <v>386</v>
      </c>
      <c r="D2181" s="7"/>
      <c r="E2181" s="8">
        <v>-14.971496</v>
      </c>
      <c r="F2181" s="8">
        <v>-10.05564</v>
      </c>
      <c r="G2181" s="7" t="str">
        <f t="shared" si="14"/>
        <v>Direct</v>
      </c>
      <c r="H2181" s="7" t="s">
        <v>16</v>
      </c>
    </row>
    <row r="2182" spans="1:8" x14ac:dyDescent="0.2">
      <c r="A2182" s="5" t="s">
        <v>13</v>
      </c>
      <c r="B2182" s="6" t="s">
        <v>19</v>
      </c>
      <c r="C2182" s="7" t="s">
        <v>2366</v>
      </c>
      <c r="D2182" s="7"/>
      <c r="E2182" s="8">
        <v>-10.101601</v>
      </c>
      <c r="F2182" s="8">
        <v>-6.6025841999999999</v>
      </c>
      <c r="G2182" s="7" t="str">
        <f t="shared" si="14"/>
        <v>Direct</v>
      </c>
      <c r="H2182" s="7" t="s">
        <v>2367</v>
      </c>
    </row>
    <row r="2183" spans="1:8" x14ac:dyDescent="0.2">
      <c r="A2183" s="5" t="s">
        <v>13</v>
      </c>
      <c r="B2183" s="6" t="s">
        <v>19</v>
      </c>
      <c r="C2183" s="7" t="s">
        <v>2368</v>
      </c>
      <c r="D2183" s="7"/>
      <c r="E2183" s="8">
        <v>-1.4477241000000001</v>
      </c>
      <c r="F2183" s="8">
        <v>-1.0866671999999999</v>
      </c>
      <c r="G2183" s="7" t="str">
        <f t="shared" si="14"/>
        <v>Direct</v>
      </c>
      <c r="H2183" s="7" t="s">
        <v>2369</v>
      </c>
    </row>
    <row r="2184" spans="1:8" x14ac:dyDescent="0.2">
      <c r="A2184" s="5" t="s">
        <v>13</v>
      </c>
      <c r="B2184" s="6" t="s">
        <v>19</v>
      </c>
      <c r="C2184" s="7" t="s">
        <v>2370</v>
      </c>
      <c r="D2184" s="7"/>
      <c r="E2184" s="8">
        <v>-1.3140429</v>
      </c>
      <c r="F2184" s="8">
        <v>-2.4938856</v>
      </c>
      <c r="G2184" s="7" t="str">
        <f t="shared" si="14"/>
        <v>Direct</v>
      </c>
      <c r="H2184" s="7" t="s">
        <v>2371</v>
      </c>
    </row>
    <row r="2185" spans="1:8" x14ac:dyDescent="0.2">
      <c r="A2185" s="5" t="s">
        <v>13</v>
      </c>
      <c r="B2185" s="6" t="s">
        <v>19</v>
      </c>
      <c r="C2185" s="7" t="s">
        <v>2372</v>
      </c>
      <c r="D2185" s="7"/>
      <c r="E2185" s="8">
        <v>-2.0024316999999998</v>
      </c>
      <c r="F2185" s="8">
        <v>-1.7479104000000001</v>
      </c>
      <c r="G2185" s="7" t="str">
        <f t="shared" si="14"/>
        <v>Direct</v>
      </c>
      <c r="H2185" s="7" t="s">
        <v>2373</v>
      </c>
    </row>
    <row r="2186" spans="1:8" x14ac:dyDescent="0.2">
      <c r="A2186" s="5" t="s">
        <v>13</v>
      </c>
      <c r="B2186" s="6" t="s">
        <v>19</v>
      </c>
      <c r="C2186" s="7" t="s">
        <v>2374</v>
      </c>
      <c r="D2186" s="7"/>
      <c r="E2186" s="8">
        <v>-1.9685021</v>
      </c>
      <c r="F2186" s="8">
        <v>-3.5235946999999999</v>
      </c>
      <c r="G2186" s="7" t="str">
        <f t="shared" si="14"/>
        <v>Direct</v>
      </c>
      <c r="H2186" s="7" t="s">
        <v>16</v>
      </c>
    </row>
    <row r="2187" spans="1:8" x14ac:dyDescent="0.2">
      <c r="A2187" s="5" t="s">
        <v>13</v>
      </c>
      <c r="B2187" s="6" t="s">
        <v>19</v>
      </c>
      <c r="C2187" s="7" t="s">
        <v>388</v>
      </c>
      <c r="D2187" s="7"/>
      <c r="E2187" s="8">
        <v>-2.0024316999999998</v>
      </c>
      <c r="F2187" s="8">
        <v>-1.0760124</v>
      </c>
      <c r="G2187" s="7" t="str">
        <f t="shared" si="14"/>
        <v>Direct</v>
      </c>
      <c r="H2187" s="7" t="s">
        <v>16</v>
      </c>
    </row>
    <row r="2188" spans="1:8" x14ac:dyDescent="0.2">
      <c r="A2188" s="5" t="s">
        <v>13</v>
      </c>
      <c r="B2188" s="6" t="s">
        <v>19</v>
      </c>
      <c r="C2188" s="7" t="s">
        <v>2375</v>
      </c>
      <c r="D2188" s="7"/>
      <c r="E2188" s="8">
        <v>-2.7640427999999999</v>
      </c>
      <c r="F2188" s="8">
        <v>-2.0916914000000002</v>
      </c>
      <c r="G2188" s="7" t="str">
        <f t="shared" si="14"/>
        <v>Direct</v>
      </c>
      <c r="H2188" s="7" t="s">
        <v>16</v>
      </c>
    </row>
    <row r="2189" spans="1:8" x14ac:dyDescent="0.2">
      <c r="A2189" s="5" t="s">
        <v>13</v>
      </c>
      <c r="B2189" s="6" t="s">
        <v>19</v>
      </c>
      <c r="C2189" s="7" t="s">
        <v>390</v>
      </c>
      <c r="D2189" s="7"/>
      <c r="E2189" s="8">
        <v>-18.67127</v>
      </c>
      <c r="F2189" s="8">
        <v>-12.996027</v>
      </c>
      <c r="G2189" s="7" t="str">
        <f t="shared" si="14"/>
        <v>Direct</v>
      </c>
      <c r="H2189" s="7" t="s">
        <v>16</v>
      </c>
    </row>
    <row r="2190" spans="1:8" x14ac:dyDescent="0.2">
      <c r="A2190" s="5" t="s">
        <v>13</v>
      </c>
      <c r="B2190" s="6" t="s">
        <v>19</v>
      </c>
      <c r="C2190" s="7" t="s">
        <v>391</v>
      </c>
      <c r="D2190" s="7"/>
      <c r="E2190" s="8">
        <v>-19.400207000000002</v>
      </c>
      <c r="F2190" s="8">
        <v>-12.970672</v>
      </c>
      <c r="G2190" s="7" t="str">
        <f t="shared" si="14"/>
        <v>Direct</v>
      </c>
      <c r="H2190" s="7" t="s">
        <v>16</v>
      </c>
    </row>
    <row r="2191" spans="1:8" x14ac:dyDescent="0.2">
      <c r="A2191" s="5" t="s">
        <v>13</v>
      </c>
      <c r="B2191" s="6" t="s">
        <v>19</v>
      </c>
      <c r="C2191" s="7" t="s">
        <v>392</v>
      </c>
      <c r="D2191" s="7"/>
      <c r="E2191" s="8">
        <v>-14.971496</v>
      </c>
      <c r="F2191" s="8">
        <v>-7.9065285000000003</v>
      </c>
      <c r="G2191" s="7" t="str">
        <f t="shared" si="14"/>
        <v>Direct</v>
      </c>
      <c r="H2191" s="7" t="s">
        <v>16</v>
      </c>
    </row>
    <row r="2192" spans="1:8" x14ac:dyDescent="0.2">
      <c r="A2192" s="5" t="s">
        <v>13</v>
      </c>
      <c r="B2192" s="6" t="s">
        <v>19</v>
      </c>
      <c r="C2192" s="7" t="s">
        <v>393</v>
      </c>
      <c r="D2192" s="7"/>
      <c r="E2192" s="8">
        <v>-20.502794000000002</v>
      </c>
      <c r="F2192" s="8">
        <v>-13.060452</v>
      </c>
      <c r="G2192" s="7" t="str">
        <f t="shared" si="14"/>
        <v>Direct</v>
      </c>
      <c r="H2192" s="7" t="s">
        <v>16</v>
      </c>
    </row>
    <row r="2193" spans="1:8" x14ac:dyDescent="0.2">
      <c r="A2193" s="5" t="s">
        <v>13</v>
      </c>
      <c r="B2193" s="6" t="s">
        <v>19</v>
      </c>
      <c r="C2193" s="7" t="s">
        <v>394</v>
      </c>
      <c r="D2193" s="7"/>
      <c r="E2193" s="8">
        <v>-13.907304999999999</v>
      </c>
      <c r="F2193" s="8">
        <v>-10.286545</v>
      </c>
      <c r="G2193" s="7" t="str">
        <f t="shared" si="14"/>
        <v>Direct</v>
      </c>
      <c r="H2193" s="7" t="s">
        <v>395</v>
      </c>
    </row>
    <row r="2194" spans="1:8" x14ac:dyDescent="0.2">
      <c r="A2194" s="5" t="s">
        <v>13</v>
      </c>
      <c r="B2194" s="6" t="s">
        <v>19</v>
      </c>
      <c r="C2194" s="7" t="s">
        <v>2376</v>
      </c>
      <c r="D2194" s="7"/>
      <c r="E2194" s="8">
        <v>-2.8452266000000002</v>
      </c>
      <c r="F2194" s="8">
        <v>-2.1357433000000001</v>
      </c>
      <c r="G2194" s="7" t="str">
        <f t="shared" si="14"/>
        <v>Direct</v>
      </c>
      <c r="H2194" s="7" t="s">
        <v>2377</v>
      </c>
    </row>
    <row r="2195" spans="1:8" x14ac:dyDescent="0.2">
      <c r="A2195" s="5" t="s">
        <v>13</v>
      </c>
      <c r="B2195" s="6" t="s">
        <v>19</v>
      </c>
      <c r="C2195" s="7" t="s">
        <v>2378</v>
      </c>
      <c r="D2195" s="7"/>
      <c r="E2195" s="8">
        <v>5.5177754500000002</v>
      </c>
      <c r="F2195" s="8">
        <v>4.7437075999999996</v>
      </c>
      <c r="G2195" s="7" t="str">
        <f t="shared" si="14"/>
        <v>Direct</v>
      </c>
      <c r="H2195" s="7" t="s">
        <v>2379</v>
      </c>
    </row>
    <row r="2196" spans="1:8" x14ac:dyDescent="0.2">
      <c r="A2196" s="5" t="s">
        <v>13</v>
      </c>
      <c r="B2196" s="6" t="s">
        <v>19</v>
      </c>
      <c r="C2196" s="7" t="s">
        <v>2380</v>
      </c>
      <c r="D2196" s="7"/>
      <c r="E2196" s="8">
        <v>-1.4421546000000001</v>
      </c>
      <c r="F2196" s="8">
        <v>-3.0929649000000001</v>
      </c>
      <c r="G2196" s="7" t="str">
        <f t="shared" si="14"/>
        <v>Direct</v>
      </c>
      <c r="H2196" s="7" t="s">
        <v>2381</v>
      </c>
    </row>
    <row r="2197" spans="1:8" x14ac:dyDescent="0.2">
      <c r="A2197" s="5" t="s">
        <v>13</v>
      </c>
      <c r="B2197" s="6" t="s">
        <v>19</v>
      </c>
      <c r="C2197" s="7" t="s">
        <v>2382</v>
      </c>
      <c r="D2197" s="7"/>
      <c r="E2197" s="8">
        <v>-3.1029238000000001</v>
      </c>
      <c r="F2197" s="8">
        <v>-1.9550149999999999</v>
      </c>
      <c r="G2197" s="7" t="str">
        <f t="shared" si="14"/>
        <v>Direct</v>
      </c>
      <c r="H2197" s="7" t="s">
        <v>16</v>
      </c>
    </row>
    <row r="2198" spans="1:8" x14ac:dyDescent="0.2">
      <c r="A2198" s="5" t="s">
        <v>13</v>
      </c>
      <c r="B2198" s="6" t="s">
        <v>19</v>
      </c>
      <c r="C2198" s="7" t="s">
        <v>2383</v>
      </c>
      <c r="D2198" s="7"/>
      <c r="E2198" s="8">
        <v>-3.3152765999999998</v>
      </c>
      <c r="F2198" s="8">
        <v>-3.0932018000000001</v>
      </c>
      <c r="G2198" s="7" t="str">
        <f t="shared" si="14"/>
        <v>Direct</v>
      </c>
      <c r="H2198" s="7" t="s">
        <v>395</v>
      </c>
    </row>
    <row r="2199" spans="1:8" x14ac:dyDescent="0.2">
      <c r="A2199" s="5" t="s">
        <v>13</v>
      </c>
      <c r="B2199" s="6" t="s">
        <v>19</v>
      </c>
      <c r="C2199" s="7" t="s">
        <v>2384</v>
      </c>
      <c r="D2199" s="7"/>
      <c r="E2199" s="8">
        <v>1.01648735</v>
      </c>
      <c r="F2199" s="8">
        <v>1.4043321600000001</v>
      </c>
      <c r="G2199" s="7" t="str">
        <f t="shared" si="14"/>
        <v>Direct</v>
      </c>
      <c r="H2199" s="7" t="s">
        <v>2385</v>
      </c>
    </row>
    <row r="2200" spans="1:8" x14ac:dyDescent="0.2">
      <c r="A2200" s="5" t="s">
        <v>13</v>
      </c>
      <c r="B2200" s="6" t="s">
        <v>19</v>
      </c>
      <c r="C2200" s="7" t="s">
        <v>2386</v>
      </c>
      <c r="D2200" s="7"/>
      <c r="E2200" s="8">
        <v>-1.3790165999999999</v>
      </c>
      <c r="F2200" s="8">
        <v>-1.6597999000000001</v>
      </c>
      <c r="G2200" s="7" t="str">
        <f t="shared" si="14"/>
        <v>Direct</v>
      </c>
      <c r="H2200" s="7" t="s">
        <v>16</v>
      </c>
    </row>
    <row r="2201" spans="1:8" x14ac:dyDescent="0.2">
      <c r="A2201" s="5" t="s">
        <v>13</v>
      </c>
      <c r="B2201" s="6" t="s">
        <v>19</v>
      </c>
      <c r="C2201" s="7" t="s">
        <v>2387</v>
      </c>
      <c r="D2201" s="7"/>
      <c r="E2201" s="8">
        <v>1.5324725400000001</v>
      </c>
      <c r="F2201" s="8">
        <v>2.1769481800000001</v>
      </c>
      <c r="G2201" s="7" t="str">
        <f t="shared" si="14"/>
        <v>Direct</v>
      </c>
      <c r="H2201" s="7" t="s">
        <v>16</v>
      </c>
    </row>
    <row r="2202" spans="1:8" x14ac:dyDescent="0.2">
      <c r="A2202" s="5" t="s">
        <v>13</v>
      </c>
      <c r="B2202" s="6" t="s">
        <v>19</v>
      </c>
      <c r="C2202" s="7" t="s">
        <v>396</v>
      </c>
      <c r="D2202" s="7"/>
      <c r="E2202" s="8">
        <v>1.2428602900000001</v>
      </c>
      <c r="F2202" s="8">
        <v>1.8071671899999999</v>
      </c>
      <c r="G2202" s="7" t="str">
        <f t="shared" si="14"/>
        <v>Direct</v>
      </c>
      <c r="H2202" s="7" t="s">
        <v>397</v>
      </c>
    </row>
    <row r="2203" spans="1:8" x14ac:dyDescent="0.2">
      <c r="A2203" s="5" t="s">
        <v>13</v>
      </c>
      <c r="B2203" s="6" t="s">
        <v>19</v>
      </c>
      <c r="C2203" s="7" t="s">
        <v>2388</v>
      </c>
      <c r="D2203" s="7"/>
      <c r="E2203" s="8">
        <v>-6.8078526000000004</v>
      </c>
      <c r="F2203" s="8">
        <v>-6.8003114</v>
      </c>
      <c r="G2203" s="7" t="str">
        <f t="shared" si="14"/>
        <v>Direct</v>
      </c>
      <c r="H2203" s="7" t="s">
        <v>2389</v>
      </c>
    </row>
    <row r="2204" spans="1:8" x14ac:dyDescent="0.2">
      <c r="A2204" s="5" t="s">
        <v>13</v>
      </c>
      <c r="B2204" s="6" t="s">
        <v>19</v>
      </c>
      <c r="C2204" s="7" t="s">
        <v>2390</v>
      </c>
      <c r="D2204" s="7"/>
      <c r="E2204" s="8">
        <v>1.2873138500000001</v>
      </c>
      <c r="F2204" s="8">
        <v>2.16184105</v>
      </c>
      <c r="G2204" s="7" t="str">
        <f t="shared" si="14"/>
        <v>Direct</v>
      </c>
      <c r="H2204" s="7" t="s">
        <v>16</v>
      </c>
    </row>
    <row r="2205" spans="1:8" x14ac:dyDescent="0.2">
      <c r="A2205" s="5" t="s">
        <v>13</v>
      </c>
      <c r="B2205" s="6" t="s">
        <v>19</v>
      </c>
      <c r="C2205" s="7" t="s">
        <v>398</v>
      </c>
      <c r="D2205" s="7"/>
      <c r="E2205" s="8">
        <v>-2.6374094000000001</v>
      </c>
      <c r="F2205" s="8">
        <v>-4.4264622999999998</v>
      </c>
      <c r="G2205" s="7" t="str">
        <f t="shared" si="14"/>
        <v>Direct</v>
      </c>
      <c r="H2205" s="7" t="s">
        <v>399</v>
      </c>
    </row>
    <row r="2206" spans="1:8" x14ac:dyDescent="0.2">
      <c r="A2206" s="5" t="s">
        <v>13</v>
      </c>
      <c r="B2206" s="6" t="s">
        <v>19</v>
      </c>
      <c r="C2206" s="7" t="s">
        <v>2391</v>
      </c>
      <c r="D2206" s="7"/>
      <c r="E2206" s="8">
        <v>2.70969471</v>
      </c>
      <c r="F2206" s="8">
        <v>1.4354594300000001</v>
      </c>
      <c r="G2206" s="7" t="str">
        <f t="shared" si="14"/>
        <v>Direct</v>
      </c>
      <c r="H2206" s="7" t="s">
        <v>2392</v>
      </c>
    </row>
    <row r="2207" spans="1:8" x14ac:dyDescent="0.2">
      <c r="A2207" s="5" t="s">
        <v>13</v>
      </c>
      <c r="B2207" s="6" t="s">
        <v>19</v>
      </c>
      <c r="C2207" s="7" t="s">
        <v>2393</v>
      </c>
      <c r="D2207" s="7"/>
      <c r="E2207" s="8">
        <v>2.5436210099999998</v>
      </c>
      <c r="F2207" s="8">
        <v>2.4406361799999998</v>
      </c>
      <c r="G2207" s="7" t="str">
        <f t="shared" si="14"/>
        <v>Direct</v>
      </c>
      <c r="H2207" s="7" t="s">
        <v>16</v>
      </c>
    </row>
    <row r="2208" spans="1:8" x14ac:dyDescent="0.2">
      <c r="A2208" s="5" t="s">
        <v>13</v>
      </c>
      <c r="B2208" s="6" t="s">
        <v>19</v>
      </c>
      <c r="C2208" s="7" t="s">
        <v>2394</v>
      </c>
      <c r="D2208" s="7"/>
      <c r="E2208" s="8">
        <v>2.91851042</v>
      </c>
      <c r="F2208" s="8">
        <v>2.9625312199999998</v>
      </c>
      <c r="G2208" s="7" t="str">
        <f t="shared" si="14"/>
        <v>Direct</v>
      </c>
      <c r="H2208" s="7" t="s">
        <v>2395</v>
      </c>
    </row>
    <row r="2209" spans="1:8" x14ac:dyDescent="0.2">
      <c r="A2209" s="5" t="s">
        <v>13</v>
      </c>
      <c r="B2209" s="6" t="s">
        <v>19</v>
      </c>
      <c r="C2209" s="7" t="s">
        <v>2396</v>
      </c>
      <c r="D2209" s="7"/>
      <c r="E2209" s="8">
        <v>-2.5633667999999998</v>
      </c>
      <c r="F2209" s="8">
        <v>-2.3042069999999999</v>
      </c>
      <c r="G2209" s="7" t="str">
        <f t="shared" si="14"/>
        <v>Direct</v>
      </c>
      <c r="H2209" s="7" t="s">
        <v>2249</v>
      </c>
    </row>
    <row r="2210" spans="1:8" x14ac:dyDescent="0.2">
      <c r="A2210" s="5" t="s">
        <v>13</v>
      </c>
      <c r="B2210" s="6" t="s">
        <v>19</v>
      </c>
      <c r="C2210" s="7" t="s">
        <v>2397</v>
      </c>
      <c r="D2210" s="7"/>
      <c r="E2210" s="8">
        <v>-3.8852912000000002</v>
      </c>
      <c r="F2210" s="8">
        <v>-4.1626951999999999</v>
      </c>
      <c r="G2210" s="7" t="str">
        <f t="shared" si="14"/>
        <v>Direct</v>
      </c>
      <c r="H2210" s="7" t="s">
        <v>1143</v>
      </c>
    </row>
    <row r="2211" spans="1:8" x14ac:dyDescent="0.2">
      <c r="A2211" s="5" t="s">
        <v>13</v>
      </c>
      <c r="B2211" s="6" t="s">
        <v>19</v>
      </c>
      <c r="C2211" s="7" t="s">
        <v>2398</v>
      </c>
      <c r="D2211" s="7"/>
      <c r="E2211" s="8">
        <v>1.98006014</v>
      </c>
      <c r="F2211" s="8">
        <v>4.8595492</v>
      </c>
      <c r="G2211" s="7" t="str">
        <f t="shared" si="14"/>
        <v>Direct</v>
      </c>
      <c r="H2211" s="7" t="s">
        <v>2399</v>
      </c>
    </row>
    <row r="2212" spans="1:8" x14ac:dyDescent="0.2">
      <c r="A2212" s="5" t="s">
        <v>13</v>
      </c>
      <c r="B2212" s="6" t="s">
        <v>19</v>
      </c>
      <c r="C2212" s="7" t="s">
        <v>400</v>
      </c>
      <c r="D2212" s="7"/>
      <c r="E2212" s="8">
        <v>-3.1737582</v>
      </c>
      <c r="F2212" s="8">
        <v>-3.5176460000000001</v>
      </c>
      <c r="G2212" s="7" t="str">
        <f t="shared" si="14"/>
        <v>Direct</v>
      </c>
      <c r="H2212" s="7" t="s">
        <v>401</v>
      </c>
    </row>
    <row r="2213" spans="1:8" x14ac:dyDescent="0.2">
      <c r="A2213" s="5" t="s">
        <v>13</v>
      </c>
      <c r="B2213" s="6" t="s">
        <v>19</v>
      </c>
      <c r="C2213" s="7" t="s">
        <v>2400</v>
      </c>
      <c r="D2213" s="7"/>
      <c r="E2213" s="8">
        <v>-1.9281868</v>
      </c>
      <c r="F2213" s="8">
        <v>-2.5875759</v>
      </c>
      <c r="G2213" s="7" t="str">
        <f t="shared" si="14"/>
        <v>Direct</v>
      </c>
      <c r="H2213" s="7" t="s">
        <v>2401</v>
      </c>
    </row>
    <row r="2214" spans="1:8" x14ac:dyDescent="0.2">
      <c r="A2214" s="5" t="s">
        <v>13</v>
      </c>
      <c r="B2214" s="6" t="s">
        <v>19</v>
      </c>
      <c r="C2214" s="7" t="s">
        <v>2402</v>
      </c>
      <c r="D2214" s="7"/>
      <c r="E2214" s="8">
        <v>1.8690926699999999</v>
      </c>
      <c r="F2214" s="8">
        <v>1.1647589300000001</v>
      </c>
      <c r="G2214" s="7" t="str">
        <f t="shared" si="14"/>
        <v>Direct</v>
      </c>
      <c r="H2214" s="7" t="s">
        <v>16</v>
      </c>
    </row>
    <row r="2215" spans="1:8" x14ac:dyDescent="0.2">
      <c r="A2215" s="5" t="s">
        <v>13</v>
      </c>
      <c r="B2215" s="6" t="s">
        <v>19</v>
      </c>
      <c r="C2215" s="7" t="s">
        <v>2403</v>
      </c>
      <c r="D2215" s="7"/>
      <c r="E2215" s="8">
        <v>-3.8810711000000002</v>
      </c>
      <c r="F2215" s="8">
        <v>-2.4139550000000001</v>
      </c>
      <c r="G2215" s="7" t="str">
        <f t="shared" si="14"/>
        <v>Direct</v>
      </c>
      <c r="H2215" s="7" t="s">
        <v>2404</v>
      </c>
    </row>
    <row r="2216" spans="1:8" x14ac:dyDescent="0.2">
      <c r="A2216" s="5" t="s">
        <v>13</v>
      </c>
      <c r="B2216" s="6" t="s">
        <v>19</v>
      </c>
      <c r="C2216" s="7" t="s">
        <v>2405</v>
      </c>
      <c r="D2216" s="7"/>
      <c r="E2216" s="8">
        <v>1.6779223000000001</v>
      </c>
      <c r="F2216" s="8">
        <v>1.2194553400000001</v>
      </c>
      <c r="G2216" s="7" t="str">
        <f t="shared" si="14"/>
        <v>Direct</v>
      </c>
      <c r="H2216" s="7" t="s">
        <v>16</v>
      </c>
    </row>
    <row r="2217" spans="1:8" x14ac:dyDescent="0.2">
      <c r="A2217" s="5" t="s">
        <v>13</v>
      </c>
      <c r="B2217" s="6" t="s">
        <v>19</v>
      </c>
      <c r="C2217" s="7" t="s">
        <v>2406</v>
      </c>
      <c r="D2217" s="7"/>
      <c r="E2217" s="8">
        <v>2.1046087199999999</v>
      </c>
      <c r="F2217" s="8">
        <v>2.1229161099999998</v>
      </c>
      <c r="G2217" s="7" t="str">
        <f t="shared" si="14"/>
        <v>Direct</v>
      </c>
      <c r="H2217" s="7" t="s">
        <v>16</v>
      </c>
    </row>
    <row r="2218" spans="1:8" x14ac:dyDescent="0.2">
      <c r="A2218" s="5" t="s">
        <v>13</v>
      </c>
      <c r="B2218" s="6" t="s">
        <v>19</v>
      </c>
      <c r="C2218" s="7" t="s">
        <v>405</v>
      </c>
      <c r="D2218" s="7"/>
      <c r="E2218" s="8">
        <v>-4.1501368000000003</v>
      </c>
      <c r="F2218" s="8">
        <v>-2.6127302000000001</v>
      </c>
      <c r="G2218" s="7" t="str">
        <f t="shared" si="14"/>
        <v>Direct</v>
      </c>
      <c r="H2218" s="7" t="s">
        <v>16</v>
      </c>
    </row>
    <row r="2219" spans="1:8" x14ac:dyDescent="0.2">
      <c r="A2219" s="5" t="s">
        <v>13</v>
      </c>
      <c r="B2219" s="6" t="s">
        <v>19</v>
      </c>
      <c r="C2219" s="7" t="s">
        <v>2407</v>
      </c>
      <c r="D2219" s="7"/>
      <c r="E2219" s="8">
        <v>4.1294022200000002</v>
      </c>
      <c r="F2219" s="8">
        <v>1.86830575</v>
      </c>
      <c r="G2219" s="7" t="str">
        <f t="shared" si="14"/>
        <v>Direct</v>
      </c>
      <c r="H2219" s="7" t="s">
        <v>1043</v>
      </c>
    </row>
    <row r="2220" spans="1:8" x14ac:dyDescent="0.2">
      <c r="A2220" s="5" t="s">
        <v>13</v>
      </c>
      <c r="B2220" s="6" t="s">
        <v>19</v>
      </c>
      <c r="C2220" s="7" t="s">
        <v>2408</v>
      </c>
      <c r="D2220" s="7"/>
      <c r="E2220" s="8">
        <v>-3.90842</v>
      </c>
      <c r="F2220" s="8">
        <v>-2.6710311999999998</v>
      </c>
      <c r="G2220" s="7" t="str">
        <f t="shared" si="14"/>
        <v>Direct</v>
      </c>
      <c r="H2220" s="7" t="s">
        <v>274</v>
      </c>
    </row>
    <row r="2221" spans="1:8" x14ac:dyDescent="0.2">
      <c r="A2221" s="5" t="s">
        <v>13</v>
      </c>
      <c r="B2221" s="6" t="s">
        <v>19</v>
      </c>
      <c r="C2221" s="7" t="s">
        <v>2409</v>
      </c>
      <c r="D2221" s="7"/>
      <c r="E2221" s="8">
        <v>-1.3698824000000001</v>
      </c>
      <c r="F2221" s="8">
        <v>-1.4635449</v>
      </c>
      <c r="G2221" s="7" t="str">
        <f t="shared" si="14"/>
        <v>Direct</v>
      </c>
      <c r="H2221" s="7" t="s">
        <v>2410</v>
      </c>
    </row>
    <row r="2222" spans="1:8" x14ac:dyDescent="0.2">
      <c r="A2222" s="5" t="s">
        <v>13</v>
      </c>
      <c r="B2222" s="6" t="s">
        <v>19</v>
      </c>
      <c r="C2222" s="7" t="s">
        <v>2411</v>
      </c>
      <c r="D2222" s="7"/>
      <c r="E2222" s="8">
        <v>-2.6715129000000002</v>
      </c>
      <c r="F2222" s="8">
        <v>-3.1416987999999999</v>
      </c>
      <c r="G2222" s="7" t="str">
        <f t="shared" si="14"/>
        <v>Direct</v>
      </c>
      <c r="H2222" s="7" t="s">
        <v>2412</v>
      </c>
    </row>
    <row r="2223" spans="1:8" x14ac:dyDescent="0.2">
      <c r="A2223" s="5" t="s">
        <v>13</v>
      </c>
      <c r="B2223" s="6" t="s">
        <v>19</v>
      </c>
      <c r="C2223" s="7" t="s">
        <v>2413</v>
      </c>
      <c r="D2223" s="7"/>
      <c r="E2223" s="8">
        <v>-7.5359973</v>
      </c>
      <c r="F2223" s="8">
        <v>-5.4811104999999998</v>
      </c>
      <c r="G2223" s="7" t="str">
        <f t="shared" si="14"/>
        <v>Direct</v>
      </c>
      <c r="H2223" s="7" t="s">
        <v>2414</v>
      </c>
    </row>
    <row r="2224" spans="1:8" x14ac:dyDescent="0.2">
      <c r="A2224" s="5" t="s">
        <v>13</v>
      </c>
      <c r="B2224" s="6" t="s">
        <v>19</v>
      </c>
      <c r="C2224" s="7" t="s">
        <v>2415</v>
      </c>
      <c r="D2224" s="7"/>
      <c r="E2224" s="8">
        <v>-1.2212152000000001</v>
      </c>
      <c r="F2224" s="8">
        <v>-1.3619676000000001</v>
      </c>
      <c r="G2224" s="7" t="str">
        <f t="shared" si="14"/>
        <v>Direct</v>
      </c>
      <c r="H2224" s="7" t="s">
        <v>2416</v>
      </c>
    </row>
    <row r="2225" spans="1:8" x14ac:dyDescent="0.2">
      <c r="A2225" s="5" t="s">
        <v>13</v>
      </c>
      <c r="B2225" s="6" t="s">
        <v>19</v>
      </c>
      <c r="C2225" s="7" t="s">
        <v>2417</v>
      </c>
      <c r="D2225" s="7"/>
      <c r="E2225" s="8">
        <v>2.0158007499999999</v>
      </c>
      <c r="F2225" s="8">
        <v>2.3827589900000001</v>
      </c>
      <c r="G2225" s="7" t="str">
        <f t="shared" si="14"/>
        <v>Direct</v>
      </c>
      <c r="H2225" s="7" t="s">
        <v>16</v>
      </c>
    </row>
    <row r="2226" spans="1:8" x14ac:dyDescent="0.2">
      <c r="A2226" s="5" t="s">
        <v>13</v>
      </c>
      <c r="B2226" s="6" t="s">
        <v>19</v>
      </c>
      <c r="C2226" s="7" t="s">
        <v>2418</v>
      </c>
      <c r="D2226" s="7"/>
      <c r="E2226" s="8">
        <v>1.92148122</v>
      </c>
      <c r="F2226" s="8">
        <v>1.9154591599999999</v>
      </c>
      <c r="G2226" s="7" t="str">
        <f t="shared" si="14"/>
        <v>Direct</v>
      </c>
      <c r="H2226" s="7" t="s">
        <v>16</v>
      </c>
    </row>
    <row r="2227" spans="1:8" x14ac:dyDescent="0.2">
      <c r="A2227" s="5" t="s">
        <v>13</v>
      </c>
      <c r="B2227" s="6" t="s">
        <v>19</v>
      </c>
      <c r="C2227" s="7" t="s">
        <v>2419</v>
      </c>
      <c r="D2227" s="7"/>
      <c r="E2227" s="8">
        <v>3.64154263</v>
      </c>
      <c r="F2227" s="8">
        <v>2.7266845800000001</v>
      </c>
      <c r="G2227" s="7" t="str">
        <f t="shared" si="14"/>
        <v>Direct</v>
      </c>
      <c r="H2227" s="7" t="s">
        <v>16</v>
      </c>
    </row>
    <row r="2228" spans="1:8" x14ac:dyDescent="0.2">
      <c r="A2228" s="5" t="s">
        <v>13</v>
      </c>
      <c r="B2228" s="6" t="s">
        <v>19</v>
      </c>
      <c r="C2228" s="7" t="s">
        <v>2420</v>
      </c>
      <c r="D2228" s="7"/>
      <c r="E2228" s="8">
        <v>2.1064200500000001</v>
      </c>
      <c r="F2228" s="8">
        <v>1.78122615</v>
      </c>
      <c r="G2228" s="7" t="str">
        <f t="shared" si="14"/>
        <v>Direct</v>
      </c>
      <c r="H2228" s="7" t="s">
        <v>16</v>
      </c>
    </row>
    <row r="2229" spans="1:8" x14ac:dyDescent="0.2">
      <c r="A2229" s="5" t="s">
        <v>13</v>
      </c>
      <c r="B2229" s="6" t="s">
        <v>19</v>
      </c>
      <c r="C2229" s="7" t="s">
        <v>2421</v>
      </c>
      <c r="D2229" s="7"/>
      <c r="E2229" s="8">
        <v>1.7152307899999999</v>
      </c>
      <c r="F2229" s="8">
        <v>2.1941822200000001</v>
      </c>
      <c r="G2229" s="7" t="str">
        <f t="shared" si="14"/>
        <v>Direct</v>
      </c>
      <c r="H2229" s="7" t="s">
        <v>16</v>
      </c>
    </row>
    <row r="2230" spans="1:8" x14ac:dyDescent="0.2">
      <c r="A2230" s="5" t="s">
        <v>13</v>
      </c>
      <c r="B2230" s="6" t="s">
        <v>19</v>
      </c>
      <c r="C2230" s="7" t="s">
        <v>2422</v>
      </c>
      <c r="D2230" s="7"/>
      <c r="E2230" s="8">
        <v>3.2329154500000001</v>
      </c>
      <c r="F2230" s="8">
        <v>3.2295884699999999</v>
      </c>
      <c r="G2230" s="7" t="str">
        <f t="shared" si="14"/>
        <v>Direct</v>
      </c>
      <c r="H2230" s="7" t="s">
        <v>16</v>
      </c>
    </row>
    <row r="2231" spans="1:8" x14ac:dyDescent="0.2">
      <c r="A2231" s="5" t="s">
        <v>13</v>
      </c>
      <c r="B2231" s="6" t="s">
        <v>19</v>
      </c>
      <c r="C2231" s="7" t="s">
        <v>2423</v>
      </c>
      <c r="D2231" s="7"/>
      <c r="E2231" s="8">
        <v>1.7601620600000001</v>
      </c>
      <c r="F2231" s="8">
        <v>2.0943573999999998</v>
      </c>
      <c r="G2231" s="7" t="str">
        <f t="shared" si="14"/>
        <v>Direct</v>
      </c>
      <c r="H2231" s="7" t="s">
        <v>16</v>
      </c>
    </row>
    <row r="2232" spans="1:8" x14ac:dyDescent="0.2">
      <c r="A2232" s="5" t="s">
        <v>13</v>
      </c>
      <c r="B2232" s="6" t="s">
        <v>19</v>
      </c>
      <c r="C2232" s="7" t="s">
        <v>2424</v>
      </c>
      <c r="D2232" s="7"/>
      <c r="E2232" s="8">
        <v>2.9318778499999998</v>
      </c>
      <c r="F2232" s="8">
        <v>2.35801485</v>
      </c>
      <c r="G2232" s="7" t="str">
        <f t="shared" si="14"/>
        <v>Direct</v>
      </c>
      <c r="H2232" s="7" t="s">
        <v>16</v>
      </c>
    </row>
    <row r="2233" spans="1:8" x14ac:dyDescent="0.2">
      <c r="A2233" s="5" t="s">
        <v>13</v>
      </c>
      <c r="B2233" s="6" t="s">
        <v>19</v>
      </c>
      <c r="C2233" s="7" t="s">
        <v>2425</v>
      </c>
      <c r="D2233" s="7"/>
      <c r="E2233" s="8">
        <v>8.0134454900000005</v>
      </c>
      <c r="F2233" s="8">
        <v>5.26291127</v>
      </c>
      <c r="G2233" s="7" t="str">
        <f t="shared" si="14"/>
        <v>Direct</v>
      </c>
      <c r="H2233" s="7" t="s">
        <v>16</v>
      </c>
    </row>
    <row r="2234" spans="1:8" x14ac:dyDescent="0.2">
      <c r="A2234" s="5" t="s">
        <v>13</v>
      </c>
      <c r="B2234" s="6" t="s">
        <v>19</v>
      </c>
      <c r="C2234" s="7" t="s">
        <v>2426</v>
      </c>
      <c r="D2234" s="7"/>
      <c r="E2234" s="8">
        <v>1.1409879599999999</v>
      </c>
      <c r="F2234" s="8">
        <v>1.96304005</v>
      </c>
      <c r="G2234" s="7" t="str">
        <f t="shared" si="14"/>
        <v>Direct</v>
      </c>
      <c r="H2234" s="7" t="s">
        <v>16</v>
      </c>
    </row>
    <row r="2235" spans="1:8" x14ac:dyDescent="0.2">
      <c r="A2235" s="5" t="s">
        <v>13</v>
      </c>
      <c r="B2235" s="6" t="s">
        <v>19</v>
      </c>
      <c r="C2235" s="7" t="s">
        <v>2427</v>
      </c>
      <c r="D2235" s="7"/>
      <c r="E2235" s="8">
        <v>-3.1342962999999999</v>
      </c>
      <c r="F2235" s="8">
        <v>-1.8871355000000001</v>
      </c>
      <c r="G2235" s="7" t="str">
        <f t="shared" si="14"/>
        <v>Direct</v>
      </c>
      <c r="H2235" s="7" t="s">
        <v>2428</v>
      </c>
    </row>
    <row r="2236" spans="1:8" x14ac:dyDescent="0.2">
      <c r="A2236" s="5" t="s">
        <v>13</v>
      </c>
      <c r="B2236" s="6" t="s">
        <v>19</v>
      </c>
      <c r="C2236" s="7" t="s">
        <v>2429</v>
      </c>
      <c r="D2236" s="7"/>
      <c r="E2236" s="8">
        <v>-1.5838436</v>
      </c>
      <c r="F2236" s="8">
        <v>-1.7917145999999999</v>
      </c>
      <c r="G2236" s="7" t="str">
        <f t="shared" si="14"/>
        <v>Direct</v>
      </c>
      <c r="H2236" s="7" t="s">
        <v>16</v>
      </c>
    </row>
    <row r="2237" spans="1:8" x14ac:dyDescent="0.2">
      <c r="A2237" s="5" t="s">
        <v>13</v>
      </c>
      <c r="B2237" s="6" t="s">
        <v>19</v>
      </c>
      <c r="C2237" s="7" t="s">
        <v>2430</v>
      </c>
      <c r="D2237" s="7"/>
      <c r="E2237" s="8">
        <v>-3.6624496999999998</v>
      </c>
      <c r="F2237" s="8">
        <v>-3.3792689999999999</v>
      </c>
      <c r="G2237" s="7" t="str">
        <f t="shared" si="14"/>
        <v>Direct</v>
      </c>
      <c r="H2237" s="7" t="s">
        <v>2431</v>
      </c>
    </row>
    <row r="2238" spans="1:8" x14ac:dyDescent="0.2">
      <c r="A2238" s="5" t="s">
        <v>13</v>
      </c>
      <c r="B2238" s="6" t="s">
        <v>19</v>
      </c>
      <c r="C2238" s="7" t="s">
        <v>408</v>
      </c>
      <c r="D2238" s="7"/>
      <c r="E2238" s="8">
        <v>-7.8358587999999996</v>
      </c>
      <c r="F2238" s="8">
        <v>-8.2927152</v>
      </c>
      <c r="G2238" s="7" t="str">
        <f t="shared" si="14"/>
        <v>Direct</v>
      </c>
      <c r="H2238" s="7" t="s">
        <v>16</v>
      </c>
    </row>
    <row r="2239" spans="1:8" x14ac:dyDescent="0.2">
      <c r="A2239" s="5" t="s">
        <v>13</v>
      </c>
      <c r="B2239" s="6" t="s">
        <v>19</v>
      </c>
      <c r="C2239" s="7" t="s">
        <v>409</v>
      </c>
      <c r="D2239" s="7"/>
      <c r="E2239" s="8">
        <v>3.9137636499999999</v>
      </c>
      <c r="F2239" s="8">
        <v>2.9449754800000001</v>
      </c>
      <c r="G2239" s="7" t="str">
        <f t="shared" si="14"/>
        <v>Direct</v>
      </c>
      <c r="H2239" s="7" t="s">
        <v>16</v>
      </c>
    </row>
    <row r="2240" spans="1:8" x14ac:dyDescent="0.2">
      <c r="A2240" s="5" t="s">
        <v>13</v>
      </c>
      <c r="B2240" s="6" t="s">
        <v>19</v>
      </c>
      <c r="C2240" s="7" t="s">
        <v>2432</v>
      </c>
      <c r="D2240" s="7"/>
      <c r="E2240" s="8">
        <v>1.3620446399999999</v>
      </c>
      <c r="F2240" s="8">
        <v>2.8747784900000002</v>
      </c>
      <c r="G2240" s="7" t="str">
        <f t="shared" si="14"/>
        <v>Direct</v>
      </c>
      <c r="H2240" s="7" t="s">
        <v>16</v>
      </c>
    </row>
    <row r="2241" spans="1:8" x14ac:dyDescent="0.2">
      <c r="A2241" s="5" t="s">
        <v>13</v>
      </c>
      <c r="B2241" s="6" t="s">
        <v>19</v>
      </c>
      <c r="C2241" s="7" t="s">
        <v>2433</v>
      </c>
      <c r="D2241" s="7"/>
      <c r="E2241" s="8">
        <v>1.2048335299999999</v>
      </c>
      <c r="F2241" s="8">
        <v>1.0303498</v>
      </c>
      <c r="G2241" s="7" t="str">
        <f t="shared" si="14"/>
        <v>Direct</v>
      </c>
      <c r="H2241" s="7" t="s">
        <v>88</v>
      </c>
    </row>
    <row r="2242" spans="1:8" x14ac:dyDescent="0.2">
      <c r="A2242" s="5" t="s">
        <v>13</v>
      </c>
      <c r="B2242" s="6" t="s">
        <v>19</v>
      </c>
      <c r="C2242" s="7" t="s">
        <v>410</v>
      </c>
      <c r="D2242" s="7"/>
      <c r="E2242" s="8">
        <v>2.0949398700000001</v>
      </c>
      <c r="F2242" s="8">
        <v>1.9755650600000001</v>
      </c>
      <c r="G2242" s="7" t="str">
        <f t="shared" si="14"/>
        <v>Direct</v>
      </c>
      <c r="H2242" s="7" t="s">
        <v>16</v>
      </c>
    </row>
    <row r="2243" spans="1:8" x14ac:dyDescent="0.2">
      <c r="A2243" s="5" t="s">
        <v>13</v>
      </c>
      <c r="B2243" s="6" t="s">
        <v>19</v>
      </c>
      <c r="C2243" s="7" t="s">
        <v>2434</v>
      </c>
      <c r="D2243" s="7"/>
      <c r="E2243" s="8">
        <v>-1.7295233999999999</v>
      </c>
      <c r="F2243" s="8">
        <v>-1.1240973999999999</v>
      </c>
      <c r="G2243" s="7" t="str">
        <f t="shared" si="14"/>
        <v>Direct</v>
      </c>
      <c r="H2243" s="7" t="s">
        <v>2435</v>
      </c>
    </row>
    <row r="2244" spans="1:8" x14ac:dyDescent="0.2">
      <c r="A2244" s="5" t="s">
        <v>13</v>
      </c>
      <c r="B2244" s="6" t="s">
        <v>19</v>
      </c>
      <c r="C2244" s="7" t="s">
        <v>2436</v>
      </c>
      <c r="D2244" s="7"/>
      <c r="E2244" s="8">
        <v>-3.7953076000000001</v>
      </c>
      <c r="F2244" s="8">
        <v>-4.6481064999999999</v>
      </c>
      <c r="G2244" s="7" t="str">
        <f t="shared" si="14"/>
        <v>Direct</v>
      </c>
      <c r="H2244" s="7" t="s">
        <v>2437</v>
      </c>
    </row>
    <row r="2245" spans="1:8" x14ac:dyDescent="0.2">
      <c r="A2245" s="5" t="s">
        <v>13</v>
      </c>
      <c r="B2245" s="6" t="s">
        <v>19</v>
      </c>
      <c r="C2245" s="7" t="s">
        <v>2438</v>
      </c>
      <c r="D2245" s="7"/>
      <c r="E2245" s="8">
        <v>-4.9385516000000003</v>
      </c>
      <c r="F2245" s="8">
        <v>-4.4003361999999999</v>
      </c>
      <c r="G2245" s="7" t="str">
        <f t="shared" si="14"/>
        <v>Direct</v>
      </c>
      <c r="H2245" s="7" t="s">
        <v>16</v>
      </c>
    </row>
    <row r="2246" spans="1:8" x14ac:dyDescent="0.2">
      <c r="A2246" s="5" t="s">
        <v>13</v>
      </c>
      <c r="B2246" s="6" t="s">
        <v>19</v>
      </c>
      <c r="C2246" s="7" t="s">
        <v>2439</v>
      </c>
      <c r="D2246" s="7"/>
      <c r="E2246" s="8">
        <v>-7.5588316000000004</v>
      </c>
      <c r="F2246" s="8">
        <v>-4.8440595999999996</v>
      </c>
      <c r="G2246" s="7" t="str">
        <f t="shared" si="14"/>
        <v>Direct</v>
      </c>
      <c r="H2246" s="7" t="s">
        <v>2440</v>
      </c>
    </row>
    <row r="2247" spans="1:8" x14ac:dyDescent="0.2">
      <c r="A2247" s="5" t="s">
        <v>13</v>
      </c>
      <c r="B2247" s="6" t="s">
        <v>19</v>
      </c>
      <c r="C2247" s="7" t="s">
        <v>2441</v>
      </c>
      <c r="D2247" s="7"/>
      <c r="E2247" s="8">
        <v>7.5400688799999998</v>
      </c>
      <c r="F2247" s="8">
        <v>2.74904087</v>
      </c>
      <c r="G2247" s="7" t="str">
        <f t="shared" si="14"/>
        <v>Direct</v>
      </c>
      <c r="H2247" s="7" t="s">
        <v>2442</v>
      </c>
    </row>
    <row r="2248" spans="1:8" x14ac:dyDescent="0.2">
      <c r="A2248" s="5" t="s">
        <v>13</v>
      </c>
      <c r="B2248" s="6" t="s">
        <v>19</v>
      </c>
      <c r="C2248" s="7" t="s">
        <v>2443</v>
      </c>
      <c r="D2248" s="7"/>
      <c r="E2248" s="8">
        <v>1.2747076100000001</v>
      </c>
      <c r="F2248" s="8">
        <v>1.2015925300000001</v>
      </c>
      <c r="G2248" s="7" t="str">
        <f t="shared" ref="G2248:G2502" si="15">IF(OR(AND(E2248&gt;0,F2248&gt;0),AND(E2248&lt;0,F2248&lt;0)),"Direct","Inverse")</f>
        <v>Direct</v>
      </c>
      <c r="H2248" s="7" t="s">
        <v>2444</v>
      </c>
    </row>
    <row r="2249" spans="1:8" x14ac:dyDescent="0.2">
      <c r="A2249" s="5" t="s">
        <v>13</v>
      </c>
      <c r="B2249" s="6" t="s">
        <v>19</v>
      </c>
      <c r="C2249" s="7" t="s">
        <v>2445</v>
      </c>
      <c r="D2249" s="7"/>
      <c r="E2249" s="8">
        <v>-1.3793191</v>
      </c>
      <c r="F2249" s="8">
        <v>-1.940113</v>
      </c>
      <c r="G2249" s="7" t="str">
        <f t="shared" si="15"/>
        <v>Direct</v>
      </c>
      <c r="H2249" s="7" t="s">
        <v>2446</v>
      </c>
    </row>
    <row r="2250" spans="1:8" x14ac:dyDescent="0.2">
      <c r="A2250" s="5" t="s">
        <v>13</v>
      </c>
      <c r="B2250" s="6" t="s">
        <v>19</v>
      </c>
      <c r="C2250" s="7" t="s">
        <v>2447</v>
      </c>
      <c r="D2250" s="7"/>
      <c r="E2250" s="8">
        <v>-4.8337507999999998</v>
      </c>
      <c r="F2250" s="8">
        <v>-3.9656175</v>
      </c>
      <c r="G2250" s="7" t="str">
        <f t="shared" si="15"/>
        <v>Direct</v>
      </c>
      <c r="H2250" s="7" t="s">
        <v>419</v>
      </c>
    </row>
    <row r="2251" spans="1:8" x14ac:dyDescent="0.2">
      <c r="A2251" s="5" t="s">
        <v>13</v>
      </c>
      <c r="B2251" s="6" t="s">
        <v>19</v>
      </c>
      <c r="C2251" s="7" t="s">
        <v>2448</v>
      </c>
      <c r="D2251" s="7"/>
      <c r="E2251" s="8">
        <v>-10.798565999999999</v>
      </c>
      <c r="F2251" s="8">
        <v>-7.4641852999999996</v>
      </c>
      <c r="G2251" s="7" t="str">
        <f t="shared" si="15"/>
        <v>Direct</v>
      </c>
      <c r="H2251" s="7" t="s">
        <v>2449</v>
      </c>
    </row>
    <row r="2252" spans="1:8" x14ac:dyDescent="0.2">
      <c r="A2252" s="5" t="s">
        <v>13</v>
      </c>
      <c r="B2252" s="6" t="s">
        <v>19</v>
      </c>
      <c r="C2252" s="7" t="s">
        <v>2450</v>
      </c>
      <c r="D2252" s="7"/>
      <c r="E2252" s="8">
        <v>1.4050998100000001</v>
      </c>
      <c r="F2252" s="8">
        <v>1.0430832800000001</v>
      </c>
      <c r="G2252" s="7" t="str">
        <f t="shared" si="15"/>
        <v>Direct</v>
      </c>
      <c r="H2252" s="7" t="s">
        <v>349</v>
      </c>
    </row>
    <row r="2253" spans="1:8" x14ac:dyDescent="0.2">
      <c r="A2253" s="5" t="s">
        <v>13</v>
      </c>
      <c r="B2253" s="6" t="s">
        <v>19</v>
      </c>
      <c r="C2253" s="7" t="s">
        <v>2451</v>
      </c>
      <c r="D2253" s="7"/>
      <c r="E2253" s="8">
        <v>-5.3792302999999997</v>
      </c>
      <c r="F2253" s="8">
        <v>-4.0614926000000002</v>
      </c>
      <c r="G2253" s="7" t="str">
        <f t="shared" si="15"/>
        <v>Direct</v>
      </c>
      <c r="H2253" s="7" t="s">
        <v>2452</v>
      </c>
    </row>
    <row r="2254" spans="1:8" x14ac:dyDescent="0.2">
      <c r="A2254" s="5" t="s">
        <v>13</v>
      </c>
      <c r="B2254" s="6" t="s">
        <v>19</v>
      </c>
      <c r="C2254" s="7" t="s">
        <v>2453</v>
      </c>
      <c r="D2254" s="7"/>
      <c r="E2254" s="8">
        <v>-2.1363508000000002</v>
      </c>
      <c r="F2254" s="8">
        <v>-1.1413542000000001</v>
      </c>
      <c r="G2254" s="7" t="str">
        <f t="shared" si="15"/>
        <v>Direct</v>
      </c>
      <c r="H2254" s="7" t="s">
        <v>349</v>
      </c>
    </row>
    <row r="2255" spans="1:8" x14ac:dyDescent="0.2">
      <c r="A2255" s="5" t="s">
        <v>13</v>
      </c>
      <c r="B2255" s="6" t="s">
        <v>19</v>
      </c>
      <c r="C2255" s="7" t="s">
        <v>2454</v>
      </c>
      <c r="D2255" s="7"/>
      <c r="E2255" s="8">
        <v>1.83705604</v>
      </c>
      <c r="F2255" s="8">
        <v>2.0671368700000001</v>
      </c>
      <c r="G2255" s="7" t="str">
        <f t="shared" si="15"/>
        <v>Direct</v>
      </c>
      <c r="H2255" s="7" t="s">
        <v>16</v>
      </c>
    </row>
    <row r="2256" spans="1:8" x14ac:dyDescent="0.2">
      <c r="A2256" s="5" t="s">
        <v>13</v>
      </c>
      <c r="B2256" s="6" t="s">
        <v>19</v>
      </c>
      <c r="C2256" s="7" t="s">
        <v>2455</v>
      </c>
      <c r="D2256" s="7"/>
      <c r="E2256" s="8">
        <v>-6.1356831999999999</v>
      </c>
      <c r="F2256" s="8">
        <v>-4.813536</v>
      </c>
      <c r="G2256" s="7" t="str">
        <f t="shared" si="15"/>
        <v>Direct</v>
      </c>
      <c r="H2256" s="7" t="s">
        <v>16</v>
      </c>
    </row>
    <row r="2257" spans="1:8" x14ac:dyDescent="0.2">
      <c r="A2257" s="5" t="s">
        <v>13</v>
      </c>
      <c r="B2257" s="6" t="s">
        <v>19</v>
      </c>
      <c r="C2257" s="7" t="s">
        <v>2456</v>
      </c>
      <c r="D2257" s="7"/>
      <c r="E2257" s="8">
        <v>1.7205929</v>
      </c>
      <c r="F2257" s="8">
        <v>2.3758810700000002</v>
      </c>
      <c r="G2257" s="7" t="str">
        <f t="shared" si="15"/>
        <v>Direct</v>
      </c>
      <c r="H2257" s="7" t="s">
        <v>16</v>
      </c>
    </row>
    <row r="2258" spans="1:8" x14ac:dyDescent="0.2">
      <c r="A2258" s="5" t="s">
        <v>13</v>
      </c>
      <c r="B2258" s="6" t="s">
        <v>19</v>
      </c>
      <c r="C2258" s="7" t="s">
        <v>2457</v>
      </c>
      <c r="D2258" s="7"/>
      <c r="E2258" s="8">
        <v>-1.6266419000000001</v>
      </c>
      <c r="F2258" s="8">
        <v>-1.2672639999999999</v>
      </c>
      <c r="G2258" s="7" t="str">
        <f t="shared" si="15"/>
        <v>Direct</v>
      </c>
      <c r="H2258" s="7" t="s">
        <v>16</v>
      </c>
    </row>
    <row r="2259" spans="1:8" x14ac:dyDescent="0.2">
      <c r="A2259" s="5" t="s">
        <v>13</v>
      </c>
      <c r="B2259" s="6" t="s">
        <v>19</v>
      </c>
      <c r="C2259" s="7" t="s">
        <v>2458</v>
      </c>
      <c r="D2259" s="7"/>
      <c r="E2259" s="8">
        <v>-6.1283620000000001</v>
      </c>
      <c r="F2259" s="8">
        <v>-3.8608321000000001</v>
      </c>
      <c r="G2259" s="7" t="str">
        <f t="shared" si="15"/>
        <v>Direct</v>
      </c>
      <c r="H2259" s="7" t="s">
        <v>2459</v>
      </c>
    </row>
    <row r="2260" spans="1:8" x14ac:dyDescent="0.2">
      <c r="A2260" s="5" t="s">
        <v>13</v>
      </c>
      <c r="B2260" s="6" t="s">
        <v>19</v>
      </c>
      <c r="C2260" s="7" t="s">
        <v>2460</v>
      </c>
      <c r="D2260" s="7"/>
      <c r="E2260" s="8">
        <v>5.9763494000000001</v>
      </c>
      <c r="F2260" s="8">
        <v>3.0601118</v>
      </c>
      <c r="G2260" s="7" t="str">
        <f t="shared" si="15"/>
        <v>Direct</v>
      </c>
      <c r="H2260" s="7" t="s">
        <v>16</v>
      </c>
    </row>
    <row r="2261" spans="1:8" x14ac:dyDescent="0.2">
      <c r="A2261" s="5" t="s">
        <v>13</v>
      </c>
      <c r="B2261" s="6" t="s">
        <v>19</v>
      </c>
      <c r="C2261" s="7" t="s">
        <v>411</v>
      </c>
      <c r="D2261" s="7"/>
      <c r="E2261" s="8">
        <v>-1.2592911</v>
      </c>
      <c r="F2261" s="8">
        <v>-1.9381358</v>
      </c>
      <c r="G2261" s="7" t="str">
        <f t="shared" si="15"/>
        <v>Direct</v>
      </c>
      <c r="H2261" s="7" t="s">
        <v>16</v>
      </c>
    </row>
    <row r="2262" spans="1:8" x14ac:dyDescent="0.2">
      <c r="A2262" s="5" t="s">
        <v>13</v>
      </c>
      <c r="B2262" s="6" t="s">
        <v>19</v>
      </c>
      <c r="C2262" s="7" t="s">
        <v>2461</v>
      </c>
      <c r="D2262" s="7"/>
      <c r="E2262" s="8">
        <v>-1.029285</v>
      </c>
      <c r="F2262" s="8">
        <v>-1.1560561</v>
      </c>
      <c r="G2262" s="7" t="str">
        <f t="shared" si="15"/>
        <v>Direct</v>
      </c>
      <c r="H2262" s="7" t="s">
        <v>2462</v>
      </c>
    </row>
    <row r="2263" spans="1:8" x14ac:dyDescent="0.2">
      <c r="A2263" s="5" t="s">
        <v>13</v>
      </c>
      <c r="B2263" s="6" t="s">
        <v>19</v>
      </c>
      <c r="C2263" s="7" t="s">
        <v>2463</v>
      </c>
      <c r="D2263" s="7"/>
      <c r="E2263" s="8">
        <v>1.7705661100000001</v>
      </c>
      <c r="F2263" s="8">
        <v>1.01929275</v>
      </c>
      <c r="G2263" s="7" t="str">
        <f t="shared" si="15"/>
        <v>Direct</v>
      </c>
      <c r="H2263" s="7" t="s">
        <v>2464</v>
      </c>
    </row>
    <row r="2264" spans="1:8" x14ac:dyDescent="0.2">
      <c r="A2264" s="5" t="s">
        <v>13</v>
      </c>
      <c r="B2264" s="6" t="s">
        <v>19</v>
      </c>
      <c r="C2264" s="7" t="s">
        <v>2465</v>
      </c>
      <c r="D2264" s="7"/>
      <c r="E2264" s="8">
        <v>-1.6403463</v>
      </c>
      <c r="F2264" s="8">
        <v>-3.1439450999999998</v>
      </c>
      <c r="G2264" s="7" t="str">
        <f t="shared" si="15"/>
        <v>Direct</v>
      </c>
      <c r="H2264" s="7" t="s">
        <v>2466</v>
      </c>
    </row>
    <row r="2265" spans="1:8" x14ac:dyDescent="0.2">
      <c r="A2265" s="5" t="s">
        <v>13</v>
      </c>
      <c r="B2265" s="6" t="s">
        <v>19</v>
      </c>
      <c r="C2265" s="7" t="s">
        <v>2467</v>
      </c>
      <c r="D2265" s="7"/>
      <c r="E2265" s="8">
        <v>-2.0865963999999999</v>
      </c>
      <c r="F2265" s="8">
        <v>-1.4862941000000001</v>
      </c>
      <c r="G2265" s="7" t="str">
        <f t="shared" si="15"/>
        <v>Direct</v>
      </c>
      <c r="H2265" s="7" t="s">
        <v>16</v>
      </c>
    </row>
    <row r="2266" spans="1:8" x14ac:dyDescent="0.2">
      <c r="A2266" s="5" t="s">
        <v>13</v>
      </c>
      <c r="B2266" s="6" t="s">
        <v>19</v>
      </c>
      <c r="C2266" s="7" t="s">
        <v>2468</v>
      </c>
      <c r="D2266" s="7"/>
      <c r="E2266" s="8">
        <v>-1.0680358000000001</v>
      </c>
      <c r="F2266" s="8">
        <v>-1.1500558000000001</v>
      </c>
      <c r="G2266" s="7" t="str">
        <f t="shared" si="15"/>
        <v>Direct</v>
      </c>
      <c r="H2266" s="7" t="s">
        <v>1908</v>
      </c>
    </row>
    <row r="2267" spans="1:8" x14ac:dyDescent="0.2">
      <c r="A2267" s="5" t="s">
        <v>13</v>
      </c>
      <c r="B2267" s="6" t="s">
        <v>19</v>
      </c>
      <c r="C2267" s="7" t="s">
        <v>2469</v>
      </c>
      <c r="D2267" s="7"/>
      <c r="E2267" s="8">
        <v>1.1073693200000001</v>
      </c>
      <c r="F2267" s="8">
        <v>1.22843367</v>
      </c>
      <c r="G2267" s="7" t="str">
        <f t="shared" si="15"/>
        <v>Direct</v>
      </c>
      <c r="H2267" s="7" t="s">
        <v>2470</v>
      </c>
    </row>
    <row r="2268" spans="1:8" x14ac:dyDescent="0.2">
      <c r="A2268" s="5" t="s">
        <v>13</v>
      </c>
      <c r="B2268" s="6" t="s">
        <v>19</v>
      </c>
      <c r="C2268" s="7" t="s">
        <v>2471</v>
      </c>
      <c r="D2268" s="7"/>
      <c r="E2268" s="8">
        <v>2.1120564700000002</v>
      </c>
      <c r="F2268" s="8">
        <v>1.93666947</v>
      </c>
      <c r="G2268" s="7" t="str">
        <f t="shared" si="15"/>
        <v>Direct</v>
      </c>
      <c r="H2268" s="7" t="s">
        <v>2472</v>
      </c>
    </row>
    <row r="2269" spans="1:8" x14ac:dyDescent="0.2">
      <c r="A2269" s="5" t="s">
        <v>13</v>
      </c>
      <c r="B2269" s="6" t="s">
        <v>19</v>
      </c>
      <c r="C2269" s="7" t="s">
        <v>2473</v>
      </c>
      <c r="D2269" s="7"/>
      <c r="E2269" s="8">
        <v>-2.8261577</v>
      </c>
      <c r="F2269" s="8">
        <v>-1.5859546</v>
      </c>
      <c r="G2269" s="7" t="str">
        <f t="shared" si="15"/>
        <v>Direct</v>
      </c>
      <c r="H2269" s="7" t="s">
        <v>2474</v>
      </c>
    </row>
    <row r="2270" spans="1:8" x14ac:dyDescent="0.2">
      <c r="A2270" s="5" t="s">
        <v>13</v>
      </c>
      <c r="B2270" s="6" t="s">
        <v>19</v>
      </c>
      <c r="C2270" s="7" t="s">
        <v>412</v>
      </c>
      <c r="D2270" s="7"/>
      <c r="E2270" s="8">
        <v>-1.7081550000000001</v>
      </c>
      <c r="F2270" s="8">
        <v>-2.2066759999999999</v>
      </c>
      <c r="G2270" s="7" t="str">
        <f t="shared" si="15"/>
        <v>Direct</v>
      </c>
      <c r="H2270" s="7" t="s">
        <v>413</v>
      </c>
    </row>
    <row r="2271" spans="1:8" x14ac:dyDescent="0.2">
      <c r="A2271" s="5" t="s">
        <v>13</v>
      </c>
      <c r="B2271" s="6" t="s">
        <v>19</v>
      </c>
      <c r="C2271" s="7" t="s">
        <v>2475</v>
      </c>
      <c r="D2271" s="7"/>
      <c r="E2271" s="8">
        <v>-1.4921844</v>
      </c>
      <c r="F2271" s="8">
        <v>-1.5992983000000001</v>
      </c>
      <c r="G2271" s="7" t="str">
        <f t="shared" si="15"/>
        <v>Direct</v>
      </c>
      <c r="H2271" s="7" t="s">
        <v>2476</v>
      </c>
    </row>
    <row r="2272" spans="1:8" x14ac:dyDescent="0.2">
      <c r="A2272" s="5" t="s">
        <v>13</v>
      </c>
      <c r="B2272" s="6" t="s">
        <v>19</v>
      </c>
      <c r="C2272" s="7" t="s">
        <v>2477</v>
      </c>
      <c r="D2272" s="7"/>
      <c r="E2272" s="8">
        <v>-4.6308962999999999</v>
      </c>
      <c r="F2272" s="8">
        <v>-5.1716797000000003</v>
      </c>
      <c r="G2272" s="7" t="str">
        <f t="shared" si="15"/>
        <v>Direct</v>
      </c>
      <c r="H2272" s="7" t="s">
        <v>2478</v>
      </c>
    </row>
    <row r="2273" spans="1:8" x14ac:dyDescent="0.2">
      <c r="A2273" s="5" t="s">
        <v>13</v>
      </c>
      <c r="B2273" s="6" t="s">
        <v>19</v>
      </c>
      <c r="C2273" s="7" t="s">
        <v>2479</v>
      </c>
      <c r="D2273" s="7"/>
      <c r="E2273" s="8">
        <v>-4.0936661000000001</v>
      </c>
      <c r="F2273" s="8">
        <v>-4.4834629000000001</v>
      </c>
      <c r="G2273" s="7" t="str">
        <f t="shared" si="15"/>
        <v>Direct</v>
      </c>
      <c r="H2273" s="7" t="s">
        <v>16</v>
      </c>
    </row>
    <row r="2274" spans="1:8" x14ac:dyDescent="0.2">
      <c r="A2274" s="5" t="s">
        <v>13</v>
      </c>
      <c r="B2274" s="6" t="s">
        <v>19</v>
      </c>
      <c r="C2274" s="7" t="s">
        <v>2480</v>
      </c>
      <c r="D2274" s="7"/>
      <c r="E2274" s="8">
        <v>-1.1575126</v>
      </c>
      <c r="F2274" s="8">
        <v>-1.1901716</v>
      </c>
      <c r="G2274" s="7" t="str">
        <f t="shared" si="15"/>
        <v>Direct</v>
      </c>
      <c r="H2274" s="7" t="s">
        <v>818</v>
      </c>
    </row>
    <row r="2275" spans="1:8" x14ac:dyDescent="0.2">
      <c r="A2275" s="5" t="s">
        <v>13</v>
      </c>
      <c r="B2275" s="6" t="s">
        <v>19</v>
      </c>
      <c r="C2275" s="7" t="s">
        <v>2481</v>
      </c>
      <c r="D2275" s="7"/>
      <c r="E2275" s="8">
        <v>-1.8760935000000001</v>
      </c>
      <c r="F2275" s="8">
        <v>-1.3411261000000001</v>
      </c>
      <c r="G2275" s="7" t="str">
        <f t="shared" si="15"/>
        <v>Direct</v>
      </c>
      <c r="H2275" s="7" t="s">
        <v>2482</v>
      </c>
    </row>
    <row r="2276" spans="1:8" x14ac:dyDescent="0.2">
      <c r="A2276" s="5" t="s">
        <v>13</v>
      </c>
      <c r="B2276" s="6" t="s">
        <v>19</v>
      </c>
      <c r="C2276" s="7" t="s">
        <v>2483</v>
      </c>
      <c r="D2276" s="7"/>
      <c r="E2276" s="8">
        <v>-1.0265114</v>
      </c>
      <c r="F2276" s="8">
        <v>-1.0773598</v>
      </c>
      <c r="G2276" s="7" t="str">
        <f t="shared" si="15"/>
        <v>Direct</v>
      </c>
      <c r="H2276" s="7" t="s">
        <v>16</v>
      </c>
    </row>
    <row r="2277" spans="1:8" x14ac:dyDescent="0.2">
      <c r="A2277" s="5" t="s">
        <v>13</v>
      </c>
      <c r="B2277" s="6" t="s">
        <v>19</v>
      </c>
      <c r="C2277" s="7" t="s">
        <v>2484</v>
      </c>
      <c r="D2277" s="7"/>
      <c r="E2277" s="8">
        <v>-6.7640069</v>
      </c>
      <c r="F2277" s="8">
        <v>-9.9916944000000001</v>
      </c>
      <c r="G2277" s="7" t="str">
        <f t="shared" si="15"/>
        <v>Direct</v>
      </c>
      <c r="H2277" s="7" t="s">
        <v>2485</v>
      </c>
    </row>
    <row r="2278" spans="1:8" x14ac:dyDescent="0.2">
      <c r="A2278" s="5" t="s">
        <v>13</v>
      </c>
      <c r="B2278" s="6" t="s">
        <v>19</v>
      </c>
      <c r="C2278" s="7" t="s">
        <v>2486</v>
      </c>
      <c r="D2278" s="7"/>
      <c r="E2278" s="8">
        <v>-4.705317</v>
      </c>
      <c r="F2278" s="8">
        <v>-4.4429619999999996</v>
      </c>
      <c r="G2278" s="7" t="str">
        <f t="shared" si="15"/>
        <v>Direct</v>
      </c>
      <c r="H2278" s="7" t="s">
        <v>2487</v>
      </c>
    </row>
    <row r="2279" spans="1:8" x14ac:dyDescent="0.2">
      <c r="A2279" s="5" t="s">
        <v>13</v>
      </c>
      <c r="B2279" s="6" t="s">
        <v>19</v>
      </c>
      <c r="C2279" s="7" t="s">
        <v>416</v>
      </c>
      <c r="D2279" s="7"/>
      <c r="E2279" s="8">
        <v>-1.6849190999999999</v>
      </c>
      <c r="F2279" s="8">
        <v>-1.1194554000000001</v>
      </c>
      <c r="G2279" s="7" t="str">
        <f t="shared" si="15"/>
        <v>Direct</v>
      </c>
      <c r="H2279" s="7" t="s">
        <v>417</v>
      </c>
    </row>
    <row r="2280" spans="1:8" x14ac:dyDescent="0.2">
      <c r="A2280" s="5" t="s">
        <v>13</v>
      </c>
      <c r="B2280" s="6" t="s">
        <v>19</v>
      </c>
      <c r="C2280" s="7" t="s">
        <v>2488</v>
      </c>
      <c r="D2280" s="7"/>
      <c r="E2280" s="8">
        <v>-3.0305689999999998</v>
      </c>
      <c r="F2280" s="8">
        <v>-3.3372744000000001</v>
      </c>
      <c r="G2280" s="7" t="str">
        <f t="shared" si="15"/>
        <v>Direct</v>
      </c>
      <c r="H2280" s="7" t="s">
        <v>2489</v>
      </c>
    </row>
    <row r="2281" spans="1:8" x14ac:dyDescent="0.2">
      <c r="A2281" s="5" t="s">
        <v>13</v>
      </c>
      <c r="B2281" s="6" t="s">
        <v>19</v>
      </c>
      <c r="C2281" s="7" t="s">
        <v>2490</v>
      </c>
      <c r="D2281" s="7"/>
      <c r="E2281" s="8">
        <v>-2.1593331</v>
      </c>
      <c r="F2281" s="8">
        <v>-1.6702900000000001</v>
      </c>
      <c r="G2281" s="7" t="str">
        <f t="shared" si="15"/>
        <v>Direct</v>
      </c>
      <c r="H2281" s="7" t="s">
        <v>2491</v>
      </c>
    </row>
    <row r="2282" spans="1:8" x14ac:dyDescent="0.2">
      <c r="A2282" s="5" t="s">
        <v>13</v>
      </c>
      <c r="B2282" s="6" t="s">
        <v>19</v>
      </c>
      <c r="C2282" s="7" t="s">
        <v>2492</v>
      </c>
      <c r="D2282" s="7"/>
      <c r="E2282" s="8">
        <v>3.3341963400000001</v>
      </c>
      <c r="F2282" s="8">
        <v>1.22992039</v>
      </c>
      <c r="G2282" s="7" t="str">
        <f t="shared" si="15"/>
        <v>Direct</v>
      </c>
      <c r="H2282" s="7" t="s">
        <v>16</v>
      </c>
    </row>
    <row r="2283" spans="1:8" x14ac:dyDescent="0.2">
      <c r="A2283" s="5" t="s">
        <v>13</v>
      </c>
      <c r="B2283" s="6" t="s">
        <v>19</v>
      </c>
      <c r="C2283" s="7" t="s">
        <v>2493</v>
      </c>
      <c r="D2283" s="7"/>
      <c r="E2283" s="8">
        <v>3.6774263600000001</v>
      </c>
      <c r="F2283" s="8">
        <v>3.2382419699999998</v>
      </c>
      <c r="G2283" s="7" t="str">
        <f t="shared" si="15"/>
        <v>Direct</v>
      </c>
      <c r="H2283" s="7" t="s">
        <v>2494</v>
      </c>
    </row>
    <row r="2284" spans="1:8" x14ac:dyDescent="0.2">
      <c r="A2284" s="5" t="s">
        <v>13</v>
      </c>
      <c r="B2284" s="6" t="s">
        <v>19</v>
      </c>
      <c r="C2284" s="7" t="s">
        <v>418</v>
      </c>
      <c r="D2284" s="7"/>
      <c r="E2284" s="8">
        <v>-2.4354974999999999</v>
      </c>
      <c r="F2284" s="8">
        <v>-5.4580209999999996</v>
      </c>
      <c r="G2284" s="7" t="str">
        <f t="shared" si="15"/>
        <v>Direct</v>
      </c>
      <c r="H2284" s="7" t="s">
        <v>419</v>
      </c>
    </row>
    <row r="2285" spans="1:8" x14ac:dyDescent="0.2">
      <c r="A2285" s="5" t="s">
        <v>13</v>
      </c>
      <c r="B2285" s="6" t="s">
        <v>19</v>
      </c>
      <c r="C2285" s="7" t="s">
        <v>2495</v>
      </c>
      <c r="D2285" s="7"/>
      <c r="E2285" s="8">
        <v>-1.5199400000000001</v>
      </c>
      <c r="F2285" s="8">
        <v>-2.1303353999999999</v>
      </c>
      <c r="G2285" s="7" t="str">
        <f t="shared" si="15"/>
        <v>Direct</v>
      </c>
      <c r="H2285" s="7" t="s">
        <v>16</v>
      </c>
    </row>
    <row r="2286" spans="1:8" x14ac:dyDescent="0.2">
      <c r="A2286" s="5" t="s">
        <v>13</v>
      </c>
      <c r="B2286" s="6" t="s">
        <v>19</v>
      </c>
      <c r="C2286" s="7" t="s">
        <v>2496</v>
      </c>
      <c r="D2286" s="7"/>
      <c r="E2286" s="8">
        <v>-1.7510355</v>
      </c>
      <c r="F2286" s="8">
        <v>-1.3619676000000001</v>
      </c>
      <c r="G2286" s="7" t="str">
        <f t="shared" si="15"/>
        <v>Direct</v>
      </c>
      <c r="H2286" s="7" t="s">
        <v>16</v>
      </c>
    </row>
    <row r="2287" spans="1:8" x14ac:dyDescent="0.2">
      <c r="A2287" s="5" t="s">
        <v>13</v>
      </c>
      <c r="B2287" s="6" t="s">
        <v>19</v>
      </c>
      <c r="C2287" s="7" t="s">
        <v>2497</v>
      </c>
      <c r="D2287" s="7"/>
      <c r="E2287" s="8">
        <v>-1.5481533000000001</v>
      </c>
      <c r="F2287" s="8">
        <v>-1.4504878999999999</v>
      </c>
      <c r="G2287" s="7" t="str">
        <f t="shared" si="15"/>
        <v>Direct</v>
      </c>
      <c r="H2287" s="7" t="s">
        <v>16</v>
      </c>
    </row>
    <row r="2288" spans="1:8" x14ac:dyDescent="0.2">
      <c r="A2288" s="5" t="s">
        <v>13</v>
      </c>
      <c r="B2288" s="6" t="s">
        <v>19</v>
      </c>
      <c r="C2288" s="7" t="s">
        <v>2498</v>
      </c>
      <c r="D2288" s="7"/>
      <c r="E2288" s="8">
        <v>-2.5486947999999998</v>
      </c>
      <c r="F2288" s="8">
        <v>-3.2030729</v>
      </c>
      <c r="G2288" s="7" t="str">
        <f t="shared" si="15"/>
        <v>Direct</v>
      </c>
      <c r="H2288" s="7" t="s">
        <v>2499</v>
      </c>
    </row>
    <row r="2289" spans="1:8" x14ac:dyDescent="0.2">
      <c r="A2289" s="5" t="s">
        <v>13</v>
      </c>
      <c r="B2289" s="6" t="s">
        <v>19</v>
      </c>
      <c r="C2289" s="7" t="s">
        <v>421</v>
      </c>
      <c r="D2289" s="7"/>
      <c r="E2289" s="8">
        <v>-1.0851105000000001</v>
      </c>
      <c r="F2289" s="8">
        <v>-1.1461737999999999</v>
      </c>
      <c r="G2289" s="7" t="str">
        <f t="shared" si="15"/>
        <v>Direct</v>
      </c>
      <c r="H2289" s="7" t="s">
        <v>16</v>
      </c>
    </row>
    <row r="2290" spans="1:8" x14ac:dyDescent="0.2">
      <c r="A2290" s="5" t="s">
        <v>13</v>
      </c>
      <c r="B2290" s="6" t="s">
        <v>19</v>
      </c>
      <c r="C2290" s="7" t="s">
        <v>2500</v>
      </c>
      <c r="D2290" s="7"/>
      <c r="E2290" s="8">
        <v>2.3770897999999998</v>
      </c>
      <c r="F2290" s="8">
        <v>2.2497198799999998</v>
      </c>
      <c r="G2290" s="7" t="str">
        <f t="shared" si="15"/>
        <v>Direct</v>
      </c>
      <c r="H2290" s="7" t="s">
        <v>2501</v>
      </c>
    </row>
    <row r="2291" spans="1:8" x14ac:dyDescent="0.2">
      <c r="A2291" s="5" t="s">
        <v>13</v>
      </c>
      <c r="B2291" s="6" t="s">
        <v>19</v>
      </c>
      <c r="C2291" s="7" t="s">
        <v>2502</v>
      </c>
      <c r="D2291" s="7"/>
      <c r="E2291" s="8">
        <v>1.86766348</v>
      </c>
      <c r="F2291" s="8">
        <v>1.82137908</v>
      </c>
      <c r="G2291" s="7" t="str">
        <f t="shared" si="15"/>
        <v>Direct</v>
      </c>
      <c r="H2291" s="7" t="s">
        <v>2503</v>
      </c>
    </row>
    <row r="2292" spans="1:8" x14ac:dyDescent="0.2">
      <c r="A2292" s="5" t="s">
        <v>13</v>
      </c>
      <c r="B2292" s="6" t="s">
        <v>19</v>
      </c>
      <c r="C2292" s="7" t="s">
        <v>2504</v>
      </c>
      <c r="D2292" s="7"/>
      <c r="E2292" s="8">
        <v>-2.3717633999999999</v>
      </c>
      <c r="F2292" s="8">
        <v>-2.4802086000000001</v>
      </c>
      <c r="G2292" s="7" t="str">
        <f t="shared" si="15"/>
        <v>Direct</v>
      </c>
      <c r="H2292" s="7" t="s">
        <v>1358</v>
      </c>
    </row>
    <row r="2293" spans="1:8" x14ac:dyDescent="0.2">
      <c r="A2293" s="5" t="s">
        <v>13</v>
      </c>
      <c r="B2293" s="6" t="s">
        <v>19</v>
      </c>
      <c r="C2293" s="7" t="s">
        <v>2505</v>
      </c>
      <c r="D2293" s="7"/>
      <c r="E2293" s="8">
        <v>2.4908160399999999</v>
      </c>
      <c r="F2293" s="8">
        <v>2.1150886899999999</v>
      </c>
      <c r="G2293" s="7" t="str">
        <f t="shared" si="15"/>
        <v>Direct</v>
      </c>
      <c r="H2293" s="7" t="s">
        <v>16</v>
      </c>
    </row>
    <row r="2294" spans="1:8" x14ac:dyDescent="0.2">
      <c r="A2294" s="5" t="s">
        <v>13</v>
      </c>
      <c r="B2294" s="6" t="s">
        <v>19</v>
      </c>
      <c r="C2294" s="7" t="s">
        <v>422</v>
      </c>
      <c r="D2294" s="7"/>
      <c r="E2294" s="8">
        <v>-3.7592257999999998</v>
      </c>
      <c r="F2294" s="8">
        <v>-4.7146046999999998</v>
      </c>
      <c r="G2294" s="7" t="str">
        <f t="shared" si="15"/>
        <v>Direct</v>
      </c>
      <c r="H2294" s="7" t="s">
        <v>423</v>
      </c>
    </row>
    <row r="2295" spans="1:8" x14ac:dyDescent="0.2">
      <c r="A2295" s="5" t="s">
        <v>13</v>
      </c>
      <c r="B2295" s="6" t="s">
        <v>19</v>
      </c>
      <c r="C2295" s="7" t="s">
        <v>2506</v>
      </c>
      <c r="D2295" s="7"/>
      <c r="E2295" s="8">
        <v>-2.442682</v>
      </c>
      <c r="F2295" s="8">
        <v>-1.1446544000000001</v>
      </c>
      <c r="G2295" s="7" t="str">
        <f t="shared" si="15"/>
        <v>Direct</v>
      </c>
      <c r="H2295" s="7" t="s">
        <v>2507</v>
      </c>
    </row>
    <row r="2296" spans="1:8" x14ac:dyDescent="0.2">
      <c r="A2296" s="5" t="s">
        <v>13</v>
      </c>
      <c r="B2296" s="6" t="s">
        <v>19</v>
      </c>
      <c r="C2296" s="7" t="s">
        <v>2508</v>
      </c>
      <c r="D2296" s="7"/>
      <c r="E2296" s="8">
        <v>-9.0464871000000002</v>
      </c>
      <c r="F2296" s="8">
        <v>-7.1696667999999999</v>
      </c>
      <c r="G2296" s="7" t="str">
        <f t="shared" si="15"/>
        <v>Direct</v>
      </c>
      <c r="H2296" s="7" t="s">
        <v>2509</v>
      </c>
    </row>
    <row r="2297" spans="1:8" x14ac:dyDescent="0.2">
      <c r="A2297" s="5" t="s">
        <v>13</v>
      </c>
      <c r="B2297" s="6" t="s">
        <v>19</v>
      </c>
      <c r="C2297" s="7" t="s">
        <v>2510</v>
      </c>
      <c r="D2297" s="7"/>
      <c r="E2297" s="8">
        <v>-1.0026672999999999</v>
      </c>
      <c r="F2297" s="8">
        <v>-1.079426</v>
      </c>
      <c r="G2297" s="7" t="str">
        <f t="shared" si="15"/>
        <v>Direct</v>
      </c>
      <c r="H2297" s="7" t="s">
        <v>2511</v>
      </c>
    </row>
    <row r="2298" spans="1:8" x14ac:dyDescent="0.2">
      <c r="A2298" s="5" t="s">
        <v>13</v>
      </c>
      <c r="B2298" s="6" t="s">
        <v>19</v>
      </c>
      <c r="C2298" s="7" t="s">
        <v>2512</v>
      </c>
      <c r="D2298" s="7"/>
      <c r="E2298" s="8">
        <v>-3.6311068999999998</v>
      </c>
      <c r="F2298" s="8">
        <v>-3.9353889999999998</v>
      </c>
      <c r="G2298" s="7" t="str">
        <f t="shared" si="15"/>
        <v>Direct</v>
      </c>
      <c r="H2298" s="7" t="s">
        <v>1219</v>
      </c>
    </row>
    <row r="2299" spans="1:8" x14ac:dyDescent="0.2">
      <c r="A2299" s="5" t="s">
        <v>13</v>
      </c>
      <c r="B2299" s="6" t="s">
        <v>19</v>
      </c>
      <c r="C2299" s="7" t="s">
        <v>424</v>
      </c>
      <c r="D2299" s="7"/>
      <c r="E2299" s="8">
        <v>-10.940806</v>
      </c>
      <c r="F2299" s="8">
        <v>-9.8755729999999993</v>
      </c>
      <c r="G2299" s="7" t="str">
        <f t="shared" si="15"/>
        <v>Direct</v>
      </c>
      <c r="H2299" s="7" t="s">
        <v>425</v>
      </c>
    </row>
    <row r="2300" spans="1:8" x14ac:dyDescent="0.2">
      <c r="A2300" s="5" t="s">
        <v>13</v>
      </c>
      <c r="B2300" s="6" t="s">
        <v>19</v>
      </c>
      <c r="C2300" s="7" t="s">
        <v>2513</v>
      </c>
      <c r="D2300" s="7"/>
      <c r="E2300" s="8">
        <v>6.1560888199999999</v>
      </c>
      <c r="F2300" s="8">
        <v>5.3623126399999999</v>
      </c>
      <c r="G2300" s="7" t="str">
        <f t="shared" si="15"/>
        <v>Direct</v>
      </c>
      <c r="H2300" s="7" t="s">
        <v>2514</v>
      </c>
    </row>
    <row r="2301" spans="1:8" x14ac:dyDescent="0.2">
      <c r="A2301" s="5" t="s">
        <v>13</v>
      </c>
      <c r="B2301" s="6" t="s">
        <v>19</v>
      </c>
      <c r="C2301" s="7" t="s">
        <v>2515</v>
      </c>
      <c r="D2301" s="7"/>
      <c r="E2301" s="8">
        <v>-2.0761490999999999</v>
      </c>
      <c r="F2301" s="8">
        <v>-1.8812765</v>
      </c>
      <c r="G2301" s="7" t="str">
        <f t="shared" si="15"/>
        <v>Direct</v>
      </c>
      <c r="H2301" s="7" t="s">
        <v>16</v>
      </c>
    </row>
    <row r="2302" spans="1:8" x14ac:dyDescent="0.2">
      <c r="A2302" s="5" t="s">
        <v>13</v>
      </c>
      <c r="B2302" s="6" t="s">
        <v>19</v>
      </c>
      <c r="C2302" s="7" t="s">
        <v>2516</v>
      </c>
      <c r="D2302" s="7"/>
      <c r="E2302" s="8">
        <v>-2.5106891999999998</v>
      </c>
      <c r="F2302" s="8">
        <v>-2.7625410000000001</v>
      </c>
      <c r="G2302" s="7" t="str">
        <f t="shared" si="15"/>
        <v>Direct</v>
      </c>
      <c r="H2302" s="7" t="s">
        <v>16</v>
      </c>
    </row>
    <row r="2303" spans="1:8" x14ac:dyDescent="0.2">
      <c r="A2303" s="5" t="s">
        <v>13</v>
      </c>
      <c r="B2303" s="6" t="s">
        <v>19</v>
      </c>
      <c r="C2303" s="7" t="s">
        <v>2517</v>
      </c>
      <c r="D2303" s="7"/>
      <c r="E2303" s="8">
        <v>-4.8783753000000001</v>
      </c>
      <c r="F2303" s="8">
        <v>-7.7704544999999996</v>
      </c>
      <c r="G2303" s="7" t="str">
        <f t="shared" si="15"/>
        <v>Direct</v>
      </c>
      <c r="H2303" s="7" t="s">
        <v>2518</v>
      </c>
    </row>
    <row r="2304" spans="1:8" x14ac:dyDescent="0.2">
      <c r="A2304" s="5" t="s">
        <v>13</v>
      </c>
      <c r="B2304" s="6" t="s">
        <v>19</v>
      </c>
      <c r="C2304" s="7" t="s">
        <v>2519</v>
      </c>
      <c r="D2304" s="7"/>
      <c r="E2304" s="8">
        <v>1.6394075299999999</v>
      </c>
      <c r="F2304" s="8">
        <v>2.02189562</v>
      </c>
      <c r="G2304" s="7" t="str">
        <f t="shared" si="15"/>
        <v>Direct</v>
      </c>
      <c r="H2304" s="7" t="s">
        <v>2520</v>
      </c>
    </row>
    <row r="2305" spans="1:8" x14ac:dyDescent="0.2">
      <c r="A2305" s="5" t="s">
        <v>13</v>
      </c>
      <c r="B2305" s="6" t="s">
        <v>19</v>
      </c>
      <c r="C2305" s="7" t="s">
        <v>2521</v>
      </c>
      <c r="D2305" s="7"/>
      <c r="E2305" s="8">
        <v>2.4650006499999999</v>
      </c>
      <c r="F2305" s="8">
        <v>1.6081949499999999</v>
      </c>
      <c r="G2305" s="7" t="str">
        <f t="shared" si="15"/>
        <v>Direct</v>
      </c>
      <c r="H2305" s="7" t="s">
        <v>16</v>
      </c>
    </row>
    <row r="2306" spans="1:8" x14ac:dyDescent="0.2">
      <c r="A2306" s="5" t="s">
        <v>13</v>
      </c>
      <c r="B2306" s="6" t="s">
        <v>19</v>
      </c>
      <c r="C2306" s="7" t="s">
        <v>2522</v>
      </c>
      <c r="D2306" s="7"/>
      <c r="E2306" s="8">
        <v>-1.8749733</v>
      </c>
      <c r="F2306" s="8">
        <v>-1.4781023</v>
      </c>
      <c r="G2306" s="7" t="str">
        <f t="shared" si="15"/>
        <v>Direct</v>
      </c>
      <c r="H2306" s="7" t="s">
        <v>1143</v>
      </c>
    </row>
    <row r="2307" spans="1:8" x14ac:dyDescent="0.2">
      <c r="A2307" s="5" t="s">
        <v>13</v>
      </c>
      <c r="B2307" s="6" t="s">
        <v>19</v>
      </c>
      <c r="C2307" s="7" t="s">
        <v>2523</v>
      </c>
      <c r="D2307" s="7"/>
      <c r="E2307" s="8">
        <v>-6.0866784999999997</v>
      </c>
      <c r="F2307" s="8">
        <v>-9.9916944000000001</v>
      </c>
      <c r="G2307" s="7" t="str">
        <f t="shared" si="15"/>
        <v>Direct</v>
      </c>
      <c r="H2307" s="7" t="s">
        <v>16</v>
      </c>
    </row>
    <row r="2308" spans="1:8" x14ac:dyDescent="0.2">
      <c r="A2308" s="5" t="s">
        <v>13</v>
      </c>
      <c r="B2308" s="6" t="s">
        <v>19</v>
      </c>
      <c r="C2308" s="7" t="s">
        <v>2524</v>
      </c>
      <c r="D2308" s="7"/>
      <c r="E2308" s="8">
        <v>-6.6826812999999996</v>
      </c>
      <c r="F2308" s="8">
        <v>-5.1379805000000003</v>
      </c>
      <c r="G2308" s="7" t="str">
        <f t="shared" si="15"/>
        <v>Direct</v>
      </c>
      <c r="H2308" s="7" t="s">
        <v>16</v>
      </c>
    </row>
    <row r="2309" spans="1:8" x14ac:dyDescent="0.2">
      <c r="A2309" s="5" t="s">
        <v>13</v>
      </c>
      <c r="B2309" s="6" t="s">
        <v>19</v>
      </c>
      <c r="C2309" s="7" t="s">
        <v>2525</v>
      </c>
      <c r="D2309" s="7"/>
      <c r="E2309" s="8">
        <v>4.7634435599999998</v>
      </c>
      <c r="F2309" s="8">
        <v>4.7281808200000004</v>
      </c>
      <c r="G2309" s="7" t="str">
        <f t="shared" si="15"/>
        <v>Direct</v>
      </c>
      <c r="H2309" s="7" t="s">
        <v>1553</v>
      </c>
    </row>
    <row r="2310" spans="1:8" x14ac:dyDescent="0.2">
      <c r="A2310" s="5" t="s">
        <v>13</v>
      </c>
      <c r="B2310" s="6" t="s">
        <v>19</v>
      </c>
      <c r="C2310" s="7" t="s">
        <v>2526</v>
      </c>
      <c r="D2310" s="7"/>
      <c r="E2310" s="8">
        <v>-1.9999076</v>
      </c>
      <c r="F2310" s="8">
        <v>-4.0771579999999998</v>
      </c>
      <c r="G2310" s="7" t="str">
        <f t="shared" si="15"/>
        <v>Direct</v>
      </c>
      <c r="H2310" s="7" t="s">
        <v>16</v>
      </c>
    </row>
    <row r="2311" spans="1:8" x14ac:dyDescent="0.2">
      <c r="A2311" s="5" t="s">
        <v>13</v>
      </c>
      <c r="B2311" s="6" t="s">
        <v>19</v>
      </c>
      <c r="C2311" s="7" t="s">
        <v>2527</v>
      </c>
      <c r="D2311" s="7"/>
      <c r="E2311" s="8">
        <v>-1.9685021</v>
      </c>
      <c r="F2311" s="8">
        <v>-2.8897675999999999</v>
      </c>
      <c r="G2311" s="7" t="str">
        <f t="shared" si="15"/>
        <v>Direct</v>
      </c>
      <c r="H2311" s="7" t="s">
        <v>2528</v>
      </c>
    </row>
    <row r="2312" spans="1:8" x14ac:dyDescent="0.2">
      <c r="A2312" s="5" t="s">
        <v>13</v>
      </c>
      <c r="B2312" s="6" t="s">
        <v>19</v>
      </c>
      <c r="C2312" s="7" t="s">
        <v>2529</v>
      </c>
      <c r="D2312" s="7"/>
      <c r="E2312" s="8">
        <v>-2.8554940000000002</v>
      </c>
      <c r="F2312" s="8">
        <v>-1.1894560999999999</v>
      </c>
      <c r="G2312" s="7" t="str">
        <f t="shared" si="15"/>
        <v>Direct</v>
      </c>
      <c r="H2312" s="7" t="s">
        <v>2530</v>
      </c>
    </row>
    <row r="2313" spans="1:8" x14ac:dyDescent="0.2">
      <c r="A2313" s="5" t="s">
        <v>13</v>
      </c>
      <c r="B2313" s="6" t="s">
        <v>19</v>
      </c>
      <c r="C2313" s="7" t="s">
        <v>2531</v>
      </c>
      <c r="D2313" s="7"/>
      <c r="E2313" s="8">
        <v>2.9865403800000001</v>
      </c>
      <c r="F2313" s="8">
        <v>2.2811641200000001</v>
      </c>
      <c r="G2313" s="7" t="str">
        <f t="shared" si="15"/>
        <v>Direct</v>
      </c>
      <c r="H2313" s="7" t="s">
        <v>16</v>
      </c>
    </row>
    <row r="2314" spans="1:8" x14ac:dyDescent="0.2">
      <c r="A2314" s="5" t="s">
        <v>13</v>
      </c>
      <c r="B2314" s="6" t="s">
        <v>19</v>
      </c>
      <c r="C2314" s="7" t="s">
        <v>2532</v>
      </c>
      <c r="D2314" s="7"/>
      <c r="E2314" s="8">
        <v>-2.1008969</v>
      </c>
      <c r="F2314" s="8">
        <v>-1.3008481999999999</v>
      </c>
      <c r="G2314" s="7" t="str">
        <f t="shared" si="15"/>
        <v>Direct</v>
      </c>
      <c r="H2314" s="7" t="s">
        <v>2533</v>
      </c>
    </row>
    <row r="2315" spans="1:8" x14ac:dyDescent="0.2">
      <c r="A2315" s="5" t="s">
        <v>13</v>
      </c>
      <c r="B2315" s="6" t="s">
        <v>19</v>
      </c>
      <c r="C2315" s="7" t="s">
        <v>2534</v>
      </c>
      <c r="D2315" s="7"/>
      <c r="E2315" s="8">
        <v>-1.9768057999999999</v>
      </c>
      <c r="F2315" s="8">
        <v>-1.2268498999999999</v>
      </c>
      <c r="G2315" s="7" t="str">
        <f t="shared" si="15"/>
        <v>Direct</v>
      </c>
      <c r="H2315" s="7" t="s">
        <v>2535</v>
      </c>
    </row>
    <row r="2316" spans="1:8" x14ac:dyDescent="0.2">
      <c r="A2316" s="5" t="s">
        <v>13</v>
      </c>
      <c r="B2316" s="6" t="s">
        <v>19</v>
      </c>
      <c r="C2316" s="7" t="s">
        <v>2536</v>
      </c>
      <c r="D2316" s="7"/>
      <c r="E2316" s="8">
        <v>-1.5094920999999999</v>
      </c>
      <c r="F2316" s="8">
        <v>-1.0718658000000001</v>
      </c>
      <c r="G2316" s="7" t="str">
        <f t="shared" si="15"/>
        <v>Direct</v>
      </c>
      <c r="H2316" s="7" t="s">
        <v>16</v>
      </c>
    </row>
    <row r="2317" spans="1:8" x14ac:dyDescent="0.2">
      <c r="A2317" s="5" t="s">
        <v>13</v>
      </c>
      <c r="B2317" s="6" t="s">
        <v>19</v>
      </c>
      <c r="C2317" s="7" t="s">
        <v>2537</v>
      </c>
      <c r="D2317" s="7"/>
      <c r="E2317" s="8">
        <v>-1.0642393999999999</v>
      </c>
      <c r="F2317" s="8">
        <v>-1.3173007000000001</v>
      </c>
      <c r="G2317" s="7" t="str">
        <f t="shared" si="15"/>
        <v>Direct</v>
      </c>
      <c r="H2317" s="7" t="s">
        <v>16</v>
      </c>
    </row>
    <row r="2318" spans="1:8" x14ac:dyDescent="0.2">
      <c r="A2318" s="5" t="s">
        <v>13</v>
      </c>
      <c r="B2318" s="6" t="s">
        <v>19</v>
      </c>
      <c r="C2318" s="7" t="s">
        <v>2538</v>
      </c>
      <c r="D2318" s="7"/>
      <c r="E2318" s="8">
        <v>-2.1654190999999998</v>
      </c>
      <c r="F2318" s="8">
        <v>-1.3423206000000001</v>
      </c>
      <c r="G2318" s="7" t="str">
        <f t="shared" si="15"/>
        <v>Direct</v>
      </c>
      <c r="H2318" s="7" t="s">
        <v>2539</v>
      </c>
    </row>
    <row r="2319" spans="1:8" x14ac:dyDescent="0.2">
      <c r="A2319" s="5" t="s">
        <v>13</v>
      </c>
      <c r="B2319" s="6" t="s">
        <v>19</v>
      </c>
      <c r="C2319" s="7" t="s">
        <v>431</v>
      </c>
      <c r="D2319" s="7"/>
      <c r="E2319" s="8">
        <v>-2.7210359999999998</v>
      </c>
      <c r="F2319" s="8">
        <v>-2.3240902000000001</v>
      </c>
      <c r="G2319" s="7" t="str">
        <f t="shared" si="15"/>
        <v>Direct</v>
      </c>
      <c r="H2319" s="7" t="s">
        <v>432</v>
      </c>
    </row>
    <row r="2320" spans="1:8" x14ac:dyDescent="0.2">
      <c r="A2320" s="5" t="s">
        <v>13</v>
      </c>
      <c r="B2320" s="6" t="s">
        <v>19</v>
      </c>
      <c r="C2320" s="7" t="s">
        <v>2540</v>
      </c>
      <c r="D2320" s="7"/>
      <c r="E2320" s="8">
        <v>-1.9729973000000001</v>
      </c>
      <c r="F2320" s="8">
        <v>-2.7050464999999999</v>
      </c>
      <c r="G2320" s="7" t="str">
        <f t="shared" si="15"/>
        <v>Direct</v>
      </c>
      <c r="H2320" s="7" t="s">
        <v>2541</v>
      </c>
    </row>
    <row r="2321" spans="1:8" x14ac:dyDescent="0.2">
      <c r="A2321" s="5" t="s">
        <v>13</v>
      </c>
      <c r="B2321" s="6" t="s">
        <v>19</v>
      </c>
      <c r="C2321" s="7" t="s">
        <v>2542</v>
      </c>
      <c r="D2321" s="7"/>
      <c r="E2321" s="8">
        <v>-1.5315692000000001</v>
      </c>
      <c r="F2321" s="8">
        <v>-1.480054</v>
      </c>
      <c r="G2321" s="7" t="str">
        <f t="shared" si="15"/>
        <v>Direct</v>
      </c>
      <c r="H2321" s="7" t="s">
        <v>2543</v>
      </c>
    </row>
    <row r="2322" spans="1:8" x14ac:dyDescent="0.2">
      <c r="A2322" s="5" t="s">
        <v>13</v>
      </c>
      <c r="B2322" s="6" t="s">
        <v>19</v>
      </c>
      <c r="C2322" s="7" t="s">
        <v>2544</v>
      </c>
      <c r="D2322" s="7"/>
      <c r="E2322" s="8">
        <v>3.0847753</v>
      </c>
      <c r="F2322" s="8">
        <v>1.56740419</v>
      </c>
      <c r="G2322" s="7" t="str">
        <f t="shared" si="15"/>
        <v>Direct</v>
      </c>
      <c r="H2322" s="7" t="s">
        <v>16</v>
      </c>
    </row>
    <row r="2323" spans="1:8" x14ac:dyDescent="0.2">
      <c r="A2323" s="5" t="s">
        <v>13</v>
      </c>
      <c r="B2323" s="6" t="s">
        <v>19</v>
      </c>
      <c r="C2323" s="7" t="s">
        <v>2545</v>
      </c>
      <c r="D2323" s="7"/>
      <c r="E2323" s="8">
        <v>-1.287077</v>
      </c>
      <c r="F2323" s="8">
        <v>-1.1586075</v>
      </c>
      <c r="G2323" s="7" t="str">
        <f t="shared" si="15"/>
        <v>Direct</v>
      </c>
      <c r="H2323" s="7" t="s">
        <v>2546</v>
      </c>
    </row>
    <row r="2324" spans="1:8" x14ac:dyDescent="0.2">
      <c r="A2324" s="5" t="s">
        <v>13</v>
      </c>
      <c r="B2324" s="6" t="s">
        <v>19</v>
      </c>
      <c r="C2324" s="7" t="s">
        <v>2547</v>
      </c>
      <c r="D2324" s="7"/>
      <c r="E2324" s="8">
        <v>-2.7222618999999999</v>
      </c>
      <c r="F2324" s="8">
        <v>-2.5660731999999999</v>
      </c>
      <c r="G2324" s="7" t="str">
        <f t="shared" si="15"/>
        <v>Direct</v>
      </c>
      <c r="H2324" s="7" t="s">
        <v>16</v>
      </c>
    </row>
    <row r="2325" spans="1:8" x14ac:dyDescent="0.2">
      <c r="A2325" s="5" t="s">
        <v>13</v>
      </c>
      <c r="B2325" s="6" t="s">
        <v>19</v>
      </c>
      <c r="C2325" s="7" t="s">
        <v>2548</v>
      </c>
      <c r="D2325" s="7"/>
      <c r="E2325" s="8">
        <v>-1.4073454999999999</v>
      </c>
      <c r="F2325" s="8">
        <v>-1.6863355</v>
      </c>
      <c r="G2325" s="7" t="str">
        <f t="shared" si="15"/>
        <v>Direct</v>
      </c>
      <c r="H2325" s="7" t="s">
        <v>16</v>
      </c>
    </row>
    <row r="2326" spans="1:8" x14ac:dyDescent="0.2">
      <c r="A2326" s="5" t="s">
        <v>13</v>
      </c>
      <c r="B2326" s="6" t="s">
        <v>19</v>
      </c>
      <c r="C2326" s="7" t="s">
        <v>2549</v>
      </c>
      <c r="D2326" s="7"/>
      <c r="E2326" s="8">
        <v>1.6964873499999999</v>
      </c>
      <c r="F2326" s="8">
        <v>2.2222615700000001</v>
      </c>
      <c r="G2326" s="7" t="str">
        <f t="shared" si="15"/>
        <v>Direct</v>
      </c>
      <c r="H2326" s="7" t="s">
        <v>2550</v>
      </c>
    </row>
    <row r="2327" spans="1:8" x14ac:dyDescent="0.2">
      <c r="A2327" s="5" t="s">
        <v>13</v>
      </c>
      <c r="B2327" s="6" t="s">
        <v>19</v>
      </c>
      <c r="C2327" s="7" t="s">
        <v>2551</v>
      </c>
      <c r="D2327" s="7"/>
      <c r="E2327" s="8">
        <v>-3.1857044999999999</v>
      </c>
      <c r="F2327" s="8">
        <v>-1.9248841999999999</v>
      </c>
      <c r="G2327" s="7" t="str">
        <f t="shared" si="15"/>
        <v>Direct</v>
      </c>
      <c r="H2327" s="7" t="s">
        <v>2552</v>
      </c>
    </row>
    <row r="2328" spans="1:8" x14ac:dyDescent="0.2">
      <c r="A2328" s="5" t="s">
        <v>13</v>
      </c>
      <c r="B2328" s="6" t="s">
        <v>19</v>
      </c>
      <c r="C2328" s="7" t="s">
        <v>2553</v>
      </c>
      <c r="D2328" s="7"/>
      <c r="E2328" s="8">
        <v>-2.8768058999999999</v>
      </c>
      <c r="F2328" s="8">
        <v>-2.8484965999999998</v>
      </c>
      <c r="G2328" s="7" t="str">
        <f t="shared" si="15"/>
        <v>Direct</v>
      </c>
      <c r="H2328" s="7" t="s">
        <v>2554</v>
      </c>
    </row>
    <row r="2329" spans="1:8" x14ac:dyDescent="0.2">
      <c r="A2329" s="5" t="s">
        <v>13</v>
      </c>
      <c r="B2329" s="6" t="s">
        <v>19</v>
      </c>
      <c r="C2329" s="7" t="s">
        <v>2555</v>
      </c>
      <c r="D2329" s="7"/>
      <c r="E2329" s="8">
        <v>-12.890516</v>
      </c>
      <c r="F2329" s="8">
        <v>-13.793863</v>
      </c>
      <c r="G2329" s="7" t="str">
        <f t="shared" si="15"/>
        <v>Direct</v>
      </c>
      <c r="H2329" s="7" t="s">
        <v>2556</v>
      </c>
    </row>
    <row r="2330" spans="1:8" x14ac:dyDescent="0.2">
      <c r="A2330" s="5" t="s">
        <v>13</v>
      </c>
      <c r="B2330" s="6" t="s">
        <v>19</v>
      </c>
      <c r="C2330" s="7" t="s">
        <v>2557</v>
      </c>
      <c r="D2330" s="7"/>
      <c r="E2330" s="8">
        <v>-2.2766505000000001</v>
      </c>
      <c r="F2330" s="8">
        <v>-1.7558385999999999</v>
      </c>
      <c r="G2330" s="7" t="str">
        <f t="shared" si="15"/>
        <v>Direct</v>
      </c>
      <c r="H2330" s="7" t="s">
        <v>1143</v>
      </c>
    </row>
    <row r="2331" spans="1:8" x14ac:dyDescent="0.2">
      <c r="A2331" s="5" t="s">
        <v>13</v>
      </c>
      <c r="B2331" s="6" t="s">
        <v>19</v>
      </c>
      <c r="C2331" s="7" t="s">
        <v>435</v>
      </c>
      <c r="D2331" s="7"/>
      <c r="E2331" s="8">
        <v>-2.8414777999999998</v>
      </c>
      <c r="F2331" s="8">
        <v>-4.0700136999999996</v>
      </c>
      <c r="G2331" s="7" t="str">
        <f t="shared" si="15"/>
        <v>Direct</v>
      </c>
      <c r="H2331" s="7" t="s">
        <v>436</v>
      </c>
    </row>
    <row r="2332" spans="1:8" x14ac:dyDescent="0.2">
      <c r="A2332" s="5" t="s">
        <v>13</v>
      </c>
      <c r="B2332" s="6" t="s">
        <v>19</v>
      </c>
      <c r="C2332" s="7" t="s">
        <v>2558</v>
      </c>
      <c r="D2332" s="7"/>
      <c r="E2332" s="8">
        <v>-10.918164000000001</v>
      </c>
      <c r="F2332" s="8">
        <v>-7.0600246999999996</v>
      </c>
      <c r="G2332" s="7" t="str">
        <f t="shared" si="15"/>
        <v>Direct</v>
      </c>
      <c r="H2332" s="7" t="s">
        <v>2559</v>
      </c>
    </row>
    <row r="2333" spans="1:8" x14ac:dyDescent="0.2">
      <c r="A2333" s="5" t="s">
        <v>13</v>
      </c>
      <c r="B2333" s="6" t="s">
        <v>19</v>
      </c>
      <c r="C2333" s="7" t="s">
        <v>437</v>
      </c>
      <c r="D2333" s="7"/>
      <c r="E2333" s="8">
        <v>2.1884524700000001</v>
      </c>
      <c r="F2333" s="8">
        <v>2.50089081</v>
      </c>
      <c r="G2333" s="7" t="str">
        <f t="shared" si="15"/>
        <v>Direct</v>
      </c>
      <c r="H2333" s="7" t="s">
        <v>438</v>
      </c>
    </row>
    <row r="2334" spans="1:8" x14ac:dyDescent="0.2">
      <c r="A2334" s="5" t="s">
        <v>13</v>
      </c>
      <c r="B2334" s="6" t="s">
        <v>19</v>
      </c>
      <c r="C2334" s="7" t="s">
        <v>2560</v>
      </c>
      <c r="D2334" s="7"/>
      <c r="E2334" s="8">
        <v>-1.1705022</v>
      </c>
      <c r="F2334" s="8">
        <v>-1.2945359000000001</v>
      </c>
      <c r="G2334" s="7" t="str">
        <f t="shared" si="15"/>
        <v>Direct</v>
      </c>
      <c r="H2334" s="7" t="s">
        <v>2561</v>
      </c>
    </row>
    <row r="2335" spans="1:8" x14ac:dyDescent="0.2">
      <c r="A2335" s="5" t="s">
        <v>13</v>
      </c>
      <c r="B2335" s="6" t="s">
        <v>19</v>
      </c>
      <c r="C2335" s="7" t="s">
        <v>2562</v>
      </c>
      <c r="D2335" s="7"/>
      <c r="E2335" s="8">
        <v>1.96256605</v>
      </c>
      <c r="F2335" s="8">
        <v>1.691316</v>
      </c>
      <c r="G2335" s="7" t="str">
        <f t="shared" si="15"/>
        <v>Direct</v>
      </c>
      <c r="H2335" s="7" t="s">
        <v>1954</v>
      </c>
    </row>
    <row r="2336" spans="1:8" x14ac:dyDescent="0.2">
      <c r="A2336" s="5" t="s">
        <v>13</v>
      </c>
      <c r="B2336" s="6" t="s">
        <v>19</v>
      </c>
      <c r="C2336" s="7" t="s">
        <v>2563</v>
      </c>
      <c r="D2336" s="7"/>
      <c r="E2336" s="8">
        <v>-1.6326936000000001</v>
      </c>
      <c r="F2336" s="8">
        <v>-1.3148238999999999</v>
      </c>
      <c r="G2336" s="7" t="str">
        <f t="shared" si="15"/>
        <v>Direct</v>
      </c>
      <c r="H2336" s="7" t="s">
        <v>2564</v>
      </c>
    </row>
    <row r="2337" spans="1:8" x14ac:dyDescent="0.2">
      <c r="A2337" s="5" t="s">
        <v>13</v>
      </c>
      <c r="B2337" s="6" t="s">
        <v>19</v>
      </c>
      <c r="C2337" s="7" t="s">
        <v>2565</v>
      </c>
      <c r="D2337" s="7"/>
      <c r="E2337" s="8">
        <v>-1.6175885999999999</v>
      </c>
      <c r="F2337" s="8">
        <v>-1.1547643000000001</v>
      </c>
      <c r="G2337" s="7" t="str">
        <f t="shared" si="15"/>
        <v>Direct</v>
      </c>
      <c r="H2337" s="7" t="s">
        <v>16</v>
      </c>
    </row>
    <row r="2338" spans="1:8" x14ac:dyDescent="0.2">
      <c r="A2338" s="5" t="s">
        <v>13</v>
      </c>
      <c r="B2338" s="6" t="s">
        <v>19</v>
      </c>
      <c r="C2338" s="7" t="s">
        <v>2566</v>
      </c>
      <c r="D2338" s="7"/>
      <c r="E2338" s="8">
        <v>2.5156371399999999</v>
      </c>
      <c r="F2338" s="8">
        <v>1.0430832800000001</v>
      </c>
      <c r="G2338" s="7" t="str">
        <f t="shared" si="15"/>
        <v>Direct</v>
      </c>
      <c r="H2338" s="7" t="s">
        <v>16</v>
      </c>
    </row>
    <row r="2339" spans="1:8" x14ac:dyDescent="0.2">
      <c r="A2339" s="5" t="s">
        <v>13</v>
      </c>
      <c r="B2339" s="6" t="s">
        <v>19</v>
      </c>
      <c r="C2339" s="7" t="s">
        <v>2567</v>
      </c>
      <c r="D2339" s="7"/>
      <c r="E2339" s="8">
        <v>2.6717362699999998</v>
      </c>
      <c r="F2339" s="8">
        <v>3.08215036</v>
      </c>
      <c r="G2339" s="7" t="str">
        <f t="shared" si="15"/>
        <v>Direct</v>
      </c>
      <c r="H2339" s="7" t="s">
        <v>16</v>
      </c>
    </row>
    <row r="2340" spans="1:8" x14ac:dyDescent="0.2">
      <c r="A2340" s="5" t="s">
        <v>13</v>
      </c>
      <c r="B2340" s="6" t="s">
        <v>19</v>
      </c>
      <c r="C2340" s="7" t="s">
        <v>2568</v>
      </c>
      <c r="D2340" s="7"/>
      <c r="E2340" s="8">
        <v>-4.6227850000000004</v>
      </c>
      <c r="F2340" s="8">
        <v>-3.2404837999999998</v>
      </c>
      <c r="G2340" s="7" t="str">
        <f t="shared" si="15"/>
        <v>Direct</v>
      </c>
      <c r="H2340" s="7" t="s">
        <v>16</v>
      </c>
    </row>
    <row r="2341" spans="1:8" x14ac:dyDescent="0.2">
      <c r="A2341" s="5" t="s">
        <v>13</v>
      </c>
      <c r="B2341" s="6" t="s">
        <v>19</v>
      </c>
      <c r="C2341" s="7" t="s">
        <v>2569</v>
      </c>
      <c r="D2341" s="7"/>
      <c r="E2341" s="8">
        <v>3.9920762600000002</v>
      </c>
      <c r="F2341" s="8">
        <v>2.8591411199999999</v>
      </c>
      <c r="G2341" s="7" t="str">
        <f t="shared" si="15"/>
        <v>Direct</v>
      </c>
      <c r="H2341" s="7" t="s">
        <v>81</v>
      </c>
    </row>
    <row r="2342" spans="1:8" x14ac:dyDescent="0.2">
      <c r="A2342" s="5" t="s">
        <v>13</v>
      </c>
      <c r="B2342" s="6" t="s">
        <v>19</v>
      </c>
      <c r="C2342" s="7" t="s">
        <v>2570</v>
      </c>
      <c r="D2342" s="7"/>
      <c r="E2342" s="8">
        <v>3.3081879500000002</v>
      </c>
      <c r="F2342" s="8">
        <v>2.7224388500000001</v>
      </c>
      <c r="G2342" s="7" t="str">
        <f t="shared" si="15"/>
        <v>Direct</v>
      </c>
      <c r="H2342" s="7" t="s">
        <v>1108</v>
      </c>
    </row>
    <row r="2343" spans="1:8" x14ac:dyDescent="0.2">
      <c r="A2343" s="5" t="s">
        <v>13</v>
      </c>
      <c r="B2343" s="6" t="s">
        <v>19</v>
      </c>
      <c r="C2343" s="7" t="s">
        <v>443</v>
      </c>
      <c r="D2343" s="7"/>
      <c r="E2343" s="8">
        <v>-2.4473406</v>
      </c>
      <c r="F2343" s="8">
        <v>-1.4730736</v>
      </c>
      <c r="G2343" s="7" t="str">
        <f t="shared" si="15"/>
        <v>Direct</v>
      </c>
      <c r="H2343" s="7" t="s">
        <v>16</v>
      </c>
    </row>
    <row r="2344" spans="1:8" x14ac:dyDescent="0.2">
      <c r="A2344" s="5" t="s">
        <v>13</v>
      </c>
      <c r="B2344" s="6" t="s">
        <v>19</v>
      </c>
      <c r="C2344" s="7" t="s">
        <v>2571</v>
      </c>
      <c r="D2344" s="7"/>
      <c r="E2344" s="8">
        <v>-1.7668382</v>
      </c>
      <c r="F2344" s="8">
        <v>-1.385367</v>
      </c>
      <c r="G2344" s="7" t="str">
        <f t="shared" si="15"/>
        <v>Direct</v>
      </c>
      <c r="H2344" s="7" t="s">
        <v>16</v>
      </c>
    </row>
    <row r="2345" spans="1:8" x14ac:dyDescent="0.2">
      <c r="A2345" s="5" t="s">
        <v>13</v>
      </c>
      <c r="B2345" s="6" t="s">
        <v>19</v>
      </c>
      <c r="C2345" s="7" t="s">
        <v>2572</v>
      </c>
      <c r="D2345" s="7"/>
      <c r="E2345" s="8">
        <v>1.30847044</v>
      </c>
      <c r="F2345" s="8">
        <v>1.6183325900000001</v>
      </c>
      <c r="G2345" s="7" t="str">
        <f t="shared" si="15"/>
        <v>Direct</v>
      </c>
      <c r="H2345" s="7" t="s">
        <v>2573</v>
      </c>
    </row>
    <row r="2346" spans="1:8" x14ac:dyDescent="0.2">
      <c r="A2346" s="5" t="s">
        <v>13</v>
      </c>
      <c r="B2346" s="6" t="s">
        <v>19</v>
      </c>
      <c r="C2346" s="7" t="s">
        <v>2574</v>
      </c>
      <c r="D2346" s="7"/>
      <c r="E2346" s="8">
        <v>-3.2299502000000002</v>
      </c>
      <c r="F2346" s="8">
        <v>-3.2681086000000001</v>
      </c>
      <c r="G2346" s="7" t="str">
        <f t="shared" si="15"/>
        <v>Direct</v>
      </c>
      <c r="H2346" s="7" t="s">
        <v>2575</v>
      </c>
    </row>
    <row r="2347" spans="1:8" x14ac:dyDescent="0.2">
      <c r="A2347" s="5" t="s">
        <v>13</v>
      </c>
      <c r="B2347" s="6" t="s">
        <v>19</v>
      </c>
      <c r="C2347" s="7" t="s">
        <v>444</v>
      </c>
      <c r="D2347" s="7"/>
      <c r="E2347" s="8">
        <v>4.37238521</v>
      </c>
      <c r="F2347" s="8">
        <v>3.67328038</v>
      </c>
      <c r="G2347" s="7" t="str">
        <f t="shared" si="15"/>
        <v>Direct</v>
      </c>
      <c r="H2347" s="7" t="s">
        <v>445</v>
      </c>
    </row>
    <row r="2348" spans="1:8" x14ac:dyDescent="0.2">
      <c r="A2348" s="5" t="s">
        <v>13</v>
      </c>
      <c r="B2348" s="6" t="s">
        <v>19</v>
      </c>
      <c r="C2348" s="7" t="s">
        <v>2576</v>
      </c>
      <c r="D2348" s="7"/>
      <c r="E2348" s="8">
        <v>2.2696280799999999</v>
      </c>
      <c r="F2348" s="8">
        <v>2.2394003200000001</v>
      </c>
      <c r="G2348" s="7" t="str">
        <f t="shared" si="15"/>
        <v>Direct</v>
      </c>
      <c r="H2348" s="7" t="s">
        <v>16</v>
      </c>
    </row>
    <row r="2349" spans="1:8" x14ac:dyDescent="0.2">
      <c r="A2349" s="5" t="s">
        <v>13</v>
      </c>
      <c r="B2349" s="6" t="s">
        <v>19</v>
      </c>
      <c r="C2349" s="7" t="s">
        <v>2577</v>
      </c>
      <c r="D2349" s="7"/>
      <c r="E2349" s="8">
        <v>-2.3171987999999999</v>
      </c>
      <c r="F2349" s="8">
        <v>-1.1089941000000001</v>
      </c>
      <c r="G2349" s="7" t="str">
        <f t="shared" si="15"/>
        <v>Direct</v>
      </c>
      <c r="H2349" s="7" t="s">
        <v>504</v>
      </c>
    </row>
    <row r="2350" spans="1:8" x14ac:dyDescent="0.2">
      <c r="A2350" s="5" t="s">
        <v>13</v>
      </c>
      <c r="B2350" s="6" t="s">
        <v>19</v>
      </c>
      <c r="C2350" s="7" t="s">
        <v>446</v>
      </c>
      <c r="D2350" s="7"/>
      <c r="E2350" s="8">
        <v>-1.3180149999999999</v>
      </c>
      <c r="F2350" s="8">
        <v>-2.2977405000000002</v>
      </c>
      <c r="G2350" s="7" t="str">
        <f t="shared" si="15"/>
        <v>Direct</v>
      </c>
      <c r="H2350" s="7" t="s">
        <v>447</v>
      </c>
    </row>
    <row r="2351" spans="1:8" x14ac:dyDescent="0.2">
      <c r="A2351" s="5" t="s">
        <v>13</v>
      </c>
      <c r="B2351" s="6" t="s">
        <v>19</v>
      </c>
      <c r="C2351" s="7" t="s">
        <v>2578</v>
      </c>
      <c r="D2351" s="7"/>
      <c r="E2351" s="8">
        <v>-2.8119170000000002</v>
      </c>
      <c r="F2351" s="8">
        <v>-2.1443865999999998</v>
      </c>
      <c r="G2351" s="7" t="str">
        <f t="shared" si="15"/>
        <v>Direct</v>
      </c>
      <c r="H2351" s="7" t="s">
        <v>16</v>
      </c>
    </row>
    <row r="2352" spans="1:8" x14ac:dyDescent="0.2">
      <c r="A2352" s="5" t="s">
        <v>13</v>
      </c>
      <c r="B2352" s="6" t="s">
        <v>19</v>
      </c>
      <c r="C2352" s="7" t="s">
        <v>2579</v>
      </c>
      <c r="D2352" s="7"/>
      <c r="E2352" s="8">
        <v>-5.7877025</v>
      </c>
      <c r="F2352" s="8">
        <v>-3.1439450999999998</v>
      </c>
      <c r="G2352" s="7" t="str">
        <f t="shared" si="15"/>
        <v>Direct</v>
      </c>
      <c r="H2352" s="7" t="s">
        <v>16</v>
      </c>
    </row>
    <row r="2353" spans="1:8" x14ac:dyDescent="0.2">
      <c r="A2353" s="5" t="s">
        <v>13</v>
      </c>
      <c r="B2353" s="6" t="s">
        <v>19</v>
      </c>
      <c r="C2353" s="7" t="s">
        <v>2580</v>
      </c>
      <c r="D2353" s="7"/>
      <c r="E2353" s="8">
        <v>1.6646607499999999</v>
      </c>
      <c r="F2353" s="8">
        <v>1.1906737999999999</v>
      </c>
      <c r="G2353" s="7" t="str">
        <f t="shared" si="15"/>
        <v>Direct</v>
      </c>
      <c r="H2353" s="7" t="s">
        <v>16</v>
      </c>
    </row>
    <row r="2354" spans="1:8" x14ac:dyDescent="0.2">
      <c r="A2354" s="5" t="s">
        <v>13</v>
      </c>
      <c r="B2354" s="6" t="s">
        <v>19</v>
      </c>
      <c r="C2354" s="7" t="s">
        <v>2581</v>
      </c>
      <c r="D2354" s="7"/>
      <c r="E2354" s="8">
        <v>-2.3976111000000002</v>
      </c>
      <c r="F2354" s="8">
        <v>-2.4936718</v>
      </c>
      <c r="G2354" s="7" t="str">
        <f t="shared" si="15"/>
        <v>Direct</v>
      </c>
      <c r="H2354" s="7" t="s">
        <v>587</v>
      </c>
    </row>
    <row r="2355" spans="1:8" x14ac:dyDescent="0.2">
      <c r="A2355" s="5" t="s">
        <v>13</v>
      </c>
      <c r="B2355" s="6" t="s">
        <v>19</v>
      </c>
      <c r="C2355" s="7" t="s">
        <v>2582</v>
      </c>
      <c r="D2355" s="7"/>
      <c r="E2355" s="8">
        <v>2.5894358</v>
      </c>
      <c r="F2355" s="8">
        <v>1.7262469600000001</v>
      </c>
      <c r="G2355" s="7" t="str">
        <f t="shared" si="15"/>
        <v>Direct</v>
      </c>
      <c r="H2355" s="7" t="s">
        <v>2583</v>
      </c>
    </row>
    <row r="2356" spans="1:8" x14ac:dyDescent="0.2">
      <c r="A2356" s="5" t="s">
        <v>13</v>
      </c>
      <c r="B2356" s="6" t="s">
        <v>19</v>
      </c>
      <c r="C2356" s="7" t="s">
        <v>2584</v>
      </c>
      <c r="D2356" s="7"/>
      <c r="E2356" s="8">
        <v>-1.5420555</v>
      </c>
      <c r="F2356" s="8">
        <v>-1.8478612999999999</v>
      </c>
      <c r="G2356" s="7" t="str">
        <f t="shared" si="15"/>
        <v>Direct</v>
      </c>
      <c r="H2356" s="7" t="s">
        <v>2585</v>
      </c>
    </row>
    <row r="2357" spans="1:8" x14ac:dyDescent="0.2">
      <c r="A2357" s="5" t="s">
        <v>13</v>
      </c>
      <c r="B2357" s="6" t="s">
        <v>19</v>
      </c>
      <c r="C2357" s="7" t="s">
        <v>2586</v>
      </c>
      <c r="D2357" s="7"/>
      <c r="E2357" s="8">
        <v>-1.2822</v>
      </c>
      <c r="F2357" s="8">
        <v>-1.6582262000000001</v>
      </c>
      <c r="G2357" s="7" t="str">
        <f t="shared" si="15"/>
        <v>Direct</v>
      </c>
      <c r="H2357" s="7" t="s">
        <v>16</v>
      </c>
    </row>
    <row r="2358" spans="1:8" x14ac:dyDescent="0.2">
      <c r="A2358" s="5" t="s">
        <v>13</v>
      </c>
      <c r="B2358" s="6" t="s">
        <v>19</v>
      </c>
      <c r="C2358" s="7" t="s">
        <v>2587</v>
      </c>
      <c r="D2358" s="7"/>
      <c r="E2358" s="8">
        <v>3.0080635500000001</v>
      </c>
      <c r="F2358" s="8">
        <v>1.91060914</v>
      </c>
      <c r="G2358" s="7" t="str">
        <f t="shared" si="15"/>
        <v>Direct</v>
      </c>
      <c r="H2358" s="7" t="s">
        <v>2588</v>
      </c>
    </row>
    <row r="2359" spans="1:8" x14ac:dyDescent="0.2">
      <c r="A2359" s="5" t="s">
        <v>13</v>
      </c>
      <c r="B2359" s="6" t="s">
        <v>19</v>
      </c>
      <c r="C2359" s="7" t="s">
        <v>2589</v>
      </c>
      <c r="D2359" s="7"/>
      <c r="E2359" s="8">
        <v>-1.3704322</v>
      </c>
      <c r="F2359" s="8">
        <v>-1.3110972000000001</v>
      </c>
      <c r="G2359" s="7" t="str">
        <f t="shared" si="15"/>
        <v>Direct</v>
      </c>
      <c r="H2359" s="7" t="s">
        <v>2590</v>
      </c>
    </row>
    <row r="2360" spans="1:8" x14ac:dyDescent="0.2">
      <c r="A2360" s="5" t="s">
        <v>13</v>
      </c>
      <c r="B2360" s="6" t="s">
        <v>19</v>
      </c>
      <c r="C2360" s="7" t="s">
        <v>448</v>
      </c>
      <c r="D2360" s="7"/>
      <c r="E2360" s="8">
        <v>-4.9713634999999998</v>
      </c>
      <c r="F2360" s="8">
        <v>-3.1914245999999999</v>
      </c>
      <c r="G2360" s="7" t="str">
        <f t="shared" si="15"/>
        <v>Direct</v>
      </c>
      <c r="H2360" s="7" t="s">
        <v>425</v>
      </c>
    </row>
    <row r="2361" spans="1:8" x14ac:dyDescent="0.2">
      <c r="A2361" s="5" t="s">
        <v>13</v>
      </c>
      <c r="B2361" s="6" t="s">
        <v>19</v>
      </c>
      <c r="C2361" s="7" t="s">
        <v>2591</v>
      </c>
      <c r="D2361" s="7"/>
      <c r="E2361" s="8">
        <v>5.2197639300000001</v>
      </c>
      <c r="F2361" s="8">
        <v>4.0718161000000004</v>
      </c>
      <c r="G2361" s="7" t="str">
        <f t="shared" si="15"/>
        <v>Direct</v>
      </c>
      <c r="H2361" s="7" t="s">
        <v>16</v>
      </c>
    </row>
    <row r="2362" spans="1:8" x14ac:dyDescent="0.2">
      <c r="A2362" s="5" t="s">
        <v>13</v>
      </c>
      <c r="B2362" s="6" t="s">
        <v>19</v>
      </c>
      <c r="C2362" s="7" t="s">
        <v>2592</v>
      </c>
      <c r="D2362" s="7"/>
      <c r="E2362" s="8">
        <v>1.8532386000000001</v>
      </c>
      <c r="F2362" s="8">
        <v>2.1883948200000001</v>
      </c>
      <c r="G2362" s="7" t="str">
        <f t="shared" si="15"/>
        <v>Direct</v>
      </c>
      <c r="H2362" s="7" t="s">
        <v>2593</v>
      </c>
    </row>
    <row r="2363" spans="1:8" x14ac:dyDescent="0.2">
      <c r="A2363" s="5" t="s">
        <v>13</v>
      </c>
      <c r="B2363" s="6" t="s">
        <v>19</v>
      </c>
      <c r="C2363" s="7" t="s">
        <v>2594</v>
      </c>
      <c r="D2363" s="7"/>
      <c r="E2363" s="8">
        <v>-2.2997895000000002</v>
      </c>
      <c r="F2363" s="8">
        <v>-2.3639554</v>
      </c>
      <c r="G2363" s="7" t="str">
        <f t="shared" si="15"/>
        <v>Direct</v>
      </c>
      <c r="H2363" s="7" t="s">
        <v>2595</v>
      </c>
    </row>
    <row r="2364" spans="1:8" x14ac:dyDescent="0.2">
      <c r="A2364" s="5" t="s">
        <v>13</v>
      </c>
      <c r="B2364" s="6" t="s">
        <v>19</v>
      </c>
      <c r="C2364" s="7" t="s">
        <v>2596</v>
      </c>
      <c r="D2364" s="7"/>
      <c r="E2364" s="8">
        <v>-1.4884257999999999</v>
      </c>
      <c r="F2364" s="8">
        <v>-1.1756438</v>
      </c>
      <c r="G2364" s="7" t="str">
        <f t="shared" si="15"/>
        <v>Direct</v>
      </c>
      <c r="H2364" s="7" t="s">
        <v>2597</v>
      </c>
    </row>
    <row r="2365" spans="1:8" x14ac:dyDescent="0.2">
      <c r="A2365" s="5" t="s">
        <v>13</v>
      </c>
      <c r="B2365" s="6" t="s">
        <v>19</v>
      </c>
      <c r="C2365" s="7" t="s">
        <v>2598</v>
      </c>
      <c r="D2365" s="7"/>
      <c r="E2365" s="8">
        <v>-1.3545651999999999</v>
      </c>
      <c r="F2365" s="8">
        <v>-1.5575406000000001</v>
      </c>
      <c r="G2365" s="7" t="str">
        <f t="shared" si="15"/>
        <v>Direct</v>
      </c>
      <c r="H2365" s="7" t="s">
        <v>2533</v>
      </c>
    </row>
    <row r="2366" spans="1:8" x14ac:dyDescent="0.2">
      <c r="A2366" s="5" t="s">
        <v>13</v>
      </c>
      <c r="B2366" s="6" t="s">
        <v>19</v>
      </c>
      <c r="C2366" s="7" t="s">
        <v>2599</v>
      </c>
      <c r="D2366" s="7"/>
      <c r="E2366" s="8">
        <v>1.15318532</v>
      </c>
      <c r="F2366" s="8">
        <v>1.22541181</v>
      </c>
      <c r="G2366" s="7" t="str">
        <f t="shared" si="15"/>
        <v>Direct</v>
      </c>
      <c r="H2366" s="7" t="s">
        <v>16</v>
      </c>
    </row>
    <row r="2367" spans="1:8" x14ac:dyDescent="0.2">
      <c r="A2367" s="5" t="s">
        <v>13</v>
      </c>
      <c r="B2367" s="6" t="s">
        <v>19</v>
      </c>
      <c r="C2367" s="7" t="s">
        <v>2600</v>
      </c>
      <c r="D2367" s="7"/>
      <c r="E2367" s="8">
        <v>-3.8417598000000002</v>
      </c>
      <c r="F2367" s="8">
        <v>-1.57799</v>
      </c>
      <c r="G2367" s="7" t="str">
        <f t="shared" si="15"/>
        <v>Direct</v>
      </c>
      <c r="H2367" s="7" t="s">
        <v>2601</v>
      </c>
    </row>
    <row r="2368" spans="1:8" x14ac:dyDescent="0.2">
      <c r="A2368" s="5" t="s">
        <v>13</v>
      </c>
      <c r="B2368" s="6" t="s">
        <v>19</v>
      </c>
      <c r="C2368" s="7" t="s">
        <v>2602</v>
      </c>
      <c r="D2368" s="7"/>
      <c r="E2368" s="8">
        <v>2.3941422800000001</v>
      </c>
      <c r="F2368" s="8">
        <v>2.9583298</v>
      </c>
      <c r="G2368" s="7" t="str">
        <f t="shared" si="15"/>
        <v>Direct</v>
      </c>
      <c r="H2368" s="7" t="s">
        <v>16</v>
      </c>
    </row>
    <row r="2369" spans="1:8" x14ac:dyDescent="0.2">
      <c r="A2369" s="5" t="s">
        <v>13</v>
      </c>
      <c r="B2369" s="6" t="s">
        <v>19</v>
      </c>
      <c r="C2369" s="7" t="s">
        <v>2603</v>
      </c>
      <c r="D2369" s="7"/>
      <c r="E2369" s="8">
        <v>1.1996711</v>
      </c>
      <c r="F2369" s="8">
        <v>1.2106203900000001</v>
      </c>
      <c r="G2369" s="7" t="str">
        <f t="shared" si="15"/>
        <v>Direct</v>
      </c>
      <c r="H2369" s="7" t="s">
        <v>16</v>
      </c>
    </row>
    <row r="2370" spans="1:8" x14ac:dyDescent="0.2">
      <c r="A2370" s="5" t="s">
        <v>13</v>
      </c>
      <c r="B2370" s="6" t="s">
        <v>19</v>
      </c>
      <c r="C2370" s="7" t="s">
        <v>2604</v>
      </c>
      <c r="D2370" s="7"/>
      <c r="E2370" s="8">
        <v>-5.0801007</v>
      </c>
      <c r="F2370" s="8">
        <v>-3.9151604</v>
      </c>
      <c r="G2370" s="7" t="str">
        <f t="shared" si="15"/>
        <v>Direct</v>
      </c>
      <c r="H2370" s="7" t="s">
        <v>2605</v>
      </c>
    </row>
    <row r="2371" spans="1:8" x14ac:dyDescent="0.2">
      <c r="A2371" s="5" t="s">
        <v>13</v>
      </c>
      <c r="B2371" s="6" t="s">
        <v>19</v>
      </c>
      <c r="C2371" s="7" t="s">
        <v>2606</v>
      </c>
      <c r="D2371" s="7"/>
      <c r="E2371" s="8">
        <v>-7.0524708</v>
      </c>
      <c r="F2371" s="8">
        <v>-5.8017557999999996</v>
      </c>
      <c r="G2371" s="7" t="str">
        <f t="shared" si="15"/>
        <v>Direct</v>
      </c>
      <c r="H2371" s="7" t="s">
        <v>2607</v>
      </c>
    </row>
    <row r="2372" spans="1:8" x14ac:dyDescent="0.2">
      <c r="A2372" s="5" t="s">
        <v>13</v>
      </c>
      <c r="B2372" s="6" t="s">
        <v>19</v>
      </c>
      <c r="C2372" s="7" t="s">
        <v>2608</v>
      </c>
      <c r="D2372" s="7"/>
      <c r="E2372" s="8">
        <v>1.2075133600000001</v>
      </c>
      <c r="F2372" s="8">
        <v>2.3980943699999999</v>
      </c>
      <c r="G2372" s="7" t="str">
        <f t="shared" si="15"/>
        <v>Direct</v>
      </c>
      <c r="H2372" s="7" t="s">
        <v>16</v>
      </c>
    </row>
    <row r="2373" spans="1:8" x14ac:dyDescent="0.2">
      <c r="A2373" s="5" t="s">
        <v>13</v>
      </c>
      <c r="B2373" s="6" t="s">
        <v>19</v>
      </c>
      <c r="C2373" s="7" t="s">
        <v>2609</v>
      </c>
      <c r="D2373" s="7"/>
      <c r="E2373" s="8">
        <v>-2.2189681999999999</v>
      </c>
      <c r="F2373" s="8">
        <v>-5.7229095000000001</v>
      </c>
      <c r="G2373" s="7" t="str">
        <f t="shared" si="15"/>
        <v>Direct</v>
      </c>
      <c r="H2373" s="7" t="s">
        <v>1337</v>
      </c>
    </row>
    <row r="2374" spans="1:8" x14ac:dyDescent="0.2">
      <c r="A2374" s="5" t="s">
        <v>13</v>
      </c>
      <c r="B2374" s="6" t="s">
        <v>19</v>
      </c>
      <c r="C2374" s="7" t="s">
        <v>2610</v>
      </c>
      <c r="D2374" s="7"/>
      <c r="E2374" s="8">
        <v>-2.5822037</v>
      </c>
      <c r="F2374" s="8">
        <v>-2.2811987</v>
      </c>
      <c r="G2374" s="7" t="str">
        <f t="shared" si="15"/>
        <v>Direct</v>
      </c>
      <c r="H2374" s="7" t="s">
        <v>1358</v>
      </c>
    </row>
    <row r="2375" spans="1:8" x14ac:dyDescent="0.2">
      <c r="A2375" s="5" t="s">
        <v>13</v>
      </c>
      <c r="B2375" s="6" t="s">
        <v>19</v>
      </c>
      <c r="C2375" s="7" t="s">
        <v>2611</v>
      </c>
      <c r="D2375" s="7"/>
      <c r="E2375" s="8">
        <v>-2.9310103999999999</v>
      </c>
      <c r="F2375" s="8">
        <v>-2.6753610000000001</v>
      </c>
      <c r="G2375" s="7" t="str">
        <f t="shared" si="15"/>
        <v>Direct</v>
      </c>
      <c r="H2375" s="7" t="s">
        <v>2612</v>
      </c>
    </row>
    <row r="2376" spans="1:8" x14ac:dyDescent="0.2">
      <c r="A2376" s="5" t="s">
        <v>13</v>
      </c>
      <c r="B2376" s="6" t="s">
        <v>19</v>
      </c>
      <c r="C2376" s="7" t="s">
        <v>2613</v>
      </c>
      <c r="D2376" s="7"/>
      <c r="E2376" s="8">
        <v>2.30712282</v>
      </c>
      <c r="F2376" s="8">
        <v>3.0694484100000001</v>
      </c>
      <c r="G2376" s="7" t="str">
        <f t="shared" si="15"/>
        <v>Direct</v>
      </c>
      <c r="H2376" s="7" t="s">
        <v>2614</v>
      </c>
    </row>
    <row r="2377" spans="1:8" x14ac:dyDescent="0.2">
      <c r="A2377" s="5" t="s">
        <v>13</v>
      </c>
      <c r="B2377" s="6" t="s">
        <v>19</v>
      </c>
      <c r="C2377" s="7" t="s">
        <v>2615</v>
      </c>
      <c r="D2377" s="7"/>
      <c r="E2377" s="8">
        <v>-2.9464402000000001</v>
      </c>
      <c r="F2377" s="8">
        <v>-3.0186259999999998</v>
      </c>
      <c r="G2377" s="7" t="str">
        <f t="shared" si="15"/>
        <v>Direct</v>
      </c>
      <c r="H2377" s="7" t="s">
        <v>58</v>
      </c>
    </row>
    <row r="2378" spans="1:8" x14ac:dyDescent="0.2">
      <c r="A2378" s="5" t="s">
        <v>13</v>
      </c>
      <c r="B2378" s="6" t="s">
        <v>19</v>
      </c>
      <c r="C2378" s="7" t="s">
        <v>2616</v>
      </c>
      <c r="D2378" s="7"/>
      <c r="E2378" s="8">
        <v>-1.862382</v>
      </c>
      <c r="F2378" s="8">
        <v>-1.8942313</v>
      </c>
      <c r="G2378" s="7" t="str">
        <f t="shared" si="15"/>
        <v>Direct</v>
      </c>
      <c r="H2378" s="7" t="s">
        <v>16</v>
      </c>
    </row>
    <row r="2379" spans="1:8" x14ac:dyDescent="0.2">
      <c r="A2379" s="5" t="s">
        <v>13</v>
      </c>
      <c r="B2379" s="6" t="s">
        <v>19</v>
      </c>
      <c r="C2379" s="7" t="s">
        <v>2617</v>
      </c>
      <c r="D2379" s="7"/>
      <c r="E2379" s="8">
        <v>1.2877214400000001</v>
      </c>
      <c r="F2379" s="8">
        <v>1.1218342100000001</v>
      </c>
      <c r="G2379" s="7" t="str">
        <f t="shared" si="15"/>
        <v>Direct</v>
      </c>
      <c r="H2379" s="7" t="s">
        <v>804</v>
      </c>
    </row>
    <row r="2380" spans="1:8" x14ac:dyDescent="0.2">
      <c r="A2380" s="5" t="s">
        <v>13</v>
      </c>
      <c r="B2380" s="6" t="s">
        <v>19</v>
      </c>
      <c r="C2380" s="7" t="s">
        <v>2618</v>
      </c>
      <c r="D2380" s="7"/>
      <c r="E2380" s="8">
        <v>-1.1165749</v>
      </c>
      <c r="F2380" s="8">
        <v>-1.1370178</v>
      </c>
      <c r="G2380" s="7" t="str">
        <f t="shared" si="15"/>
        <v>Direct</v>
      </c>
      <c r="H2380" s="7" t="s">
        <v>2619</v>
      </c>
    </row>
    <row r="2381" spans="1:8" x14ac:dyDescent="0.2">
      <c r="A2381" s="5" t="s">
        <v>13</v>
      </c>
      <c r="B2381" s="6" t="s">
        <v>19</v>
      </c>
      <c r="C2381" s="7" t="s">
        <v>2620</v>
      </c>
      <c r="D2381" s="7"/>
      <c r="E2381" s="8">
        <v>2.9639180700000001</v>
      </c>
      <c r="F2381" s="8">
        <v>2.68820075</v>
      </c>
      <c r="G2381" s="7" t="str">
        <f t="shared" si="15"/>
        <v>Direct</v>
      </c>
      <c r="H2381" s="7" t="s">
        <v>16</v>
      </c>
    </row>
    <row r="2382" spans="1:8" x14ac:dyDescent="0.2">
      <c r="A2382" s="5" t="s">
        <v>13</v>
      </c>
      <c r="B2382" s="6" t="s">
        <v>19</v>
      </c>
      <c r="C2382" s="7" t="s">
        <v>2621</v>
      </c>
      <c r="D2382" s="7"/>
      <c r="E2382" s="8">
        <v>-2.8953926000000001</v>
      </c>
      <c r="F2382" s="8">
        <v>-2.2796533999999999</v>
      </c>
      <c r="G2382" s="7" t="str">
        <f t="shared" si="15"/>
        <v>Direct</v>
      </c>
      <c r="H2382" s="7" t="s">
        <v>1950</v>
      </c>
    </row>
    <row r="2383" spans="1:8" x14ac:dyDescent="0.2">
      <c r="A2383" s="5" t="s">
        <v>13</v>
      </c>
      <c r="B2383" s="6" t="s">
        <v>19</v>
      </c>
      <c r="C2383" s="7" t="s">
        <v>2622</v>
      </c>
      <c r="D2383" s="7"/>
      <c r="E2383" s="8">
        <v>-1.203865</v>
      </c>
      <c r="F2383" s="8">
        <v>-1.1040856999999999</v>
      </c>
      <c r="G2383" s="7" t="str">
        <f t="shared" si="15"/>
        <v>Direct</v>
      </c>
      <c r="H2383" s="7" t="s">
        <v>16</v>
      </c>
    </row>
    <row r="2384" spans="1:8" x14ac:dyDescent="0.2">
      <c r="A2384" s="5" t="s">
        <v>13</v>
      </c>
      <c r="B2384" s="6" t="s">
        <v>19</v>
      </c>
      <c r="C2384" s="7" t="s">
        <v>2623</v>
      </c>
      <c r="D2384" s="7"/>
      <c r="E2384" s="8">
        <v>1.6720692100000001</v>
      </c>
      <c r="F2384" s="8">
        <v>2.0693507599999998</v>
      </c>
      <c r="G2384" s="7" t="str">
        <f t="shared" si="15"/>
        <v>Direct</v>
      </c>
      <c r="H2384" s="7" t="s">
        <v>2624</v>
      </c>
    </row>
    <row r="2385" spans="1:8" x14ac:dyDescent="0.2">
      <c r="A2385" s="5" t="s">
        <v>13</v>
      </c>
      <c r="B2385" s="6" t="s">
        <v>19</v>
      </c>
      <c r="C2385" s="7" t="s">
        <v>452</v>
      </c>
      <c r="D2385" s="7"/>
      <c r="E2385" s="8">
        <v>-2.4670264</v>
      </c>
      <c r="F2385" s="8">
        <v>-1.4819252999999999</v>
      </c>
      <c r="G2385" s="7" t="str">
        <f t="shared" si="15"/>
        <v>Direct</v>
      </c>
      <c r="H2385" s="7" t="s">
        <v>453</v>
      </c>
    </row>
    <row r="2386" spans="1:8" x14ac:dyDescent="0.2">
      <c r="A2386" s="5" t="s">
        <v>13</v>
      </c>
      <c r="B2386" s="6" t="s">
        <v>19</v>
      </c>
      <c r="C2386" s="7" t="s">
        <v>2625</v>
      </c>
      <c r="D2386" s="7"/>
      <c r="E2386" s="8">
        <v>-1.1938960999999999</v>
      </c>
      <c r="F2386" s="8">
        <v>-1.5999363</v>
      </c>
      <c r="G2386" s="7" t="str">
        <f t="shared" si="15"/>
        <v>Direct</v>
      </c>
      <c r="H2386" s="7" t="s">
        <v>2626</v>
      </c>
    </row>
    <row r="2387" spans="1:8" x14ac:dyDescent="0.2">
      <c r="A2387" s="5" t="s">
        <v>13</v>
      </c>
      <c r="B2387" s="6" t="s">
        <v>19</v>
      </c>
      <c r="C2387" s="7" t="s">
        <v>2627</v>
      </c>
      <c r="D2387" s="7"/>
      <c r="E2387" s="8">
        <v>1.98955397</v>
      </c>
      <c r="F2387" s="8">
        <v>1.2506971</v>
      </c>
      <c r="G2387" s="7" t="str">
        <f t="shared" si="15"/>
        <v>Direct</v>
      </c>
      <c r="H2387" s="7" t="s">
        <v>2628</v>
      </c>
    </row>
    <row r="2388" spans="1:8" x14ac:dyDescent="0.2">
      <c r="A2388" s="5" t="s">
        <v>13</v>
      </c>
      <c r="B2388" s="6" t="s">
        <v>19</v>
      </c>
      <c r="C2388" s="7" t="s">
        <v>2629</v>
      </c>
      <c r="D2388" s="7"/>
      <c r="E2388" s="8">
        <v>-2.7971197000000001</v>
      </c>
      <c r="F2388" s="8">
        <v>-1.6235834</v>
      </c>
      <c r="G2388" s="7" t="str">
        <f t="shared" si="15"/>
        <v>Direct</v>
      </c>
      <c r="H2388" s="7" t="s">
        <v>16</v>
      </c>
    </row>
    <row r="2389" spans="1:8" x14ac:dyDescent="0.2">
      <c r="A2389" s="5" t="s">
        <v>13</v>
      </c>
      <c r="B2389" s="6" t="s">
        <v>19</v>
      </c>
      <c r="C2389" s="7" t="s">
        <v>2630</v>
      </c>
      <c r="D2389" s="7"/>
      <c r="E2389" s="8">
        <v>1.99413426</v>
      </c>
      <c r="F2389" s="8">
        <v>1.55784221</v>
      </c>
      <c r="G2389" s="7" t="str">
        <f t="shared" si="15"/>
        <v>Direct</v>
      </c>
      <c r="H2389" s="7" t="s">
        <v>16</v>
      </c>
    </row>
    <row r="2390" spans="1:8" x14ac:dyDescent="0.2">
      <c r="A2390" s="5" t="s">
        <v>13</v>
      </c>
      <c r="B2390" s="6" t="s">
        <v>19</v>
      </c>
      <c r="C2390" s="7" t="s">
        <v>2631</v>
      </c>
      <c r="D2390" s="7"/>
      <c r="E2390" s="8">
        <v>1.8109157</v>
      </c>
      <c r="F2390" s="8">
        <v>1.32569293</v>
      </c>
      <c r="G2390" s="7" t="str">
        <f t="shared" si="15"/>
        <v>Direct</v>
      </c>
      <c r="H2390" s="7" t="s">
        <v>16</v>
      </c>
    </row>
    <row r="2391" spans="1:8" x14ac:dyDescent="0.2">
      <c r="A2391" s="5" t="s">
        <v>13</v>
      </c>
      <c r="B2391" s="6" t="s">
        <v>19</v>
      </c>
      <c r="C2391" s="7" t="s">
        <v>2632</v>
      </c>
      <c r="D2391" s="7"/>
      <c r="E2391" s="8">
        <v>1.69695843</v>
      </c>
      <c r="F2391" s="8">
        <v>2.2263811699999998</v>
      </c>
      <c r="G2391" s="7" t="str">
        <f t="shared" si="15"/>
        <v>Direct</v>
      </c>
      <c r="H2391" s="7" t="s">
        <v>16</v>
      </c>
    </row>
    <row r="2392" spans="1:8" x14ac:dyDescent="0.2">
      <c r="A2392" s="5" t="s">
        <v>13</v>
      </c>
      <c r="B2392" s="6" t="s">
        <v>19</v>
      </c>
      <c r="C2392" s="7" t="s">
        <v>2633</v>
      </c>
      <c r="D2392" s="7"/>
      <c r="E2392" s="8">
        <v>-5.4342604000000003</v>
      </c>
      <c r="F2392" s="8">
        <v>-5.0136129</v>
      </c>
      <c r="G2392" s="7" t="str">
        <f t="shared" si="15"/>
        <v>Direct</v>
      </c>
      <c r="H2392" s="7" t="s">
        <v>16</v>
      </c>
    </row>
    <row r="2393" spans="1:8" x14ac:dyDescent="0.2">
      <c r="A2393" s="5" t="s">
        <v>13</v>
      </c>
      <c r="B2393" s="6" t="s">
        <v>19</v>
      </c>
      <c r="C2393" s="7" t="s">
        <v>2634</v>
      </c>
      <c r="D2393" s="7"/>
      <c r="E2393" s="8">
        <v>2.6047486700000002</v>
      </c>
      <c r="F2393" s="8">
        <v>2.9906248199999999</v>
      </c>
      <c r="G2393" s="7" t="str">
        <f t="shared" si="15"/>
        <v>Direct</v>
      </c>
      <c r="H2393" s="7" t="s">
        <v>16</v>
      </c>
    </row>
    <row r="2394" spans="1:8" x14ac:dyDescent="0.2">
      <c r="A2394" s="5" t="s">
        <v>13</v>
      </c>
      <c r="B2394" s="6" t="s">
        <v>19</v>
      </c>
      <c r="C2394" s="7" t="s">
        <v>2635</v>
      </c>
      <c r="D2394" s="7"/>
      <c r="E2394" s="8">
        <v>1.8788677199999999</v>
      </c>
      <c r="F2394" s="8">
        <v>1.4419198099999999</v>
      </c>
      <c r="G2394" s="7" t="str">
        <f t="shared" si="15"/>
        <v>Direct</v>
      </c>
      <c r="H2394" s="7" t="s">
        <v>16</v>
      </c>
    </row>
    <row r="2395" spans="1:8" x14ac:dyDescent="0.2">
      <c r="A2395" s="5" t="s">
        <v>13</v>
      </c>
      <c r="B2395" s="6" t="s">
        <v>19</v>
      </c>
      <c r="C2395" s="7" t="s">
        <v>2636</v>
      </c>
      <c r="D2395" s="7"/>
      <c r="E2395" s="8">
        <v>-1.6888996000000001</v>
      </c>
      <c r="F2395" s="8">
        <v>-1.5751195</v>
      </c>
      <c r="G2395" s="7" t="str">
        <f t="shared" si="15"/>
        <v>Direct</v>
      </c>
      <c r="H2395" s="7" t="s">
        <v>2637</v>
      </c>
    </row>
    <row r="2396" spans="1:8" x14ac:dyDescent="0.2">
      <c r="A2396" s="5" t="s">
        <v>13</v>
      </c>
      <c r="B2396" s="6" t="s">
        <v>19</v>
      </c>
      <c r="C2396" s="7" t="s">
        <v>2638</v>
      </c>
      <c r="D2396" s="7"/>
      <c r="E2396" s="8">
        <v>-1.8686332999999999</v>
      </c>
      <c r="F2396" s="8">
        <v>-3.3935105999999999</v>
      </c>
      <c r="G2396" s="7" t="str">
        <f t="shared" si="15"/>
        <v>Direct</v>
      </c>
      <c r="H2396" s="7" t="s">
        <v>2639</v>
      </c>
    </row>
    <row r="2397" spans="1:8" x14ac:dyDescent="0.2">
      <c r="A2397" s="5" t="s">
        <v>13</v>
      </c>
      <c r="B2397" s="6" t="s">
        <v>19</v>
      </c>
      <c r="C2397" s="7" t="s">
        <v>2640</v>
      </c>
      <c r="D2397" s="7"/>
      <c r="E2397" s="8">
        <v>-1.1971868999999999</v>
      </c>
      <c r="F2397" s="8">
        <v>-1.1153808000000001</v>
      </c>
      <c r="G2397" s="7" t="str">
        <f t="shared" si="15"/>
        <v>Direct</v>
      </c>
      <c r="H2397" s="7" t="s">
        <v>553</v>
      </c>
    </row>
    <row r="2398" spans="1:8" x14ac:dyDescent="0.2">
      <c r="A2398" s="5" t="s">
        <v>13</v>
      </c>
      <c r="B2398" s="6" t="s">
        <v>19</v>
      </c>
      <c r="C2398" s="7" t="s">
        <v>2641</v>
      </c>
      <c r="D2398" s="7"/>
      <c r="E2398" s="8">
        <v>-1.4451944999999999</v>
      </c>
      <c r="F2398" s="8">
        <v>-1.2313413</v>
      </c>
      <c r="G2398" s="7" t="str">
        <f t="shared" si="15"/>
        <v>Direct</v>
      </c>
      <c r="H2398" s="7" t="s">
        <v>16</v>
      </c>
    </row>
    <row r="2399" spans="1:8" x14ac:dyDescent="0.2">
      <c r="A2399" s="5" t="s">
        <v>13</v>
      </c>
      <c r="B2399" s="6" t="s">
        <v>19</v>
      </c>
      <c r="C2399" s="7" t="s">
        <v>457</v>
      </c>
      <c r="D2399" s="7"/>
      <c r="E2399" s="8">
        <v>-4.0413569000000003</v>
      </c>
      <c r="F2399" s="8">
        <v>-2.7561027999999999</v>
      </c>
      <c r="G2399" s="7" t="str">
        <f t="shared" si="15"/>
        <v>Direct</v>
      </c>
      <c r="H2399" s="7" t="s">
        <v>458</v>
      </c>
    </row>
    <row r="2400" spans="1:8" x14ac:dyDescent="0.2">
      <c r="A2400" s="5" t="s">
        <v>13</v>
      </c>
      <c r="B2400" s="6" t="s">
        <v>19</v>
      </c>
      <c r="C2400" s="7" t="s">
        <v>459</v>
      </c>
      <c r="D2400" s="7"/>
      <c r="E2400" s="8">
        <v>-1.591477</v>
      </c>
      <c r="F2400" s="8">
        <v>-3.3878770999999999</v>
      </c>
      <c r="G2400" s="7" t="str">
        <f t="shared" si="15"/>
        <v>Direct</v>
      </c>
      <c r="H2400" s="7" t="s">
        <v>16</v>
      </c>
    </row>
    <row r="2401" spans="1:8" x14ac:dyDescent="0.2">
      <c r="A2401" s="5" t="s">
        <v>13</v>
      </c>
      <c r="B2401" s="6" t="s">
        <v>19</v>
      </c>
      <c r="C2401" s="7" t="s">
        <v>2642</v>
      </c>
      <c r="D2401" s="7"/>
      <c r="E2401" s="8">
        <v>-2.3731798</v>
      </c>
      <c r="F2401" s="8">
        <v>-2.5253770000000002</v>
      </c>
      <c r="G2401" s="7" t="str">
        <f t="shared" si="15"/>
        <v>Direct</v>
      </c>
      <c r="H2401" s="7" t="s">
        <v>2643</v>
      </c>
    </row>
    <row r="2402" spans="1:8" x14ac:dyDescent="0.2">
      <c r="A2402" s="5" t="s">
        <v>13</v>
      </c>
      <c r="B2402" s="6" t="s">
        <v>19</v>
      </c>
      <c r="C2402" s="7" t="s">
        <v>2644</v>
      </c>
      <c r="D2402" s="7"/>
      <c r="E2402" s="8">
        <v>3.1496882400000001</v>
      </c>
      <c r="F2402" s="8">
        <v>2.3894319899999998</v>
      </c>
      <c r="G2402" s="7" t="str">
        <f t="shared" si="15"/>
        <v>Direct</v>
      </c>
      <c r="H2402" s="7" t="s">
        <v>429</v>
      </c>
    </row>
    <row r="2403" spans="1:8" x14ac:dyDescent="0.2">
      <c r="A2403" s="5" t="s">
        <v>13</v>
      </c>
      <c r="B2403" s="6" t="s">
        <v>19</v>
      </c>
      <c r="C2403" s="7" t="s">
        <v>461</v>
      </c>
      <c r="D2403" s="7"/>
      <c r="E2403" s="8">
        <v>-1.4987945</v>
      </c>
      <c r="F2403" s="8">
        <v>-3.1483574999999999</v>
      </c>
      <c r="G2403" s="7" t="str">
        <f t="shared" si="15"/>
        <v>Direct</v>
      </c>
      <c r="H2403" s="7" t="s">
        <v>462</v>
      </c>
    </row>
    <row r="2404" spans="1:8" x14ac:dyDescent="0.2">
      <c r="A2404" s="5" t="s">
        <v>13</v>
      </c>
      <c r="B2404" s="6" t="s">
        <v>19</v>
      </c>
      <c r="C2404" s="7" t="s">
        <v>2645</v>
      </c>
      <c r="D2404" s="7"/>
      <c r="E2404" s="8">
        <v>-4.5593066999999996</v>
      </c>
      <c r="F2404" s="8">
        <v>-1.5349473</v>
      </c>
      <c r="G2404" s="7" t="str">
        <f t="shared" si="15"/>
        <v>Direct</v>
      </c>
      <c r="H2404" s="7" t="s">
        <v>16</v>
      </c>
    </row>
    <row r="2405" spans="1:8" x14ac:dyDescent="0.2">
      <c r="A2405" s="5" t="s">
        <v>13</v>
      </c>
      <c r="B2405" s="6" t="s">
        <v>19</v>
      </c>
      <c r="C2405" s="7" t="s">
        <v>2646</v>
      </c>
      <c r="D2405" s="7"/>
      <c r="E2405" s="8">
        <v>1.07770688</v>
      </c>
      <c r="F2405" s="8">
        <v>2.22570172</v>
      </c>
      <c r="G2405" s="7" t="str">
        <f t="shared" si="15"/>
        <v>Direct</v>
      </c>
      <c r="H2405" s="7" t="s">
        <v>2048</v>
      </c>
    </row>
    <row r="2406" spans="1:8" x14ac:dyDescent="0.2">
      <c r="A2406" s="5" t="s">
        <v>13</v>
      </c>
      <c r="B2406" s="6" t="s">
        <v>19</v>
      </c>
      <c r="C2406" s="7" t="s">
        <v>2647</v>
      </c>
      <c r="D2406" s="7"/>
      <c r="E2406" s="8">
        <v>-8.3410043999999992</v>
      </c>
      <c r="F2406" s="8">
        <v>-3.6264740999999998</v>
      </c>
      <c r="G2406" s="7" t="str">
        <f t="shared" si="15"/>
        <v>Direct</v>
      </c>
      <c r="H2406" s="7" t="s">
        <v>16</v>
      </c>
    </row>
    <row r="2407" spans="1:8" x14ac:dyDescent="0.2">
      <c r="A2407" s="5" t="s">
        <v>13</v>
      </c>
      <c r="B2407" s="6" t="s">
        <v>19</v>
      </c>
      <c r="C2407" s="7" t="s">
        <v>2648</v>
      </c>
      <c r="D2407" s="7"/>
      <c r="E2407" s="8">
        <v>2.32953207</v>
      </c>
      <c r="F2407" s="8">
        <v>4.0575580599999999</v>
      </c>
      <c r="G2407" s="7" t="str">
        <f t="shared" si="15"/>
        <v>Direct</v>
      </c>
      <c r="H2407" s="7" t="s">
        <v>16</v>
      </c>
    </row>
    <row r="2408" spans="1:8" x14ac:dyDescent="0.2">
      <c r="A2408" s="5" t="s">
        <v>13</v>
      </c>
      <c r="B2408" s="6" t="s">
        <v>19</v>
      </c>
      <c r="C2408" s="7" t="s">
        <v>2649</v>
      </c>
      <c r="D2408" s="7"/>
      <c r="E2408" s="8">
        <v>-1.3676895</v>
      </c>
      <c r="F2408" s="8">
        <v>-1.1892381000000001</v>
      </c>
      <c r="G2408" s="7" t="str">
        <f t="shared" si="15"/>
        <v>Direct</v>
      </c>
      <c r="H2408" s="7" t="s">
        <v>16</v>
      </c>
    </row>
    <row r="2409" spans="1:8" x14ac:dyDescent="0.2">
      <c r="A2409" s="5" t="s">
        <v>13</v>
      </c>
      <c r="B2409" s="6" t="s">
        <v>19</v>
      </c>
      <c r="C2409" s="7" t="s">
        <v>2650</v>
      </c>
      <c r="D2409" s="7"/>
      <c r="E2409" s="8">
        <v>1.44222103</v>
      </c>
      <c r="F2409" s="8">
        <v>1.7891051600000001</v>
      </c>
      <c r="G2409" s="7" t="str">
        <f t="shared" si="15"/>
        <v>Direct</v>
      </c>
      <c r="H2409" s="7" t="s">
        <v>16</v>
      </c>
    </row>
    <row r="2410" spans="1:8" x14ac:dyDescent="0.2">
      <c r="A2410" s="5" t="s">
        <v>13</v>
      </c>
      <c r="B2410" s="6" t="s">
        <v>19</v>
      </c>
      <c r="C2410" s="7" t="s">
        <v>463</v>
      </c>
      <c r="D2410" s="7"/>
      <c r="E2410" s="8">
        <v>3.53735942</v>
      </c>
      <c r="F2410" s="8">
        <v>2.5253434000000001</v>
      </c>
      <c r="G2410" s="7" t="str">
        <f t="shared" si="15"/>
        <v>Direct</v>
      </c>
      <c r="H2410" s="7" t="s">
        <v>464</v>
      </c>
    </row>
    <row r="2411" spans="1:8" x14ac:dyDescent="0.2">
      <c r="A2411" s="5" t="s">
        <v>13</v>
      </c>
      <c r="B2411" s="6" t="s">
        <v>19</v>
      </c>
      <c r="C2411" s="7" t="s">
        <v>2651</v>
      </c>
      <c r="D2411" s="7"/>
      <c r="E2411" s="8">
        <v>-2.2558357999999998</v>
      </c>
      <c r="F2411" s="8">
        <v>-1.803018</v>
      </c>
      <c r="G2411" s="7" t="str">
        <f t="shared" si="15"/>
        <v>Direct</v>
      </c>
      <c r="H2411" s="7" t="s">
        <v>16</v>
      </c>
    </row>
    <row r="2412" spans="1:8" x14ac:dyDescent="0.2">
      <c r="A2412" s="5" t="s">
        <v>13</v>
      </c>
      <c r="B2412" s="6" t="s">
        <v>19</v>
      </c>
      <c r="C2412" s="7" t="s">
        <v>2652</v>
      </c>
      <c r="D2412" s="7"/>
      <c r="E2412" s="8">
        <v>-7.7191318000000004</v>
      </c>
      <c r="F2412" s="8">
        <v>-6.9305494999999997</v>
      </c>
      <c r="G2412" s="7" t="str">
        <f t="shared" si="15"/>
        <v>Direct</v>
      </c>
      <c r="H2412" s="7" t="s">
        <v>2653</v>
      </c>
    </row>
    <row r="2413" spans="1:8" x14ac:dyDescent="0.2">
      <c r="A2413" s="5" t="s">
        <v>13</v>
      </c>
      <c r="B2413" s="6" t="s">
        <v>19</v>
      </c>
      <c r="C2413" s="7" t="s">
        <v>465</v>
      </c>
      <c r="D2413" s="7"/>
      <c r="E2413" s="8">
        <v>-10.550367</v>
      </c>
      <c r="F2413" s="8">
        <v>-6.9494702999999998</v>
      </c>
      <c r="G2413" s="7" t="str">
        <f t="shared" si="15"/>
        <v>Direct</v>
      </c>
      <c r="H2413" s="7" t="s">
        <v>62</v>
      </c>
    </row>
    <row r="2414" spans="1:8" x14ac:dyDescent="0.2">
      <c r="A2414" s="5" t="s">
        <v>13</v>
      </c>
      <c r="B2414" s="6" t="s">
        <v>19</v>
      </c>
      <c r="C2414" s="7" t="s">
        <v>2654</v>
      </c>
      <c r="D2414" s="7"/>
      <c r="E2414" s="8">
        <v>2.1617334800000001</v>
      </c>
      <c r="F2414" s="8">
        <v>2.2309035499999998</v>
      </c>
      <c r="G2414" s="7" t="str">
        <f t="shared" si="15"/>
        <v>Direct</v>
      </c>
      <c r="H2414" s="7" t="s">
        <v>16</v>
      </c>
    </row>
    <row r="2415" spans="1:8" x14ac:dyDescent="0.2">
      <c r="A2415" s="5" t="s">
        <v>13</v>
      </c>
      <c r="B2415" s="6" t="s">
        <v>19</v>
      </c>
      <c r="C2415" s="7" t="s">
        <v>2655</v>
      </c>
      <c r="D2415" s="7"/>
      <c r="E2415" s="8">
        <v>4.0335339499999998</v>
      </c>
      <c r="F2415" s="8">
        <v>1.529361</v>
      </c>
      <c r="G2415" s="7" t="str">
        <f t="shared" si="15"/>
        <v>Direct</v>
      </c>
      <c r="H2415" s="7" t="s">
        <v>16</v>
      </c>
    </row>
    <row r="2416" spans="1:8" x14ac:dyDescent="0.2">
      <c r="A2416" s="5" t="s">
        <v>13</v>
      </c>
      <c r="B2416" s="6" t="s">
        <v>19</v>
      </c>
      <c r="C2416" s="7" t="s">
        <v>2656</v>
      </c>
      <c r="D2416" s="7"/>
      <c r="E2416" s="8">
        <v>3.23325263</v>
      </c>
      <c r="F2416" s="8">
        <v>1.83136188</v>
      </c>
      <c r="G2416" s="7" t="str">
        <f t="shared" si="15"/>
        <v>Direct</v>
      </c>
      <c r="H2416" s="7" t="s">
        <v>16</v>
      </c>
    </row>
    <row r="2417" spans="1:8" x14ac:dyDescent="0.2">
      <c r="A2417" s="5" t="s">
        <v>13</v>
      </c>
      <c r="B2417" s="6" t="s">
        <v>19</v>
      </c>
      <c r="C2417" s="7" t="s">
        <v>2657</v>
      </c>
      <c r="D2417" s="7"/>
      <c r="E2417" s="8">
        <v>1.9693989199999999</v>
      </c>
      <c r="F2417" s="8">
        <v>1.5148598099999999</v>
      </c>
      <c r="G2417" s="7" t="str">
        <f t="shared" si="15"/>
        <v>Direct</v>
      </c>
      <c r="H2417" s="7" t="s">
        <v>16</v>
      </c>
    </row>
    <row r="2418" spans="1:8" x14ac:dyDescent="0.2">
      <c r="A2418" s="5" t="s">
        <v>13</v>
      </c>
      <c r="B2418" s="6" t="s">
        <v>19</v>
      </c>
      <c r="C2418" s="7" t="s">
        <v>2658</v>
      </c>
      <c r="D2418" s="7"/>
      <c r="E2418" s="8">
        <v>2.2573645600000001</v>
      </c>
      <c r="F2418" s="8">
        <v>1.51079922</v>
      </c>
      <c r="G2418" s="7" t="str">
        <f t="shared" si="15"/>
        <v>Direct</v>
      </c>
      <c r="H2418" s="7" t="s">
        <v>2659</v>
      </c>
    </row>
    <row r="2419" spans="1:8" x14ac:dyDescent="0.2">
      <c r="A2419" s="5" t="s">
        <v>13</v>
      </c>
      <c r="B2419" s="6" t="s">
        <v>19</v>
      </c>
      <c r="C2419" s="7" t="s">
        <v>2660</v>
      </c>
      <c r="D2419" s="7"/>
      <c r="E2419" s="8">
        <v>3.93845701</v>
      </c>
      <c r="F2419" s="8">
        <v>1.9180248099999999</v>
      </c>
      <c r="G2419" s="7" t="str">
        <f t="shared" si="15"/>
        <v>Direct</v>
      </c>
      <c r="H2419" s="7" t="s">
        <v>16</v>
      </c>
    </row>
    <row r="2420" spans="1:8" x14ac:dyDescent="0.2">
      <c r="A2420" s="5" t="s">
        <v>13</v>
      </c>
      <c r="B2420" s="6" t="s">
        <v>19</v>
      </c>
      <c r="C2420" s="7" t="s">
        <v>467</v>
      </c>
      <c r="D2420" s="7"/>
      <c r="E2420" s="8">
        <v>3.14536836</v>
      </c>
      <c r="F2420" s="8">
        <v>1.3328892400000001</v>
      </c>
      <c r="G2420" s="7" t="str">
        <f t="shared" si="15"/>
        <v>Direct</v>
      </c>
      <c r="H2420" s="7" t="s">
        <v>16</v>
      </c>
    </row>
    <row r="2421" spans="1:8" x14ac:dyDescent="0.2">
      <c r="A2421" s="5" t="s">
        <v>13</v>
      </c>
      <c r="B2421" s="6" t="s">
        <v>19</v>
      </c>
      <c r="C2421" s="7" t="s">
        <v>468</v>
      </c>
      <c r="D2421" s="7"/>
      <c r="E2421" s="8">
        <v>-11.372134000000001</v>
      </c>
      <c r="F2421" s="8">
        <v>-6.2984951000000002</v>
      </c>
      <c r="G2421" s="7" t="str">
        <f t="shared" si="15"/>
        <v>Direct</v>
      </c>
      <c r="H2421" s="7" t="s">
        <v>16</v>
      </c>
    </row>
    <row r="2422" spans="1:8" x14ac:dyDescent="0.2">
      <c r="A2422" s="5" t="s">
        <v>13</v>
      </c>
      <c r="B2422" s="6" t="s">
        <v>19</v>
      </c>
      <c r="C2422" s="7" t="s">
        <v>2661</v>
      </c>
      <c r="D2422" s="7"/>
      <c r="E2422" s="8">
        <v>-1.0711009</v>
      </c>
      <c r="F2422" s="8">
        <v>-1.0752950999999999</v>
      </c>
      <c r="G2422" s="7" t="str">
        <f t="shared" si="15"/>
        <v>Direct</v>
      </c>
      <c r="H2422" s="7" t="s">
        <v>2662</v>
      </c>
    </row>
    <row r="2423" spans="1:8" x14ac:dyDescent="0.2">
      <c r="A2423" s="5" t="s">
        <v>13</v>
      </c>
      <c r="B2423" s="6" t="s">
        <v>19</v>
      </c>
      <c r="C2423" s="7" t="s">
        <v>2663</v>
      </c>
      <c r="D2423" s="7"/>
      <c r="E2423" s="8">
        <v>-1.5908043999999999</v>
      </c>
      <c r="F2423" s="8">
        <v>-1.1401323000000001</v>
      </c>
      <c r="G2423" s="7" t="str">
        <f t="shared" si="15"/>
        <v>Direct</v>
      </c>
      <c r="H2423" s="7" t="s">
        <v>2664</v>
      </c>
    </row>
    <row r="2424" spans="1:8" x14ac:dyDescent="0.2">
      <c r="A2424" s="5" t="s">
        <v>13</v>
      </c>
      <c r="B2424" s="6" t="s">
        <v>19</v>
      </c>
      <c r="C2424" s="7" t="s">
        <v>2665</v>
      </c>
      <c r="D2424" s="7"/>
      <c r="E2424" s="8">
        <v>-6.8032066999999996</v>
      </c>
      <c r="F2424" s="8">
        <v>-5.0058528000000004</v>
      </c>
      <c r="G2424" s="7" t="str">
        <f t="shared" si="15"/>
        <v>Direct</v>
      </c>
      <c r="H2424" s="7" t="s">
        <v>16</v>
      </c>
    </row>
    <row r="2425" spans="1:8" x14ac:dyDescent="0.2">
      <c r="A2425" s="5" t="s">
        <v>13</v>
      </c>
      <c r="B2425" s="6" t="s">
        <v>19</v>
      </c>
      <c r="C2425" s="7" t="s">
        <v>2666</v>
      </c>
      <c r="D2425" s="7"/>
      <c r="E2425" s="8">
        <v>-1.1568967999999999</v>
      </c>
      <c r="F2425" s="8">
        <v>-1.4594293</v>
      </c>
      <c r="G2425" s="7" t="str">
        <f t="shared" si="15"/>
        <v>Direct</v>
      </c>
      <c r="H2425" s="7" t="s">
        <v>2667</v>
      </c>
    </row>
    <row r="2426" spans="1:8" x14ac:dyDescent="0.2">
      <c r="A2426" s="5" t="s">
        <v>13</v>
      </c>
      <c r="B2426" s="6" t="s">
        <v>19</v>
      </c>
      <c r="C2426" s="7" t="s">
        <v>2668</v>
      </c>
      <c r="D2426" s="7"/>
      <c r="E2426" s="8">
        <v>-1.8756888</v>
      </c>
      <c r="F2426" s="8">
        <v>-1.8921659</v>
      </c>
      <c r="G2426" s="7" t="str">
        <f t="shared" si="15"/>
        <v>Direct</v>
      </c>
      <c r="H2426" s="7" t="s">
        <v>16</v>
      </c>
    </row>
    <row r="2427" spans="1:8" x14ac:dyDescent="0.2">
      <c r="A2427" s="5" t="s">
        <v>13</v>
      </c>
      <c r="B2427" s="6" t="s">
        <v>19</v>
      </c>
      <c r="C2427" s="7" t="s">
        <v>2669</v>
      </c>
      <c r="D2427" s="7"/>
      <c r="E2427" s="8">
        <v>-2.0970805000000001</v>
      </c>
      <c r="F2427" s="8">
        <v>-2.2720701000000001</v>
      </c>
      <c r="G2427" s="7" t="str">
        <f t="shared" si="15"/>
        <v>Direct</v>
      </c>
      <c r="H2427" s="7" t="s">
        <v>1143</v>
      </c>
    </row>
    <row r="2428" spans="1:8" x14ac:dyDescent="0.2">
      <c r="A2428" s="5" t="s">
        <v>13</v>
      </c>
      <c r="B2428" s="6" t="s">
        <v>19</v>
      </c>
      <c r="C2428" s="7" t="s">
        <v>469</v>
      </c>
      <c r="D2428" s="7"/>
      <c r="E2428" s="8">
        <v>-3.2761627</v>
      </c>
      <c r="F2428" s="8">
        <v>-5.3543075</v>
      </c>
      <c r="G2428" s="7" t="str">
        <f t="shared" si="15"/>
        <v>Direct</v>
      </c>
      <c r="H2428" s="7" t="s">
        <v>470</v>
      </c>
    </row>
    <row r="2429" spans="1:8" x14ac:dyDescent="0.2">
      <c r="A2429" s="5" t="s">
        <v>13</v>
      </c>
      <c r="B2429" s="6" t="s">
        <v>19</v>
      </c>
      <c r="C2429" s="7" t="s">
        <v>471</v>
      </c>
      <c r="D2429" s="7"/>
      <c r="E2429" s="8">
        <v>-1.4441181000000001</v>
      </c>
      <c r="F2429" s="8">
        <v>-1.2403294</v>
      </c>
      <c r="G2429" s="7" t="str">
        <f t="shared" si="15"/>
        <v>Direct</v>
      </c>
      <c r="H2429" s="7" t="s">
        <v>16</v>
      </c>
    </row>
    <row r="2430" spans="1:8" x14ac:dyDescent="0.2">
      <c r="A2430" s="5" t="s">
        <v>13</v>
      </c>
      <c r="B2430" s="6" t="s">
        <v>19</v>
      </c>
      <c r="C2430" s="7" t="s">
        <v>2670</v>
      </c>
      <c r="D2430" s="7"/>
      <c r="E2430" s="8">
        <v>-2.8226849999999999</v>
      </c>
      <c r="F2430" s="8">
        <v>-1.2733293999999999</v>
      </c>
      <c r="G2430" s="7" t="str">
        <f t="shared" si="15"/>
        <v>Direct</v>
      </c>
      <c r="H2430" s="7" t="s">
        <v>1611</v>
      </c>
    </row>
    <row r="2431" spans="1:8" x14ac:dyDescent="0.2">
      <c r="A2431" s="5" t="s">
        <v>13</v>
      </c>
      <c r="B2431" s="6" t="s">
        <v>19</v>
      </c>
      <c r="C2431" s="7" t="s">
        <v>2671</v>
      </c>
      <c r="D2431" s="7"/>
      <c r="E2431" s="8">
        <v>-1.4460618999999999</v>
      </c>
      <c r="F2431" s="8">
        <v>-1.0777350999999999</v>
      </c>
      <c r="G2431" s="7" t="str">
        <f t="shared" si="15"/>
        <v>Direct</v>
      </c>
      <c r="H2431" s="7" t="s">
        <v>16</v>
      </c>
    </row>
    <row r="2432" spans="1:8" x14ac:dyDescent="0.2">
      <c r="A2432" s="5" t="s">
        <v>13</v>
      </c>
      <c r="B2432" s="6" t="s">
        <v>19</v>
      </c>
      <c r="C2432" s="7" t="s">
        <v>2672</v>
      </c>
      <c r="D2432" s="7"/>
      <c r="E2432" s="8">
        <v>4.1388558599999996</v>
      </c>
      <c r="F2432" s="8">
        <v>1.09447436</v>
      </c>
      <c r="G2432" s="7" t="str">
        <f t="shared" si="15"/>
        <v>Direct</v>
      </c>
      <c r="H2432" s="7" t="s">
        <v>16</v>
      </c>
    </row>
    <row r="2433" spans="1:8" x14ac:dyDescent="0.2">
      <c r="A2433" s="5" t="s">
        <v>13</v>
      </c>
      <c r="B2433" s="6" t="s">
        <v>19</v>
      </c>
      <c r="C2433" s="7" t="s">
        <v>2673</v>
      </c>
      <c r="D2433" s="7"/>
      <c r="E2433" s="8">
        <v>1.2154656699999999</v>
      </c>
      <c r="F2433" s="8">
        <v>1.11455517</v>
      </c>
      <c r="G2433" s="7" t="str">
        <f t="shared" si="15"/>
        <v>Direct</v>
      </c>
      <c r="H2433" s="7" t="s">
        <v>518</v>
      </c>
    </row>
    <row r="2434" spans="1:8" x14ac:dyDescent="0.2">
      <c r="A2434" s="5" t="s">
        <v>13</v>
      </c>
      <c r="B2434" s="6" t="s">
        <v>19</v>
      </c>
      <c r="C2434" s="7" t="s">
        <v>2674</v>
      </c>
      <c r="D2434" s="7"/>
      <c r="E2434" s="8">
        <v>1.6926654000000001</v>
      </c>
      <c r="F2434" s="8">
        <v>1.86838145</v>
      </c>
      <c r="G2434" s="7" t="str">
        <f t="shared" si="15"/>
        <v>Direct</v>
      </c>
      <c r="H2434" s="7" t="s">
        <v>2675</v>
      </c>
    </row>
    <row r="2435" spans="1:8" x14ac:dyDescent="0.2">
      <c r="A2435" s="5" t="s">
        <v>13</v>
      </c>
      <c r="B2435" s="6" t="s">
        <v>19</v>
      </c>
      <c r="C2435" s="7" t="s">
        <v>2676</v>
      </c>
      <c r="D2435" s="7"/>
      <c r="E2435" s="8">
        <v>-3.1797243000000002</v>
      </c>
      <c r="F2435" s="8">
        <v>-3.8608321000000001</v>
      </c>
      <c r="G2435" s="7" t="str">
        <f t="shared" si="15"/>
        <v>Direct</v>
      </c>
      <c r="H2435" s="7" t="s">
        <v>2677</v>
      </c>
    </row>
    <row r="2436" spans="1:8" x14ac:dyDescent="0.2">
      <c r="A2436" s="5" t="s">
        <v>13</v>
      </c>
      <c r="B2436" s="6" t="s">
        <v>19</v>
      </c>
      <c r="C2436" s="7" t="s">
        <v>2678</v>
      </c>
      <c r="D2436" s="7"/>
      <c r="E2436" s="8">
        <v>1.2293655400000001</v>
      </c>
      <c r="F2436" s="8">
        <v>1.00679425</v>
      </c>
      <c r="G2436" s="7" t="str">
        <f t="shared" si="15"/>
        <v>Direct</v>
      </c>
      <c r="H2436" s="7" t="s">
        <v>621</v>
      </c>
    </row>
    <row r="2437" spans="1:8" x14ac:dyDescent="0.2">
      <c r="A2437" s="5" t="s">
        <v>13</v>
      </c>
      <c r="B2437" s="6" t="s">
        <v>19</v>
      </c>
      <c r="C2437" s="7" t="s">
        <v>2679</v>
      </c>
      <c r="D2437" s="7"/>
      <c r="E2437" s="8">
        <v>-1.6314654</v>
      </c>
      <c r="F2437" s="8">
        <v>-1.4138307999999999</v>
      </c>
      <c r="G2437" s="7" t="str">
        <f t="shared" si="15"/>
        <v>Direct</v>
      </c>
      <c r="H2437" s="7" t="s">
        <v>2680</v>
      </c>
    </row>
    <row r="2438" spans="1:8" x14ac:dyDescent="0.2">
      <c r="A2438" s="5" t="s">
        <v>13</v>
      </c>
      <c r="B2438" s="6" t="s">
        <v>19</v>
      </c>
      <c r="C2438" s="7" t="s">
        <v>2681</v>
      </c>
      <c r="D2438" s="7"/>
      <c r="E2438" s="8">
        <v>-2.6130827999999999</v>
      </c>
      <c r="F2438" s="8">
        <v>-3.9657200000000001</v>
      </c>
      <c r="G2438" s="7" t="str">
        <f t="shared" si="15"/>
        <v>Direct</v>
      </c>
      <c r="H2438" s="7" t="s">
        <v>16</v>
      </c>
    </row>
    <row r="2439" spans="1:8" x14ac:dyDescent="0.2">
      <c r="A2439" s="5" t="s">
        <v>13</v>
      </c>
      <c r="B2439" s="6" t="s">
        <v>19</v>
      </c>
      <c r="C2439" s="7" t="s">
        <v>2682</v>
      </c>
      <c r="D2439" s="7"/>
      <c r="E2439" s="8">
        <v>-1.3574117999999999</v>
      </c>
      <c r="F2439" s="8">
        <v>-2.0408776999999998</v>
      </c>
      <c r="G2439" s="7" t="str">
        <f t="shared" si="15"/>
        <v>Direct</v>
      </c>
      <c r="H2439" s="7" t="s">
        <v>741</v>
      </c>
    </row>
    <row r="2440" spans="1:8" x14ac:dyDescent="0.2">
      <c r="A2440" s="5" t="s">
        <v>13</v>
      </c>
      <c r="B2440" s="6" t="s">
        <v>19</v>
      </c>
      <c r="C2440" s="7" t="s">
        <v>2683</v>
      </c>
      <c r="D2440" s="7"/>
      <c r="E2440" s="8">
        <v>-2.0825857999999999</v>
      </c>
      <c r="F2440" s="8">
        <v>-2.1528271999999999</v>
      </c>
      <c r="G2440" s="7" t="str">
        <f t="shared" si="15"/>
        <v>Direct</v>
      </c>
      <c r="H2440" s="7" t="s">
        <v>16</v>
      </c>
    </row>
    <row r="2441" spans="1:8" x14ac:dyDescent="0.2">
      <c r="A2441" s="5" t="s">
        <v>13</v>
      </c>
      <c r="B2441" s="6" t="s">
        <v>19</v>
      </c>
      <c r="C2441" s="7" t="s">
        <v>2684</v>
      </c>
      <c r="D2441" s="7"/>
      <c r="E2441" s="8">
        <v>-1.1325581</v>
      </c>
      <c r="F2441" s="8">
        <v>-1.5575151</v>
      </c>
      <c r="G2441" s="7" t="str">
        <f t="shared" si="15"/>
        <v>Direct</v>
      </c>
      <c r="H2441" s="7" t="s">
        <v>2685</v>
      </c>
    </row>
    <row r="2442" spans="1:8" x14ac:dyDescent="0.2">
      <c r="A2442" s="5" t="s">
        <v>13</v>
      </c>
      <c r="B2442" s="6" t="s">
        <v>19</v>
      </c>
      <c r="C2442" s="7" t="s">
        <v>2686</v>
      </c>
      <c r="D2442" s="7"/>
      <c r="E2442" s="8">
        <v>-2.2509532999999999</v>
      </c>
      <c r="F2442" s="8">
        <v>-2.7026509000000001</v>
      </c>
      <c r="G2442" s="7" t="str">
        <f t="shared" si="15"/>
        <v>Direct</v>
      </c>
      <c r="H2442" s="7" t="s">
        <v>2687</v>
      </c>
    </row>
    <row r="2443" spans="1:8" x14ac:dyDescent="0.2">
      <c r="A2443" s="5" t="s">
        <v>13</v>
      </c>
      <c r="B2443" s="6" t="s">
        <v>19</v>
      </c>
      <c r="C2443" s="7" t="s">
        <v>2688</v>
      </c>
      <c r="D2443" s="7"/>
      <c r="E2443" s="8">
        <v>-1.4785509999999999</v>
      </c>
      <c r="F2443" s="8">
        <v>-1.5793957999999999</v>
      </c>
      <c r="G2443" s="7" t="str">
        <f t="shared" si="15"/>
        <v>Direct</v>
      </c>
      <c r="H2443" s="7" t="s">
        <v>16</v>
      </c>
    </row>
    <row r="2444" spans="1:8" x14ac:dyDescent="0.2">
      <c r="A2444" s="5" t="s">
        <v>13</v>
      </c>
      <c r="B2444" s="6" t="s">
        <v>19</v>
      </c>
      <c r="C2444" s="7" t="s">
        <v>2689</v>
      </c>
      <c r="D2444" s="7"/>
      <c r="E2444" s="8">
        <v>-1.8083203999999999</v>
      </c>
      <c r="F2444" s="8">
        <v>-4.5530818999999996</v>
      </c>
      <c r="G2444" s="7" t="str">
        <f t="shared" si="15"/>
        <v>Direct</v>
      </c>
      <c r="H2444" s="7" t="s">
        <v>16</v>
      </c>
    </row>
    <row r="2445" spans="1:8" x14ac:dyDescent="0.2">
      <c r="A2445" s="5" t="s">
        <v>13</v>
      </c>
      <c r="B2445" s="6" t="s">
        <v>19</v>
      </c>
      <c r="C2445" s="7" t="s">
        <v>472</v>
      </c>
      <c r="D2445" s="7"/>
      <c r="E2445" s="8">
        <v>-4.4759225999999996</v>
      </c>
      <c r="F2445" s="8">
        <v>-2.8227954</v>
      </c>
      <c r="G2445" s="7" t="str">
        <f t="shared" si="15"/>
        <v>Direct</v>
      </c>
      <c r="H2445" s="7" t="s">
        <v>16</v>
      </c>
    </row>
    <row r="2446" spans="1:8" x14ac:dyDescent="0.2">
      <c r="A2446" s="5" t="s">
        <v>13</v>
      </c>
      <c r="B2446" s="6" t="s">
        <v>19</v>
      </c>
      <c r="C2446" s="7" t="s">
        <v>2690</v>
      </c>
      <c r="D2446" s="7"/>
      <c r="E2446" s="8">
        <v>-1.5094920999999999</v>
      </c>
      <c r="F2446" s="8">
        <v>-1.3349384</v>
      </c>
      <c r="G2446" s="7" t="str">
        <f t="shared" si="15"/>
        <v>Direct</v>
      </c>
      <c r="H2446" s="7" t="s">
        <v>2691</v>
      </c>
    </row>
    <row r="2447" spans="1:8" x14ac:dyDescent="0.2">
      <c r="A2447" s="5" t="s">
        <v>13</v>
      </c>
      <c r="B2447" s="6" t="s">
        <v>19</v>
      </c>
      <c r="C2447" s="7" t="s">
        <v>2692</v>
      </c>
      <c r="D2447" s="7"/>
      <c r="E2447" s="8">
        <v>-2.0618226000000002</v>
      </c>
      <c r="F2447" s="8">
        <v>-1.6263452</v>
      </c>
      <c r="G2447" s="7" t="str">
        <f t="shared" si="15"/>
        <v>Direct</v>
      </c>
      <c r="H2447" s="7" t="s">
        <v>2693</v>
      </c>
    </row>
    <row r="2448" spans="1:8" x14ac:dyDescent="0.2">
      <c r="A2448" s="5" t="s">
        <v>13</v>
      </c>
      <c r="B2448" s="6" t="s">
        <v>19</v>
      </c>
      <c r="C2448" s="7" t="s">
        <v>2694</v>
      </c>
      <c r="D2448" s="7"/>
      <c r="E2448" s="8">
        <v>-1.6080699000000001</v>
      </c>
      <c r="F2448" s="8">
        <v>-1.0314558</v>
      </c>
      <c r="G2448" s="7" t="str">
        <f t="shared" si="15"/>
        <v>Direct</v>
      </c>
      <c r="H2448" s="7" t="s">
        <v>16</v>
      </c>
    </row>
    <row r="2449" spans="1:8" x14ac:dyDescent="0.2">
      <c r="A2449" s="5" t="s">
        <v>13</v>
      </c>
      <c r="B2449" s="6" t="s">
        <v>19</v>
      </c>
      <c r="C2449" s="7" t="s">
        <v>2695</v>
      </c>
      <c r="D2449" s="7"/>
      <c r="E2449" s="8">
        <v>-3.4429485999999998</v>
      </c>
      <c r="F2449" s="8">
        <v>-2.7962695000000002</v>
      </c>
      <c r="G2449" s="7" t="str">
        <f t="shared" si="15"/>
        <v>Direct</v>
      </c>
      <c r="H2449" s="7" t="s">
        <v>16</v>
      </c>
    </row>
    <row r="2450" spans="1:8" x14ac:dyDescent="0.2">
      <c r="A2450" s="5" t="s">
        <v>13</v>
      </c>
      <c r="B2450" s="6" t="s">
        <v>19</v>
      </c>
      <c r="C2450" s="7" t="s">
        <v>2696</v>
      </c>
      <c r="D2450" s="7"/>
      <c r="E2450" s="8">
        <v>4.6676203000000003</v>
      </c>
      <c r="F2450" s="8">
        <v>4.95482567</v>
      </c>
      <c r="G2450" s="7" t="str">
        <f t="shared" si="15"/>
        <v>Direct</v>
      </c>
      <c r="H2450" s="7" t="s">
        <v>16</v>
      </c>
    </row>
    <row r="2451" spans="1:8" x14ac:dyDescent="0.2">
      <c r="A2451" s="5" t="s">
        <v>13</v>
      </c>
      <c r="B2451" s="6" t="s">
        <v>19</v>
      </c>
      <c r="C2451" s="7" t="s">
        <v>2697</v>
      </c>
      <c r="D2451" s="7"/>
      <c r="E2451" s="8">
        <v>1.383669</v>
      </c>
      <c r="F2451" s="8">
        <v>1.5264990300000001</v>
      </c>
      <c r="G2451" s="7" t="str">
        <f t="shared" si="15"/>
        <v>Direct</v>
      </c>
      <c r="H2451" s="7" t="s">
        <v>16</v>
      </c>
    </row>
    <row r="2452" spans="1:8" x14ac:dyDescent="0.2">
      <c r="A2452" s="5" t="s">
        <v>13</v>
      </c>
      <c r="B2452" s="6" t="s">
        <v>19</v>
      </c>
      <c r="C2452" s="7" t="s">
        <v>2698</v>
      </c>
      <c r="D2452" s="7"/>
      <c r="E2452" s="8">
        <v>-1.2848926000000001</v>
      </c>
      <c r="F2452" s="8">
        <v>-1.7980252999999999</v>
      </c>
      <c r="G2452" s="7" t="str">
        <f t="shared" si="15"/>
        <v>Direct</v>
      </c>
      <c r="H2452" s="7" t="s">
        <v>2699</v>
      </c>
    </row>
    <row r="2453" spans="1:8" x14ac:dyDescent="0.2">
      <c r="A2453" s="5" t="s">
        <v>13</v>
      </c>
      <c r="B2453" s="6" t="s">
        <v>19</v>
      </c>
      <c r="C2453" s="7" t="s">
        <v>473</v>
      </c>
      <c r="D2453" s="7"/>
      <c r="E2453" s="8">
        <v>-14.655351</v>
      </c>
      <c r="F2453" s="8">
        <v>-7.0070126000000004</v>
      </c>
      <c r="G2453" s="7" t="str">
        <f t="shared" si="15"/>
        <v>Direct</v>
      </c>
      <c r="H2453" s="7" t="s">
        <v>88</v>
      </c>
    </row>
    <row r="2454" spans="1:8" x14ac:dyDescent="0.2">
      <c r="A2454" s="5" t="s">
        <v>13</v>
      </c>
      <c r="B2454" s="6" t="s">
        <v>19</v>
      </c>
      <c r="C2454" s="7" t="s">
        <v>2700</v>
      </c>
      <c r="D2454" s="7"/>
      <c r="E2454" s="8">
        <v>-3.7503682999999999</v>
      </c>
      <c r="F2454" s="8">
        <v>-4.0007682000000004</v>
      </c>
      <c r="G2454" s="7" t="str">
        <f t="shared" si="15"/>
        <v>Direct</v>
      </c>
      <c r="H2454" s="7" t="s">
        <v>306</v>
      </c>
    </row>
    <row r="2455" spans="1:8" x14ac:dyDescent="0.2">
      <c r="A2455" s="5" t="s">
        <v>13</v>
      </c>
      <c r="B2455" s="6" t="s">
        <v>19</v>
      </c>
      <c r="C2455" s="7" t="s">
        <v>474</v>
      </c>
      <c r="D2455" s="7"/>
      <c r="E2455" s="8">
        <v>4.3851250799999999</v>
      </c>
      <c r="F2455" s="8">
        <v>2.2669048300000001</v>
      </c>
      <c r="G2455" s="7" t="str">
        <f t="shared" si="15"/>
        <v>Direct</v>
      </c>
      <c r="H2455" s="7" t="s">
        <v>16</v>
      </c>
    </row>
    <row r="2456" spans="1:8" x14ac:dyDescent="0.2">
      <c r="A2456" s="5" t="s">
        <v>13</v>
      </c>
      <c r="B2456" s="6" t="s">
        <v>19</v>
      </c>
      <c r="C2456" s="7" t="s">
        <v>2701</v>
      </c>
      <c r="D2456" s="7"/>
      <c r="E2456" s="8">
        <v>-1.9916271000000001</v>
      </c>
      <c r="F2456" s="8">
        <v>-2.3352479000000002</v>
      </c>
      <c r="G2456" s="7" t="str">
        <f t="shared" si="15"/>
        <v>Direct</v>
      </c>
      <c r="H2456" s="7" t="s">
        <v>2702</v>
      </c>
    </row>
    <row r="2457" spans="1:8" x14ac:dyDescent="0.2">
      <c r="A2457" s="5" t="s">
        <v>13</v>
      </c>
      <c r="B2457" s="6" t="s">
        <v>19</v>
      </c>
      <c r="C2457" s="7" t="s">
        <v>2703</v>
      </c>
      <c r="D2457" s="7"/>
      <c r="E2457" s="8">
        <v>6.8078525499999998</v>
      </c>
      <c r="F2457" s="8">
        <v>9.2366831999999999</v>
      </c>
      <c r="G2457" s="7" t="str">
        <f t="shared" si="15"/>
        <v>Direct</v>
      </c>
      <c r="H2457" s="7" t="s">
        <v>2704</v>
      </c>
    </row>
    <row r="2458" spans="1:8" x14ac:dyDescent="0.2">
      <c r="A2458" s="5" t="s">
        <v>13</v>
      </c>
      <c r="B2458" s="6" t="s">
        <v>19</v>
      </c>
      <c r="C2458" s="7" t="s">
        <v>2705</v>
      </c>
      <c r="D2458" s="7"/>
      <c r="E2458" s="8">
        <v>-1.2929491</v>
      </c>
      <c r="F2458" s="8">
        <v>-1.8633123</v>
      </c>
      <c r="G2458" s="7" t="str">
        <f t="shared" si="15"/>
        <v>Direct</v>
      </c>
      <c r="H2458" s="7" t="s">
        <v>2706</v>
      </c>
    </row>
    <row r="2459" spans="1:8" x14ac:dyDescent="0.2">
      <c r="A2459" s="5" t="s">
        <v>13</v>
      </c>
      <c r="B2459" s="6" t="s">
        <v>19</v>
      </c>
      <c r="C2459" s="7" t="s">
        <v>2707</v>
      </c>
      <c r="D2459" s="7"/>
      <c r="E2459" s="8">
        <v>-2.1401656</v>
      </c>
      <c r="F2459" s="8">
        <v>-2.3067886999999998</v>
      </c>
      <c r="G2459" s="7" t="str">
        <f t="shared" si="15"/>
        <v>Direct</v>
      </c>
      <c r="H2459" s="7" t="s">
        <v>1799</v>
      </c>
    </row>
    <row r="2460" spans="1:8" x14ac:dyDescent="0.2">
      <c r="A2460" s="5" t="s">
        <v>13</v>
      </c>
      <c r="B2460" s="6" t="s">
        <v>19</v>
      </c>
      <c r="C2460" s="7" t="s">
        <v>2708</v>
      </c>
      <c r="D2460" s="7"/>
      <c r="E2460" s="8">
        <v>-2.6582119999999998</v>
      </c>
      <c r="F2460" s="8">
        <v>-1.203443</v>
      </c>
      <c r="G2460" s="7" t="str">
        <f t="shared" si="15"/>
        <v>Direct</v>
      </c>
      <c r="H2460" s="7" t="s">
        <v>2709</v>
      </c>
    </row>
    <row r="2461" spans="1:8" x14ac:dyDescent="0.2">
      <c r="A2461" s="5" t="s">
        <v>13</v>
      </c>
      <c r="B2461" s="6" t="s">
        <v>19</v>
      </c>
      <c r="C2461" s="7" t="s">
        <v>475</v>
      </c>
      <c r="D2461" s="7"/>
      <c r="E2461" s="8">
        <v>-4.9421369999999998</v>
      </c>
      <c r="F2461" s="8">
        <v>-6.9191104000000001</v>
      </c>
      <c r="G2461" s="7" t="str">
        <f t="shared" si="15"/>
        <v>Direct</v>
      </c>
      <c r="H2461" s="7" t="s">
        <v>476</v>
      </c>
    </row>
    <row r="2462" spans="1:8" x14ac:dyDescent="0.2">
      <c r="A2462" s="5" t="s">
        <v>13</v>
      </c>
      <c r="B2462" s="6" t="s">
        <v>19</v>
      </c>
      <c r="C2462" s="7" t="s">
        <v>2710</v>
      </c>
      <c r="D2462" s="7"/>
      <c r="E2462" s="8">
        <v>-2.1225501000000002</v>
      </c>
      <c r="F2462" s="8">
        <v>-1.8396412</v>
      </c>
      <c r="G2462" s="7" t="str">
        <f t="shared" si="15"/>
        <v>Direct</v>
      </c>
      <c r="H2462" s="7" t="s">
        <v>2533</v>
      </c>
    </row>
    <row r="2463" spans="1:8" x14ac:dyDescent="0.2">
      <c r="A2463" s="5" t="s">
        <v>13</v>
      </c>
      <c r="B2463" s="6" t="s">
        <v>19</v>
      </c>
      <c r="C2463" s="7" t="s">
        <v>2711</v>
      </c>
      <c r="D2463" s="7"/>
      <c r="E2463" s="8">
        <v>-2.9678786000000001</v>
      </c>
      <c r="F2463" s="8">
        <v>-3.3430768999999998</v>
      </c>
      <c r="G2463" s="7" t="str">
        <f t="shared" si="15"/>
        <v>Direct</v>
      </c>
      <c r="H2463" s="7" t="s">
        <v>2712</v>
      </c>
    </row>
    <row r="2464" spans="1:8" x14ac:dyDescent="0.2">
      <c r="A2464" s="5" t="s">
        <v>13</v>
      </c>
      <c r="B2464" s="6" t="s">
        <v>19</v>
      </c>
      <c r="C2464" s="7" t="s">
        <v>2713</v>
      </c>
      <c r="D2464" s="7"/>
      <c r="E2464" s="8">
        <v>-3.5701377999999999</v>
      </c>
      <c r="F2464" s="8">
        <v>-2.6268767</v>
      </c>
      <c r="G2464" s="7" t="str">
        <f t="shared" si="15"/>
        <v>Direct</v>
      </c>
      <c r="H2464" s="7" t="s">
        <v>16</v>
      </c>
    </row>
    <row r="2465" spans="1:8" x14ac:dyDescent="0.2">
      <c r="A2465" s="5" t="s">
        <v>13</v>
      </c>
      <c r="B2465" s="6" t="s">
        <v>19</v>
      </c>
      <c r="C2465" s="7" t="s">
        <v>2714</v>
      </c>
      <c r="D2465" s="7"/>
      <c r="E2465" s="8">
        <v>-1.0357067</v>
      </c>
      <c r="F2465" s="8">
        <v>-2.8608867</v>
      </c>
      <c r="G2465" s="7" t="str">
        <f t="shared" si="15"/>
        <v>Direct</v>
      </c>
      <c r="H2465" s="7" t="s">
        <v>2715</v>
      </c>
    </row>
    <row r="2466" spans="1:8" x14ac:dyDescent="0.2">
      <c r="A2466" s="5" t="s">
        <v>13</v>
      </c>
      <c r="B2466" s="6" t="s">
        <v>19</v>
      </c>
      <c r="C2466" s="7" t="s">
        <v>2716</v>
      </c>
      <c r="D2466" s="7"/>
      <c r="E2466" s="8">
        <v>-2.3971117999999998</v>
      </c>
      <c r="F2466" s="8">
        <v>-1.6597694000000001</v>
      </c>
      <c r="G2466" s="7" t="str">
        <f t="shared" si="15"/>
        <v>Direct</v>
      </c>
      <c r="H2466" s="7" t="s">
        <v>2717</v>
      </c>
    </row>
    <row r="2467" spans="1:8" x14ac:dyDescent="0.2">
      <c r="A2467" s="5" t="s">
        <v>13</v>
      </c>
      <c r="B2467" s="6" t="s">
        <v>19</v>
      </c>
      <c r="C2467" s="7" t="s">
        <v>2718</v>
      </c>
      <c r="D2467" s="7"/>
      <c r="E2467" s="8">
        <v>2.7440830699999998</v>
      </c>
      <c r="F2467" s="8">
        <v>2.2787349899999998</v>
      </c>
      <c r="G2467" s="7" t="str">
        <f t="shared" si="15"/>
        <v>Direct</v>
      </c>
      <c r="H2467" s="7" t="s">
        <v>2719</v>
      </c>
    </row>
    <row r="2468" spans="1:8" x14ac:dyDescent="0.2">
      <c r="A2468" s="5" t="s">
        <v>13</v>
      </c>
      <c r="B2468" s="6" t="s">
        <v>19</v>
      </c>
      <c r="C2468" s="7" t="s">
        <v>2720</v>
      </c>
      <c r="D2468" s="7"/>
      <c r="E2468" s="8">
        <v>1.6728150900000001</v>
      </c>
      <c r="F2468" s="8">
        <v>3.7445648199999999</v>
      </c>
      <c r="G2468" s="7" t="str">
        <f t="shared" si="15"/>
        <v>Direct</v>
      </c>
      <c r="H2468" s="7" t="s">
        <v>16</v>
      </c>
    </row>
    <row r="2469" spans="1:8" x14ac:dyDescent="0.2">
      <c r="A2469" s="5" t="s">
        <v>13</v>
      </c>
      <c r="B2469" s="6" t="s">
        <v>19</v>
      </c>
      <c r="C2469" s="7" t="s">
        <v>2721</v>
      </c>
      <c r="D2469" s="7"/>
      <c r="E2469" s="8">
        <v>-2.4013648000000001</v>
      </c>
      <c r="F2469" s="8">
        <v>-1.0293133999999999</v>
      </c>
      <c r="G2469" s="7" t="str">
        <f t="shared" si="15"/>
        <v>Direct</v>
      </c>
      <c r="H2469" s="7" t="s">
        <v>172</v>
      </c>
    </row>
    <row r="2470" spans="1:8" x14ac:dyDescent="0.2">
      <c r="A2470" s="5" t="s">
        <v>13</v>
      </c>
      <c r="B2470" s="6" t="s">
        <v>19</v>
      </c>
      <c r="C2470" s="7" t="s">
        <v>2722</v>
      </c>
      <c r="D2470" s="7"/>
      <c r="E2470" s="8">
        <v>3.7492359899999999</v>
      </c>
      <c r="F2470" s="8">
        <v>4.1896141800000004</v>
      </c>
      <c r="G2470" s="7" t="str">
        <f t="shared" si="15"/>
        <v>Direct</v>
      </c>
      <c r="H2470" s="7" t="s">
        <v>2723</v>
      </c>
    </row>
    <row r="2471" spans="1:8" x14ac:dyDescent="0.2">
      <c r="A2471" s="5" t="s">
        <v>13</v>
      </c>
      <c r="B2471" s="6" t="s">
        <v>19</v>
      </c>
      <c r="C2471" s="7" t="s">
        <v>2724</v>
      </c>
      <c r="D2471" s="7"/>
      <c r="E2471" s="8">
        <v>-1.4922933</v>
      </c>
      <c r="F2471" s="8">
        <v>-1.0640369999999999</v>
      </c>
      <c r="G2471" s="7" t="str">
        <f t="shared" si="15"/>
        <v>Direct</v>
      </c>
      <c r="H2471" s="7" t="s">
        <v>16</v>
      </c>
    </row>
    <row r="2472" spans="1:8" x14ac:dyDescent="0.2">
      <c r="A2472" s="5" t="s">
        <v>13</v>
      </c>
      <c r="B2472" s="6" t="s">
        <v>19</v>
      </c>
      <c r="C2472" s="7" t="s">
        <v>2725</v>
      </c>
      <c r="D2472" s="7"/>
      <c r="E2472" s="8">
        <v>-1.6314654</v>
      </c>
      <c r="F2472" s="8">
        <v>-1.7234408999999999</v>
      </c>
      <c r="G2472" s="7" t="str">
        <f t="shared" si="15"/>
        <v>Direct</v>
      </c>
      <c r="H2472" s="7" t="s">
        <v>379</v>
      </c>
    </row>
    <row r="2473" spans="1:8" x14ac:dyDescent="0.2">
      <c r="A2473" s="5" t="s">
        <v>13</v>
      </c>
      <c r="B2473" s="6" t="s">
        <v>19</v>
      </c>
      <c r="C2473" s="7" t="s">
        <v>2726</v>
      </c>
      <c r="D2473" s="7"/>
      <c r="E2473" s="8">
        <v>-12.032964</v>
      </c>
      <c r="F2473" s="8">
        <v>-9.9973877000000009</v>
      </c>
      <c r="G2473" s="7" t="str">
        <f t="shared" si="15"/>
        <v>Direct</v>
      </c>
      <c r="H2473" s="7" t="s">
        <v>2727</v>
      </c>
    </row>
    <row r="2474" spans="1:8" x14ac:dyDescent="0.2">
      <c r="A2474" s="5" t="s">
        <v>13</v>
      </c>
      <c r="B2474" s="6" t="s">
        <v>19</v>
      </c>
      <c r="C2474" s="7" t="s">
        <v>2728</v>
      </c>
      <c r="D2474" s="7"/>
      <c r="E2474" s="8">
        <v>-6.8078526000000004</v>
      </c>
      <c r="F2474" s="8">
        <v>-11.046903</v>
      </c>
      <c r="G2474" s="7" t="str">
        <f t="shared" si="15"/>
        <v>Direct</v>
      </c>
      <c r="H2474" s="7" t="s">
        <v>488</v>
      </c>
    </row>
    <row r="2475" spans="1:8" x14ac:dyDescent="0.2">
      <c r="A2475" s="5" t="s">
        <v>13</v>
      </c>
      <c r="B2475" s="6" t="s">
        <v>19</v>
      </c>
      <c r="C2475" s="7" t="s">
        <v>2729</v>
      </c>
      <c r="D2475" s="7"/>
      <c r="E2475" s="8">
        <v>-1.5257563000000001</v>
      </c>
      <c r="F2475" s="8">
        <v>-1.8627591999999999</v>
      </c>
      <c r="G2475" s="7" t="str">
        <f t="shared" si="15"/>
        <v>Direct</v>
      </c>
      <c r="H2475" s="7" t="s">
        <v>2730</v>
      </c>
    </row>
    <row r="2476" spans="1:8" x14ac:dyDescent="0.2">
      <c r="A2476" s="5" t="s">
        <v>13</v>
      </c>
      <c r="B2476" s="6" t="s">
        <v>19</v>
      </c>
      <c r="C2476" s="7" t="s">
        <v>2731</v>
      </c>
      <c r="D2476" s="7"/>
      <c r="E2476" s="8">
        <v>1.72416269</v>
      </c>
      <c r="F2476" s="8">
        <v>1.69365071</v>
      </c>
      <c r="G2476" s="7" t="str">
        <f t="shared" si="15"/>
        <v>Direct</v>
      </c>
      <c r="H2476" s="7" t="s">
        <v>2732</v>
      </c>
    </row>
    <row r="2477" spans="1:8" x14ac:dyDescent="0.2">
      <c r="A2477" s="5" t="s">
        <v>13</v>
      </c>
      <c r="B2477" s="6" t="s">
        <v>19</v>
      </c>
      <c r="C2477" s="7" t="s">
        <v>2733</v>
      </c>
      <c r="D2477" s="7"/>
      <c r="E2477" s="8">
        <v>-1.2624496999999999</v>
      </c>
      <c r="F2477" s="8">
        <v>-1.7173144</v>
      </c>
      <c r="G2477" s="7" t="str">
        <f t="shared" si="15"/>
        <v>Direct</v>
      </c>
      <c r="H2477" s="7" t="s">
        <v>16</v>
      </c>
    </row>
    <row r="2478" spans="1:8" x14ac:dyDescent="0.2">
      <c r="A2478" s="5" t="s">
        <v>13</v>
      </c>
      <c r="B2478" s="6" t="s">
        <v>19</v>
      </c>
      <c r="C2478" s="7" t="s">
        <v>2734</v>
      </c>
      <c r="D2478" s="7"/>
      <c r="E2478" s="8">
        <v>-2.8673627000000002</v>
      </c>
      <c r="F2478" s="8">
        <v>-3.9458823000000001</v>
      </c>
      <c r="G2478" s="7" t="str">
        <f t="shared" si="15"/>
        <v>Direct</v>
      </c>
      <c r="H2478" s="7" t="s">
        <v>2735</v>
      </c>
    </row>
    <row r="2479" spans="1:8" x14ac:dyDescent="0.2">
      <c r="A2479" s="5" t="s">
        <v>13</v>
      </c>
      <c r="B2479" s="6" t="s">
        <v>19</v>
      </c>
      <c r="C2479" s="7" t="s">
        <v>2736</v>
      </c>
      <c r="D2479" s="7"/>
      <c r="E2479" s="8">
        <v>-12.310795000000001</v>
      </c>
      <c r="F2479" s="8">
        <v>-6.1736724000000001</v>
      </c>
      <c r="G2479" s="7" t="str">
        <f t="shared" si="15"/>
        <v>Direct</v>
      </c>
      <c r="H2479" s="7" t="s">
        <v>351</v>
      </c>
    </row>
    <row r="2480" spans="1:8" x14ac:dyDescent="0.2">
      <c r="A2480" s="5" t="s">
        <v>13</v>
      </c>
      <c r="B2480" s="6" t="s">
        <v>19</v>
      </c>
      <c r="C2480" s="7" t="s">
        <v>477</v>
      </c>
      <c r="D2480" s="7"/>
      <c r="E2480" s="8">
        <v>-6.6845083000000001</v>
      </c>
      <c r="F2480" s="8">
        <v>-4.2828894000000002</v>
      </c>
      <c r="G2480" s="7" t="str">
        <f t="shared" si="15"/>
        <v>Direct</v>
      </c>
      <c r="H2480" s="7" t="s">
        <v>351</v>
      </c>
    </row>
    <row r="2481" spans="1:8" x14ac:dyDescent="0.2">
      <c r="A2481" s="5" t="s">
        <v>13</v>
      </c>
      <c r="B2481" s="6" t="s">
        <v>19</v>
      </c>
      <c r="C2481" s="7" t="s">
        <v>2737</v>
      </c>
      <c r="D2481" s="7"/>
      <c r="E2481" s="8">
        <v>-1.9556385999999999</v>
      </c>
      <c r="F2481" s="8">
        <v>-1.0914752000000001</v>
      </c>
      <c r="G2481" s="7" t="str">
        <f t="shared" si="15"/>
        <v>Direct</v>
      </c>
      <c r="H2481" s="7" t="s">
        <v>2738</v>
      </c>
    </row>
    <row r="2482" spans="1:8" x14ac:dyDescent="0.2">
      <c r="A2482" s="5" t="s">
        <v>13</v>
      </c>
      <c r="B2482" s="6" t="s">
        <v>19</v>
      </c>
      <c r="C2482" s="7" t="s">
        <v>2739</v>
      </c>
      <c r="D2482" s="7"/>
      <c r="E2482" s="8">
        <v>-2.4520189000000001</v>
      </c>
      <c r="F2482" s="8">
        <v>-2.6765083000000001</v>
      </c>
      <c r="G2482" s="7" t="str">
        <f t="shared" si="15"/>
        <v>Direct</v>
      </c>
      <c r="H2482" s="7" t="s">
        <v>2740</v>
      </c>
    </row>
    <row r="2483" spans="1:8" x14ac:dyDescent="0.2">
      <c r="A2483" s="5" t="s">
        <v>13</v>
      </c>
      <c r="B2483" s="6" t="s">
        <v>19</v>
      </c>
      <c r="C2483" s="7" t="s">
        <v>2741</v>
      </c>
      <c r="D2483" s="7"/>
      <c r="E2483" s="8">
        <v>2.3038904200000001</v>
      </c>
      <c r="F2483" s="8">
        <v>2.5974195199999999</v>
      </c>
      <c r="G2483" s="7" t="str">
        <f t="shared" si="15"/>
        <v>Direct</v>
      </c>
      <c r="H2483" s="7" t="s">
        <v>2742</v>
      </c>
    </row>
    <row r="2484" spans="1:8" x14ac:dyDescent="0.2">
      <c r="A2484" s="5" t="s">
        <v>13</v>
      </c>
      <c r="B2484" s="6" t="s">
        <v>19</v>
      </c>
      <c r="C2484" s="7" t="s">
        <v>2743</v>
      </c>
      <c r="D2484" s="7"/>
      <c r="E2484" s="8">
        <v>1.6705174700000001</v>
      </c>
      <c r="F2484" s="8">
        <v>2.4936718400000002</v>
      </c>
      <c r="G2484" s="7" t="str">
        <f t="shared" si="15"/>
        <v>Direct</v>
      </c>
      <c r="H2484" s="7" t="s">
        <v>2744</v>
      </c>
    </row>
    <row r="2485" spans="1:8" x14ac:dyDescent="0.2">
      <c r="A2485" s="5" t="s">
        <v>13</v>
      </c>
      <c r="B2485" s="6" t="s">
        <v>19</v>
      </c>
      <c r="C2485" s="7" t="s">
        <v>2745</v>
      </c>
      <c r="D2485" s="7"/>
      <c r="E2485" s="8">
        <v>-3.6617780999999998</v>
      </c>
      <c r="F2485" s="8">
        <v>-1.6539653999999999</v>
      </c>
      <c r="G2485" s="7" t="str">
        <f t="shared" si="15"/>
        <v>Direct</v>
      </c>
      <c r="H2485" s="7" t="s">
        <v>2746</v>
      </c>
    </row>
    <row r="2486" spans="1:8" x14ac:dyDescent="0.2">
      <c r="A2486" s="5" t="s">
        <v>13</v>
      </c>
      <c r="B2486" s="6" t="s">
        <v>19</v>
      </c>
      <c r="C2486" s="7" t="s">
        <v>478</v>
      </c>
      <c r="D2486" s="7"/>
      <c r="E2486" s="8">
        <v>-3.0562406000000002</v>
      </c>
      <c r="F2486" s="8">
        <v>-3.7912124999999999</v>
      </c>
      <c r="G2486" s="7" t="str">
        <f t="shared" si="15"/>
        <v>Direct</v>
      </c>
      <c r="H2486" s="7" t="s">
        <v>479</v>
      </c>
    </row>
    <row r="2487" spans="1:8" x14ac:dyDescent="0.2">
      <c r="A2487" s="5" t="s">
        <v>13</v>
      </c>
      <c r="B2487" s="6" t="s">
        <v>19</v>
      </c>
      <c r="C2487" s="7" t="s">
        <v>2747</v>
      </c>
      <c r="D2487" s="7"/>
      <c r="E2487" s="8">
        <v>-6.3238222000000004</v>
      </c>
      <c r="F2487" s="8">
        <v>-5.7666475999999998</v>
      </c>
      <c r="G2487" s="7" t="str">
        <f t="shared" si="15"/>
        <v>Direct</v>
      </c>
      <c r="H2487" s="7" t="s">
        <v>2748</v>
      </c>
    </row>
    <row r="2488" spans="1:8" x14ac:dyDescent="0.2">
      <c r="A2488" s="5" t="s">
        <v>13</v>
      </c>
      <c r="B2488" s="6" t="s">
        <v>19</v>
      </c>
      <c r="C2488" s="7" t="s">
        <v>2749</v>
      </c>
      <c r="D2488" s="7"/>
      <c r="E2488" s="8">
        <v>-1.5511984999999999</v>
      </c>
      <c r="F2488" s="8">
        <v>-2.0867952000000001</v>
      </c>
      <c r="G2488" s="7" t="str">
        <f t="shared" si="15"/>
        <v>Direct</v>
      </c>
      <c r="H2488" s="7" t="s">
        <v>2750</v>
      </c>
    </row>
    <row r="2489" spans="1:8" x14ac:dyDescent="0.2">
      <c r="A2489" s="5" t="s">
        <v>13</v>
      </c>
      <c r="B2489" s="6" t="s">
        <v>19</v>
      </c>
      <c r="C2489" s="7" t="s">
        <v>480</v>
      </c>
      <c r="D2489" s="7"/>
      <c r="E2489" s="8">
        <v>-1.0564480999999999</v>
      </c>
      <c r="F2489" s="8">
        <v>-1.2866739</v>
      </c>
      <c r="G2489" s="7" t="str">
        <f t="shared" si="15"/>
        <v>Direct</v>
      </c>
      <c r="H2489" s="7" t="s">
        <v>481</v>
      </c>
    </row>
    <row r="2490" spans="1:8" x14ac:dyDescent="0.2">
      <c r="A2490" s="5" t="s">
        <v>13</v>
      </c>
      <c r="B2490" s="6" t="s">
        <v>19</v>
      </c>
      <c r="C2490" s="7" t="s">
        <v>2751</v>
      </c>
      <c r="D2490" s="7"/>
      <c r="E2490" s="8">
        <v>-1.3141312999999999</v>
      </c>
      <c r="F2490" s="8">
        <v>-3.5961827999999998</v>
      </c>
      <c r="G2490" s="7" t="str">
        <f t="shared" si="15"/>
        <v>Direct</v>
      </c>
      <c r="H2490" s="7" t="s">
        <v>2752</v>
      </c>
    </row>
    <row r="2491" spans="1:8" x14ac:dyDescent="0.2">
      <c r="A2491" s="5" t="s">
        <v>13</v>
      </c>
      <c r="B2491" s="6" t="s">
        <v>19</v>
      </c>
      <c r="C2491" s="7" t="s">
        <v>2753</v>
      </c>
      <c r="D2491" s="7"/>
      <c r="E2491" s="8">
        <v>-4.0321756999999998</v>
      </c>
      <c r="F2491" s="8">
        <v>-2.0693508</v>
      </c>
      <c r="G2491" s="7" t="str">
        <f t="shared" si="15"/>
        <v>Direct</v>
      </c>
      <c r="H2491" s="7" t="s">
        <v>2754</v>
      </c>
    </row>
    <row r="2492" spans="1:8" x14ac:dyDescent="0.2">
      <c r="A2492" s="5" t="s">
        <v>13</v>
      </c>
      <c r="B2492" s="6" t="s">
        <v>19</v>
      </c>
      <c r="C2492" s="7" t="s">
        <v>2755</v>
      </c>
      <c r="D2492" s="7"/>
      <c r="E2492" s="8">
        <v>-1.6265962</v>
      </c>
      <c r="F2492" s="8">
        <v>-3.4591574999999999</v>
      </c>
      <c r="G2492" s="7" t="str">
        <f t="shared" si="15"/>
        <v>Direct</v>
      </c>
      <c r="H2492" s="7" t="s">
        <v>2756</v>
      </c>
    </row>
    <row r="2493" spans="1:8" x14ac:dyDescent="0.2">
      <c r="A2493" s="5" t="s">
        <v>13</v>
      </c>
      <c r="B2493" s="6" t="s">
        <v>19</v>
      </c>
      <c r="C2493" s="7" t="s">
        <v>2757</v>
      </c>
      <c r="D2493" s="7"/>
      <c r="E2493" s="8">
        <v>-2.7882532000000002</v>
      </c>
      <c r="F2493" s="8">
        <v>-1.5762628999999999</v>
      </c>
      <c r="G2493" s="7" t="str">
        <f t="shared" si="15"/>
        <v>Direct</v>
      </c>
      <c r="H2493" s="7" t="s">
        <v>2758</v>
      </c>
    </row>
    <row r="2494" spans="1:8" x14ac:dyDescent="0.2">
      <c r="A2494" s="5" t="s">
        <v>13</v>
      </c>
      <c r="B2494" s="6" t="s">
        <v>19</v>
      </c>
      <c r="C2494" s="7" t="s">
        <v>2759</v>
      </c>
      <c r="D2494" s="7"/>
      <c r="E2494" s="8">
        <v>-5.4002999000000003</v>
      </c>
      <c r="F2494" s="8">
        <v>-3.3333460000000001</v>
      </c>
      <c r="G2494" s="7" t="str">
        <f t="shared" si="15"/>
        <v>Direct</v>
      </c>
      <c r="H2494" s="7" t="s">
        <v>16</v>
      </c>
    </row>
    <row r="2495" spans="1:8" x14ac:dyDescent="0.2">
      <c r="A2495" s="5" t="s">
        <v>13</v>
      </c>
      <c r="B2495" s="6" t="s">
        <v>19</v>
      </c>
      <c r="C2495" s="7" t="s">
        <v>2760</v>
      </c>
      <c r="D2495" s="7"/>
      <c r="E2495" s="8">
        <v>5.1796963600000003</v>
      </c>
      <c r="F2495" s="8">
        <v>2.8764424599999998</v>
      </c>
      <c r="G2495" s="7" t="str">
        <f t="shared" si="15"/>
        <v>Direct</v>
      </c>
      <c r="H2495" s="7" t="s">
        <v>16</v>
      </c>
    </row>
    <row r="2496" spans="1:8" x14ac:dyDescent="0.2">
      <c r="A2496" s="5" t="s">
        <v>13</v>
      </c>
      <c r="B2496" s="6" t="s">
        <v>19</v>
      </c>
      <c r="C2496" s="7" t="s">
        <v>2761</v>
      </c>
      <c r="D2496" s="7"/>
      <c r="E2496" s="8">
        <v>-2.3366361000000002</v>
      </c>
      <c r="F2496" s="8">
        <v>-2.4989994000000002</v>
      </c>
      <c r="G2496" s="7" t="str">
        <f t="shared" si="15"/>
        <v>Direct</v>
      </c>
      <c r="H2496" s="7" t="s">
        <v>2762</v>
      </c>
    </row>
    <row r="2497" spans="1:8" x14ac:dyDescent="0.2">
      <c r="A2497" s="5" t="s">
        <v>13</v>
      </c>
      <c r="B2497" s="6" t="s">
        <v>19</v>
      </c>
      <c r="C2497" s="7" t="s">
        <v>2763</v>
      </c>
      <c r="D2497" s="7"/>
      <c r="E2497" s="8">
        <v>-1.18492</v>
      </c>
      <c r="F2497" s="8">
        <v>-1.5189737999999999</v>
      </c>
      <c r="G2497" s="7" t="str">
        <f t="shared" si="15"/>
        <v>Direct</v>
      </c>
      <c r="H2497" s="7" t="s">
        <v>2764</v>
      </c>
    </row>
    <row r="2498" spans="1:8" x14ac:dyDescent="0.2">
      <c r="A2498" s="5" t="s">
        <v>13</v>
      </c>
      <c r="B2498" s="6" t="s">
        <v>19</v>
      </c>
      <c r="C2498" s="7" t="s">
        <v>2765</v>
      </c>
      <c r="D2498" s="7"/>
      <c r="E2498" s="8">
        <v>-6.2119929000000003</v>
      </c>
      <c r="F2498" s="8">
        <v>-5.5892289000000002</v>
      </c>
      <c r="G2498" s="7" t="str">
        <f t="shared" si="15"/>
        <v>Direct</v>
      </c>
      <c r="H2498" s="7" t="s">
        <v>92</v>
      </c>
    </row>
    <row r="2499" spans="1:8" x14ac:dyDescent="0.2">
      <c r="A2499" s="5" t="s">
        <v>13</v>
      </c>
      <c r="B2499" s="6" t="s">
        <v>19</v>
      </c>
      <c r="C2499" s="7" t="s">
        <v>483</v>
      </c>
      <c r="D2499" s="7"/>
      <c r="E2499" s="8">
        <v>-2.0848787</v>
      </c>
      <c r="F2499" s="8">
        <v>-4.2665366999999996</v>
      </c>
      <c r="G2499" s="7" t="str">
        <f t="shared" si="15"/>
        <v>Direct</v>
      </c>
      <c r="H2499" s="7" t="s">
        <v>42</v>
      </c>
    </row>
    <row r="2500" spans="1:8" x14ac:dyDescent="0.2">
      <c r="A2500" s="5" t="s">
        <v>13</v>
      </c>
      <c r="B2500" s="6" t="s">
        <v>19</v>
      </c>
      <c r="C2500" s="7" t="s">
        <v>2766</v>
      </c>
      <c r="D2500" s="7"/>
      <c r="E2500" s="8">
        <v>-2.3263541000000001</v>
      </c>
      <c r="F2500" s="8">
        <v>-1.6237785</v>
      </c>
      <c r="G2500" s="7" t="str">
        <f t="shared" si="15"/>
        <v>Direct</v>
      </c>
      <c r="H2500" s="7" t="s">
        <v>2767</v>
      </c>
    </row>
    <row r="2501" spans="1:8" x14ac:dyDescent="0.2">
      <c r="A2501" s="5" t="s">
        <v>13</v>
      </c>
      <c r="B2501" s="6" t="s">
        <v>19</v>
      </c>
      <c r="C2501" s="7" t="s">
        <v>2768</v>
      </c>
      <c r="D2501" s="7"/>
      <c r="E2501" s="8">
        <v>-2.1367802999999999</v>
      </c>
      <c r="F2501" s="8">
        <v>-2.7623999000000001</v>
      </c>
      <c r="G2501" s="7" t="str">
        <f t="shared" si="15"/>
        <v>Direct</v>
      </c>
      <c r="H2501" s="7" t="s">
        <v>2769</v>
      </c>
    </row>
    <row r="2502" spans="1:8" x14ac:dyDescent="0.2">
      <c r="A2502" s="5" t="s">
        <v>13</v>
      </c>
      <c r="B2502" s="6" t="s">
        <v>19</v>
      </c>
      <c r="C2502" s="7" t="s">
        <v>2770</v>
      </c>
      <c r="D2502" s="7"/>
      <c r="E2502" s="8">
        <v>-1.6812682999999999</v>
      </c>
      <c r="F2502" s="8">
        <v>-1.6223339000000001</v>
      </c>
      <c r="G2502" s="7" t="str">
        <f t="shared" si="15"/>
        <v>Direct</v>
      </c>
      <c r="H2502" s="7" t="s">
        <v>2771</v>
      </c>
    </row>
    <row r="2503" spans="1:8" x14ac:dyDescent="0.2">
      <c r="A2503" s="5" t="s">
        <v>13</v>
      </c>
      <c r="B2503" s="6" t="s">
        <v>19</v>
      </c>
      <c r="C2503" s="7" t="s">
        <v>484</v>
      </c>
      <c r="D2503" s="7"/>
      <c r="E2503" s="8">
        <v>-6.6482685999999998</v>
      </c>
      <c r="F2503" s="8">
        <v>-5.0535182000000001</v>
      </c>
      <c r="G2503" s="7" t="str">
        <f t="shared" ref="G2503:G2757" si="16">IF(OR(AND(E2503&gt;0,F2503&gt;0),AND(E2503&lt;0,F2503&lt;0)),"Direct","Inverse")</f>
        <v>Direct</v>
      </c>
      <c r="H2503" s="7" t="s">
        <v>485</v>
      </c>
    </row>
    <row r="2504" spans="1:8" x14ac:dyDescent="0.2">
      <c r="A2504" s="5" t="s">
        <v>13</v>
      </c>
      <c r="B2504" s="6" t="s">
        <v>19</v>
      </c>
      <c r="C2504" s="7" t="s">
        <v>486</v>
      </c>
      <c r="D2504" s="7"/>
      <c r="E2504" s="8">
        <v>-1.2505147999999999</v>
      </c>
      <c r="F2504" s="8">
        <v>-1.6740701</v>
      </c>
      <c r="G2504" s="7" t="str">
        <f t="shared" si="16"/>
        <v>Direct</v>
      </c>
      <c r="H2504" s="7" t="s">
        <v>16</v>
      </c>
    </row>
    <row r="2505" spans="1:8" x14ac:dyDescent="0.2">
      <c r="A2505" s="5" t="s">
        <v>13</v>
      </c>
      <c r="B2505" s="6" t="s">
        <v>19</v>
      </c>
      <c r="C2505" s="7" t="s">
        <v>2772</v>
      </c>
      <c r="D2505" s="7"/>
      <c r="E2505" s="8">
        <v>-1.3543026</v>
      </c>
      <c r="F2505" s="8">
        <v>-1.217082</v>
      </c>
      <c r="G2505" s="7" t="str">
        <f t="shared" si="16"/>
        <v>Direct</v>
      </c>
      <c r="H2505" s="7" t="s">
        <v>2773</v>
      </c>
    </row>
    <row r="2506" spans="1:8" x14ac:dyDescent="0.2">
      <c r="A2506" s="5" t="s">
        <v>13</v>
      </c>
      <c r="B2506" s="6" t="s">
        <v>19</v>
      </c>
      <c r="C2506" s="7" t="s">
        <v>2774</v>
      </c>
      <c r="D2506" s="7"/>
      <c r="E2506" s="8">
        <v>3.0604671300000001</v>
      </c>
      <c r="F2506" s="8">
        <v>2.2668241400000002</v>
      </c>
      <c r="G2506" s="7" t="str">
        <f t="shared" si="16"/>
        <v>Direct</v>
      </c>
      <c r="H2506" s="7" t="s">
        <v>16</v>
      </c>
    </row>
    <row r="2507" spans="1:8" x14ac:dyDescent="0.2">
      <c r="A2507" s="5" t="s">
        <v>13</v>
      </c>
      <c r="B2507" s="6" t="s">
        <v>19</v>
      </c>
      <c r="C2507" s="7" t="s">
        <v>2775</v>
      </c>
      <c r="D2507" s="7"/>
      <c r="E2507" s="8">
        <v>4.1501367599999996</v>
      </c>
      <c r="F2507" s="8">
        <v>2.6045628999999999</v>
      </c>
      <c r="G2507" s="7" t="str">
        <f t="shared" si="16"/>
        <v>Direct</v>
      </c>
      <c r="H2507" s="7" t="s">
        <v>16</v>
      </c>
    </row>
    <row r="2508" spans="1:8" x14ac:dyDescent="0.2">
      <c r="A2508" s="5" t="s">
        <v>13</v>
      </c>
      <c r="B2508" s="6" t="s">
        <v>19</v>
      </c>
      <c r="C2508" s="7" t="s">
        <v>2776</v>
      </c>
      <c r="D2508" s="7"/>
      <c r="E2508" s="8">
        <v>1.93813882</v>
      </c>
      <c r="F2508" s="8">
        <v>1.7572487400000001</v>
      </c>
      <c r="G2508" s="7" t="str">
        <f t="shared" si="16"/>
        <v>Direct</v>
      </c>
      <c r="H2508" s="7" t="s">
        <v>2777</v>
      </c>
    </row>
    <row r="2509" spans="1:8" x14ac:dyDescent="0.2">
      <c r="A2509" s="5" t="s">
        <v>13</v>
      </c>
      <c r="B2509" s="6" t="s">
        <v>19</v>
      </c>
      <c r="C2509" s="7" t="s">
        <v>2778</v>
      </c>
      <c r="D2509" s="7"/>
      <c r="E2509" s="8">
        <v>-1.2260998000000001</v>
      </c>
      <c r="F2509" s="8">
        <v>-1.1158014999999999</v>
      </c>
      <c r="G2509" s="7" t="str">
        <f t="shared" si="16"/>
        <v>Direct</v>
      </c>
      <c r="H2509" s="7" t="s">
        <v>2779</v>
      </c>
    </row>
    <row r="2510" spans="1:8" x14ac:dyDescent="0.2">
      <c r="A2510" s="5" t="s">
        <v>13</v>
      </c>
      <c r="B2510" s="6" t="s">
        <v>19</v>
      </c>
      <c r="C2510" s="7" t="s">
        <v>2780</v>
      </c>
      <c r="D2510" s="7"/>
      <c r="E2510" s="8">
        <v>1.65670166</v>
      </c>
      <c r="F2510" s="8">
        <v>1.69497963</v>
      </c>
      <c r="G2510" s="7" t="str">
        <f t="shared" si="16"/>
        <v>Direct</v>
      </c>
      <c r="H2510" s="7" t="s">
        <v>2781</v>
      </c>
    </row>
    <row r="2511" spans="1:8" x14ac:dyDescent="0.2">
      <c r="A2511" s="5" t="s">
        <v>13</v>
      </c>
      <c r="B2511" s="6" t="s">
        <v>19</v>
      </c>
      <c r="C2511" s="7" t="s">
        <v>2782</v>
      </c>
      <c r="D2511" s="7"/>
      <c r="E2511" s="8">
        <v>1.0198035700000001</v>
      </c>
      <c r="F2511" s="8">
        <v>1.62417072</v>
      </c>
      <c r="G2511" s="7" t="str">
        <f t="shared" si="16"/>
        <v>Direct</v>
      </c>
      <c r="H2511" s="7" t="s">
        <v>2783</v>
      </c>
    </row>
    <row r="2512" spans="1:8" x14ac:dyDescent="0.2">
      <c r="A2512" s="5" t="s">
        <v>13</v>
      </c>
      <c r="B2512" s="6" t="s">
        <v>19</v>
      </c>
      <c r="C2512" s="7" t="s">
        <v>2784</v>
      </c>
      <c r="D2512" s="7"/>
      <c r="E2512" s="8">
        <v>2.5700118700000001</v>
      </c>
      <c r="F2512" s="8">
        <v>2.1088564299999999</v>
      </c>
      <c r="G2512" s="7" t="str">
        <f t="shared" si="16"/>
        <v>Direct</v>
      </c>
      <c r="H2512" s="7" t="s">
        <v>16</v>
      </c>
    </row>
    <row r="2513" spans="1:8" x14ac:dyDescent="0.2">
      <c r="A2513" s="5" t="s">
        <v>13</v>
      </c>
      <c r="B2513" s="6" t="s">
        <v>19</v>
      </c>
      <c r="C2513" s="7" t="s">
        <v>2785</v>
      </c>
      <c r="D2513" s="7"/>
      <c r="E2513" s="8">
        <v>-2.8868168000000001</v>
      </c>
      <c r="F2513" s="8">
        <v>-2.6600790999999999</v>
      </c>
      <c r="G2513" s="7" t="str">
        <f t="shared" si="16"/>
        <v>Direct</v>
      </c>
      <c r="H2513" s="7" t="s">
        <v>16</v>
      </c>
    </row>
    <row r="2514" spans="1:8" x14ac:dyDescent="0.2">
      <c r="A2514" s="5" t="s">
        <v>13</v>
      </c>
      <c r="B2514" s="6" t="s">
        <v>19</v>
      </c>
      <c r="C2514" s="7" t="s">
        <v>2786</v>
      </c>
      <c r="D2514" s="7"/>
      <c r="E2514" s="8">
        <v>-1.4994654000000001</v>
      </c>
      <c r="F2514" s="8">
        <v>-1.467565</v>
      </c>
      <c r="G2514" s="7" t="str">
        <f t="shared" si="16"/>
        <v>Direct</v>
      </c>
      <c r="H2514" s="7" t="s">
        <v>2787</v>
      </c>
    </row>
    <row r="2515" spans="1:8" x14ac:dyDescent="0.2">
      <c r="A2515" s="5" t="s">
        <v>13</v>
      </c>
      <c r="B2515" s="6" t="s">
        <v>19</v>
      </c>
      <c r="C2515" s="7" t="s">
        <v>2788</v>
      </c>
      <c r="D2515" s="7"/>
      <c r="E2515" s="8">
        <v>6.01217589</v>
      </c>
      <c r="F2515" s="8">
        <v>3.6949958600000001</v>
      </c>
      <c r="G2515" s="7" t="str">
        <f t="shared" si="16"/>
        <v>Direct</v>
      </c>
      <c r="H2515" s="7" t="s">
        <v>2789</v>
      </c>
    </row>
    <row r="2516" spans="1:8" x14ac:dyDescent="0.2">
      <c r="A2516" s="5" t="s">
        <v>13</v>
      </c>
      <c r="B2516" s="6" t="s">
        <v>19</v>
      </c>
      <c r="C2516" s="7" t="s">
        <v>2790</v>
      </c>
      <c r="D2516" s="7"/>
      <c r="E2516" s="8">
        <v>-1.9176335</v>
      </c>
      <c r="F2516" s="8">
        <v>-1.0512775999999999</v>
      </c>
      <c r="G2516" s="7" t="str">
        <f t="shared" si="16"/>
        <v>Direct</v>
      </c>
      <c r="H2516" s="7" t="s">
        <v>488</v>
      </c>
    </row>
    <row r="2517" spans="1:8" x14ac:dyDescent="0.2">
      <c r="A2517" s="5" t="s">
        <v>13</v>
      </c>
      <c r="B2517" s="6" t="s">
        <v>19</v>
      </c>
      <c r="C2517" s="7" t="s">
        <v>487</v>
      </c>
      <c r="D2517" s="7"/>
      <c r="E2517" s="8">
        <v>-1.2325618</v>
      </c>
      <c r="F2517" s="8">
        <v>-2.7491750000000001</v>
      </c>
      <c r="G2517" s="7" t="str">
        <f t="shared" si="16"/>
        <v>Direct</v>
      </c>
      <c r="H2517" s="7" t="s">
        <v>488</v>
      </c>
    </row>
    <row r="2518" spans="1:8" x14ac:dyDescent="0.2">
      <c r="A2518" s="5" t="s">
        <v>13</v>
      </c>
      <c r="B2518" s="6" t="s">
        <v>19</v>
      </c>
      <c r="C2518" s="7" t="s">
        <v>2791</v>
      </c>
      <c r="D2518" s="7"/>
      <c r="E2518" s="8">
        <v>2.6976182299999998</v>
      </c>
      <c r="F2518" s="8">
        <v>3.29835506</v>
      </c>
      <c r="G2518" s="7" t="str">
        <f t="shared" si="16"/>
        <v>Direct</v>
      </c>
      <c r="H2518" s="7" t="s">
        <v>2223</v>
      </c>
    </row>
    <row r="2519" spans="1:8" x14ac:dyDescent="0.2">
      <c r="A2519" s="5" t="s">
        <v>13</v>
      </c>
      <c r="B2519" s="6" t="s">
        <v>19</v>
      </c>
      <c r="C2519" s="7" t="s">
        <v>2792</v>
      </c>
      <c r="D2519" s="7"/>
      <c r="E2519" s="8">
        <v>1.5428706299999999</v>
      </c>
      <c r="F2519" s="8">
        <v>1.3904318099999999</v>
      </c>
      <c r="G2519" s="7" t="str">
        <f t="shared" si="16"/>
        <v>Direct</v>
      </c>
      <c r="H2519" s="7" t="s">
        <v>2793</v>
      </c>
    </row>
    <row r="2520" spans="1:8" x14ac:dyDescent="0.2">
      <c r="A2520" s="5" t="s">
        <v>13</v>
      </c>
      <c r="B2520" s="6" t="s">
        <v>19</v>
      </c>
      <c r="C2520" s="7" t="s">
        <v>2794</v>
      </c>
      <c r="D2520" s="7"/>
      <c r="E2520" s="8">
        <v>-2.5433392000000001</v>
      </c>
      <c r="F2520" s="8">
        <v>-4.6748718</v>
      </c>
      <c r="G2520" s="7" t="str">
        <f t="shared" si="16"/>
        <v>Direct</v>
      </c>
      <c r="H2520" s="7" t="s">
        <v>2795</v>
      </c>
    </row>
    <row r="2521" spans="1:8" x14ac:dyDescent="0.2">
      <c r="A2521" s="5" t="s">
        <v>13</v>
      </c>
      <c r="B2521" s="6" t="s">
        <v>19</v>
      </c>
      <c r="C2521" s="7" t="s">
        <v>2796</v>
      </c>
      <c r="D2521" s="7"/>
      <c r="E2521" s="8">
        <v>-1.0610584000000001</v>
      </c>
      <c r="F2521" s="8">
        <v>-1.4942949999999999</v>
      </c>
      <c r="G2521" s="7" t="str">
        <f t="shared" si="16"/>
        <v>Direct</v>
      </c>
      <c r="H2521" s="7" t="s">
        <v>2797</v>
      </c>
    </row>
    <row r="2522" spans="1:8" x14ac:dyDescent="0.2">
      <c r="A2522" s="5" t="s">
        <v>13</v>
      </c>
      <c r="B2522" s="6" t="s">
        <v>19</v>
      </c>
      <c r="C2522" s="7" t="s">
        <v>493</v>
      </c>
      <c r="D2522" s="7"/>
      <c r="E2522" s="8">
        <v>-1.8446094</v>
      </c>
      <c r="F2522" s="8">
        <v>-5.9433430999999999</v>
      </c>
      <c r="G2522" s="7" t="str">
        <f t="shared" si="16"/>
        <v>Direct</v>
      </c>
      <c r="H2522" s="7" t="s">
        <v>494</v>
      </c>
    </row>
    <row r="2523" spans="1:8" x14ac:dyDescent="0.2">
      <c r="A2523" s="5" t="s">
        <v>13</v>
      </c>
      <c r="B2523" s="6" t="s">
        <v>19</v>
      </c>
      <c r="C2523" s="7" t="s">
        <v>2798</v>
      </c>
      <c r="D2523" s="7"/>
      <c r="E2523" s="8">
        <v>-1.4711064</v>
      </c>
      <c r="F2523" s="8">
        <v>-1.01328</v>
      </c>
      <c r="G2523" s="7" t="str">
        <f t="shared" si="16"/>
        <v>Direct</v>
      </c>
      <c r="H2523" s="7" t="s">
        <v>2799</v>
      </c>
    </row>
    <row r="2524" spans="1:8" x14ac:dyDescent="0.2">
      <c r="A2524" s="5" t="s">
        <v>13</v>
      </c>
      <c r="B2524" s="6" t="s">
        <v>19</v>
      </c>
      <c r="C2524" s="7" t="s">
        <v>2800</v>
      </c>
      <c r="D2524" s="7"/>
      <c r="E2524" s="8">
        <v>-2.4461803999999998</v>
      </c>
      <c r="F2524" s="8">
        <v>-1.1949991</v>
      </c>
      <c r="G2524" s="7" t="str">
        <f t="shared" si="16"/>
        <v>Direct</v>
      </c>
      <c r="H2524" s="7" t="s">
        <v>16</v>
      </c>
    </row>
    <row r="2525" spans="1:8" x14ac:dyDescent="0.2">
      <c r="A2525" s="5" t="s">
        <v>13</v>
      </c>
      <c r="B2525" s="6" t="s">
        <v>19</v>
      </c>
      <c r="C2525" s="7" t="s">
        <v>2801</v>
      </c>
      <c r="D2525" s="7"/>
      <c r="E2525" s="8">
        <v>4.86879712</v>
      </c>
      <c r="F2525" s="8">
        <v>3.01670828</v>
      </c>
      <c r="G2525" s="7" t="str">
        <f t="shared" si="16"/>
        <v>Direct</v>
      </c>
      <c r="H2525" s="7" t="s">
        <v>2802</v>
      </c>
    </row>
    <row r="2526" spans="1:8" x14ac:dyDescent="0.2">
      <c r="A2526" s="5" t="s">
        <v>13</v>
      </c>
      <c r="B2526" s="6" t="s">
        <v>19</v>
      </c>
      <c r="C2526" s="7" t="s">
        <v>2803</v>
      </c>
      <c r="D2526" s="7"/>
      <c r="E2526" s="8">
        <v>1.67285621</v>
      </c>
      <c r="F2526" s="8">
        <v>1.34960988</v>
      </c>
      <c r="G2526" s="7" t="str">
        <f t="shared" si="16"/>
        <v>Direct</v>
      </c>
      <c r="H2526" s="7" t="s">
        <v>2804</v>
      </c>
    </row>
    <row r="2527" spans="1:8" x14ac:dyDescent="0.2">
      <c r="A2527" s="5" t="s">
        <v>13</v>
      </c>
      <c r="B2527" s="6" t="s">
        <v>19</v>
      </c>
      <c r="C2527" s="7" t="s">
        <v>2805</v>
      </c>
      <c r="D2527" s="7"/>
      <c r="E2527" s="8">
        <v>1.79404984</v>
      </c>
      <c r="F2527" s="8">
        <v>1.0019596799999999</v>
      </c>
      <c r="G2527" s="7" t="str">
        <f t="shared" si="16"/>
        <v>Direct</v>
      </c>
      <c r="H2527" s="7" t="s">
        <v>2806</v>
      </c>
    </row>
    <row r="2528" spans="1:8" x14ac:dyDescent="0.2">
      <c r="A2528" s="5" t="s">
        <v>13</v>
      </c>
      <c r="B2528" s="6" t="s">
        <v>19</v>
      </c>
      <c r="C2528" s="7" t="s">
        <v>2807</v>
      </c>
      <c r="D2528" s="7"/>
      <c r="E2528" s="8">
        <v>-3.3093773</v>
      </c>
      <c r="F2528" s="8">
        <v>-2.3759505999999999</v>
      </c>
      <c r="G2528" s="7" t="str">
        <f t="shared" si="16"/>
        <v>Direct</v>
      </c>
      <c r="H2528" s="7" t="s">
        <v>2808</v>
      </c>
    </row>
    <row r="2529" spans="1:8" x14ac:dyDescent="0.2">
      <c r="A2529" s="5" t="s">
        <v>13</v>
      </c>
      <c r="B2529" s="6" t="s">
        <v>19</v>
      </c>
      <c r="C2529" s="7" t="s">
        <v>2809</v>
      </c>
      <c r="D2529" s="7"/>
      <c r="E2529" s="8">
        <v>-1.7673852000000001</v>
      </c>
      <c r="F2529" s="8">
        <v>-1.3085795</v>
      </c>
      <c r="G2529" s="7" t="str">
        <f t="shared" si="16"/>
        <v>Direct</v>
      </c>
      <c r="H2529" s="7" t="s">
        <v>2810</v>
      </c>
    </row>
    <row r="2530" spans="1:8" x14ac:dyDescent="0.2">
      <c r="A2530" s="5" t="s">
        <v>13</v>
      </c>
      <c r="B2530" s="6" t="s">
        <v>19</v>
      </c>
      <c r="C2530" s="7" t="s">
        <v>2811</v>
      </c>
      <c r="D2530" s="7"/>
      <c r="E2530" s="8">
        <v>1.42321155</v>
      </c>
      <c r="F2530" s="8">
        <v>1.1621765500000001</v>
      </c>
      <c r="G2530" s="7" t="str">
        <f t="shared" si="16"/>
        <v>Direct</v>
      </c>
      <c r="H2530" s="7" t="s">
        <v>16</v>
      </c>
    </row>
    <row r="2531" spans="1:8" x14ac:dyDescent="0.2">
      <c r="A2531" s="5" t="s">
        <v>13</v>
      </c>
      <c r="B2531" s="6" t="s">
        <v>19</v>
      </c>
      <c r="C2531" s="7" t="s">
        <v>2812</v>
      </c>
      <c r="D2531" s="7"/>
      <c r="E2531" s="8">
        <v>-1.5765932</v>
      </c>
      <c r="F2531" s="8">
        <v>-1.1772279000000001</v>
      </c>
      <c r="G2531" s="7" t="str">
        <f t="shared" si="16"/>
        <v>Direct</v>
      </c>
      <c r="H2531" s="7" t="s">
        <v>16</v>
      </c>
    </row>
    <row r="2532" spans="1:8" x14ac:dyDescent="0.2">
      <c r="A2532" s="5" t="s">
        <v>13</v>
      </c>
      <c r="B2532" s="6" t="s">
        <v>19</v>
      </c>
      <c r="C2532" s="7" t="s">
        <v>2813</v>
      </c>
      <c r="D2532" s="7"/>
      <c r="E2532" s="8">
        <v>1.7158163500000001</v>
      </c>
      <c r="F2532" s="8">
        <v>2.9842742699999998</v>
      </c>
      <c r="G2532" s="7" t="str">
        <f t="shared" si="16"/>
        <v>Direct</v>
      </c>
      <c r="H2532" s="7" t="s">
        <v>16</v>
      </c>
    </row>
    <row r="2533" spans="1:8" x14ac:dyDescent="0.2">
      <c r="A2533" s="5" t="s">
        <v>13</v>
      </c>
      <c r="B2533" s="6" t="s">
        <v>19</v>
      </c>
      <c r="C2533" s="7" t="s">
        <v>2814</v>
      </c>
      <c r="D2533" s="7"/>
      <c r="E2533" s="8">
        <v>1.87751154</v>
      </c>
      <c r="F2533" s="8">
        <v>3.26684551</v>
      </c>
      <c r="G2533" s="7" t="str">
        <f t="shared" si="16"/>
        <v>Direct</v>
      </c>
      <c r="H2533" s="7" t="s">
        <v>2815</v>
      </c>
    </row>
    <row r="2534" spans="1:8" x14ac:dyDescent="0.2">
      <c r="A2534" s="5" t="s">
        <v>13</v>
      </c>
      <c r="B2534" s="6" t="s">
        <v>19</v>
      </c>
      <c r="C2534" s="7" t="s">
        <v>495</v>
      </c>
      <c r="D2534" s="7"/>
      <c r="E2534" s="8">
        <v>-2.277952</v>
      </c>
      <c r="F2534" s="8">
        <v>-1.8985505</v>
      </c>
      <c r="G2534" s="7" t="str">
        <f t="shared" si="16"/>
        <v>Direct</v>
      </c>
      <c r="H2534" s="7" t="s">
        <v>496</v>
      </c>
    </row>
    <row r="2535" spans="1:8" x14ac:dyDescent="0.2">
      <c r="A2535" s="5" t="s">
        <v>13</v>
      </c>
      <c r="B2535" s="6" t="s">
        <v>19</v>
      </c>
      <c r="C2535" s="7" t="s">
        <v>2816</v>
      </c>
      <c r="D2535" s="7"/>
      <c r="E2535" s="8">
        <v>-1.6829297999999999</v>
      </c>
      <c r="F2535" s="8">
        <v>-1.6337493999999999</v>
      </c>
      <c r="G2535" s="7" t="str">
        <f t="shared" si="16"/>
        <v>Direct</v>
      </c>
      <c r="H2535" s="7" t="s">
        <v>16</v>
      </c>
    </row>
    <row r="2536" spans="1:8" x14ac:dyDescent="0.2">
      <c r="A2536" s="5" t="s">
        <v>13</v>
      </c>
      <c r="B2536" s="6" t="s">
        <v>19</v>
      </c>
      <c r="C2536" s="7" t="s">
        <v>2817</v>
      </c>
      <c r="D2536" s="7"/>
      <c r="E2536" s="8">
        <v>1.1632902199999999</v>
      </c>
      <c r="F2536" s="8">
        <v>1.6932894300000001</v>
      </c>
      <c r="G2536" s="7" t="str">
        <f t="shared" si="16"/>
        <v>Direct</v>
      </c>
      <c r="H2536" s="7" t="s">
        <v>2818</v>
      </c>
    </row>
    <row r="2537" spans="1:8" x14ac:dyDescent="0.2">
      <c r="A2537" s="5" t="s">
        <v>13</v>
      </c>
      <c r="B2537" s="6" t="s">
        <v>19</v>
      </c>
      <c r="C2537" s="7" t="s">
        <v>2819</v>
      </c>
      <c r="D2537" s="7"/>
      <c r="E2537" s="8">
        <v>2.1274856999999998</v>
      </c>
      <c r="F2537" s="8">
        <v>1.5700297999999999</v>
      </c>
      <c r="G2537" s="7" t="str">
        <f t="shared" si="16"/>
        <v>Direct</v>
      </c>
      <c r="H2537" s="7" t="s">
        <v>2820</v>
      </c>
    </row>
    <row r="2538" spans="1:8" x14ac:dyDescent="0.2">
      <c r="A2538" s="5" t="s">
        <v>13</v>
      </c>
      <c r="B2538" s="6" t="s">
        <v>19</v>
      </c>
      <c r="C2538" s="7" t="s">
        <v>2821</v>
      </c>
      <c r="D2538" s="7"/>
      <c r="E2538" s="8">
        <v>-2.6374094000000001</v>
      </c>
      <c r="F2538" s="8">
        <v>-1.4766398999999999</v>
      </c>
      <c r="G2538" s="7" t="str">
        <f t="shared" si="16"/>
        <v>Direct</v>
      </c>
      <c r="H2538" s="7" t="s">
        <v>2822</v>
      </c>
    </row>
    <row r="2539" spans="1:8" x14ac:dyDescent="0.2">
      <c r="A2539" s="5" t="s">
        <v>13</v>
      </c>
      <c r="B2539" s="6" t="s">
        <v>19</v>
      </c>
      <c r="C2539" s="7" t="s">
        <v>2823</v>
      </c>
      <c r="D2539" s="7"/>
      <c r="E2539" s="8">
        <v>-1.5094920999999999</v>
      </c>
      <c r="F2539" s="8">
        <v>-1.0970578</v>
      </c>
      <c r="G2539" s="7" t="str">
        <f t="shared" si="16"/>
        <v>Direct</v>
      </c>
      <c r="H2539" s="7" t="s">
        <v>2824</v>
      </c>
    </row>
    <row r="2540" spans="1:8" x14ac:dyDescent="0.2">
      <c r="A2540" s="5" t="s">
        <v>13</v>
      </c>
      <c r="B2540" s="6" t="s">
        <v>19</v>
      </c>
      <c r="C2540" s="7" t="s">
        <v>2825</v>
      </c>
      <c r="D2540" s="7"/>
      <c r="E2540" s="8">
        <v>-1.5261897</v>
      </c>
      <c r="F2540" s="8">
        <v>-3.0176892999999998</v>
      </c>
      <c r="G2540" s="7" t="str">
        <f t="shared" si="16"/>
        <v>Direct</v>
      </c>
      <c r="H2540" s="7" t="s">
        <v>16</v>
      </c>
    </row>
    <row r="2541" spans="1:8" x14ac:dyDescent="0.2">
      <c r="A2541" s="5" t="s">
        <v>13</v>
      </c>
      <c r="B2541" s="6" t="s">
        <v>19</v>
      </c>
      <c r="C2541" s="7" t="s">
        <v>2826</v>
      </c>
      <c r="D2541" s="7"/>
      <c r="E2541" s="8">
        <v>-2.7167550999999999</v>
      </c>
      <c r="F2541" s="8">
        <v>-1.165478</v>
      </c>
      <c r="G2541" s="7" t="str">
        <f t="shared" si="16"/>
        <v>Direct</v>
      </c>
      <c r="H2541" s="7" t="s">
        <v>2827</v>
      </c>
    </row>
    <row r="2542" spans="1:8" x14ac:dyDescent="0.2">
      <c r="A2542" s="5" t="s">
        <v>13</v>
      </c>
      <c r="B2542" s="6" t="s">
        <v>19</v>
      </c>
      <c r="C2542" s="7" t="s">
        <v>2828</v>
      </c>
      <c r="D2542" s="7"/>
      <c r="E2542" s="8">
        <v>-1.5668911999999999</v>
      </c>
      <c r="F2542" s="8">
        <v>-1.1194554000000001</v>
      </c>
      <c r="G2542" s="7" t="str">
        <f t="shared" si="16"/>
        <v>Direct</v>
      </c>
      <c r="H2542" s="7" t="s">
        <v>2360</v>
      </c>
    </row>
    <row r="2543" spans="1:8" x14ac:dyDescent="0.2">
      <c r="A2543" s="5" t="s">
        <v>13</v>
      </c>
      <c r="B2543" s="6" t="s">
        <v>19</v>
      </c>
      <c r="C2543" s="7" t="s">
        <v>2829</v>
      </c>
      <c r="D2543" s="7"/>
      <c r="E2543" s="8">
        <v>3.26392127</v>
      </c>
      <c r="F2543" s="8">
        <v>2.4599555</v>
      </c>
      <c r="G2543" s="7" t="str">
        <f t="shared" si="16"/>
        <v>Direct</v>
      </c>
      <c r="H2543" s="7" t="s">
        <v>2830</v>
      </c>
    </row>
    <row r="2544" spans="1:8" x14ac:dyDescent="0.2">
      <c r="A2544" s="5" t="s">
        <v>13</v>
      </c>
      <c r="B2544" s="6" t="s">
        <v>19</v>
      </c>
      <c r="C2544" s="7" t="s">
        <v>2831</v>
      </c>
      <c r="D2544" s="7"/>
      <c r="E2544" s="8">
        <v>2.3589441799999999</v>
      </c>
      <c r="F2544" s="8">
        <v>2.4268914700000002</v>
      </c>
      <c r="G2544" s="7" t="str">
        <f t="shared" si="16"/>
        <v>Direct</v>
      </c>
      <c r="H2544" s="7" t="s">
        <v>2832</v>
      </c>
    </row>
    <row r="2545" spans="1:8" x14ac:dyDescent="0.2">
      <c r="A2545" s="5" t="s">
        <v>13</v>
      </c>
      <c r="B2545" s="6" t="s">
        <v>19</v>
      </c>
      <c r="C2545" s="7" t="s">
        <v>2833</v>
      </c>
      <c r="D2545" s="7"/>
      <c r="E2545" s="8">
        <v>3.01484554</v>
      </c>
      <c r="F2545" s="8">
        <v>2.1266857400000001</v>
      </c>
      <c r="G2545" s="7" t="str">
        <f t="shared" si="16"/>
        <v>Direct</v>
      </c>
      <c r="H2545" s="7" t="s">
        <v>1175</v>
      </c>
    </row>
    <row r="2546" spans="1:8" x14ac:dyDescent="0.2">
      <c r="A2546" s="5" t="s">
        <v>13</v>
      </c>
      <c r="B2546" s="6" t="s">
        <v>19</v>
      </c>
      <c r="C2546" s="7" t="s">
        <v>2834</v>
      </c>
      <c r="D2546" s="7"/>
      <c r="E2546" s="8">
        <v>1.59303463</v>
      </c>
      <c r="F2546" s="8">
        <v>1.96873034</v>
      </c>
      <c r="G2546" s="7" t="str">
        <f t="shared" si="16"/>
        <v>Direct</v>
      </c>
      <c r="H2546" s="7" t="s">
        <v>1175</v>
      </c>
    </row>
    <row r="2547" spans="1:8" x14ac:dyDescent="0.2">
      <c r="A2547" s="5" t="s">
        <v>13</v>
      </c>
      <c r="B2547" s="6" t="s">
        <v>19</v>
      </c>
      <c r="C2547" s="7" t="s">
        <v>2835</v>
      </c>
      <c r="D2547" s="7"/>
      <c r="E2547" s="8">
        <v>-1.1241098</v>
      </c>
      <c r="F2547" s="8">
        <v>-1.4202786999999999</v>
      </c>
      <c r="G2547" s="7" t="str">
        <f t="shared" si="16"/>
        <v>Direct</v>
      </c>
      <c r="H2547" s="7" t="s">
        <v>1175</v>
      </c>
    </row>
    <row r="2548" spans="1:8" x14ac:dyDescent="0.2">
      <c r="A2548" s="5" t="s">
        <v>13</v>
      </c>
      <c r="B2548" s="6" t="s">
        <v>19</v>
      </c>
      <c r="C2548" s="7" t="s">
        <v>2836</v>
      </c>
      <c r="D2548" s="7"/>
      <c r="E2548" s="8">
        <v>-9.2139842000000005</v>
      </c>
      <c r="F2548" s="8">
        <v>-6.2392614000000002</v>
      </c>
      <c r="G2548" s="7" t="str">
        <f t="shared" si="16"/>
        <v>Direct</v>
      </c>
      <c r="H2548" s="7" t="s">
        <v>2837</v>
      </c>
    </row>
    <row r="2549" spans="1:8" x14ac:dyDescent="0.2">
      <c r="A2549" s="5" t="s">
        <v>13</v>
      </c>
      <c r="B2549" s="6" t="s">
        <v>19</v>
      </c>
      <c r="C2549" s="7" t="s">
        <v>2838</v>
      </c>
      <c r="D2549" s="7"/>
      <c r="E2549" s="8">
        <v>-2.3133374999999998</v>
      </c>
      <c r="F2549" s="8">
        <v>-3.1579834999999998</v>
      </c>
      <c r="G2549" s="7" t="str">
        <f t="shared" si="16"/>
        <v>Direct</v>
      </c>
      <c r="H2549" s="7" t="s">
        <v>2839</v>
      </c>
    </row>
    <row r="2550" spans="1:8" x14ac:dyDescent="0.2">
      <c r="A2550" s="5" t="s">
        <v>13</v>
      </c>
      <c r="B2550" s="6" t="s">
        <v>19</v>
      </c>
      <c r="C2550" s="7" t="s">
        <v>2840</v>
      </c>
      <c r="D2550" s="7"/>
      <c r="E2550" s="8">
        <v>-1.8786951999999999</v>
      </c>
      <c r="F2550" s="8">
        <v>-2.4839538000000001</v>
      </c>
      <c r="G2550" s="7" t="str">
        <f t="shared" si="16"/>
        <v>Direct</v>
      </c>
      <c r="H2550" s="7" t="s">
        <v>2841</v>
      </c>
    </row>
    <row r="2551" spans="1:8" x14ac:dyDescent="0.2">
      <c r="A2551" s="5" t="s">
        <v>13</v>
      </c>
      <c r="B2551" s="6" t="s">
        <v>19</v>
      </c>
      <c r="C2551" s="7" t="s">
        <v>2842</v>
      </c>
      <c r="D2551" s="7"/>
      <c r="E2551" s="8">
        <v>7.8399516900000004</v>
      </c>
      <c r="F2551" s="8">
        <v>9.0505273899999992</v>
      </c>
      <c r="G2551" s="7" t="str">
        <f t="shared" si="16"/>
        <v>Direct</v>
      </c>
      <c r="H2551" s="7" t="s">
        <v>1772</v>
      </c>
    </row>
    <row r="2552" spans="1:8" x14ac:dyDescent="0.2">
      <c r="A2552" s="5" t="s">
        <v>13</v>
      </c>
      <c r="B2552" s="6" t="s">
        <v>19</v>
      </c>
      <c r="C2552" s="7" t="s">
        <v>2843</v>
      </c>
      <c r="D2552" s="7"/>
      <c r="E2552" s="8">
        <v>1.16360665</v>
      </c>
      <c r="F2552" s="8">
        <v>2.77104785</v>
      </c>
      <c r="G2552" s="7" t="str">
        <f t="shared" si="16"/>
        <v>Direct</v>
      </c>
      <c r="H2552" s="7" t="s">
        <v>16</v>
      </c>
    </row>
    <row r="2553" spans="1:8" x14ac:dyDescent="0.2">
      <c r="A2553" s="5" t="s">
        <v>13</v>
      </c>
      <c r="B2553" s="6" t="s">
        <v>19</v>
      </c>
      <c r="C2553" s="7" t="s">
        <v>2844</v>
      </c>
      <c r="D2553" s="7"/>
      <c r="E2553" s="8">
        <v>-5.121461</v>
      </c>
      <c r="F2553" s="8">
        <v>-3.9289345</v>
      </c>
      <c r="G2553" s="7" t="str">
        <f t="shared" si="16"/>
        <v>Direct</v>
      </c>
      <c r="H2553" s="7" t="s">
        <v>2845</v>
      </c>
    </row>
    <row r="2554" spans="1:8" x14ac:dyDescent="0.2">
      <c r="A2554" s="5" t="s">
        <v>13</v>
      </c>
      <c r="B2554" s="6" t="s">
        <v>19</v>
      </c>
      <c r="C2554" s="7" t="s">
        <v>2846</v>
      </c>
      <c r="D2554" s="7"/>
      <c r="E2554" s="8">
        <v>-2.9951677999999999</v>
      </c>
      <c r="F2554" s="8">
        <v>-2.4031148</v>
      </c>
      <c r="G2554" s="7" t="str">
        <f t="shared" si="16"/>
        <v>Direct</v>
      </c>
      <c r="H2554" s="7" t="s">
        <v>16</v>
      </c>
    </row>
    <row r="2555" spans="1:8" x14ac:dyDescent="0.2">
      <c r="A2555" s="5" t="s">
        <v>13</v>
      </c>
      <c r="B2555" s="6" t="s">
        <v>19</v>
      </c>
      <c r="C2555" s="7" t="s">
        <v>2847</v>
      </c>
      <c r="D2555" s="7"/>
      <c r="E2555" s="8">
        <v>2.4670263800000001</v>
      </c>
      <c r="F2555" s="8">
        <v>1.8456751600000001</v>
      </c>
      <c r="G2555" s="7" t="str">
        <f t="shared" si="16"/>
        <v>Direct</v>
      </c>
      <c r="H2555" s="7" t="s">
        <v>1613</v>
      </c>
    </row>
    <row r="2556" spans="1:8" x14ac:dyDescent="0.2">
      <c r="A2556" s="5" t="s">
        <v>13</v>
      </c>
      <c r="B2556" s="6" t="s">
        <v>19</v>
      </c>
      <c r="C2556" s="7" t="s">
        <v>2848</v>
      </c>
      <c r="D2556" s="7"/>
      <c r="E2556" s="8">
        <v>-8.8693741999999993</v>
      </c>
      <c r="F2556" s="8">
        <v>-7.0704579000000001</v>
      </c>
      <c r="G2556" s="7" t="str">
        <f t="shared" si="16"/>
        <v>Direct</v>
      </c>
      <c r="H2556" s="7" t="s">
        <v>16</v>
      </c>
    </row>
    <row r="2557" spans="1:8" x14ac:dyDescent="0.2">
      <c r="A2557" s="5" t="s">
        <v>13</v>
      </c>
      <c r="B2557" s="6" t="s">
        <v>19</v>
      </c>
      <c r="C2557" s="7" t="s">
        <v>2849</v>
      </c>
      <c r="D2557" s="7"/>
      <c r="E2557" s="8">
        <v>-38.165309000000001</v>
      </c>
      <c r="F2557" s="8">
        <v>-31.875039000000001</v>
      </c>
      <c r="G2557" s="7" t="str">
        <f t="shared" si="16"/>
        <v>Direct</v>
      </c>
      <c r="H2557" s="7" t="s">
        <v>16</v>
      </c>
    </row>
    <row r="2558" spans="1:8" x14ac:dyDescent="0.2">
      <c r="A2558" s="5" t="s">
        <v>13</v>
      </c>
      <c r="B2558" s="6" t="s">
        <v>19</v>
      </c>
      <c r="C2558" s="7" t="s">
        <v>2850</v>
      </c>
      <c r="D2558" s="7"/>
      <c r="E2558" s="8">
        <v>3.6354761400000002</v>
      </c>
      <c r="F2558" s="8">
        <v>2.4936718400000002</v>
      </c>
      <c r="G2558" s="7" t="str">
        <f t="shared" si="16"/>
        <v>Direct</v>
      </c>
      <c r="H2558" s="7" t="s">
        <v>16</v>
      </c>
    </row>
    <row r="2559" spans="1:8" x14ac:dyDescent="0.2">
      <c r="A2559" s="5" t="s">
        <v>13</v>
      </c>
      <c r="B2559" s="6" t="s">
        <v>19</v>
      </c>
      <c r="C2559" s="7" t="s">
        <v>2851</v>
      </c>
      <c r="D2559" s="7"/>
      <c r="E2559" s="8">
        <v>2.8179154500000001</v>
      </c>
      <c r="F2559" s="8">
        <v>3.4172219799999999</v>
      </c>
      <c r="G2559" s="7" t="str">
        <f t="shared" si="16"/>
        <v>Direct</v>
      </c>
      <c r="H2559" s="7" t="s">
        <v>16</v>
      </c>
    </row>
    <row r="2560" spans="1:8" x14ac:dyDescent="0.2">
      <c r="A2560" s="5" t="s">
        <v>13</v>
      </c>
      <c r="B2560" s="6" t="s">
        <v>19</v>
      </c>
      <c r="C2560" s="7" t="s">
        <v>2852</v>
      </c>
      <c r="D2560" s="7"/>
      <c r="E2560" s="8">
        <v>-4.2320352999999997</v>
      </c>
      <c r="F2560" s="8">
        <v>-3.3037898000000001</v>
      </c>
      <c r="G2560" s="7" t="str">
        <f t="shared" si="16"/>
        <v>Direct</v>
      </c>
      <c r="H2560" s="7" t="s">
        <v>16</v>
      </c>
    </row>
    <row r="2561" spans="1:8" x14ac:dyDescent="0.2">
      <c r="A2561" s="5" t="s">
        <v>13</v>
      </c>
      <c r="B2561" s="6" t="s">
        <v>19</v>
      </c>
      <c r="C2561" s="7" t="s">
        <v>2853</v>
      </c>
      <c r="D2561" s="7"/>
      <c r="E2561" s="8">
        <v>-2.7089268</v>
      </c>
      <c r="F2561" s="8">
        <v>-3.8508170000000002</v>
      </c>
      <c r="G2561" s="7" t="str">
        <f t="shared" si="16"/>
        <v>Direct</v>
      </c>
      <c r="H2561" s="7" t="s">
        <v>2854</v>
      </c>
    </row>
    <row r="2562" spans="1:8" x14ac:dyDescent="0.2">
      <c r="A2562" s="5" t="s">
        <v>13</v>
      </c>
      <c r="B2562" s="6" t="s">
        <v>19</v>
      </c>
      <c r="C2562" s="7" t="s">
        <v>2855</v>
      </c>
      <c r="D2562" s="7"/>
      <c r="E2562" s="8">
        <v>1.3190812300000001</v>
      </c>
      <c r="F2562" s="8">
        <v>1.12237075</v>
      </c>
      <c r="G2562" s="7" t="str">
        <f t="shared" si="16"/>
        <v>Direct</v>
      </c>
      <c r="H2562" s="7" t="s">
        <v>2856</v>
      </c>
    </row>
    <row r="2563" spans="1:8" x14ac:dyDescent="0.2">
      <c r="A2563" s="5" t="s">
        <v>13</v>
      </c>
      <c r="B2563" s="6" t="s">
        <v>19</v>
      </c>
      <c r="C2563" s="7" t="s">
        <v>2857</v>
      </c>
      <c r="D2563" s="7"/>
      <c r="E2563" s="8">
        <v>-5.7492786000000002</v>
      </c>
      <c r="F2563" s="8">
        <v>-7.0557420999999998</v>
      </c>
      <c r="G2563" s="7" t="str">
        <f t="shared" si="16"/>
        <v>Direct</v>
      </c>
      <c r="H2563" s="7" t="s">
        <v>2858</v>
      </c>
    </row>
    <row r="2564" spans="1:8" x14ac:dyDescent="0.2">
      <c r="A2564" s="5" t="s">
        <v>13</v>
      </c>
      <c r="B2564" s="6" t="s">
        <v>19</v>
      </c>
      <c r="C2564" s="7" t="s">
        <v>2859</v>
      </c>
      <c r="D2564" s="7"/>
      <c r="E2564" s="8">
        <v>-1.5668389</v>
      </c>
      <c r="F2564" s="8">
        <v>-1.9004141000000001</v>
      </c>
      <c r="G2564" s="7" t="str">
        <f t="shared" si="16"/>
        <v>Direct</v>
      </c>
      <c r="H2564" s="7" t="s">
        <v>162</v>
      </c>
    </row>
    <row r="2565" spans="1:8" x14ac:dyDescent="0.2">
      <c r="A2565" s="5" t="s">
        <v>13</v>
      </c>
      <c r="B2565" s="6" t="s">
        <v>19</v>
      </c>
      <c r="C2565" s="7" t="s">
        <v>2860</v>
      </c>
      <c r="D2565" s="7"/>
      <c r="E2565" s="8">
        <v>-3.1542976999999999</v>
      </c>
      <c r="F2565" s="8">
        <v>-2.1237917999999998</v>
      </c>
      <c r="G2565" s="7" t="str">
        <f t="shared" si="16"/>
        <v>Direct</v>
      </c>
      <c r="H2565" s="7" t="s">
        <v>2861</v>
      </c>
    </row>
    <row r="2566" spans="1:8" x14ac:dyDescent="0.2">
      <c r="A2566" s="5" t="s">
        <v>13</v>
      </c>
      <c r="B2566" s="6" t="s">
        <v>19</v>
      </c>
      <c r="C2566" s="7" t="s">
        <v>2862</v>
      </c>
      <c r="D2566" s="7"/>
      <c r="E2566" s="8">
        <v>-1.2930058</v>
      </c>
      <c r="F2566" s="8">
        <v>-1.3110972000000001</v>
      </c>
      <c r="G2566" s="7" t="str">
        <f t="shared" si="16"/>
        <v>Direct</v>
      </c>
      <c r="H2566" s="7" t="s">
        <v>16</v>
      </c>
    </row>
    <row r="2567" spans="1:8" x14ac:dyDescent="0.2">
      <c r="A2567" s="5" t="s">
        <v>13</v>
      </c>
      <c r="B2567" s="6" t="s">
        <v>19</v>
      </c>
      <c r="C2567" s="7" t="s">
        <v>2863</v>
      </c>
      <c r="D2567" s="7"/>
      <c r="E2567" s="8">
        <v>1.53228345</v>
      </c>
      <c r="F2567" s="8">
        <v>1.7687428199999999</v>
      </c>
      <c r="G2567" s="7" t="str">
        <f t="shared" si="16"/>
        <v>Direct</v>
      </c>
      <c r="H2567" s="7" t="s">
        <v>2864</v>
      </c>
    </row>
    <row r="2568" spans="1:8" x14ac:dyDescent="0.2">
      <c r="A2568" s="5" t="s">
        <v>13</v>
      </c>
      <c r="B2568" s="6" t="s">
        <v>19</v>
      </c>
      <c r="C2568" s="7" t="s">
        <v>2865</v>
      </c>
      <c r="D2568" s="7"/>
      <c r="E2568" s="8">
        <v>-1.2493439</v>
      </c>
      <c r="F2568" s="8">
        <v>-2.0720626000000002</v>
      </c>
      <c r="G2568" s="7" t="str">
        <f t="shared" si="16"/>
        <v>Direct</v>
      </c>
      <c r="H2568" s="7" t="s">
        <v>2866</v>
      </c>
    </row>
    <row r="2569" spans="1:8" x14ac:dyDescent="0.2">
      <c r="A2569" s="5" t="s">
        <v>13</v>
      </c>
      <c r="B2569" s="6" t="s">
        <v>19</v>
      </c>
      <c r="C2569" s="7" t="s">
        <v>2867</v>
      </c>
      <c r="D2569" s="7"/>
      <c r="E2569" s="8">
        <v>-1.7199886</v>
      </c>
      <c r="F2569" s="8">
        <v>-2.3435980000000001</v>
      </c>
      <c r="G2569" s="7" t="str">
        <f t="shared" si="16"/>
        <v>Direct</v>
      </c>
      <c r="H2569" s="7" t="s">
        <v>16</v>
      </c>
    </row>
    <row r="2570" spans="1:8" x14ac:dyDescent="0.2">
      <c r="A2570" s="5" t="s">
        <v>13</v>
      </c>
      <c r="B2570" s="6" t="s">
        <v>19</v>
      </c>
      <c r="C2570" s="7" t="s">
        <v>2868</v>
      </c>
      <c r="D2570" s="7"/>
      <c r="E2570" s="8">
        <v>1.28209284</v>
      </c>
      <c r="F2570" s="8">
        <v>1.86254732</v>
      </c>
      <c r="G2570" s="7" t="str">
        <f t="shared" si="16"/>
        <v>Direct</v>
      </c>
      <c r="H2570" s="7" t="s">
        <v>2869</v>
      </c>
    </row>
    <row r="2571" spans="1:8" x14ac:dyDescent="0.2">
      <c r="A2571" s="5" t="s">
        <v>13</v>
      </c>
      <c r="B2571" s="6" t="s">
        <v>19</v>
      </c>
      <c r="C2571" s="7" t="s">
        <v>2870</v>
      </c>
      <c r="D2571" s="7"/>
      <c r="E2571" s="8">
        <v>-2.1274856999999998</v>
      </c>
      <c r="F2571" s="8">
        <v>-2.3605176000000001</v>
      </c>
      <c r="G2571" s="7" t="str">
        <f t="shared" si="16"/>
        <v>Direct</v>
      </c>
      <c r="H2571" s="7" t="s">
        <v>1533</v>
      </c>
    </row>
    <row r="2572" spans="1:8" x14ac:dyDescent="0.2">
      <c r="A2572" s="5" t="s">
        <v>13</v>
      </c>
      <c r="B2572" s="6" t="s">
        <v>19</v>
      </c>
      <c r="C2572" s="7" t="s">
        <v>2871</v>
      </c>
      <c r="D2572" s="7"/>
      <c r="E2572" s="8">
        <v>1.2625593900000001</v>
      </c>
      <c r="F2572" s="8">
        <v>1.15392648</v>
      </c>
      <c r="G2572" s="7" t="str">
        <f t="shared" si="16"/>
        <v>Direct</v>
      </c>
      <c r="H2572" s="7" t="s">
        <v>2872</v>
      </c>
    </row>
    <row r="2573" spans="1:8" x14ac:dyDescent="0.2">
      <c r="A2573" s="5" t="s">
        <v>13</v>
      </c>
      <c r="B2573" s="6" t="s">
        <v>19</v>
      </c>
      <c r="C2573" s="7" t="s">
        <v>2873</v>
      </c>
      <c r="D2573" s="7"/>
      <c r="E2573" s="8">
        <v>-2.6133223999999999</v>
      </c>
      <c r="F2573" s="8">
        <v>-1.0920352</v>
      </c>
      <c r="G2573" s="7" t="str">
        <f t="shared" si="16"/>
        <v>Direct</v>
      </c>
      <c r="H2573" s="7" t="s">
        <v>2874</v>
      </c>
    </row>
    <row r="2574" spans="1:8" x14ac:dyDescent="0.2">
      <c r="A2574" s="5" t="s">
        <v>13</v>
      </c>
      <c r="B2574" s="6" t="s">
        <v>19</v>
      </c>
      <c r="C2574" s="7" t="s">
        <v>2875</v>
      </c>
      <c r="D2574" s="7"/>
      <c r="E2574" s="8">
        <v>-1.1223495999999999</v>
      </c>
      <c r="F2574" s="8">
        <v>-1.1233394999999999</v>
      </c>
      <c r="G2574" s="7" t="str">
        <f t="shared" si="16"/>
        <v>Direct</v>
      </c>
      <c r="H2574" s="7" t="s">
        <v>16</v>
      </c>
    </row>
    <row r="2575" spans="1:8" x14ac:dyDescent="0.2">
      <c r="A2575" s="5" t="s">
        <v>13</v>
      </c>
      <c r="B2575" s="6" t="s">
        <v>19</v>
      </c>
      <c r="C2575" s="7" t="s">
        <v>2876</v>
      </c>
      <c r="D2575" s="7"/>
      <c r="E2575" s="8">
        <v>2.5458938999999998</v>
      </c>
      <c r="F2575" s="8">
        <v>1.7596531500000001</v>
      </c>
      <c r="G2575" s="7" t="str">
        <f t="shared" si="16"/>
        <v>Direct</v>
      </c>
      <c r="H2575" s="7" t="s">
        <v>16</v>
      </c>
    </row>
    <row r="2576" spans="1:8" x14ac:dyDescent="0.2">
      <c r="A2576" s="5" t="s">
        <v>13</v>
      </c>
      <c r="B2576" s="6" t="s">
        <v>19</v>
      </c>
      <c r="C2576" s="7" t="s">
        <v>2877</v>
      </c>
      <c r="D2576" s="7"/>
      <c r="E2576" s="8">
        <v>-1.8100655999999999</v>
      </c>
      <c r="F2576" s="8">
        <v>-1.6285646</v>
      </c>
      <c r="G2576" s="7" t="str">
        <f t="shared" si="16"/>
        <v>Direct</v>
      </c>
      <c r="H2576" s="7" t="s">
        <v>2878</v>
      </c>
    </row>
    <row r="2577" spans="1:8" x14ac:dyDescent="0.2">
      <c r="A2577" s="5" t="s">
        <v>13</v>
      </c>
      <c r="B2577" s="6" t="s">
        <v>19</v>
      </c>
      <c r="C2577" s="7" t="s">
        <v>2879</v>
      </c>
      <c r="D2577" s="7"/>
      <c r="E2577" s="8">
        <v>1.7774966400000001</v>
      </c>
      <c r="F2577" s="8">
        <v>1.9294872000000001</v>
      </c>
      <c r="G2577" s="7" t="str">
        <f t="shared" si="16"/>
        <v>Direct</v>
      </c>
      <c r="H2577" s="7" t="s">
        <v>2880</v>
      </c>
    </row>
    <row r="2578" spans="1:8" x14ac:dyDescent="0.2">
      <c r="A2578" s="5" t="s">
        <v>13</v>
      </c>
      <c r="B2578" s="6" t="s">
        <v>19</v>
      </c>
      <c r="C2578" s="7" t="s">
        <v>2881</v>
      </c>
      <c r="D2578" s="7"/>
      <c r="E2578" s="8">
        <v>1.7658727700000001</v>
      </c>
      <c r="F2578" s="8">
        <v>1.5362275299999999</v>
      </c>
      <c r="G2578" s="7" t="str">
        <f t="shared" si="16"/>
        <v>Direct</v>
      </c>
      <c r="H2578" s="7" t="s">
        <v>16</v>
      </c>
    </row>
    <row r="2579" spans="1:8" x14ac:dyDescent="0.2">
      <c r="A2579" s="5" t="s">
        <v>13</v>
      </c>
      <c r="B2579" s="6" t="s">
        <v>19</v>
      </c>
      <c r="C2579" s="7" t="s">
        <v>2882</v>
      </c>
      <c r="D2579" s="7"/>
      <c r="E2579" s="8">
        <v>-1.7418053</v>
      </c>
      <c r="F2579" s="8">
        <v>-1.1103831</v>
      </c>
      <c r="G2579" s="7" t="str">
        <f t="shared" si="16"/>
        <v>Direct</v>
      </c>
      <c r="H2579" s="7" t="s">
        <v>2883</v>
      </c>
    </row>
    <row r="2580" spans="1:8" x14ac:dyDescent="0.2">
      <c r="A2580" s="5" t="s">
        <v>13</v>
      </c>
      <c r="B2580" s="6" t="s">
        <v>19</v>
      </c>
      <c r="C2580" s="7" t="s">
        <v>2884</v>
      </c>
      <c r="D2580" s="7"/>
      <c r="E2580" s="8">
        <v>3.2009003300000001</v>
      </c>
      <c r="F2580" s="8">
        <v>3.9847040499999999</v>
      </c>
      <c r="G2580" s="7" t="str">
        <f t="shared" si="16"/>
        <v>Direct</v>
      </c>
      <c r="H2580" s="7" t="s">
        <v>2885</v>
      </c>
    </row>
    <row r="2581" spans="1:8" x14ac:dyDescent="0.2">
      <c r="A2581" s="5" t="s">
        <v>13</v>
      </c>
      <c r="B2581" s="6" t="s">
        <v>19</v>
      </c>
      <c r="C2581" s="7" t="s">
        <v>2886</v>
      </c>
      <c r="D2581" s="7"/>
      <c r="E2581" s="8">
        <v>6.4681963099999997</v>
      </c>
      <c r="F2581" s="8">
        <v>4.2987015900000003</v>
      </c>
      <c r="G2581" s="7" t="str">
        <f t="shared" si="16"/>
        <v>Direct</v>
      </c>
      <c r="H2581" s="7" t="s">
        <v>2887</v>
      </c>
    </row>
    <row r="2582" spans="1:8" x14ac:dyDescent="0.2">
      <c r="A2582" s="5" t="s">
        <v>13</v>
      </c>
      <c r="B2582" s="6" t="s">
        <v>19</v>
      </c>
      <c r="C2582" s="7" t="s">
        <v>2888</v>
      </c>
      <c r="D2582" s="7"/>
      <c r="E2582" s="8">
        <v>1.4628257099999999</v>
      </c>
      <c r="F2582" s="8">
        <v>1.13629885</v>
      </c>
      <c r="G2582" s="7" t="str">
        <f t="shared" si="16"/>
        <v>Direct</v>
      </c>
      <c r="H2582" s="7" t="s">
        <v>16</v>
      </c>
    </row>
    <row r="2583" spans="1:8" x14ac:dyDescent="0.2">
      <c r="A2583" s="5" t="s">
        <v>13</v>
      </c>
      <c r="B2583" s="6" t="s">
        <v>19</v>
      </c>
      <c r="C2583" s="7" t="s">
        <v>2889</v>
      </c>
      <c r="D2583" s="7"/>
      <c r="E2583" s="8">
        <v>-1.9557848</v>
      </c>
      <c r="F2583" s="8">
        <v>-1.5562715</v>
      </c>
      <c r="G2583" s="7" t="str">
        <f t="shared" si="16"/>
        <v>Direct</v>
      </c>
      <c r="H2583" s="7" t="s">
        <v>1348</v>
      </c>
    </row>
    <row r="2584" spans="1:8" x14ac:dyDescent="0.2">
      <c r="A2584" s="5" t="s">
        <v>13</v>
      </c>
      <c r="B2584" s="6" t="s">
        <v>19</v>
      </c>
      <c r="C2584" s="7" t="s">
        <v>2890</v>
      </c>
      <c r="D2584" s="7"/>
      <c r="E2584" s="8">
        <v>-2.7189036999999998</v>
      </c>
      <c r="F2584" s="8">
        <v>-3.1480144999999999</v>
      </c>
      <c r="G2584" s="7" t="str">
        <f t="shared" si="16"/>
        <v>Direct</v>
      </c>
      <c r="H2584" s="7" t="s">
        <v>2891</v>
      </c>
    </row>
    <row r="2585" spans="1:8" x14ac:dyDescent="0.2">
      <c r="A2585" s="5" t="s">
        <v>13</v>
      </c>
      <c r="B2585" s="6" t="s">
        <v>19</v>
      </c>
      <c r="C2585" s="7" t="s">
        <v>2892</v>
      </c>
      <c r="D2585" s="7"/>
      <c r="E2585" s="8">
        <v>3.1790626999999998</v>
      </c>
      <c r="F2585" s="8">
        <v>2.8666081000000001</v>
      </c>
      <c r="G2585" s="7" t="str">
        <f t="shared" si="16"/>
        <v>Direct</v>
      </c>
      <c r="H2585" s="7" t="s">
        <v>16</v>
      </c>
    </row>
    <row r="2586" spans="1:8" x14ac:dyDescent="0.2">
      <c r="A2586" s="5" t="s">
        <v>13</v>
      </c>
      <c r="B2586" s="6" t="s">
        <v>19</v>
      </c>
      <c r="C2586" s="7" t="s">
        <v>2893</v>
      </c>
      <c r="D2586" s="7"/>
      <c r="E2586" s="8">
        <v>3.30834772</v>
      </c>
      <c r="F2586" s="8">
        <v>2.7623998599999999</v>
      </c>
      <c r="G2586" s="7" t="str">
        <f t="shared" si="16"/>
        <v>Direct</v>
      </c>
      <c r="H2586" s="7" t="s">
        <v>16</v>
      </c>
    </row>
    <row r="2587" spans="1:8" x14ac:dyDescent="0.2">
      <c r="A2587" s="5" t="s">
        <v>13</v>
      </c>
      <c r="B2587" s="6" t="s">
        <v>19</v>
      </c>
      <c r="C2587" s="7" t="s">
        <v>2894</v>
      </c>
      <c r="D2587" s="7"/>
      <c r="E2587" s="8">
        <v>2.1255974800000002</v>
      </c>
      <c r="F2587" s="8">
        <v>2.8114673799999998</v>
      </c>
      <c r="G2587" s="7" t="str">
        <f t="shared" si="16"/>
        <v>Direct</v>
      </c>
      <c r="H2587" s="7" t="s">
        <v>16</v>
      </c>
    </row>
    <row r="2588" spans="1:8" x14ac:dyDescent="0.2">
      <c r="A2588" s="5" t="s">
        <v>13</v>
      </c>
      <c r="B2588" s="6" t="s">
        <v>19</v>
      </c>
      <c r="C2588" s="7" t="s">
        <v>497</v>
      </c>
      <c r="D2588" s="7"/>
      <c r="E2588" s="8">
        <v>-1.0027423</v>
      </c>
      <c r="F2588" s="8">
        <v>-1.1586075</v>
      </c>
      <c r="G2588" s="7" t="str">
        <f t="shared" si="16"/>
        <v>Direct</v>
      </c>
      <c r="H2588" s="7" t="s">
        <v>498</v>
      </c>
    </row>
    <row r="2589" spans="1:8" x14ac:dyDescent="0.2">
      <c r="A2589" s="5" t="s">
        <v>13</v>
      </c>
      <c r="B2589" s="6" t="s">
        <v>19</v>
      </c>
      <c r="C2589" s="7" t="s">
        <v>2895</v>
      </c>
      <c r="D2589" s="7"/>
      <c r="E2589" s="8">
        <v>-1.395683</v>
      </c>
      <c r="F2589" s="8">
        <v>-1.5318058000000001</v>
      </c>
      <c r="G2589" s="7" t="str">
        <f t="shared" si="16"/>
        <v>Direct</v>
      </c>
      <c r="H2589" s="7" t="s">
        <v>2896</v>
      </c>
    </row>
    <row r="2590" spans="1:8" x14ac:dyDescent="0.2">
      <c r="A2590" s="5" t="s">
        <v>13</v>
      </c>
      <c r="B2590" s="6" t="s">
        <v>19</v>
      </c>
      <c r="C2590" s="7" t="s">
        <v>2897</v>
      </c>
      <c r="D2590" s="7"/>
      <c r="E2590" s="8">
        <v>-2.2781335</v>
      </c>
      <c r="F2590" s="8">
        <v>-2.0862847000000002</v>
      </c>
      <c r="G2590" s="7" t="str">
        <f t="shared" si="16"/>
        <v>Direct</v>
      </c>
      <c r="H2590" s="7" t="s">
        <v>2898</v>
      </c>
    </row>
    <row r="2591" spans="1:8" x14ac:dyDescent="0.2">
      <c r="A2591" s="5" t="s">
        <v>13</v>
      </c>
      <c r="B2591" s="6" t="s">
        <v>19</v>
      </c>
      <c r="C2591" s="7" t="s">
        <v>2899</v>
      </c>
      <c r="D2591" s="7"/>
      <c r="E2591" s="8">
        <v>-2.2414809999999998</v>
      </c>
      <c r="F2591" s="8">
        <v>-1.4654142999999999</v>
      </c>
      <c r="G2591" s="7" t="str">
        <f t="shared" si="16"/>
        <v>Direct</v>
      </c>
      <c r="H2591" s="7" t="s">
        <v>42</v>
      </c>
    </row>
    <row r="2592" spans="1:8" x14ac:dyDescent="0.2">
      <c r="A2592" s="5" t="s">
        <v>13</v>
      </c>
      <c r="B2592" s="6" t="s">
        <v>19</v>
      </c>
      <c r="C2592" s="7" t="s">
        <v>2900</v>
      </c>
      <c r="D2592" s="7"/>
      <c r="E2592" s="8">
        <v>3.1001533700000001</v>
      </c>
      <c r="F2592" s="8">
        <v>2.4444277900000002</v>
      </c>
      <c r="G2592" s="7" t="str">
        <f t="shared" si="16"/>
        <v>Direct</v>
      </c>
      <c r="H2592" s="7" t="s">
        <v>16</v>
      </c>
    </row>
    <row r="2593" spans="1:8" x14ac:dyDescent="0.2">
      <c r="A2593" s="5" t="s">
        <v>13</v>
      </c>
      <c r="B2593" s="6" t="s">
        <v>19</v>
      </c>
      <c r="C2593" s="7" t="s">
        <v>2901</v>
      </c>
      <c r="D2593" s="7"/>
      <c r="E2593" s="8">
        <v>-3.2501791</v>
      </c>
      <c r="F2593" s="8">
        <v>-2.0610696000000002</v>
      </c>
      <c r="G2593" s="7" t="str">
        <f t="shared" si="16"/>
        <v>Direct</v>
      </c>
      <c r="H2593" s="7" t="s">
        <v>2902</v>
      </c>
    </row>
    <row r="2594" spans="1:8" x14ac:dyDescent="0.2">
      <c r="A2594" s="5" t="s">
        <v>13</v>
      </c>
      <c r="B2594" s="6" t="s">
        <v>19</v>
      </c>
      <c r="C2594" s="7" t="s">
        <v>2903</v>
      </c>
      <c r="D2594" s="7"/>
      <c r="E2594" s="8">
        <v>-1.6314654</v>
      </c>
      <c r="F2594" s="8">
        <v>-1.1651841999999999</v>
      </c>
      <c r="G2594" s="7" t="str">
        <f t="shared" si="16"/>
        <v>Direct</v>
      </c>
      <c r="H2594" s="7" t="s">
        <v>2904</v>
      </c>
    </row>
    <row r="2595" spans="1:8" x14ac:dyDescent="0.2">
      <c r="A2595" s="5" t="s">
        <v>13</v>
      </c>
      <c r="B2595" s="6" t="s">
        <v>19</v>
      </c>
      <c r="C2595" s="7" t="s">
        <v>501</v>
      </c>
      <c r="D2595" s="7"/>
      <c r="E2595" s="8">
        <v>-2.3847629000000001</v>
      </c>
      <c r="F2595" s="8">
        <v>-2.5412837000000001</v>
      </c>
      <c r="G2595" s="7" t="str">
        <f t="shared" si="16"/>
        <v>Direct</v>
      </c>
      <c r="H2595" s="7" t="s">
        <v>502</v>
      </c>
    </row>
    <row r="2596" spans="1:8" x14ac:dyDescent="0.2">
      <c r="A2596" s="5" t="s">
        <v>13</v>
      </c>
      <c r="B2596" s="6" t="s">
        <v>19</v>
      </c>
      <c r="C2596" s="7" t="s">
        <v>2905</v>
      </c>
      <c r="D2596" s="7"/>
      <c r="E2596" s="8">
        <v>-1.5705260000000001</v>
      </c>
      <c r="F2596" s="8">
        <v>-1.4599399</v>
      </c>
      <c r="G2596" s="7" t="str">
        <f t="shared" si="16"/>
        <v>Direct</v>
      </c>
      <c r="H2596" s="7" t="s">
        <v>640</v>
      </c>
    </row>
    <row r="2597" spans="1:8" x14ac:dyDescent="0.2">
      <c r="A2597" s="5" t="s">
        <v>13</v>
      </c>
      <c r="B2597" s="6" t="s">
        <v>19</v>
      </c>
      <c r="C2597" s="7" t="s">
        <v>503</v>
      </c>
      <c r="D2597" s="7"/>
      <c r="E2597" s="8">
        <v>-2.5436209999999999</v>
      </c>
      <c r="F2597" s="8">
        <v>-1.7264592999999999</v>
      </c>
      <c r="G2597" s="7" t="str">
        <f t="shared" si="16"/>
        <v>Direct</v>
      </c>
      <c r="H2597" s="7" t="s">
        <v>504</v>
      </c>
    </row>
    <row r="2598" spans="1:8" x14ac:dyDescent="0.2">
      <c r="A2598" s="5" t="s">
        <v>13</v>
      </c>
      <c r="B2598" s="6" t="s">
        <v>19</v>
      </c>
      <c r="C2598" s="7" t="s">
        <v>505</v>
      </c>
      <c r="D2598" s="7"/>
      <c r="E2598" s="8">
        <v>3.9087286099999998</v>
      </c>
      <c r="F2598" s="8">
        <v>1.75289147</v>
      </c>
      <c r="G2598" s="7" t="str">
        <f t="shared" si="16"/>
        <v>Direct</v>
      </c>
      <c r="H2598" s="7" t="s">
        <v>506</v>
      </c>
    </row>
    <row r="2599" spans="1:8" x14ac:dyDescent="0.2">
      <c r="A2599" s="5" t="s">
        <v>13</v>
      </c>
      <c r="B2599" s="6" t="s">
        <v>19</v>
      </c>
      <c r="C2599" s="7" t="s">
        <v>2906</v>
      </c>
      <c r="D2599" s="7"/>
      <c r="E2599" s="8">
        <v>2.58344226</v>
      </c>
      <c r="F2599" s="8">
        <v>2.55324873</v>
      </c>
      <c r="G2599" s="7" t="str">
        <f t="shared" si="16"/>
        <v>Direct</v>
      </c>
      <c r="H2599" s="7" t="s">
        <v>506</v>
      </c>
    </row>
    <row r="2600" spans="1:8" x14ac:dyDescent="0.2">
      <c r="A2600" s="5" t="s">
        <v>13</v>
      </c>
      <c r="B2600" s="6" t="s">
        <v>19</v>
      </c>
      <c r="C2600" s="7" t="s">
        <v>2907</v>
      </c>
      <c r="D2600" s="7"/>
      <c r="E2600" s="8">
        <v>-1.9768057999999999</v>
      </c>
      <c r="F2600" s="8">
        <v>-1.8691553999999999</v>
      </c>
      <c r="G2600" s="7" t="str">
        <f t="shared" si="16"/>
        <v>Direct</v>
      </c>
      <c r="H2600" s="7" t="s">
        <v>1440</v>
      </c>
    </row>
    <row r="2601" spans="1:8" x14ac:dyDescent="0.2">
      <c r="A2601" s="5" t="s">
        <v>13</v>
      </c>
      <c r="B2601" s="6" t="s">
        <v>19</v>
      </c>
      <c r="C2601" s="7" t="s">
        <v>2908</v>
      </c>
      <c r="D2601" s="7"/>
      <c r="E2601" s="8">
        <v>1.0832021599999999</v>
      </c>
      <c r="F2601" s="8">
        <v>1.3163767799999999</v>
      </c>
      <c r="G2601" s="7" t="str">
        <f t="shared" si="16"/>
        <v>Direct</v>
      </c>
      <c r="H2601" s="7" t="s">
        <v>16</v>
      </c>
    </row>
    <row r="2602" spans="1:8" x14ac:dyDescent="0.2">
      <c r="A2602" s="5" t="s">
        <v>13</v>
      </c>
      <c r="B2602" s="6" t="s">
        <v>19</v>
      </c>
      <c r="C2602" s="7" t="s">
        <v>2909</v>
      </c>
      <c r="D2602" s="7"/>
      <c r="E2602" s="8">
        <v>-2.1594663999999999</v>
      </c>
      <c r="F2602" s="8">
        <v>-1.0991318000000001</v>
      </c>
      <c r="G2602" s="7" t="str">
        <f t="shared" si="16"/>
        <v>Direct</v>
      </c>
      <c r="H2602" s="7" t="s">
        <v>16</v>
      </c>
    </row>
    <row r="2603" spans="1:8" x14ac:dyDescent="0.2">
      <c r="A2603" s="5" t="s">
        <v>13</v>
      </c>
      <c r="B2603" s="6" t="s">
        <v>19</v>
      </c>
      <c r="C2603" s="7" t="s">
        <v>2910</v>
      </c>
      <c r="D2603" s="7"/>
      <c r="E2603" s="8">
        <v>6.7318735700000003</v>
      </c>
      <c r="F2603" s="8">
        <v>4.80529399</v>
      </c>
      <c r="G2603" s="7" t="str">
        <f t="shared" si="16"/>
        <v>Direct</v>
      </c>
      <c r="H2603" s="7" t="s">
        <v>16</v>
      </c>
    </row>
    <row r="2604" spans="1:8" x14ac:dyDescent="0.2">
      <c r="A2604" s="5" t="s">
        <v>13</v>
      </c>
      <c r="B2604" s="6" t="s">
        <v>19</v>
      </c>
      <c r="C2604" s="7" t="s">
        <v>2911</v>
      </c>
      <c r="D2604" s="7"/>
      <c r="E2604" s="8">
        <v>-2.3770897999999998</v>
      </c>
      <c r="F2604" s="8">
        <v>-1.7435702</v>
      </c>
      <c r="G2604" s="7" t="str">
        <f t="shared" si="16"/>
        <v>Direct</v>
      </c>
      <c r="H2604" s="7" t="s">
        <v>2912</v>
      </c>
    </row>
    <row r="2605" spans="1:8" x14ac:dyDescent="0.2">
      <c r="A2605" s="5" t="s">
        <v>13</v>
      </c>
      <c r="B2605" s="6" t="s">
        <v>19</v>
      </c>
      <c r="C2605" s="7" t="s">
        <v>2913</v>
      </c>
      <c r="D2605" s="7"/>
      <c r="E2605" s="8">
        <v>-1.1337743</v>
      </c>
      <c r="F2605" s="8">
        <v>-1.3332344</v>
      </c>
      <c r="G2605" s="7" t="str">
        <f t="shared" si="16"/>
        <v>Direct</v>
      </c>
      <c r="H2605" s="7" t="s">
        <v>2914</v>
      </c>
    </row>
    <row r="2606" spans="1:8" x14ac:dyDescent="0.2">
      <c r="A2606" s="5" t="s">
        <v>13</v>
      </c>
      <c r="B2606" s="6" t="s">
        <v>19</v>
      </c>
      <c r="C2606" s="7" t="s">
        <v>2915</v>
      </c>
      <c r="D2606" s="7"/>
      <c r="E2606" s="8">
        <v>2.2357248699999999</v>
      </c>
      <c r="F2606" s="8">
        <v>2.02189562</v>
      </c>
      <c r="G2606" s="7" t="str">
        <f t="shared" si="16"/>
        <v>Direct</v>
      </c>
      <c r="H2606" s="7" t="s">
        <v>16</v>
      </c>
    </row>
    <row r="2607" spans="1:8" x14ac:dyDescent="0.2">
      <c r="A2607" s="5" t="s">
        <v>13</v>
      </c>
      <c r="B2607" s="6" t="s">
        <v>19</v>
      </c>
      <c r="C2607" s="7" t="s">
        <v>2916</v>
      </c>
      <c r="D2607" s="7"/>
      <c r="E2607" s="8">
        <v>-1.6010221</v>
      </c>
      <c r="F2607" s="8">
        <v>-1.8070778000000001</v>
      </c>
      <c r="G2607" s="7" t="str">
        <f t="shared" si="16"/>
        <v>Direct</v>
      </c>
      <c r="H2607" s="7" t="s">
        <v>16</v>
      </c>
    </row>
    <row r="2608" spans="1:8" x14ac:dyDescent="0.2">
      <c r="A2608" s="5" t="s">
        <v>13</v>
      </c>
      <c r="B2608" s="6" t="s">
        <v>19</v>
      </c>
      <c r="C2608" s="7" t="s">
        <v>2917</v>
      </c>
      <c r="D2608" s="7"/>
      <c r="E2608" s="8">
        <v>-2.6900415999999998</v>
      </c>
      <c r="F2608" s="8">
        <v>-1.8537311999999999</v>
      </c>
      <c r="G2608" s="7" t="str">
        <f t="shared" si="16"/>
        <v>Direct</v>
      </c>
      <c r="H2608" s="7" t="s">
        <v>1143</v>
      </c>
    </row>
    <row r="2609" spans="1:8" x14ac:dyDescent="0.2">
      <c r="A2609" s="5" t="s">
        <v>13</v>
      </c>
      <c r="B2609" s="6" t="s">
        <v>19</v>
      </c>
      <c r="C2609" s="7" t="s">
        <v>2918</v>
      </c>
      <c r="D2609" s="7"/>
      <c r="E2609" s="8">
        <v>1.54295801</v>
      </c>
      <c r="F2609" s="8">
        <v>1.19589737</v>
      </c>
      <c r="G2609" s="7" t="str">
        <f t="shared" si="16"/>
        <v>Direct</v>
      </c>
      <c r="H2609" s="7" t="s">
        <v>2919</v>
      </c>
    </row>
    <row r="2610" spans="1:8" x14ac:dyDescent="0.2">
      <c r="A2610" s="5" t="s">
        <v>13</v>
      </c>
      <c r="B2610" s="6" t="s">
        <v>19</v>
      </c>
      <c r="C2610" s="7" t="s">
        <v>2920</v>
      </c>
      <c r="D2610" s="7"/>
      <c r="E2610" s="8">
        <v>2.6045561400000001</v>
      </c>
      <c r="F2610" s="8">
        <v>4.0945804399999997</v>
      </c>
      <c r="G2610" s="7" t="str">
        <f t="shared" si="16"/>
        <v>Direct</v>
      </c>
      <c r="H2610" s="7" t="s">
        <v>2921</v>
      </c>
    </row>
    <row r="2611" spans="1:8" x14ac:dyDescent="0.2">
      <c r="A2611" s="5" t="s">
        <v>13</v>
      </c>
      <c r="B2611" s="6" t="s">
        <v>19</v>
      </c>
      <c r="C2611" s="7" t="s">
        <v>2922</v>
      </c>
      <c r="D2611" s="7"/>
      <c r="E2611" s="8">
        <v>-1.4050997999999999</v>
      </c>
      <c r="F2611" s="8">
        <v>-1.691316</v>
      </c>
      <c r="G2611" s="7" t="str">
        <f t="shared" si="16"/>
        <v>Direct</v>
      </c>
      <c r="H2611" s="7" t="s">
        <v>2923</v>
      </c>
    </row>
    <row r="2612" spans="1:8" x14ac:dyDescent="0.2">
      <c r="A2612" s="5" t="s">
        <v>13</v>
      </c>
      <c r="B2612" s="6" t="s">
        <v>19</v>
      </c>
      <c r="C2612" s="7" t="s">
        <v>2924</v>
      </c>
      <c r="D2612" s="7"/>
      <c r="E2612" s="8">
        <v>-2.6604523000000002</v>
      </c>
      <c r="F2612" s="8">
        <v>-2.7193124000000002</v>
      </c>
      <c r="G2612" s="7" t="str">
        <f t="shared" si="16"/>
        <v>Direct</v>
      </c>
      <c r="H2612" s="7" t="s">
        <v>2925</v>
      </c>
    </row>
    <row r="2613" spans="1:8" x14ac:dyDescent="0.2">
      <c r="A2613" s="5" t="s">
        <v>13</v>
      </c>
      <c r="B2613" s="6" t="s">
        <v>19</v>
      </c>
      <c r="C2613" s="7" t="s">
        <v>2926</v>
      </c>
      <c r="D2613" s="7"/>
      <c r="E2613" s="8">
        <v>-1.6003963999999999</v>
      </c>
      <c r="F2613" s="8">
        <v>-2.3366859999999998</v>
      </c>
      <c r="G2613" s="7" t="str">
        <f t="shared" si="16"/>
        <v>Direct</v>
      </c>
      <c r="H2613" s="7" t="s">
        <v>16</v>
      </c>
    </row>
    <row r="2614" spans="1:8" x14ac:dyDescent="0.2">
      <c r="A2614" s="5" t="s">
        <v>13</v>
      </c>
      <c r="B2614" s="6" t="s">
        <v>19</v>
      </c>
      <c r="C2614" s="7" t="s">
        <v>2927</v>
      </c>
      <c r="D2614" s="7"/>
      <c r="E2614" s="8">
        <v>-1.2160271</v>
      </c>
      <c r="F2614" s="8">
        <v>-1.3718815</v>
      </c>
      <c r="G2614" s="7" t="str">
        <f t="shared" si="16"/>
        <v>Direct</v>
      </c>
      <c r="H2614" s="7" t="s">
        <v>2928</v>
      </c>
    </row>
    <row r="2615" spans="1:8" x14ac:dyDescent="0.2">
      <c r="A2615" s="5" t="s">
        <v>13</v>
      </c>
      <c r="B2615" s="6" t="s">
        <v>19</v>
      </c>
      <c r="C2615" s="7" t="s">
        <v>2929</v>
      </c>
      <c r="D2615" s="7"/>
      <c r="E2615" s="8">
        <v>-3.1344761000000001</v>
      </c>
      <c r="F2615" s="8">
        <v>-2.4977490000000002</v>
      </c>
      <c r="G2615" s="7" t="str">
        <f t="shared" si="16"/>
        <v>Direct</v>
      </c>
      <c r="H2615" s="7" t="s">
        <v>2930</v>
      </c>
    </row>
    <row r="2616" spans="1:8" x14ac:dyDescent="0.2">
      <c r="A2616" s="5" t="s">
        <v>13</v>
      </c>
      <c r="B2616" s="6" t="s">
        <v>19</v>
      </c>
      <c r="C2616" s="7" t="s">
        <v>2931</v>
      </c>
      <c r="D2616" s="7"/>
      <c r="E2616" s="8">
        <v>-1.0007725000000001</v>
      </c>
      <c r="F2616" s="8">
        <v>-2.7661362</v>
      </c>
      <c r="G2616" s="7" t="str">
        <f t="shared" si="16"/>
        <v>Direct</v>
      </c>
      <c r="H2616" s="7" t="s">
        <v>2932</v>
      </c>
    </row>
    <row r="2617" spans="1:8" x14ac:dyDescent="0.2">
      <c r="A2617" s="5" t="s">
        <v>13</v>
      </c>
      <c r="B2617" s="6" t="s">
        <v>19</v>
      </c>
      <c r="C2617" s="7" t="s">
        <v>2933</v>
      </c>
      <c r="D2617" s="7"/>
      <c r="E2617" s="8">
        <v>-1.5357746000000001</v>
      </c>
      <c r="F2617" s="8">
        <v>-1.6164523</v>
      </c>
      <c r="G2617" s="7" t="str">
        <f t="shared" si="16"/>
        <v>Direct</v>
      </c>
      <c r="H2617" s="7" t="s">
        <v>2934</v>
      </c>
    </row>
    <row r="2618" spans="1:8" x14ac:dyDescent="0.2">
      <c r="A2618" s="5" t="s">
        <v>13</v>
      </c>
      <c r="B2618" s="6" t="s">
        <v>19</v>
      </c>
      <c r="C2618" s="7" t="s">
        <v>2935</v>
      </c>
      <c r="D2618" s="7"/>
      <c r="E2618" s="8">
        <v>-4.6861552</v>
      </c>
      <c r="F2618" s="8">
        <v>-4.8062044000000004</v>
      </c>
      <c r="G2618" s="7" t="str">
        <f t="shared" si="16"/>
        <v>Direct</v>
      </c>
      <c r="H2618" s="7" t="s">
        <v>16</v>
      </c>
    </row>
    <row r="2619" spans="1:8" x14ac:dyDescent="0.2">
      <c r="A2619" s="5" t="s">
        <v>13</v>
      </c>
      <c r="B2619" s="6" t="s">
        <v>19</v>
      </c>
      <c r="C2619" s="7" t="s">
        <v>2936</v>
      </c>
      <c r="D2619" s="7"/>
      <c r="E2619" s="8">
        <v>-2.7634932000000001</v>
      </c>
      <c r="F2619" s="8">
        <v>-2.7480373999999999</v>
      </c>
      <c r="G2619" s="7" t="str">
        <f t="shared" si="16"/>
        <v>Direct</v>
      </c>
      <c r="H2619" s="7" t="s">
        <v>16</v>
      </c>
    </row>
    <row r="2620" spans="1:8" x14ac:dyDescent="0.2">
      <c r="A2620" s="5" t="s">
        <v>13</v>
      </c>
      <c r="B2620" s="6" t="s">
        <v>19</v>
      </c>
      <c r="C2620" s="7" t="s">
        <v>2937</v>
      </c>
      <c r="D2620" s="7"/>
      <c r="E2620" s="8">
        <v>-6.9487819999999996</v>
      </c>
      <c r="F2620" s="8">
        <v>-3.7938177999999998</v>
      </c>
      <c r="G2620" s="7" t="str">
        <f t="shared" si="16"/>
        <v>Direct</v>
      </c>
      <c r="H2620" s="7" t="s">
        <v>16</v>
      </c>
    </row>
    <row r="2621" spans="1:8" x14ac:dyDescent="0.2">
      <c r="A2621" s="5" t="s">
        <v>13</v>
      </c>
      <c r="B2621" s="6" t="s">
        <v>19</v>
      </c>
      <c r="C2621" s="7" t="s">
        <v>2938</v>
      </c>
      <c r="D2621" s="7"/>
      <c r="E2621" s="8">
        <v>-2.1936442</v>
      </c>
      <c r="F2621" s="8">
        <v>-2.1721336999999998</v>
      </c>
      <c r="G2621" s="7" t="str">
        <f t="shared" si="16"/>
        <v>Direct</v>
      </c>
      <c r="H2621" s="7" t="s">
        <v>16</v>
      </c>
    </row>
    <row r="2622" spans="1:8" x14ac:dyDescent="0.2">
      <c r="A2622" s="5" t="s">
        <v>13</v>
      </c>
      <c r="B2622" s="6" t="s">
        <v>19</v>
      </c>
      <c r="C2622" s="7" t="s">
        <v>2939</v>
      </c>
      <c r="D2622" s="7"/>
      <c r="E2622" s="8">
        <v>-4.1929683999999998</v>
      </c>
      <c r="F2622" s="8">
        <v>-3.0387754</v>
      </c>
      <c r="G2622" s="7" t="str">
        <f t="shared" si="16"/>
        <v>Direct</v>
      </c>
      <c r="H2622" s="7" t="s">
        <v>2940</v>
      </c>
    </row>
    <row r="2623" spans="1:8" x14ac:dyDescent="0.2">
      <c r="A2623" s="5" t="s">
        <v>13</v>
      </c>
      <c r="B2623" s="6" t="s">
        <v>19</v>
      </c>
      <c r="C2623" s="7" t="s">
        <v>2941</v>
      </c>
      <c r="D2623" s="7"/>
      <c r="E2623" s="8">
        <v>-4.2092235999999996</v>
      </c>
      <c r="F2623" s="8">
        <v>-3.8458861</v>
      </c>
      <c r="G2623" s="7" t="str">
        <f t="shared" si="16"/>
        <v>Direct</v>
      </c>
      <c r="H2623" s="7" t="s">
        <v>525</v>
      </c>
    </row>
    <row r="2624" spans="1:8" x14ac:dyDescent="0.2">
      <c r="A2624" s="5" t="s">
        <v>13</v>
      </c>
      <c r="B2624" s="6" t="s">
        <v>19</v>
      </c>
      <c r="C2624" s="7" t="s">
        <v>509</v>
      </c>
      <c r="D2624" s="7"/>
      <c r="E2624" s="8">
        <v>-6.6274819000000003</v>
      </c>
      <c r="F2624" s="8">
        <v>-3.9148298000000001</v>
      </c>
      <c r="G2624" s="7" t="str">
        <f t="shared" si="16"/>
        <v>Direct</v>
      </c>
      <c r="H2624" s="7" t="s">
        <v>510</v>
      </c>
    </row>
    <row r="2625" spans="1:8" x14ac:dyDescent="0.2">
      <c r="A2625" s="5" t="s">
        <v>13</v>
      </c>
      <c r="B2625" s="6" t="s">
        <v>19</v>
      </c>
      <c r="C2625" s="7" t="s">
        <v>2942</v>
      </c>
      <c r="D2625" s="7"/>
      <c r="E2625" s="8">
        <v>1.5151312299999999</v>
      </c>
      <c r="F2625" s="8">
        <v>3.24577939</v>
      </c>
      <c r="G2625" s="7" t="str">
        <f t="shared" si="16"/>
        <v>Direct</v>
      </c>
      <c r="H2625" s="7" t="s">
        <v>1065</v>
      </c>
    </row>
    <row r="2626" spans="1:8" x14ac:dyDescent="0.2">
      <c r="A2626" s="5" t="s">
        <v>13</v>
      </c>
      <c r="B2626" s="6" t="s">
        <v>19</v>
      </c>
      <c r="C2626" s="7" t="s">
        <v>2943</v>
      </c>
      <c r="D2626" s="7"/>
      <c r="E2626" s="8">
        <v>4.3574131300000003</v>
      </c>
      <c r="F2626" s="8">
        <v>3.1995517200000001</v>
      </c>
      <c r="G2626" s="7" t="str">
        <f t="shared" si="16"/>
        <v>Direct</v>
      </c>
      <c r="H2626" s="7" t="s">
        <v>2944</v>
      </c>
    </row>
    <row r="2627" spans="1:8" x14ac:dyDescent="0.2">
      <c r="A2627" s="5" t="s">
        <v>13</v>
      </c>
      <c r="B2627" s="6" t="s">
        <v>19</v>
      </c>
      <c r="C2627" s="7" t="s">
        <v>2945</v>
      </c>
      <c r="D2627" s="7"/>
      <c r="E2627" s="8">
        <v>-1.9948779000000001</v>
      </c>
      <c r="F2627" s="8">
        <v>-1.3461536999999999</v>
      </c>
      <c r="G2627" s="7" t="str">
        <f t="shared" si="16"/>
        <v>Direct</v>
      </c>
      <c r="H2627" s="7" t="s">
        <v>513</v>
      </c>
    </row>
    <row r="2628" spans="1:8" x14ac:dyDescent="0.2">
      <c r="A2628" s="5" t="s">
        <v>13</v>
      </c>
      <c r="B2628" s="6" t="s">
        <v>19</v>
      </c>
      <c r="C2628" s="7" t="s">
        <v>2946</v>
      </c>
      <c r="D2628" s="7"/>
      <c r="E2628" s="8">
        <v>-1.8847872000000001</v>
      </c>
      <c r="F2628" s="8">
        <v>-1.8260934</v>
      </c>
      <c r="G2628" s="7" t="str">
        <f t="shared" si="16"/>
        <v>Direct</v>
      </c>
      <c r="H2628" s="7" t="s">
        <v>513</v>
      </c>
    </row>
    <row r="2629" spans="1:8" x14ac:dyDescent="0.2">
      <c r="A2629" s="5" t="s">
        <v>13</v>
      </c>
      <c r="B2629" s="6" t="s">
        <v>19</v>
      </c>
      <c r="C2629" s="7" t="s">
        <v>2947</v>
      </c>
      <c r="D2629" s="7"/>
      <c r="E2629" s="8">
        <v>-11.065991</v>
      </c>
      <c r="F2629" s="8">
        <v>-8.7129191000000006</v>
      </c>
      <c r="G2629" s="7" t="str">
        <f t="shared" si="16"/>
        <v>Direct</v>
      </c>
      <c r="H2629" s="7" t="s">
        <v>513</v>
      </c>
    </row>
    <row r="2630" spans="1:8" x14ac:dyDescent="0.2">
      <c r="A2630" s="5" t="s">
        <v>13</v>
      </c>
      <c r="B2630" s="6" t="s">
        <v>19</v>
      </c>
      <c r="C2630" s="7" t="s">
        <v>2948</v>
      </c>
      <c r="D2630" s="7"/>
      <c r="E2630" s="8">
        <v>-6.1981469000000002</v>
      </c>
      <c r="F2630" s="8">
        <v>-2.3581487999999999</v>
      </c>
      <c r="G2630" s="7" t="str">
        <f t="shared" si="16"/>
        <v>Direct</v>
      </c>
      <c r="H2630" s="7" t="s">
        <v>513</v>
      </c>
    </row>
    <row r="2631" spans="1:8" x14ac:dyDescent="0.2">
      <c r="A2631" s="5" t="s">
        <v>13</v>
      </c>
      <c r="B2631" s="6" t="s">
        <v>19</v>
      </c>
      <c r="C2631" s="7" t="s">
        <v>2949</v>
      </c>
      <c r="D2631" s="7"/>
      <c r="E2631" s="8">
        <v>-12.079803999999999</v>
      </c>
      <c r="F2631" s="8">
        <v>-8.3259322999999998</v>
      </c>
      <c r="G2631" s="7" t="str">
        <f t="shared" si="16"/>
        <v>Direct</v>
      </c>
      <c r="H2631" s="7" t="s">
        <v>513</v>
      </c>
    </row>
    <row r="2632" spans="1:8" x14ac:dyDescent="0.2">
      <c r="A2632" s="5" t="s">
        <v>13</v>
      </c>
      <c r="B2632" s="6" t="s">
        <v>19</v>
      </c>
      <c r="C2632" s="7" t="s">
        <v>2950</v>
      </c>
      <c r="D2632" s="7"/>
      <c r="E2632" s="8">
        <v>-9.3315867000000008</v>
      </c>
      <c r="F2632" s="8">
        <v>-5.7690431000000002</v>
      </c>
      <c r="G2632" s="7" t="str">
        <f t="shared" si="16"/>
        <v>Direct</v>
      </c>
      <c r="H2632" s="7" t="s">
        <v>513</v>
      </c>
    </row>
    <row r="2633" spans="1:8" x14ac:dyDescent="0.2">
      <c r="A2633" s="5" t="s">
        <v>13</v>
      </c>
      <c r="B2633" s="6" t="s">
        <v>19</v>
      </c>
      <c r="C2633" s="7" t="s">
        <v>512</v>
      </c>
      <c r="D2633" s="7"/>
      <c r="E2633" s="8">
        <v>-4.8055031000000001</v>
      </c>
      <c r="F2633" s="8">
        <v>-2.8760463999999999</v>
      </c>
      <c r="G2633" s="7" t="str">
        <f t="shared" si="16"/>
        <v>Direct</v>
      </c>
      <c r="H2633" s="7" t="s">
        <v>513</v>
      </c>
    </row>
    <row r="2634" spans="1:8" x14ac:dyDescent="0.2">
      <c r="A2634" s="5" t="s">
        <v>13</v>
      </c>
      <c r="B2634" s="6" t="s">
        <v>19</v>
      </c>
      <c r="C2634" s="7" t="s">
        <v>2951</v>
      </c>
      <c r="D2634" s="7"/>
      <c r="E2634" s="8">
        <v>1.3998062499999999</v>
      </c>
      <c r="F2634" s="8">
        <v>1.19255987</v>
      </c>
      <c r="G2634" s="7" t="str">
        <f t="shared" si="16"/>
        <v>Direct</v>
      </c>
      <c r="H2634" s="7" t="s">
        <v>16</v>
      </c>
    </row>
    <row r="2635" spans="1:8" x14ac:dyDescent="0.2">
      <c r="A2635" s="5" t="s">
        <v>13</v>
      </c>
      <c r="B2635" s="6" t="s">
        <v>19</v>
      </c>
      <c r="C2635" s="7" t="s">
        <v>2952</v>
      </c>
      <c r="D2635" s="7"/>
      <c r="E2635" s="8">
        <v>-2.2021367000000001</v>
      </c>
      <c r="F2635" s="8">
        <v>-3.2708148000000001</v>
      </c>
      <c r="G2635" s="7" t="str">
        <f t="shared" si="16"/>
        <v>Direct</v>
      </c>
      <c r="H2635" s="7" t="s">
        <v>16</v>
      </c>
    </row>
    <row r="2636" spans="1:8" x14ac:dyDescent="0.2">
      <c r="A2636" s="5" t="s">
        <v>13</v>
      </c>
      <c r="B2636" s="6" t="s">
        <v>19</v>
      </c>
      <c r="C2636" s="7" t="s">
        <v>514</v>
      </c>
      <c r="D2636" s="7"/>
      <c r="E2636" s="8">
        <v>-1.6995521</v>
      </c>
      <c r="F2636" s="8">
        <v>-2.1088564000000001</v>
      </c>
      <c r="G2636" s="7" t="str">
        <f t="shared" si="16"/>
        <v>Direct</v>
      </c>
      <c r="H2636" s="7" t="s">
        <v>16</v>
      </c>
    </row>
    <row r="2637" spans="1:8" x14ac:dyDescent="0.2">
      <c r="A2637" s="5" t="s">
        <v>13</v>
      </c>
      <c r="B2637" s="6" t="s">
        <v>19</v>
      </c>
      <c r="C2637" s="7" t="s">
        <v>515</v>
      </c>
      <c r="D2637" s="7"/>
      <c r="E2637" s="8">
        <v>-2.8541911</v>
      </c>
      <c r="F2637" s="8">
        <v>-3.8755413999999999</v>
      </c>
      <c r="G2637" s="7" t="str">
        <f t="shared" si="16"/>
        <v>Direct</v>
      </c>
      <c r="H2637" s="7" t="s">
        <v>516</v>
      </c>
    </row>
    <row r="2638" spans="1:8" x14ac:dyDescent="0.2">
      <c r="A2638" s="5" t="s">
        <v>13</v>
      </c>
      <c r="B2638" s="6" t="s">
        <v>19</v>
      </c>
      <c r="C2638" s="7" t="s">
        <v>2953</v>
      </c>
      <c r="D2638" s="7"/>
      <c r="E2638" s="8">
        <v>1.66233224</v>
      </c>
      <c r="F2638" s="8">
        <v>1.1534153199999999</v>
      </c>
      <c r="G2638" s="7" t="str">
        <f t="shared" si="16"/>
        <v>Direct</v>
      </c>
      <c r="H2638" s="7" t="s">
        <v>2954</v>
      </c>
    </row>
    <row r="2639" spans="1:8" x14ac:dyDescent="0.2">
      <c r="A2639" s="5" t="s">
        <v>13</v>
      </c>
      <c r="B2639" s="6" t="s">
        <v>19</v>
      </c>
      <c r="C2639" s="7" t="s">
        <v>2955</v>
      </c>
      <c r="D2639" s="7"/>
      <c r="E2639" s="8">
        <v>-5.2880231999999996</v>
      </c>
      <c r="F2639" s="8">
        <v>-4.7662474000000001</v>
      </c>
      <c r="G2639" s="7" t="str">
        <f t="shared" si="16"/>
        <v>Direct</v>
      </c>
      <c r="H2639" s="7" t="s">
        <v>16</v>
      </c>
    </row>
    <row r="2640" spans="1:8" x14ac:dyDescent="0.2">
      <c r="A2640" s="5" t="s">
        <v>13</v>
      </c>
      <c r="B2640" s="6" t="s">
        <v>19</v>
      </c>
      <c r="C2640" s="7" t="s">
        <v>2956</v>
      </c>
      <c r="D2640" s="7"/>
      <c r="E2640" s="8">
        <v>1.1616616</v>
      </c>
      <c r="F2640" s="8">
        <v>1.00010186</v>
      </c>
      <c r="G2640" s="7" t="str">
        <f t="shared" si="16"/>
        <v>Direct</v>
      </c>
      <c r="H2640" s="7" t="s">
        <v>16</v>
      </c>
    </row>
    <row r="2641" spans="1:8" x14ac:dyDescent="0.2">
      <c r="A2641" s="5" t="s">
        <v>13</v>
      </c>
      <c r="B2641" s="6" t="s">
        <v>19</v>
      </c>
      <c r="C2641" s="7" t="s">
        <v>2957</v>
      </c>
      <c r="D2641" s="7"/>
      <c r="E2641" s="8">
        <v>1.59767547</v>
      </c>
      <c r="F2641" s="8">
        <v>2.4384526700000002</v>
      </c>
      <c r="G2641" s="7" t="str">
        <f t="shared" si="16"/>
        <v>Direct</v>
      </c>
      <c r="H2641" s="7" t="s">
        <v>2958</v>
      </c>
    </row>
    <row r="2642" spans="1:8" x14ac:dyDescent="0.2">
      <c r="A2642" s="5" t="s">
        <v>13</v>
      </c>
      <c r="B2642" s="6" t="s">
        <v>19</v>
      </c>
      <c r="C2642" s="7" t="s">
        <v>2959</v>
      </c>
      <c r="D2642" s="7"/>
      <c r="E2642" s="8">
        <v>6.9152199899999998</v>
      </c>
      <c r="F2642" s="8">
        <v>6.7975391299999997</v>
      </c>
      <c r="G2642" s="7" t="str">
        <f t="shared" si="16"/>
        <v>Direct</v>
      </c>
      <c r="H2642" s="7" t="s">
        <v>2960</v>
      </c>
    </row>
    <row r="2643" spans="1:8" x14ac:dyDescent="0.2">
      <c r="A2643" s="5" t="s">
        <v>13</v>
      </c>
      <c r="B2643" s="6" t="s">
        <v>19</v>
      </c>
      <c r="C2643" s="7" t="s">
        <v>2961</v>
      </c>
      <c r="D2643" s="7"/>
      <c r="E2643" s="8">
        <v>-1.1425721</v>
      </c>
      <c r="F2643" s="8">
        <v>-2.4421048000000001</v>
      </c>
      <c r="G2643" s="7" t="str">
        <f t="shared" si="16"/>
        <v>Direct</v>
      </c>
      <c r="H2643" s="7" t="s">
        <v>2962</v>
      </c>
    </row>
    <row r="2644" spans="1:8" x14ac:dyDescent="0.2">
      <c r="A2644" s="5" t="s">
        <v>13</v>
      </c>
      <c r="B2644" s="6" t="s">
        <v>19</v>
      </c>
      <c r="C2644" s="7" t="s">
        <v>2963</v>
      </c>
      <c r="D2644" s="7"/>
      <c r="E2644" s="8">
        <v>-2.2558357999999998</v>
      </c>
      <c r="F2644" s="8">
        <v>-1.3089557000000001</v>
      </c>
      <c r="G2644" s="7" t="str">
        <f t="shared" si="16"/>
        <v>Direct</v>
      </c>
      <c r="H2644" s="7" t="s">
        <v>2964</v>
      </c>
    </row>
    <row r="2645" spans="1:8" x14ac:dyDescent="0.2">
      <c r="A2645" s="5" t="s">
        <v>13</v>
      </c>
      <c r="B2645" s="6" t="s">
        <v>19</v>
      </c>
      <c r="C2645" s="7" t="s">
        <v>517</v>
      </c>
      <c r="D2645" s="7"/>
      <c r="E2645" s="8">
        <v>-1.1232385</v>
      </c>
      <c r="F2645" s="8">
        <v>-1.6579119</v>
      </c>
      <c r="G2645" s="7" t="str">
        <f t="shared" si="16"/>
        <v>Direct</v>
      </c>
      <c r="H2645" s="7" t="s">
        <v>518</v>
      </c>
    </row>
    <row r="2646" spans="1:8" x14ac:dyDescent="0.2">
      <c r="A2646" s="5" t="s">
        <v>13</v>
      </c>
      <c r="B2646" s="6" t="s">
        <v>19</v>
      </c>
      <c r="C2646" s="7" t="s">
        <v>2965</v>
      </c>
      <c r="D2646" s="7"/>
      <c r="E2646" s="8">
        <v>-1.6521963</v>
      </c>
      <c r="F2646" s="8">
        <v>-1.0920352</v>
      </c>
      <c r="G2646" s="7" t="str">
        <f t="shared" si="16"/>
        <v>Direct</v>
      </c>
      <c r="H2646" s="7" t="s">
        <v>2966</v>
      </c>
    </row>
    <row r="2647" spans="1:8" x14ac:dyDescent="0.2">
      <c r="A2647" s="5" t="s">
        <v>13</v>
      </c>
      <c r="B2647" s="6" t="s">
        <v>19</v>
      </c>
      <c r="C2647" s="7" t="s">
        <v>2967</v>
      </c>
      <c r="D2647" s="7"/>
      <c r="E2647" s="8">
        <v>1.0660291900000001</v>
      </c>
      <c r="F2647" s="8">
        <v>1.0546051299999999</v>
      </c>
      <c r="G2647" s="7" t="str">
        <f t="shared" si="16"/>
        <v>Direct</v>
      </c>
      <c r="H2647" s="7" t="s">
        <v>2968</v>
      </c>
    </row>
    <row r="2648" spans="1:8" x14ac:dyDescent="0.2">
      <c r="A2648" s="5" t="s">
        <v>13</v>
      </c>
      <c r="B2648" s="6" t="s">
        <v>19</v>
      </c>
      <c r="C2648" s="7" t="s">
        <v>2969</v>
      </c>
      <c r="D2648" s="7"/>
      <c r="E2648" s="8">
        <v>-3.8630661000000002</v>
      </c>
      <c r="F2648" s="8">
        <v>-3.3904242</v>
      </c>
      <c r="G2648" s="7" t="str">
        <f t="shared" si="16"/>
        <v>Direct</v>
      </c>
      <c r="H2648" s="7" t="s">
        <v>419</v>
      </c>
    </row>
    <row r="2649" spans="1:8" x14ac:dyDescent="0.2">
      <c r="A2649" s="5" t="s">
        <v>13</v>
      </c>
      <c r="B2649" s="6" t="s">
        <v>19</v>
      </c>
      <c r="C2649" s="7" t="s">
        <v>2970</v>
      </c>
      <c r="D2649" s="7"/>
      <c r="E2649" s="8">
        <v>2.5850689999999998</v>
      </c>
      <c r="F2649" s="8">
        <v>2.7290279800000001</v>
      </c>
      <c r="G2649" s="7" t="str">
        <f t="shared" si="16"/>
        <v>Direct</v>
      </c>
      <c r="H2649" s="7" t="s">
        <v>16</v>
      </c>
    </row>
    <row r="2650" spans="1:8" x14ac:dyDescent="0.2">
      <c r="A2650" s="5" t="s">
        <v>13</v>
      </c>
      <c r="B2650" s="6" t="s">
        <v>19</v>
      </c>
      <c r="C2650" s="7" t="s">
        <v>520</v>
      </c>
      <c r="D2650" s="7"/>
      <c r="E2650" s="8">
        <v>-2.4772813999999999</v>
      </c>
      <c r="F2650" s="8">
        <v>-1.9709350000000001</v>
      </c>
      <c r="G2650" s="7" t="str">
        <f t="shared" si="16"/>
        <v>Direct</v>
      </c>
      <c r="H2650" s="7" t="s">
        <v>16</v>
      </c>
    </row>
    <row r="2651" spans="1:8" x14ac:dyDescent="0.2">
      <c r="A2651" s="5" t="s">
        <v>13</v>
      </c>
      <c r="B2651" s="6" t="s">
        <v>19</v>
      </c>
      <c r="C2651" s="7" t="s">
        <v>2971</v>
      </c>
      <c r="D2651" s="7"/>
      <c r="E2651" s="8">
        <v>-2.2500950999999998</v>
      </c>
      <c r="F2651" s="8">
        <v>-3.4785808</v>
      </c>
      <c r="G2651" s="7" t="str">
        <f t="shared" si="16"/>
        <v>Direct</v>
      </c>
      <c r="H2651" s="7" t="s">
        <v>2972</v>
      </c>
    </row>
    <row r="2652" spans="1:8" x14ac:dyDescent="0.2">
      <c r="A2652" s="5" t="s">
        <v>13</v>
      </c>
      <c r="B2652" s="6" t="s">
        <v>19</v>
      </c>
      <c r="C2652" s="7" t="s">
        <v>521</v>
      </c>
      <c r="D2652" s="7"/>
      <c r="E2652" s="8">
        <v>-8.7205638000000008</v>
      </c>
      <c r="F2652" s="8">
        <v>-7.8139934999999996</v>
      </c>
      <c r="G2652" s="7" t="str">
        <f t="shared" si="16"/>
        <v>Direct</v>
      </c>
      <c r="H2652" s="7" t="s">
        <v>522</v>
      </c>
    </row>
    <row r="2653" spans="1:8" x14ac:dyDescent="0.2">
      <c r="A2653" s="5" t="s">
        <v>13</v>
      </c>
      <c r="B2653" s="6" t="s">
        <v>19</v>
      </c>
      <c r="C2653" s="7" t="s">
        <v>2973</v>
      </c>
      <c r="D2653" s="7"/>
      <c r="E2653" s="8">
        <v>-2.7146913000000001</v>
      </c>
      <c r="F2653" s="8">
        <v>-1.5248174000000001</v>
      </c>
      <c r="G2653" s="7" t="str">
        <f t="shared" si="16"/>
        <v>Direct</v>
      </c>
      <c r="H2653" s="7" t="s">
        <v>16</v>
      </c>
    </row>
    <row r="2654" spans="1:8" x14ac:dyDescent="0.2">
      <c r="A2654" s="5" t="s">
        <v>13</v>
      </c>
      <c r="B2654" s="6" t="s">
        <v>19</v>
      </c>
      <c r="C2654" s="7" t="s">
        <v>2974</v>
      </c>
      <c r="D2654" s="7"/>
      <c r="E2654" s="8">
        <v>-1.2353282000000001</v>
      </c>
      <c r="F2654" s="8">
        <v>-1.0822909999999999</v>
      </c>
      <c r="G2654" s="7" t="str">
        <f t="shared" si="16"/>
        <v>Direct</v>
      </c>
      <c r="H2654" s="7" t="s">
        <v>2975</v>
      </c>
    </row>
    <row r="2655" spans="1:8" x14ac:dyDescent="0.2">
      <c r="A2655" s="5" t="s">
        <v>13</v>
      </c>
      <c r="B2655" s="6" t="s">
        <v>19</v>
      </c>
      <c r="C2655" s="7" t="s">
        <v>2976</v>
      </c>
      <c r="D2655" s="7"/>
      <c r="E2655" s="8">
        <v>-2.7154289</v>
      </c>
      <c r="F2655" s="8">
        <v>-4.0370645999999999</v>
      </c>
      <c r="G2655" s="7" t="str">
        <f t="shared" si="16"/>
        <v>Direct</v>
      </c>
      <c r="H2655" s="7" t="s">
        <v>16</v>
      </c>
    </row>
    <row r="2656" spans="1:8" x14ac:dyDescent="0.2">
      <c r="A2656" s="5" t="s">
        <v>13</v>
      </c>
      <c r="B2656" s="6" t="s">
        <v>19</v>
      </c>
      <c r="C2656" s="7" t="s">
        <v>2977</v>
      </c>
      <c r="D2656" s="7"/>
      <c r="E2656" s="8">
        <v>-3.4006801000000002</v>
      </c>
      <c r="F2656" s="8">
        <v>-2.5916492</v>
      </c>
      <c r="G2656" s="7" t="str">
        <f t="shared" si="16"/>
        <v>Direct</v>
      </c>
      <c r="H2656" s="7" t="s">
        <v>419</v>
      </c>
    </row>
    <row r="2657" spans="1:8" x14ac:dyDescent="0.2">
      <c r="A2657" s="5" t="s">
        <v>13</v>
      </c>
      <c r="B2657" s="6" t="s">
        <v>19</v>
      </c>
      <c r="C2657" s="7" t="s">
        <v>2978</v>
      </c>
      <c r="D2657" s="7"/>
      <c r="E2657" s="8">
        <v>1.8899238</v>
      </c>
      <c r="F2657" s="8">
        <v>1.9158952600000001</v>
      </c>
      <c r="G2657" s="7" t="str">
        <f t="shared" si="16"/>
        <v>Direct</v>
      </c>
      <c r="H2657" s="7" t="s">
        <v>2979</v>
      </c>
    </row>
    <row r="2658" spans="1:8" x14ac:dyDescent="0.2">
      <c r="A2658" s="5" t="s">
        <v>13</v>
      </c>
      <c r="B2658" s="6" t="s">
        <v>19</v>
      </c>
      <c r="C2658" s="7" t="s">
        <v>2980</v>
      </c>
      <c r="D2658" s="7"/>
      <c r="E2658" s="8">
        <v>-1.1938960999999999</v>
      </c>
      <c r="F2658" s="8">
        <v>-2.3481583000000001</v>
      </c>
      <c r="G2658" s="7" t="str">
        <f t="shared" si="16"/>
        <v>Direct</v>
      </c>
      <c r="H2658" s="7" t="s">
        <v>2981</v>
      </c>
    </row>
    <row r="2659" spans="1:8" x14ac:dyDescent="0.2">
      <c r="A2659" s="5" t="s">
        <v>13</v>
      </c>
      <c r="B2659" s="6" t="s">
        <v>19</v>
      </c>
      <c r="C2659" s="7" t="s">
        <v>2982</v>
      </c>
      <c r="D2659" s="7"/>
      <c r="E2659" s="8">
        <v>-1.4407591</v>
      </c>
      <c r="F2659" s="8">
        <v>-3.0696249999999998</v>
      </c>
      <c r="G2659" s="7" t="str">
        <f t="shared" si="16"/>
        <v>Direct</v>
      </c>
      <c r="H2659" s="7" t="s">
        <v>2983</v>
      </c>
    </row>
    <row r="2660" spans="1:8" x14ac:dyDescent="0.2">
      <c r="A2660" s="5" t="s">
        <v>13</v>
      </c>
      <c r="B2660" s="6" t="s">
        <v>19</v>
      </c>
      <c r="C2660" s="7" t="s">
        <v>2984</v>
      </c>
      <c r="D2660" s="7"/>
      <c r="E2660" s="8">
        <v>4.8762288199999997</v>
      </c>
      <c r="F2660" s="8">
        <v>4.5617873800000002</v>
      </c>
      <c r="G2660" s="7" t="str">
        <f t="shared" si="16"/>
        <v>Direct</v>
      </c>
      <c r="H2660" s="7" t="s">
        <v>655</v>
      </c>
    </row>
    <row r="2661" spans="1:8" x14ac:dyDescent="0.2">
      <c r="A2661" s="5" t="s">
        <v>13</v>
      </c>
      <c r="B2661" s="6" t="s">
        <v>19</v>
      </c>
      <c r="C2661" s="7" t="s">
        <v>2985</v>
      </c>
      <c r="D2661" s="7"/>
      <c r="E2661" s="8">
        <v>-2.1116575000000002</v>
      </c>
      <c r="F2661" s="8">
        <v>-1.3406138999999999</v>
      </c>
      <c r="G2661" s="7" t="str">
        <f t="shared" si="16"/>
        <v>Direct</v>
      </c>
      <c r="H2661" s="7" t="s">
        <v>2986</v>
      </c>
    </row>
    <row r="2662" spans="1:8" x14ac:dyDescent="0.2">
      <c r="A2662" s="5" t="s">
        <v>13</v>
      </c>
      <c r="B2662" s="6" t="s">
        <v>19</v>
      </c>
      <c r="C2662" s="7" t="s">
        <v>2987</v>
      </c>
      <c r="D2662" s="7"/>
      <c r="E2662" s="8">
        <v>-1.2824589</v>
      </c>
      <c r="F2662" s="8">
        <v>-1.4292771</v>
      </c>
      <c r="G2662" s="7" t="str">
        <f t="shared" si="16"/>
        <v>Direct</v>
      </c>
      <c r="H2662" s="7" t="s">
        <v>2988</v>
      </c>
    </row>
    <row r="2663" spans="1:8" x14ac:dyDescent="0.2">
      <c r="A2663" s="5" t="s">
        <v>13</v>
      </c>
      <c r="B2663" s="6" t="s">
        <v>19</v>
      </c>
      <c r="C2663" s="7" t="s">
        <v>2989</v>
      </c>
      <c r="D2663" s="7"/>
      <c r="E2663" s="8">
        <v>-6.4954234</v>
      </c>
      <c r="F2663" s="8">
        <v>-4.0087798000000001</v>
      </c>
      <c r="G2663" s="7" t="str">
        <f t="shared" si="16"/>
        <v>Direct</v>
      </c>
      <c r="H2663" s="7" t="s">
        <v>2990</v>
      </c>
    </row>
    <row r="2664" spans="1:8" x14ac:dyDescent="0.2">
      <c r="A2664" s="5" t="s">
        <v>13</v>
      </c>
      <c r="B2664" s="6" t="s">
        <v>19</v>
      </c>
      <c r="C2664" s="7" t="s">
        <v>2991</v>
      </c>
      <c r="D2664" s="7"/>
      <c r="E2664" s="8">
        <v>1.48031286</v>
      </c>
      <c r="F2664" s="8">
        <v>1.4738248</v>
      </c>
      <c r="G2664" s="7" t="str">
        <f t="shared" si="16"/>
        <v>Direct</v>
      </c>
      <c r="H2664" s="7" t="s">
        <v>2992</v>
      </c>
    </row>
    <row r="2665" spans="1:8" x14ac:dyDescent="0.2">
      <c r="A2665" s="5" t="s">
        <v>13</v>
      </c>
      <c r="B2665" s="6" t="s">
        <v>19</v>
      </c>
      <c r="C2665" s="7" t="s">
        <v>2993</v>
      </c>
      <c r="D2665" s="7"/>
      <c r="E2665" s="8">
        <v>-5.0882392999999997</v>
      </c>
      <c r="F2665" s="8">
        <v>-6.6128169000000003</v>
      </c>
      <c r="G2665" s="7" t="str">
        <f t="shared" si="16"/>
        <v>Direct</v>
      </c>
      <c r="H2665" s="7" t="s">
        <v>2994</v>
      </c>
    </row>
    <row r="2666" spans="1:8" x14ac:dyDescent="0.2">
      <c r="A2666" s="5" t="s">
        <v>13</v>
      </c>
      <c r="B2666" s="6" t="s">
        <v>19</v>
      </c>
      <c r="C2666" s="7" t="s">
        <v>2995</v>
      </c>
      <c r="D2666" s="7"/>
      <c r="E2666" s="8">
        <v>3.2734006299999998</v>
      </c>
      <c r="F2666" s="8">
        <v>1.36353233</v>
      </c>
      <c r="G2666" s="7" t="str">
        <f t="shared" si="16"/>
        <v>Direct</v>
      </c>
      <c r="H2666" s="7" t="s">
        <v>2994</v>
      </c>
    </row>
    <row r="2667" spans="1:8" x14ac:dyDescent="0.2">
      <c r="A2667" s="5" t="s">
        <v>13</v>
      </c>
      <c r="B2667" s="6" t="s">
        <v>19</v>
      </c>
      <c r="C2667" s="7" t="s">
        <v>2996</v>
      </c>
      <c r="D2667" s="7"/>
      <c r="E2667" s="8">
        <v>1.0359405699999999</v>
      </c>
      <c r="F2667" s="8">
        <v>1.0866611500000001</v>
      </c>
      <c r="G2667" s="7" t="str">
        <f t="shared" si="16"/>
        <v>Direct</v>
      </c>
      <c r="H2667" s="7" t="s">
        <v>2997</v>
      </c>
    </row>
    <row r="2668" spans="1:8" x14ac:dyDescent="0.2">
      <c r="A2668" s="5" t="s">
        <v>13</v>
      </c>
      <c r="B2668" s="6" t="s">
        <v>19</v>
      </c>
      <c r="C2668" s="7" t="s">
        <v>2998</v>
      </c>
      <c r="D2668" s="7"/>
      <c r="E2668" s="8">
        <v>-2.0044545999999999</v>
      </c>
      <c r="F2668" s="8">
        <v>-1.7711796</v>
      </c>
      <c r="G2668" s="7" t="str">
        <f t="shared" si="16"/>
        <v>Direct</v>
      </c>
      <c r="H2668" s="7" t="s">
        <v>2999</v>
      </c>
    </row>
    <row r="2669" spans="1:8" x14ac:dyDescent="0.2">
      <c r="A2669" s="5" t="s">
        <v>13</v>
      </c>
      <c r="B2669" s="6" t="s">
        <v>19</v>
      </c>
      <c r="C2669" s="7" t="s">
        <v>3000</v>
      </c>
      <c r="D2669" s="7"/>
      <c r="E2669" s="8">
        <v>2.2200411299999998</v>
      </c>
      <c r="F2669" s="8">
        <v>1.7515202400000001</v>
      </c>
      <c r="G2669" s="7" t="str">
        <f t="shared" si="16"/>
        <v>Direct</v>
      </c>
      <c r="H2669" s="7" t="s">
        <v>3001</v>
      </c>
    </row>
    <row r="2670" spans="1:8" x14ac:dyDescent="0.2">
      <c r="A2670" s="5" t="s">
        <v>13</v>
      </c>
      <c r="B2670" s="6" t="s">
        <v>19</v>
      </c>
      <c r="C2670" s="7" t="s">
        <v>3002</v>
      </c>
      <c r="D2670" s="7"/>
      <c r="E2670" s="8">
        <v>-1.2711068000000001</v>
      </c>
      <c r="F2670" s="8">
        <v>-1.1727437000000001</v>
      </c>
      <c r="G2670" s="7" t="str">
        <f t="shared" si="16"/>
        <v>Direct</v>
      </c>
      <c r="H2670" s="7" t="s">
        <v>16</v>
      </c>
    </row>
    <row r="2671" spans="1:8" x14ac:dyDescent="0.2">
      <c r="A2671" s="5" t="s">
        <v>13</v>
      </c>
      <c r="B2671" s="6" t="s">
        <v>19</v>
      </c>
      <c r="C2671" s="7" t="s">
        <v>526</v>
      </c>
      <c r="D2671" s="7"/>
      <c r="E2671" s="8">
        <v>-1.9776172000000001</v>
      </c>
      <c r="F2671" s="8">
        <v>-4.8321873000000002</v>
      </c>
      <c r="G2671" s="7" t="str">
        <f t="shared" si="16"/>
        <v>Direct</v>
      </c>
      <c r="H2671" s="7" t="s">
        <v>16</v>
      </c>
    </row>
    <row r="2672" spans="1:8" x14ac:dyDescent="0.2">
      <c r="A2672" s="5" t="s">
        <v>13</v>
      </c>
      <c r="B2672" s="6" t="s">
        <v>19</v>
      </c>
      <c r="C2672" s="7" t="s">
        <v>3003</v>
      </c>
      <c r="D2672" s="7"/>
      <c r="E2672" s="8">
        <v>-2.1445948000000001</v>
      </c>
      <c r="F2672" s="8">
        <v>-1.5426637999999999</v>
      </c>
      <c r="G2672" s="7" t="str">
        <f t="shared" si="16"/>
        <v>Direct</v>
      </c>
      <c r="H2672" s="7" t="s">
        <v>1143</v>
      </c>
    </row>
    <row r="2673" spans="1:8" x14ac:dyDescent="0.2">
      <c r="A2673" s="5" t="s">
        <v>13</v>
      </c>
      <c r="B2673" s="6" t="s">
        <v>19</v>
      </c>
      <c r="C2673" s="7" t="s">
        <v>3004</v>
      </c>
      <c r="D2673" s="7"/>
      <c r="E2673" s="8">
        <v>-6.1365898999999997</v>
      </c>
      <c r="F2673" s="8">
        <v>-3.8154933999999998</v>
      </c>
      <c r="G2673" s="7" t="str">
        <f t="shared" si="16"/>
        <v>Direct</v>
      </c>
      <c r="H2673" s="7" t="s">
        <v>172</v>
      </c>
    </row>
    <row r="2674" spans="1:8" x14ac:dyDescent="0.2">
      <c r="A2674" s="5" t="s">
        <v>13</v>
      </c>
      <c r="B2674" s="6" t="s">
        <v>19</v>
      </c>
      <c r="C2674" s="7" t="s">
        <v>3005</v>
      </c>
      <c r="D2674" s="7"/>
      <c r="E2674" s="8">
        <v>7.0985635599999997</v>
      </c>
      <c r="F2674" s="8">
        <v>6.4285548300000004</v>
      </c>
      <c r="G2674" s="7" t="str">
        <f t="shared" si="16"/>
        <v>Direct</v>
      </c>
      <c r="H2674" s="7" t="s">
        <v>3006</v>
      </c>
    </row>
    <row r="2675" spans="1:8" x14ac:dyDescent="0.2">
      <c r="A2675" s="5" t="s">
        <v>13</v>
      </c>
      <c r="B2675" s="6" t="s">
        <v>19</v>
      </c>
      <c r="C2675" s="7" t="s">
        <v>529</v>
      </c>
      <c r="D2675" s="7"/>
      <c r="E2675" s="8">
        <v>-1.1848578000000001</v>
      </c>
      <c r="F2675" s="8">
        <v>-1.6111129</v>
      </c>
      <c r="G2675" s="7" t="str">
        <f t="shared" si="16"/>
        <v>Direct</v>
      </c>
      <c r="H2675" s="7" t="s">
        <v>530</v>
      </c>
    </row>
    <row r="2676" spans="1:8" x14ac:dyDescent="0.2">
      <c r="A2676" s="5" t="s">
        <v>13</v>
      </c>
      <c r="B2676" s="6" t="s">
        <v>19</v>
      </c>
      <c r="C2676" s="7" t="s">
        <v>3007</v>
      </c>
      <c r="D2676" s="7"/>
      <c r="E2676" s="8">
        <v>-2.1274856999999998</v>
      </c>
      <c r="F2676" s="8">
        <v>-2.8437841000000001</v>
      </c>
      <c r="G2676" s="7" t="str">
        <f t="shared" si="16"/>
        <v>Direct</v>
      </c>
      <c r="H2676" s="7" t="s">
        <v>16</v>
      </c>
    </row>
    <row r="2677" spans="1:8" x14ac:dyDescent="0.2">
      <c r="A2677" s="5" t="s">
        <v>13</v>
      </c>
      <c r="B2677" s="6" t="s">
        <v>19</v>
      </c>
      <c r="C2677" s="7" t="s">
        <v>531</v>
      </c>
      <c r="D2677" s="7"/>
      <c r="E2677" s="8">
        <v>-2.5818401999999998</v>
      </c>
      <c r="F2677" s="8">
        <v>-1.4075738</v>
      </c>
      <c r="G2677" s="7" t="str">
        <f t="shared" si="16"/>
        <v>Direct</v>
      </c>
      <c r="H2677" s="7" t="s">
        <v>532</v>
      </c>
    </row>
    <row r="2678" spans="1:8" x14ac:dyDescent="0.2">
      <c r="A2678" s="5" t="s">
        <v>13</v>
      </c>
      <c r="B2678" s="6" t="s">
        <v>19</v>
      </c>
      <c r="C2678" s="7" t="s">
        <v>533</v>
      </c>
      <c r="D2678" s="7"/>
      <c r="E2678" s="8">
        <v>-1.2707135000000001</v>
      </c>
      <c r="F2678" s="8">
        <v>-1.7581100999999999</v>
      </c>
      <c r="G2678" s="7" t="str">
        <f t="shared" si="16"/>
        <v>Direct</v>
      </c>
      <c r="H2678" s="7" t="s">
        <v>16</v>
      </c>
    </row>
    <row r="2679" spans="1:8" x14ac:dyDescent="0.2">
      <c r="A2679" s="5" t="s">
        <v>13</v>
      </c>
      <c r="B2679" s="6" t="s">
        <v>19</v>
      </c>
      <c r="C2679" s="7" t="s">
        <v>534</v>
      </c>
      <c r="D2679" s="7"/>
      <c r="E2679" s="8">
        <v>-3.1307757000000001</v>
      </c>
      <c r="F2679" s="8">
        <v>-4.4290617000000001</v>
      </c>
      <c r="G2679" s="7" t="str">
        <f t="shared" si="16"/>
        <v>Direct</v>
      </c>
      <c r="H2679" s="7" t="s">
        <v>535</v>
      </c>
    </row>
    <row r="2680" spans="1:8" x14ac:dyDescent="0.2">
      <c r="A2680" s="5" t="s">
        <v>13</v>
      </c>
      <c r="B2680" s="6" t="s">
        <v>19</v>
      </c>
      <c r="C2680" s="7" t="s">
        <v>3008</v>
      </c>
      <c r="D2680" s="7"/>
      <c r="E2680" s="8">
        <v>-3.8025959</v>
      </c>
      <c r="F2680" s="8">
        <v>-3.8029187000000002</v>
      </c>
      <c r="G2680" s="7" t="str">
        <f t="shared" si="16"/>
        <v>Direct</v>
      </c>
      <c r="H2680" s="7" t="s">
        <v>829</v>
      </c>
    </row>
    <row r="2681" spans="1:8" x14ac:dyDescent="0.2">
      <c r="A2681" s="5" t="s">
        <v>13</v>
      </c>
      <c r="B2681" s="6" t="s">
        <v>19</v>
      </c>
      <c r="C2681" s="7" t="s">
        <v>3009</v>
      </c>
      <c r="D2681" s="7"/>
      <c r="E2681" s="8">
        <v>-2.7362464000000002</v>
      </c>
      <c r="F2681" s="8">
        <v>-3.490103</v>
      </c>
      <c r="G2681" s="7" t="str">
        <f t="shared" si="16"/>
        <v>Direct</v>
      </c>
      <c r="H2681" s="7" t="s">
        <v>829</v>
      </c>
    </row>
    <row r="2682" spans="1:8" x14ac:dyDescent="0.2">
      <c r="A2682" s="5" t="s">
        <v>13</v>
      </c>
      <c r="B2682" s="6" t="s">
        <v>19</v>
      </c>
      <c r="C2682" s="7" t="s">
        <v>3010</v>
      </c>
      <c r="D2682" s="7"/>
      <c r="E2682" s="8">
        <v>-1.7607047</v>
      </c>
      <c r="F2682" s="8">
        <v>-1.6135029999999999</v>
      </c>
      <c r="G2682" s="7" t="str">
        <f t="shared" si="16"/>
        <v>Direct</v>
      </c>
      <c r="H2682" s="7" t="s">
        <v>3011</v>
      </c>
    </row>
    <row r="2683" spans="1:8" x14ac:dyDescent="0.2">
      <c r="A2683" s="5" t="s">
        <v>13</v>
      </c>
      <c r="B2683" s="6" t="s">
        <v>19</v>
      </c>
      <c r="C2683" s="7" t="s">
        <v>3012</v>
      </c>
      <c r="D2683" s="7"/>
      <c r="E2683" s="8">
        <v>-2.6401900999999999</v>
      </c>
      <c r="F2683" s="8">
        <v>-5.0852703999999997</v>
      </c>
      <c r="G2683" s="7" t="str">
        <f t="shared" si="16"/>
        <v>Direct</v>
      </c>
      <c r="H2683" s="7" t="s">
        <v>3013</v>
      </c>
    </row>
    <row r="2684" spans="1:8" x14ac:dyDescent="0.2">
      <c r="A2684" s="5" t="s">
        <v>13</v>
      </c>
      <c r="B2684" s="6" t="s">
        <v>19</v>
      </c>
      <c r="C2684" s="7" t="s">
        <v>3014</v>
      </c>
      <c r="D2684" s="7"/>
      <c r="E2684" s="8">
        <v>2.55999211</v>
      </c>
      <c r="F2684" s="8">
        <v>1.72473378</v>
      </c>
      <c r="G2684" s="7" t="str">
        <f t="shared" si="16"/>
        <v>Direct</v>
      </c>
      <c r="H2684" s="7" t="s">
        <v>16</v>
      </c>
    </row>
    <row r="2685" spans="1:8" x14ac:dyDescent="0.2">
      <c r="A2685" s="5" t="s">
        <v>13</v>
      </c>
      <c r="B2685" s="6" t="s">
        <v>19</v>
      </c>
      <c r="C2685" s="7" t="s">
        <v>3015</v>
      </c>
      <c r="D2685" s="7"/>
      <c r="E2685" s="8">
        <v>-4.3560328000000004</v>
      </c>
      <c r="F2685" s="8">
        <v>-2.5168487000000002</v>
      </c>
      <c r="G2685" s="7" t="str">
        <f t="shared" si="16"/>
        <v>Direct</v>
      </c>
      <c r="H2685" s="7" t="s">
        <v>3016</v>
      </c>
    </row>
    <row r="2686" spans="1:8" x14ac:dyDescent="0.2">
      <c r="A2686" s="5" t="s">
        <v>13</v>
      </c>
      <c r="B2686" s="6" t="s">
        <v>19</v>
      </c>
      <c r="C2686" s="7" t="s">
        <v>3017</v>
      </c>
      <c r="D2686" s="7"/>
      <c r="E2686" s="8">
        <v>3.3003208100000001</v>
      </c>
      <c r="F2686" s="8">
        <v>2.9732923900000001</v>
      </c>
      <c r="G2686" s="7" t="str">
        <f t="shared" si="16"/>
        <v>Direct</v>
      </c>
      <c r="H2686" s="7" t="s">
        <v>3018</v>
      </c>
    </row>
    <row r="2687" spans="1:8" x14ac:dyDescent="0.2">
      <c r="A2687" s="5" t="s">
        <v>13</v>
      </c>
      <c r="B2687" s="6" t="s">
        <v>19</v>
      </c>
      <c r="C2687" s="7" t="s">
        <v>3019</v>
      </c>
      <c r="D2687" s="7"/>
      <c r="E2687" s="8">
        <v>2.1020320899999998</v>
      </c>
      <c r="F2687" s="8">
        <v>1.99062556</v>
      </c>
      <c r="G2687" s="7" t="str">
        <f t="shared" si="16"/>
        <v>Direct</v>
      </c>
      <c r="H2687" s="7" t="s">
        <v>16</v>
      </c>
    </row>
    <row r="2688" spans="1:8" x14ac:dyDescent="0.2">
      <c r="A2688" s="5" t="s">
        <v>13</v>
      </c>
      <c r="B2688" s="6" t="s">
        <v>19</v>
      </c>
      <c r="C2688" s="7" t="s">
        <v>3020</v>
      </c>
      <c r="D2688" s="7"/>
      <c r="E2688" s="8">
        <v>1.2516885799999999</v>
      </c>
      <c r="F2688" s="8">
        <v>1.4260249199999999</v>
      </c>
      <c r="G2688" s="7" t="str">
        <f t="shared" si="16"/>
        <v>Direct</v>
      </c>
      <c r="H2688" s="7" t="s">
        <v>16</v>
      </c>
    </row>
    <row r="2689" spans="1:8" x14ac:dyDescent="0.2">
      <c r="A2689" s="5" t="s">
        <v>13</v>
      </c>
      <c r="B2689" s="6" t="s">
        <v>19</v>
      </c>
      <c r="C2689" s="7" t="s">
        <v>3021</v>
      </c>
      <c r="D2689" s="7"/>
      <c r="E2689" s="8">
        <v>1.4614755500000001</v>
      </c>
      <c r="F2689" s="8">
        <v>1.77913337</v>
      </c>
      <c r="G2689" s="7" t="str">
        <f t="shared" si="16"/>
        <v>Direct</v>
      </c>
      <c r="H2689" s="7" t="s">
        <v>606</v>
      </c>
    </row>
    <row r="2690" spans="1:8" x14ac:dyDescent="0.2">
      <c r="A2690" s="5" t="s">
        <v>13</v>
      </c>
      <c r="B2690" s="6" t="s">
        <v>19</v>
      </c>
      <c r="C2690" s="7" t="s">
        <v>3022</v>
      </c>
      <c r="D2690" s="7"/>
      <c r="E2690" s="8">
        <v>-4.9245295000000002</v>
      </c>
      <c r="F2690" s="8">
        <v>-6.0644499999999999</v>
      </c>
      <c r="G2690" s="7" t="str">
        <f t="shared" si="16"/>
        <v>Direct</v>
      </c>
      <c r="H2690" s="7" t="s">
        <v>3023</v>
      </c>
    </row>
    <row r="2691" spans="1:8" x14ac:dyDescent="0.2">
      <c r="A2691" s="5" t="s">
        <v>13</v>
      </c>
      <c r="B2691" s="6" t="s">
        <v>19</v>
      </c>
      <c r="C2691" s="7" t="s">
        <v>3024</v>
      </c>
      <c r="D2691" s="7"/>
      <c r="E2691" s="8">
        <v>3.59253701</v>
      </c>
      <c r="F2691" s="8">
        <v>3.5797470200000001</v>
      </c>
      <c r="G2691" s="7" t="str">
        <f t="shared" si="16"/>
        <v>Direct</v>
      </c>
      <c r="H2691" s="7" t="s">
        <v>3025</v>
      </c>
    </row>
    <row r="2692" spans="1:8" x14ac:dyDescent="0.2">
      <c r="A2692" s="5" t="s">
        <v>13</v>
      </c>
      <c r="B2692" s="6" t="s">
        <v>19</v>
      </c>
      <c r="C2692" s="7" t="s">
        <v>3026</v>
      </c>
      <c r="D2692" s="7"/>
      <c r="E2692" s="8">
        <v>-2.0386486000000001</v>
      </c>
      <c r="F2692" s="8">
        <v>-1.4864188</v>
      </c>
      <c r="G2692" s="7" t="str">
        <f t="shared" si="16"/>
        <v>Direct</v>
      </c>
      <c r="H2692" s="7" t="s">
        <v>3027</v>
      </c>
    </row>
    <row r="2693" spans="1:8" x14ac:dyDescent="0.2">
      <c r="A2693" s="5" t="s">
        <v>13</v>
      </c>
      <c r="B2693" s="6" t="s">
        <v>19</v>
      </c>
      <c r="C2693" s="7" t="s">
        <v>3028</v>
      </c>
      <c r="D2693" s="7"/>
      <c r="E2693" s="8">
        <v>-5.0845688000000004</v>
      </c>
      <c r="F2693" s="8">
        <v>-2.3322623</v>
      </c>
      <c r="G2693" s="7" t="str">
        <f t="shared" si="16"/>
        <v>Direct</v>
      </c>
      <c r="H2693" s="7" t="s">
        <v>16</v>
      </c>
    </row>
    <row r="2694" spans="1:8" x14ac:dyDescent="0.2">
      <c r="A2694" s="5" t="s">
        <v>13</v>
      </c>
      <c r="B2694" s="6" t="s">
        <v>19</v>
      </c>
      <c r="C2694" s="7" t="s">
        <v>538</v>
      </c>
      <c r="D2694" s="7"/>
      <c r="E2694" s="8">
        <v>-2.6054941</v>
      </c>
      <c r="F2694" s="8">
        <v>-1.6679908999999999</v>
      </c>
      <c r="G2694" s="7" t="str">
        <f t="shared" si="16"/>
        <v>Direct</v>
      </c>
      <c r="H2694" s="7" t="s">
        <v>539</v>
      </c>
    </row>
    <row r="2695" spans="1:8" x14ac:dyDescent="0.2">
      <c r="A2695" s="5" t="s">
        <v>13</v>
      </c>
      <c r="B2695" s="6" t="s">
        <v>19</v>
      </c>
      <c r="C2695" s="7" t="s">
        <v>3029</v>
      </c>
      <c r="D2695" s="7"/>
      <c r="E2695" s="8">
        <v>-1.6194237</v>
      </c>
      <c r="F2695" s="8">
        <v>-1.8457553</v>
      </c>
      <c r="G2695" s="7" t="str">
        <f t="shared" si="16"/>
        <v>Direct</v>
      </c>
      <c r="H2695" s="7" t="s">
        <v>1002</v>
      </c>
    </row>
    <row r="2696" spans="1:8" x14ac:dyDescent="0.2">
      <c r="A2696" s="5" t="s">
        <v>13</v>
      </c>
      <c r="B2696" s="6" t="s">
        <v>19</v>
      </c>
      <c r="C2696" s="7" t="s">
        <v>3030</v>
      </c>
      <c r="D2696" s="7"/>
      <c r="E2696" s="8">
        <v>3.0160592899999998</v>
      </c>
      <c r="F2696" s="8">
        <v>1.2617442999999999</v>
      </c>
      <c r="G2696" s="7" t="str">
        <f t="shared" si="16"/>
        <v>Direct</v>
      </c>
      <c r="H2696" s="7" t="s">
        <v>3031</v>
      </c>
    </row>
    <row r="2697" spans="1:8" x14ac:dyDescent="0.2">
      <c r="A2697" s="5" t="s">
        <v>13</v>
      </c>
      <c r="B2697" s="6" t="s">
        <v>19</v>
      </c>
      <c r="C2697" s="7" t="s">
        <v>3032</v>
      </c>
      <c r="D2697" s="7"/>
      <c r="E2697" s="8">
        <v>-1.2824243</v>
      </c>
      <c r="F2697" s="8">
        <v>-1.6509682000000001</v>
      </c>
      <c r="G2697" s="7" t="str">
        <f t="shared" si="16"/>
        <v>Direct</v>
      </c>
      <c r="H2697" s="7" t="s">
        <v>16</v>
      </c>
    </row>
    <row r="2698" spans="1:8" x14ac:dyDescent="0.2">
      <c r="A2698" s="5" t="s">
        <v>13</v>
      </c>
      <c r="B2698" s="6" t="s">
        <v>19</v>
      </c>
      <c r="C2698" s="7" t="s">
        <v>3033</v>
      </c>
      <c r="D2698" s="7"/>
      <c r="E2698" s="8">
        <v>4.9954768500000002</v>
      </c>
      <c r="F2698" s="8">
        <v>2.3851966299999998</v>
      </c>
      <c r="G2698" s="7" t="str">
        <f t="shared" si="16"/>
        <v>Direct</v>
      </c>
      <c r="H2698" s="7" t="s">
        <v>3034</v>
      </c>
    </row>
    <row r="2699" spans="1:8" x14ac:dyDescent="0.2">
      <c r="A2699" s="5" t="s">
        <v>13</v>
      </c>
      <c r="B2699" s="6" t="s">
        <v>19</v>
      </c>
      <c r="C2699" s="7" t="s">
        <v>3035</v>
      </c>
      <c r="D2699" s="7"/>
      <c r="E2699" s="8">
        <v>6.1594170799999999</v>
      </c>
      <c r="F2699" s="8">
        <v>4.4429620099999996</v>
      </c>
      <c r="G2699" s="7" t="str">
        <f t="shared" si="16"/>
        <v>Direct</v>
      </c>
      <c r="H2699" s="7" t="s">
        <v>16</v>
      </c>
    </row>
    <row r="2700" spans="1:8" x14ac:dyDescent="0.2">
      <c r="A2700" s="5" t="s">
        <v>13</v>
      </c>
      <c r="B2700" s="6" t="s">
        <v>19</v>
      </c>
      <c r="C2700" s="7" t="s">
        <v>3036</v>
      </c>
      <c r="D2700" s="7"/>
      <c r="E2700" s="8">
        <v>-2.8362677000000001</v>
      </c>
      <c r="F2700" s="8">
        <v>-2.6834205</v>
      </c>
      <c r="G2700" s="7" t="str">
        <f t="shared" si="16"/>
        <v>Direct</v>
      </c>
      <c r="H2700" s="7" t="s">
        <v>3037</v>
      </c>
    </row>
    <row r="2701" spans="1:8" x14ac:dyDescent="0.2">
      <c r="A2701" s="5" t="s">
        <v>13</v>
      </c>
      <c r="B2701" s="6" t="s">
        <v>19</v>
      </c>
      <c r="C2701" s="7" t="s">
        <v>541</v>
      </c>
      <c r="D2701" s="7"/>
      <c r="E2701" s="8">
        <v>-3.2791481999999998</v>
      </c>
      <c r="F2701" s="8">
        <v>-3.8123349000000002</v>
      </c>
      <c r="G2701" s="7" t="str">
        <f t="shared" si="16"/>
        <v>Direct</v>
      </c>
      <c r="H2701" s="7" t="s">
        <v>16</v>
      </c>
    </row>
    <row r="2702" spans="1:8" x14ac:dyDescent="0.2">
      <c r="A2702" s="5" t="s">
        <v>13</v>
      </c>
      <c r="B2702" s="6" t="s">
        <v>19</v>
      </c>
      <c r="C2702" s="7" t="s">
        <v>542</v>
      </c>
      <c r="D2702" s="7"/>
      <c r="E2702" s="8">
        <v>-14.051104</v>
      </c>
      <c r="F2702" s="8">
        <v>-7.7963909999999998</v>
      </c>
      <c r="G2702" s="7" t="str">
        <f t="shared" si="16"/>
        <v>Direct</v>
      </c>
      <c r="H2702" s="7" t="s">
        <v>543</v>
      </c>
    </row>
    <row r="2703" spans="1:8" x14ac:dyDescent="0.2">
      <c r="A2703" s="5" t="s">
        <v>13</v>
      </c>
      <c r="B2703" s="6" t="s">
        <v>19</v>
      </c>
      <c r="C2703" s="7" t="s">
        <v>544</v>
      </c>
      <c r="D2703" s="7"/>
      <c r="E2703" s="8">
        <v>-17.607279999999999</v>
      </c>
      <c r="F2703" s="8">
        <v>-11.946096000000001</v>
      </c>
      <c r="G2703" s="7" t="str">
        <f t="shared" si="16"/>
        <v>Direct</v>
      </c>
      <c r="H2703" s="7" t="s">
        <v>543</v>
      </c>
    </row>
    <row r="2704" spans="1:8" x14ac:dyDescent="0.2">
      <c r="A2704" s="5" t="s">
        <v>13</v>
      </c>
      <c r="B2704" s="6" t="s">
        <v>19</v>
      </c>
      <c r="C2704" s="7" t="s">
        <v>545</v>
      </c>
      <c r="D2704" s="7"/>
      <c r="E2704" s="8">
        <v>-14.422558</v>
      </c>
      <c r="F2704" s="8">
        <v>-9.3204781000000008</v>
      </c>
      <c r="G2704" s="7" t="str">
        <f t="shared" si="16"/>
        <v>Direct</v>
      </c>
      <c r="H2704" s="7" t="s">
        <v>543</v>
      </c>
    </row>
    <row r="2705" spans="1:8" x14ac:dyDescent="0.2">
      <c r="A2705" s="5" t="s">
        <v>13</v>
      </c>
      <c r="B2705" s="6" t="s">
        <v>19</v>
      </c>
      <c r="C2705" s="7" t="s">
        <v>3038</v>
      </c>
      <c r="D2705" s="7"/>
      <c r="E2705" s="8">
        <v>-2.6347583000000001</v>
      </c>
      <c r="F2705" s="8">
        <v>-4.5172384000000001</v>
      </c>
      <c r="G2705" s="7" t="str">
        <f t="shared" si="16"/>
        <v>Direct</v>
      </c>
      <c r="H2705" s="7" t="s">
        <v>92</v>
      </c>
    </row>
    <row r="2706" spans="1:8" x14ac:dyDescent="0.2">
      <c r="A2706" s="5" t="s">
        <v>13</v>
      </c>
      <c r="B2706" s="6" t="s">
        <v>19</v>
      </c>
      <c r="C2706" s="7" t="s">
        <v>3039</v>
      </c>
      <c r="D2706" s="7"/>
      <c r="E2706" s="8">
        <v>2.5963839499999999</v>
      </c>
      <c r="F2706" s="8">
        <v>1.7699574899999999</v>
      </c>
      <c r="G2706" s="7" t="str">
        <f t="shared" si="16"/>
        <v>Direct</v>
      </c>
      <c r="H2706" s="7" t="s">
        <v>16</v>
      </c>
    </row>
    <row r="2707" spans="1:8" x14ac:dyDescent="0.2">
      <c r="A2707" s="5" t="s">
        <v>13</v>
      </c>
      <c r="B2707" s="6" t="s">
        <v>19</v>
      </c>
      <c r="C2707" s="7" t="s">
        <v>3040</v>
      </c>
      <c r="D2707" s="7"/>
      <c r="E2707" s="8">
        <v>-3.1908310000000002</v>
      </c>
      <c r="F2707" s="8">
        <v>-1.7248884</v>
      </c>
      <c r="G2707" s="7" t="str">
        <f t="shared" si="16"/>
        <v>Direct</v>
      </c>
      <c r="H2707" s="7" t="s">
        <v>16</v>
      </c>
    </row>
    <row r="2708" spans="1:8" x14ac:dyDescent="0.2">
      <c r="A2708" s="5" t="s">
        <v>13</v>
      </c>
      <c r="B2708" s="6" t="s">
        <v>19</v>
      </c>
      <c r="C2708" s="7" t="s">
        <v>3041</v>
      </c>
      <c r="D2708" s="7"/>
      <c r="E2708" s="8">
        <v>-7.5127471999999997</v>
      </c>
      <c r="F2708" s="8">
        <v>-4.3838995000000001</v>
      </c>
      <c r="G2708" s="7" t="str">
        <f t="shared" si="16"/>
        <v>Direct</v>
      </c>
      <c r="H2708" s="7" t="s">
        <v>16</v>
      </c>
    </row>
    <row r="2709" spans="1:8" x14ac:dyDescent="0.2">
      <c r="A2709" s="5" t="s">
        <v>13</v>
      </c>
      <c r="B2709" s="6" t="s">
        <v>19</v>
      </c>
      <c r="C2709" s="7" t="s">
        <v>3042</v>
      </c>
      <c r="D2709" s="7"/>
      <c r="E2709" s="8">
        <v>-1.9195697</v>
      </c>
      <c r="F2709" s="8">
        <v>-1.9324325</v>
      </c>
      <c r="G2709" s="7" t="str">
        <f t="shared" si="16"/>
        <v>Direct</v>
      </c>
      <c r="H2709" s="7" t="s">
        <v>3043</v>
      </c>
    </row>
    <row r="2710" spans="1:8" x14ac:dyDescent="0.2">
      <c r="A2710" s="5" t="s">
        <v>13</v>
      </c>
      <c r="B2710" s="6" t="s">
        <v>19</v>
      </c>
      <c r="C2710" s="7" t="s">
        <v>3044</v>
      </c>
      <c r="D2710" s="7"/>
      <c r="E2710" s="8">
        <v>3.5857909700000001</v>
      </c>
      <c r="F2710" s="8">
        <v>1.9093049799999999</v>
      </c>
      <c r="G2710" s="7" t="str">
        <f t="shared" si="16"/>
        <v>Direct</v>
      </c>
      <c r="H2710" s="7" t="s">
        <v>3045</v>
      </c>
    </row>
    <row r="2711" spans="1:8" x14ac:dyDescent="0.2">
      <c r="A2711" s="5" t="s">
        <v>13</v>
      </c>
      <c r="B2711" s="6" t="s">
        <v>19</v>
      </c>
      <c r="C2711" s="7" t="s">
        <v>3046</v>
      </c>
      <c r="D2711" s="7"/>
      <c r="E2711" s="8">
        <v>-1.3350090999999999</v>
      </c>
      <c r="F2711" s="8">
        <v>-2.2726454</v>
      </c>
      <c r="G2711" s="7" t="str">
        <f t="shared" si="16"/>
        <v>Direct</v>
      </c>
      <c r="H2711" s="7" t="s">
        <v>3047</v>
      </c>
    </row>
    <row r="2712" spans="1:8" x14ac:dyDescent="0.2">
      <c r="A2712" s="5" t="s">
        <v>13</v>
      </c>
      <c r="B2712" s="6" t="s">
        <v>19</v>
      </c>
      <c r="C2712" s="7" t="s">
        <v>3048</v>
      </c>
      <c r="D2712" s="7"/>
      <c r="E2712" s="8">
        <v>-2.0136707</v>
      </c>
      <c r="F2712" s="8">
        <v>-1.2471753999999999</v>
      </c>
      <c r="G2712" s="7" t="str">
        <f t="shared" si="16"/>
        <v>Direct</v>
      </c>
      <c r="H2712" s="7" t="s">
        <v>3049</v>
      </c>
    </row>
    <row r="2713" spans="1:8" x14ac:dyDescent="0.2">
      <c r="A2713" s="5" t="s">
        <v>13</v>
      </c>
      <c r="B2713" s="6" t="s">
        <v>19</v>
      </c>
      <c r="C2713" s="7" t="s">
        <v>3050</v>
      </c>
      <c r="D2713" s="7"/>
      <c r="E2713" s="8">
        <v>-13.256663</v>
      </c>
      <c r="F2713" s="8">
        <v>-8.9971692999999995</v>
      </c>
      <c r="G2713" s="7" t="str">
        <f t="shared" si="16"/>
        <v>Direct</v>
      </c>
      <c r="H2713" s="7" t="s">
        <v>16</v>
      </c>
    </row>
    <row r="2714" spans="1:8" x14ac:dyDescent="0.2">
      <c r="A2714" s="5" t="s">
        <v>13</v>
      </c>
      <c r="B2714" s="6" t="s">
        <v>19</v>
      </c>
      <c r="C2714" s="7" t="s">
        <v>3051</v>
      </c>
      <c r="D2714" s="7"/>
      <c r="E2714" s="8">
        <v>-1.6919944</v>
      </c>
      <c r="F2714" s="8">
        <v>-2.0010178000000001</v>
      </c>
      <c r="G2714" s="7" t="str">
        <f t="shared" si="16"/>
        <v>Direct</v>
      </c>
      <c r="H2714" s="7" t="s">
        <v>16</v>
      </c>
    </row>
    <row r="2715" spans="1:8" x14ac:dyDescent="0.2">
      <c r="A2715" s="5" t="s">
        <v>13</v>
      </c>
      <c r="B2715" s="6" t="s">
        <v>19</v>
      </c>
      <c r="C2715" s="7" t="s">
        <v>3052</v>
      </c>
      <c r="D2715" s="7"/>
      <c r="E2715" s="8">
        <v>-2.5499706</v>
      </c>
      <c r="F2715" s="8">
        <v>-3.4438316000000002</v>
      </c>
      <c r="G2715" s="7" t="str">
        <f t="shared" si="16"/>
        <v>Direct</v>
      </c>
      <c r="H2715" s="7" t="s">
        <v>3053</v>
      </c>
    </row>
    <row r="2716" spans="1:8" x14ac:dyDescent="0.2">
      <c r="A2716" s="5" t="s">
        <v>13</v>
      </c>
      <c r="B2716" s="6" t="s">
        <v>19</v>
      </c>
      <c r="C2716" s="7" t="s">
        <v>3054</v>
      </c>
      <c r="D2716" s="7"/>
      <c r="E2716" s="8">
        <v>1.8961570999999999</v>
      </c>
      <c r="F2716" s="8">
        <v>1.9038546300000001</v>
      </c>
      <c r="G2716" s="7" t="str">
        <f t="shared" si="16"/>
        <v>Direct</v>
      </c>
      <c r="H2716" s="7" t="s">
        <v>16</v>
      </c>
    </row>
    <row r="2717" spans="1:8" x14ac:dyDescent="0.2">
      <c r="A2717" s="5" t="s">
        <v>13</v>
      </c>
      <c r="B2717" s="6" t="s">
        <v>19</v>
      </c>
      <c r="C2717" s="7" t="s">
        <v>3055</v>
      </c>
      <c r="D2717" s="7"/>
      <c r="E2717" s="8">
        <v>-7.0006687000000003</v>
      </c>
      <c r="F2717" s="8">
        <v>-5.3625107999999999</v>
      </c>
      <c r="G2717" s="7" t="str">
        <f t="shared" si="16"/>
        <v>Direct</v>
      </c>
      <c r="H2717" s="7" t="s">
        <v>92</v>
      </c>
    </row>
    <row r="2718" spans="1:8" x14ac:dyDescent="0.2">
      <c r="A2718" s="5" t="s">
        <v>13</v>
      </c>
      <c r="B2718" s="6" t="s">
        <v>19</v>
      </c>
      <c r="C2718" s="7" t="s">
        <v>547</v>
      </c>
      <c r="D2718" s="7"/>
      <c r="E2718" s="8">
        <v>-4.3052590000000004</v>
      </c>
      <c r="F2718" s="8">
        <v>-4.0317411999999999</v>
      </c>
      <c r="G2718" s="7" t="str">
        <f t="shared" si="16"/>
        <v>Direct</v>
      </c>
      <c r="H2718" s="7" t="s">
        <v>16</v>
      </c>
    </row>
    <row r="2719" spans="1:8" x14ac:dyDescent="0.2">
      <c r="A2719" s="5" t="s">
        <v>13</v>
      </c>
      <c r="B2719" s="6" t="s">
        <v>19</v>
      </c>
      <c r="C2719" s="7" t="s">
        <v>3056</v>
      </c>
      <c r="D2719" s="7"/>
      <c r="E2719" s="8">
        <v>-7.6599868999999998</v>
      </c>
      <c r="F2719" s="8">
        <v>-5.5217682999999997</v>
      </c>
      <c r="G2719" s="7" t="str">
        <f t="shared" si="16"/>
        <v>Direct</v>
      </c>
      <c r="H2719" s="7" t="s">
        <v>92</v>
      </c>
    </row>
    <row r="2720" spans="1:8" x14ac:dyDescent="0.2">
      <c r="A2720" s="5" t="s">
        <v>13</v>
      </c>
      <c r="B2720" s="6" t="s">
        <v>19</v>
      </c>
      <c r="C2720" s="7" t="s">
        <v>548</v>
      </c>
      <c r="D2720" s="7"/>
      <c r="E2720" s="8">
        <v>-13.868516</v>
      </c>
      <c r="F2720" s="8">
        <v>-9.4042779000000003</v>
      </c>
      <c r="G2720" s="7" t="str">
        <f t="shared" si="16"/>
        <v>Direct</v>
      </c>
      <c r="H2720" s="7" t="s">
        <v>42</v>
      </c>
    </row>
    <row r="2721" spans="1:8" x14ac:dyDescent="0.2">
      <c r="A2721" s="5" t="s">
        <v>13</v>
      </c>
      <c r="B2721" s="6" t="s">
        <v>19</v>
      </c>
      <c r="C2721" s="7" t="s">
        <v>549</v>
      </c>
      <c r="D2721" s="7"/>
      <c r="E2721" s="8">
        <v>-3.6478514999999998</v>
      </c>
      <c r="F2721" s="8">
        <v>-1.8834930000000001</v>
      </c>
      <c r="G2721" s="7" t="str">
        <f t="shared" si="16"/>
        <v>Direct</v>
      </c>
      <c r="H2721" s="7" t="s">
        <v>92</v>
      </c>
    </row>
    <row r="2722" spans="1:8" x14ac:dyDescent="0.2">
      <c r="A2722" s="5" t="s">
        <v>13</v>
      </c>
      <c r="B2722" s="6" t="s">
        <v>19</v>
      </c>
      <c r="C2722" s="7" t="s">
        <v>3057</v>
      </c>
      <c r="D2722" s="7"/>
      <c r="E2722" s="8">
        <v>-3.4754524999999998</v>
      </c>
      <c r="F2722" s="8">
        <v>-3.4582709999999999</v>
      </c>
      <c r="G2722" s="7" t="str">
        <f t="shared" si="16"/>
        <v>Direct</v>
      </c>
      <c r="H2722" s="7" t="s">
        <v>42</v>
      </c>
    </row>
    <row r="2723" spans="1:8" x14ac:dyDescent="0.2">
      <c r="A2723" s="5" t="s">
        <v>13</v>
      </c>
      <c r="B2723" s="6" t="s">
        <v>19</v>
      </c>
      <c r="C2723" s="7" t="s">
        <v>3058</v>
      </c>
      <c r="D2723" s="7"/>
      <c r="E2723" s="8">
        <v>-1.0260952999999999</v>
      </c>
      <c r="F2723" s="8">
        <v>-1.0991318000000001</v>
      </c>
      <c r="G2723" s="7" t="str">
        <f t="shared" si="16"/>
        <v>Direct</v>
      </c>
      <c r="H2723" s="7" t="s">
        <v>42</v>
      </c>
    </row>
    <row r="2724" spans="1:8" x14ac:dyDescent="0.2">
      <c r="A2724" s="5" t="s">
        <v>13</v>
      </c>
      <c r="B2724" s="6" t="s">
        <v>19</v>
      </c>
      <c r="C2724" s="7" t="s">
        <v>3059</v>
      </c>
      <c r="D2724" s="7"/>
      <c r="E2724" s="8">
        <v>-1.4228681000000001</v>
      </c>
      <c r="F2724" s="8">
        <v>-2.5731856</v>
      </c>
      <c r="G2724" s="7" t="str">
        <f t="shared" si="16"/>
        <v>Direct</v>
      </c>
      <c r="H2724" s="7" t="s">
        <v>92</v>
      </c>
    </row>
    <row r="2725" spans="1:8" x14ac:dyDescent="0.2">
      <c r="A2725" s="5" t="s">
        <v>13</v>
      </c>
      <c r="B2725" s="6" t="s">
        <v>19</v>
      </c>
      <c r="C2725" s="7" t="s">
        <v>3060</v>
      </c>
      <c r="D2725" s="7"/>
      <c r="E2725" s="8">
        <v>-1.5827808999999999</v>
      </c>
      <c r="F2725" s="8">
        <v>-1.6686862</v>
      </c>
      <c r="G2725" s="7" t="str">
        <f t="shared" si="16"/>
        <v>Direct</v>
      </c>
      <c r="H2725" s="7" t="s">
        <v>3061</v>
      </c>
    </row>
    <row r="2726" spans="1:8" x14ac:dyDescent="0.2">
      <c r="A2726" s="5" t="s">
        <v>13</v>
      </c>
      <c r="B2726" s="6" t="s">
        <v>19</v>
      </c>
      <c r="C2726" s="7" t="s">
        <v>3062</v>
      </c>
      <c r="D2726" s="7"/>
      <c r="E2726" s="8">
        <v>-15.307301000000001</v>
      </c>
      <c r="F2726" s="8">
        <v>-15.223239</v>
      </c>
      <c r="G2726" s="7" t="str">
        <f t="shared" si="16"/>
        <v>Direct</v>
      </c>
      <c r="H2726" s="7" t="s">
        <v>3063</v>
      </c>
    </row>
    <row r="2727" spans="1:8" x14ac:dyDescent="0.2">
      <c r="A2727" s="5" t="s">
        <v>13</v>
      </c>
      <c r="B2727" s="6" t="s">
        <v>19</v>
      </c>
      <c r="C2727" s="7" t="s">
        <v>3064</v>
      </c>
      <c r="D2727" s="7"/>
      <c r="E2727" s="8">
        <v>-6.0089528000000003</v>
      </c>
      <c r="F2727" s="8">
        <v>-3.8140279000000001</v>
      </c>
      <c r="G2727" s="7" t="str">
        <f t="shared" si="16"/>
        <v>Direct</v>
      </c>
      <c r="H2727" s="7" t="s">
        <v>3065</v>
      </c>
    </row>
    <row r="2728" spans="1:8" x14ac:dyDescent="0.2">
      <c r="A2728" s="5" t="s">
        <v>13</v>
      </c>
      <c r="B2728" s="6" t="s">
        <v>19</v>
      </c>
      <c r="C2728" s="7" t="s">
        <v>3066</v>
      </c>
      <c r="D2728" s="7"/>
      <c r="E2728" s="8">
        <v>5.6181349799999998</v>
      </c>
      <c r="F2728" s="8">
        <v>4.2272888899999996</v>
      </c>
      <c r="G2728" s="7" t="str">
        <f t="shared" si="16"/>
        <v>Direct</v>
      </c>
      <c r="H2728" s="7" t="s">
        <v>3065</v>
      </c>
    </row>
    <row r="2729" spans="1:8" x14ac:dyDescent="0.2">
      <c r="A2729" s="5" t="s">
        <v>13</v>
      </c>
      <c r="B2729" s="6" t="s">
        <v>19</v>
      </c>
      <c r="C2729" s="7" t="s">
        <v>3067</v>
      </c>
      <c r="D2729" s="7"/>
      <c r="E2729" s="8">
        <v>-5.2314281999999999</v>
      </c>
      <c r="F2729" s="8">
        <v>-4.0142129999999998</v>
      </c>
      <c r="G2729" s="7" t="str">
        <f t="shared" si="16"/>
        <v>Direct</v>
      </c>
      <c r="H2729" s="7" t="s">
        <v>3068</v>
      </c>
    </row>
    <row r="2730" spans="1:8" x14ac:dyDescent="0.2">
      <c r="A2730" s="5" t="s">
        <v>13</v>
      </c>
      <c r="B2730" s="6" t="s">
        <v>19</v>
      </c>
      <c r="C2730" s="7" t="s">
        <v>550</v>
      </c>
      <c r="D2730" s="7"/>
      <c r="E2730" s="8">
        <v>-2.1401656</v>
      </c>
      <c r="F2730" s="8">
        <v>-2.1530201999999998</v>
      </c>
      <c r="G2730" s="7" t="str">
        <f t="shared" si="16"/>
        <v>Direct</v>
      </c>
      <c r="H2730" s="7" t="s">
        <v>551</v>
      </c>
    </row>
    <row r="2731" spans="1:8" x14ac:dyDescent="0.2">
      <c r="A2731" s="5" t="s">
        <v>13</v>
      </c>
      <c r="B2731" s="6" t="s">
        <v>19</v>
      </c>
      <c r="C2731" s="7" t="s">
        <v>3069</v>
      </c>
      <c r="D2731" s="7"/>
      <c r="E2731" s="8">
        <v>2.7154288700000002</v>
      </c>
      <c r="F2731" s="8">
        <v>1.5386816400000001</v>
      </c>
      <c r="G2731" s="7" t="str">
        <f t="shared" si="16"/>
        <v>Direct</v>
      </c>
      <c r="H2731" s="7" t="s">
        <v>16</v>
      </c>
    </row>
    <row r="2732" spans="1:8" x14ac:dyDescent="0.2">
      <c r="A2732" s="5" t="s">
        <v>13</v>
      </c>
      <c r="B2732" s="6" t="s">
        <v>19</v>
      </c>
      <c r="C2732" s="7" t="s">
        <v>3070</v>
      </c>
      <c r="D2732" s="7"/>
      <c r="E2732" s="8">
        <v>-1.9596624</v>
      </c>
      <c r="F2732" s="8">
        <v>-1.1854096999999999</v>
      </c>
      <c r="G2732" s="7" t="str">
        <f t="shared" si="16"/>
        <v>Direct</v>
      </c>
      <c r="H2732" s="7" t="s">
        <v>3071</v>
      </c>
    </row>
    <row r="2733" spans="1:8" x14ac:dyDescent="0.2">
      <c r="A2733" s="5" t="s">
        <v>13</v>
      </c>
      <c r="B2733" s="6" t="s">
        <v>19</v>
      </c>
      <c r="C2733" s="7" t="s">
        <v>552</v>
      </c>
      <c r="D2733" s="7"/>
      <c r="E2733" s="8">
        <v>-18.308727000000001</v>
      </c>
      <c r="F2733" s="8">
        <v>-19.453358999999999</v>
      </c>
      <c r="G2733" s="7" t="str">
        <f t="shared" si="16"/>
        <v>Direct</v>
      </c>
      <c r="H2733" s="7" t="s">
        <v>553</v>
      </c>
    </row>
    <row r="2734" spans="1:8" x14ac:dyDescent="0.2">
      <c r="A2734" s="5" t="s">
        <v>13</v>
      </c>
      <c r="B2734" s="6" t="s">
        <v>19</v>
      </c>
      <c r="C2734" s="7" t="s">
        <v>3072</v>
      </c>
      <c r="D2734" s="7"/>
      <c r="E2734" s="8">
        <v>1.2025942000000001</v>
      </c>
      <c r="F2734" s="8">
        <v>1.69378947</v>
      </c>
      <c r="G2734" s="7" t="str">
        <f t="shared" si="16"/>
        <v>Direct</v>
      </c>
      <c r="H2734" s="7" t="s">
        <v>16</v>
      </c>
    </row>
    <row r="2735" spans="1:8" x14ac:dyDescent="0.2">
      <c r="A2735" s="5" t="s">
        <v>13</v>
      </c>
      <c r="B2735" s="6" t="s">
        <v>19</v>
      </c>
      <c r="C2735" s="7" t="s">
        <v>3073</v>
      </c>
      <c r="D2735" s="7"/>
      <c r="E2735" s="8">
        <v>1.1971869399999999</v>
      </c>
      <c r="F2735" s="8">
        <v>1.3414260600000001</v>
      </c>
      <c r="G2735" s="7" t="str">
        <f t="shared" si="16"/>
        <v>Direct</v>
      </c>
      <c r="H2735" s="7" t="s">
        <v>16</v>
      </c>
    </row>
    <row r="2736" spans="1:8" x14ac:dyDescent="0.2">
      <c r="A2736" s="5" t="s">
        <v>13</v>
      </c>
      <c r="B2736" s="6" t="s">
        <v>19</v>
      </c>
      <c r="C2736" s="7" t="s">
        <v>3074</v>
      </c>
      <c r="D2736" s="7"/>
      <c r="E2736" s="8">
        <v>1.57052601</v>
      </c>
      <c r="F2736" s="8">
        <v>1.00188605</v>
      </c>
      <c r="G2736" s="7" t="str">
        <f t="shared" si="16"/>
        <v>Direct</v>
      </c>
      <c r="H2736" s="7" t="s">
        <v>3075</v>
      </c>
    </row>
    <row r="2737" spans="1:8" x14ac:dyDescent="0.2">
      <c r="A2737" s="5" t="s">
        <v>13</v>
      </c>
      <c r="B2737" s="6" t="s">
        <v>19</v>
      </c>
      <c r="C2737" s="7" t="s">
        <v>3076</v>
      </c>
      <c r="D2737" s="7"/>
      <c r="E2737" s="8">
        <v>-1.3237882999999999</v>
      </c>
      <c r="F2737" s="8">
        <v>-2.2183785</v>
      </c>
      <c r="G2737" s="7" t="str">
        <f t="shared" si="16"/>
        <v>Direct</v>
      </c>
      <c r="H2737" s="7" t="s">
        <v>16</v>
      </c>
    </row>
    <row r="2738" spans="1:8" x14ac:dyDescent="0.2">
      <c r="A2738" s="5" t="s">
        <v>13</v>
      </c>
      <c r="B2738" s="6" t="s">
        <v>19</v>
      </c>
      <c r="C2738" s="7" t="s">
        <v>3077</v>
      </c>
      <c r="D2738" s="7"/>
      <c r="E2738" s="8">
        <v>-1.1647101</v>
      </c>
      <c r="F2738" s="8">
        <v>-3.8546274999999999</v>
      </c>
      <c r="G2738" s="7" t="str">
        <f t="shared" si="16"/>
        <v>Direct</v>
      </c>
      <c r="H2738" s="7" t="s">
        <v>16</v>
      </c>
    </row>
    <row r="2739" spans="1:8" x14ac:dyDescent="0.2">
      <c r="A2739" s="5" t="s">
        <v>13</v>
      </c>
      <c r="B2739" s="6" t="s">
        <v>19</v>
      </c>
      <c r="C2739" s="7" t="s">
        <v>3078</v>
      </c>
      <c r="D2739" s="7"/>
      <c r="E2739" s="8">
        <v>2.3661892299999998</v>
      </c>
      <c r="F2739" s="8">
        <v>3.2506895099999999</v>
      </c>
      <c r="G2739" s="7" t="str">
        <f t="shared" si="16"/>
        <v>Direct</v>
      </c>
      <c r="H2739" s="7" t="s">
        <v>16</v>
      </c>
    </row>
    <row r="2740" spans="1:8" x14ac:dyDescent="0.2">
      <c r="A2740" s="5" t="s">
        <v>13</v>
      </c>
      <c r="B2740" s="6" t="s">
        <v>19</v>
      </c>
      <c r="C2740" s="7" t="s">
        <v>3079</v>
      </c>
      <c r="D2740" s="7"/>
      <c r="E2740" s="8">
        <v>-1.7156119999999999</v>
      </c>
      <c r="F2740" s="8">
        <v>-1.3609013000000001</v>
      </c>
      <c r="G2740" s="7" t="str">
        <f t="shared" si="16"/>
        <v>Direct</v>
      </c>
      <c r="H2740" s="7" t="s">
        <v>3080</v>
      </c>
    </row>
    <row r="2741" spans="1:8" x14ac:dyDescent="0.2">
      <c r="A2741" s="5" t="s">
        <v>13</v>
      </c>
      <c r="B2741" s="6" t="s">
        <v>19</v>
      </c>
      <c r="C2741" s="7" t="s">
        <v>3081</v>
      </c>
      <c r="D2741" s="7"/>
      <c r="E2741" s="8">
        <v>1.06609121</v>
      </c>
      <c r="F2741" s="8">
        <v>1.0430832800000001</v>
      </c>
      <c r="G2741" s="7" t="str">
        <f t="shared" si="16"/>
        <v>Direct</v>
      </c>
      <c r="H2741" s="7" t="s">
        <v>16</v>
      </c>
    </row>
    <row r="2742" spans="1:8" x14ac:dyDescent="0.2">
      <c r="A2742" s="5" t="s">
        <v>13</v>
      </c>
      <c r="B2742" s="6" t="s">
        <v>19</v>
      </c>
      <c r="C2742" s="7" t="s">
        <v>3082</v>
      </c>
      <c r="D2742" s="7"/>
      <c r="E2742" s="8">
        <v>-1.8919827</v>
      </c>
      <c r="F2742" s="8">
        <v>-1.9310415000000001</v>
      </c>
      <c r="G2742" s="7" t="str">
        <f t="shared" si="16"/>
        <v>Direct</v>
      </c>
      <c r="H2742" s="7" t="s">
        <v>16</v>
      </c>
    </row>
    <row r="2743" spans="1:8" x14ac:dyDescent="0.2">
      <c r="A2743" s="5" t="s">
        <v>13</v>
      </c>
      <c r="B2743" s="6" t="s">
        <v>19</v>
      </c>
      <c r="C2743" s="7" t="s">
        <v>3083</v>
      </c>
      <c r="D2743" s="7"/>
      <c r="E2743" s="8">
        <v>-2.1962141000000002</v>
      </c>
      <c r="F2743" s="8">
        <v>-1.7125538</v>
      </c>
      <c r="G2743" s="7" t="str">
        <f t="shared" si="16"/>
        <v>Direct</v>
      </c>
      <c r="H2743" s="7" t="s">
        <v>16</v>
      </c>
    </row>
    <row r="2744" spans="1:8" x14ac:dyDescent="0.2">
      <c r="A2744" s="5" t="s">
        <v>13</v>
      </c>
      <c r="B2744" s="6" t="s">
        <v>19</v>
      </c>
      <c r="C2744" s="7" t="s">
        <v>556</v>
      </c>
      <c r="D2744" s="7"/>
      <c r="E2744" s="8">
        <v>-13.805263</v>
      </c>
      <c r="F2744" s="8">
        <v>-11.439742000000001</v>
      </c>
      <c r="G2744" s="7" t="str">
        <f t="shared" si="16"/>
        <v>Direct</v>
      </c>
      <c r="H2744" s="7" t="s">
        <v>16</v>
      </c>
    </row>
    <row r="2745" spans="1:8" x14ac:dyDescent="0.2">
      <c r="A2745" s="5" t="s">
        <v>13</v>
      </c>
      <c r="B2745" s="6" t="s">
        <v>19</v>
      </c>
      <c r="C2745" s="7" t="s">
        <v>3084</v>
      </c>
      <c r="D2745" s="7"/>
      <c r="E2745" s="8">
        <v>-2.6374094000000001</v>
      </c>
      <c r="F2745" s="8">
        <v>-2.5119422999999999</v>
      </c>
      <c r="G2745" s="7" t="str">
        <f t="shared" si="16"/>
        <v>Direct</v>
      </c>
      <c r="H2745" s="7" t="s">
        <v>16</v>
      </c>
    </row>
    <row r="2746" spans="1:8" x14ac:dyDescent="0.2">
      <c r="A2746" s="5" t="s">
        <v>13</v>
      </c>
      <c r="B2746" s="6" t="s">
        <v>19</v>
      </c>
      <c r="C2746" s="7" t="s">
        <v>3085</v>
      </c>
      <c r="D2746" s="7"/>
      <c r="E2746" s="8">
        <v>-2.7345996000000001</v>
      </c>
      <c r="F2746" s="8">
        <v>-2.5389681</v>
      </c>
      <c r="G2746" s="7" t="str">
        <f t="shared" si="16"/>
        <v>Direct</v>
      </c>
      <c r="H2746" s="7" t="s">
        <v>16</v>
      </c>
    </row>
    <row r="2747" spans="1:8" x14ac:dyDescent="0.2">
      <c r="A2747" s="5" t="s">
        <v>13</v>
      </c>
      <c r="B2747" s="6" t="s">
        <v>19</v>
      </c>
      <c r="C2747" s="7" t="s">
        <v>3086</v>
      </c>
      <c r="D2747" s="7"/>
      <c r="E2747" s="8">
        <v>-6.0462672</v>
      </c>
      <c r="F2747" s="8">
        <v>-3.1582403000000001</v>
      </c>
      <c r="G2747" s="7" t="str">
        <f t="shared" si="16"/>
        <v>Direct</v>
      </c>
      <c r="H2747" s="7" t="s">
        <v>16</v>
      </c>
    </row>
    <row r="2748" spans="1:8" x14ac:dyDescent="0.2">
      <c r="A2748" s="5" t="s">
        <v>13</v>
      </c>
      <c r="B2748" s="6" t="s">
        <v>19</v>
      </c>
      <c r="C2748" s="7" t="s">
        <v>557</v>
      </c>
      <c r="D2748" s="7"/>
      <c r="E2748" s="8">
        <v>-4.1945085999999998</v>
      </c>
      <c r="F2748" s="8">
        <v>-3.1332632</v>
      </c>
      <c r="G2748" s="7" t="str">
        <f t="shared" si="16"/>
        <v>Direct</v>
      </c>
      <c r="H2748" s="7" t="s">
        <v>558</v>
      </c>
    </row>
    <row r="2749" spans="1:8" x14ac:dyDescent="0.2">
      <c r="A2749" s="5" t="s">
        <v>13</v>
      </c>
      <c r="B2749" s="6" t="s">
        <v>19</v>
      </c>
      <c r="C2749" s="7" t="s">
        <v>3087</v>
      </c>
      <c r="D2749" s="7"/>
      <c r="E2749" s="8">
        <v>-1.5118469999999999</v>
      </c>
      <c r="F2749" s="8">
        <v>-1.3226142999999999</v>
      </c>
      <c r="G2749" s="7" t="str">
        <f t="shared" si="16"/>
        <v>Direct</v>
      </c>
      <c r="H2749" s="7" t="s">
        <v>3088</v>
      </c>
    </row>
    <row r="2750" spans="1:8" x14ac:dyDescent="0.2">
      <c r="A2750" s="5" t="s">
        <v>13</v>
      </c>
      <c r="B2750" s="6" t="s">
        <v>19</v>
      </c>
      <c r="C2750" s="7" t="s">
        <v>3089</v>
      </c>
      <c r="D2750" s="7"/>
      <c r="E2750" s="8">
        <v>-1.5451447</v>
      </c>
      <c r="F2750" s="8">
        <v>-1.520851</v>
      </c>
      <c r="G2750" s="7" t="str">
        <f t="shared" si="16"/>
        <v>Direct</v>
      </c>
      <c r="H2750" s="7" t="s">
        <v>1143</v>
      </c>
    </row>
    <row r="2751" spans="1:8" x14ac:dyDescent="0.2">
      <c r="A2751" s="5" t="s">
        <v>13</v>
      </c>
      <c r="B2751" s="6" t="s">
        <v>19</v>
      </c>
      <c r="C2751" s="7" t="s">
        <v>559</v>
      </c>
      <c r="D2751" s="7"/>
      <c r="E2751" s="8">
        <v>-3.8161233999999999</v>
      </c>
      <c r="F2751" s="8">
        <v>-3.2032451000000002</v>
      </c>
      <c r="G2751" s="7" t="str">
        <f t="shared" si="16"/>
        <v>Direct</v>
      </c>
      <c r="H2751" s="7" t="s">
        <v>560</v>
      </c>
    </row>
    <row r="2752" spans="1:8" x14ac:dyDescent="0.2">
      <c r="A2752" s="5" t="s">
        <v>13</v>
      </c>
      <c r="B2752" s="6" t="s">
        <v>19</v>
      </c>
      <c r="C2752" s="7" t="s">
        <v>3090</v>
      </c>
      <c r="D2752" s="7"/>
      <c r="E2752" s="8">
        <v>-5.7476197000000004</v>
      </c>
      <c r="F2752" s="8">
        <v>-6.9617737000000002</v>
      </c>
      <c r="G2752" s="7" t="str">
        <f t="shared" si="16"/>
        <v>Direct</v>
      </c>
      <c r="H2752" s="7" t="s">
        <v>1154</v>
      </c>
    </row>
    <row r="2753" spans="1:8" x14ac:dyDescent="0.2">
      <c r="A2753" s="5" t="s">
        <v>13</v>
      </c>
      <c r="B2753" s="6" t="s">
        <v>19</v>
      </c>
      <c r="C2753" s="7" t="s">
        <v>3091</v>
      </c>
      <c r="D2753" s="7"/>
      <c r="E2753" s="8">
        <v>1.5397024699999999</v>
      </c>
      <c r="F2753" s="8">
        <v>1.3897715900000001</v>
      </c>
      <c r="G2753" s="7" t="str">
        <f t="shared" si="16"/>
        <v>Direct</v>
      </c>
      <c r="H2753" s="7" t="s">
        <v>1617</v>
      </c>
    </row>
    <row r="2754" spans="1:8" x14ac:dyDescent="0.2">
      <c r="A2754" s="5" t="s">
        <v>13</v>
      </c>
      <c r="B2754" s="6" t="s">
        <v>19</v>
      </c>
      <c r="C2754" s="7" t="s">
        <v>3092</v>
      </c>
      <c r="D2754" s="7"/>
      <c r="E2754" s="8">
        <v>-6.2576222000000001</v>
      </c>
      <c r="F2754" s="8">
        <v>-5.7099938000000003</v>
      </c>
      <c r="G2754" s="7" t="str">
        <f t="shared" si="16"/>
        <v>Direct</v>
      </c>
      <c r="H2754" s="7" t="s">
        <v>3093</v>
      </c>
    </row>
    <row r="2755" spans="1:8" x14ac:dyDescent="0.2">
      <c r="A2755" s="5" t="s">
        <v>13</v>
      </c>
      <c r="B2755" s="6" t="s">
        <v>19</v>
      </c>
      <c r="C2755" s="7" t="s">
        <v>3094</v>
      </c>
      <c r="D2755" s="7"/>
      <c r="E2755" s="8">
        <v>-2.9564675</v>
      </c>
      <c r="F2755" s="8">
        <v>-1.7155654</v>
      </c>
      <c r="G2755" s="7" t="str">
        <f t="shared" si="16"/>
        <v>Direct</v>
      </c>
      <c r="H2755" s="7" t="s">
        <v>3095</v>
      </c>
    </row>
    <row r="2756" spans="1:8" x14ac:dyDescent="0.2">
      <c r="A2756" s="5" t="s">
        <v>13</v>
      </c>
      <c r="B2756" s="6" t="s">
        <v>19</v>
      </c>
      <c r="C2756" s="7" t="s">
        <v>3096</v>
      </c>
      <c r="D2756" s="7"/>
      <c r="E2756" s="8">
        <v>1.5632285800000001</v>
      </c>
      <c r="F2756" s="8">
        <v>2.2796533800000001</v>
      </c>
      <c r="G2756" s="7" t="str">
        <f t="shared" si="16"/>
        <v>Direct</v>
      </c>
      <c r="H2756" s="7" t="s">
        <v>3097</v>
      </c>
    </row>
    <row r="2757" spans="1:8" x14ac:dyDescent="0.2">
      <c r="A2757" s="5" t="s">
        <v>13</v>
      </c>
      <c r="B2757" s="6" t="s">
        <v>19</v>
      </c>
      <c r="C2757" s="7" t="s">
        <v>3098</v>
      </c>
      <c r="D2757" s="7"/>
      <c r="E2757" s="8">
        <v>1.3443349099999999</v>
      </c>
      <c r="F2757" s="8">
        <v>1.6590462699999999</v>
      </c>
      <c r="G2757" s="7" t="str">
        <f t="shared" si="16"/>
        <v>Direct</v>
      </c>
      <c r="H2757" s="7" t="s">
        <v>3099</v>
      </c>
    </row>
    <row r="2758" spans="1:8" x14ac:dyDescent="0.2">
      <c r="A2758" s="5" t="s">
        <v>13</v>
      </c>
      <c r="B2758" s="6" t="s">
        <v>19</v>
      </c>
      <c r="C2758" s="7" t="s">
        <v>3100</v>
      </c>
      <c r="D2758" s="7"/>
      <c r="E2758" s="8">
        <v>3.2194237800000001</v>
      </c>
      <c r="F2758" s="8">
        <v>4.1538127899999999</v>
      </c>
      <c r="G2758" s="7" t="str">
        <f t="shared" ref="G2758:G3012" si="17">IF(OR(AND(E2758&gt;0,F2758&gt;0),AND(E2758&lt;0,F2758&lt;0)),"Direct","Inverse")</f>
        <v>Direct</v>
      </c>
      <c r="H2758" s="7" t="s">
        <v>16</v>
      </c>
    </row>
    <row r="2759" spans="1:8" x14ac:dyDescent="0.2">
      <c r="A2759" s="5" t="s">
        <v>13</v>
      </c>
      <c r="B2759" s="6" t="s">
        <v>19</v>
      </c>
      <c r="C2759" s="7" t="s">
        <v>3101</v>
      </c>
      <c r="D2759" s="7"/>
      <c r="E2759" s="8">
        <v>2.3941422800000001</v>
      </c>
      <c r="F2759" s="8">
        <v>1.529361</v>
      </c>
      <c r="G2759" s="7" t="str">
        <f t="shared" si="17"/>
        <v>Direct</v>
      </c>
      <c r="H2759" s="7" t="s">
        <v>3102</v>
      </c>
    </row>
    <row r="2760" spans="1:8" x14ac:dyDescent="0.2">
      <c r="A2760" s="5" t="s">
        <v>13</v>
      </c>
      <c r="B2760" s="6" t="s">
        <v>19</v>
      </c>
      <c r="C2760" s="7" t="s">
        <v>3103</v>
      </c>
      <c r="D2760" s="7"/>
      <c r="E2760" s="8">
        <v>-3.7487645999999999</v>
      </c>
      <c r="F2760" s="8">
        <v>-5.5201245999999999</v>
      </c>
      <c r="G2760" s="7" t="str">
        <f t="shared" si="17"/>
        <v>Direct</v>
      </c>
      <c r="H2760" s="7" t="s">
        <v>590</v>
      </c>
    </row>
    <row r="2761" spans="1:8" x14ac:dyDescent="0.2">
      <c r="A2761" s="5" t="s">
        <v>13</v>
      </c>
      <c r="B2761" s="6" t="s">
        <v>19</v>
      </c>
      <c r="C2761" s="7" t="s">
        <v>3104</v>
      </c>
      <c r="D2761" s="7"/>
      <c r="E2761" s="8">
        <v>-1.8303244000000001</v>
      </c>
      <c r="F2761" s="8">
        <v>-4.0389153999999996</v>
      </c>
      <c r="G2761" s="7" t="str">
        <f t="shared" si="17"/>
        <v>Direct</v>
      </c>
      <c r="H2761" s="7" t="s">
        <v>3105</v>
      </c>
    </row>
    <row r="2762" spans="1:8" x14ac:dyDescent="0.2">
      <c r="A2762" s="5" t="s">
        <v>13</v>
      </c>
      <c r="B2762" s="6" t="s">
        <v>19</v>
      </c>
      <c r="C2762" s="7" t="s">
        <v>561</v>
      </c>
      <c r="D2762" s="7"/>
      <c r="E2762" s="8">
        <v>-1.8194953</v>
      </c>
      <c r="F2762" s="8">
        <v>-2.0893065000000002</v>
      </c>
      <c r="G2762" s="7" t="str">
        <f t="shared" si="17"/>
        <v>Direct</v>
      </c>
      <c r="H2762" s="7" t="s">
        <v>16</v>
      </c>
    </row>
    <row r="2763" spans="1:8" x14ac:dyDescent="0.2">
      <c r="A2763" s="5" t="s">
        <v>13</v>
      </c>
      <c r="B2763" s="6" t="s">
        <v>19</v>
      </c>
      <c r="C2763" s="7" t="s">
        <v>3106</v>
      </c>
      <c r="D2763" s="7"/>
      <c r="E2763" s="8">
        <v>1.9882854299999999</v>
      </c>
      <c r="F2763" s="8">
        <v>2.3139202600000002</v>
      </c>
      <c r="G2763" s="7" t="str">
        <f t="shared" si="17"/>
        <v>Direct</v>
      </c>
      <c r="H2763" s="7" t="s">
        <v>3107</v>
      </c>
    </row>
    <row r="2764" spans="1:8" x14ac:dyDescent="0.2">
      <c r="A2764" s="5" t="s">
        <v>13</v>
      </c>
      <c r="B2764" s="6" t="s">
        <v>19</v>
      </c>
      <c r="C2764" s="7" t="s">
        <v>3108</v>
      </c>
      <c r="D2764" s="7"/>
      <c r="E2764" s="8">
        <v>4.5562686499999998</v>
      </c>
      <c r="F2764" s="8">
        <v>4.5270472699999997</v>
      </c>
      <c r="G2764" s="7" t="str">
        <f t="shared" si="17"/>
        <v>Direct</v>
      </c>
      <c r="H2764" s="7" t="s">
        <v>172</v>
      </c>
    </row>
    <row r="2765" spans="1:8" x14ac:dyDescent="0.2">
      <c r="A2765" s="5" t="s">
        <v>13</v>
      </c>
      <c r="B2765" s="6" t="s">
        <v>19</v>
      </c>
      <c r="C2765" s="7" t="s">
        <v>562</v>
      </c>
      <c r="D2765" s="7"/>
      <c r="E2765" s="8">
        <v>-9.9479959000000004</v>
      </c>
      <c r="F2765" s="8">
        <v>-10.535645000000001</v>
      </c>
      <c r="G2765" s="7" t="str">
        <f t="shared" si="17"/>
        <v>Direct</v>
      </c>
      <c r="H2765" s="7" t="s">
        <v>563</v>
      </c>
    </row>
    <row r="2766" spans="1:8" x14ac:dyDescent="0.2">
      <c r="A2766" s="5" t="s">
        <v>13</v>
      </c>
      <c r="B2766" s="6" t="s">
        <v>19</v>
      </c>
      <c r="C2766" s="7" t="s">
        <v>564</v>
      </c>
      <c r="D2766" s="7"/>
      <c r="E2766" s="8">
        <v>-2.4480936</v>
      </c>
      <c r="F2766" s="8">
        <v>-7.279496</v>
      </c>
      <c r="G2766" s="7" t="str">
        <f t="shared" si="17"/>
        <v>Direct</v>
      </c>
      <c r="H2766" s="7" t="s">
        <v>563</v>
      </c>
    </row>
    <row r="2767" spans="1:8" x14ac:dyDescent="0.2">
      <c r="A2767" s="5" t="s">
        <v>13</v>
      </c>
      <c r="B2767" s="6" t="s">
        <v>19</v>
      </c>
      <c r="C2767" s="7" t="s">
        <v>3109</v>
      </c>
      <c r="D2767" s="7"/>
      <c r="E2767" s="8">
        <v>-1.862382</v>
      </c>
      <c r="F2767" s="8">
        <v>-3.0708883</v>
      </c>
      <c r="G2767" s="7" t="str">
        <f t="shared" si="17"/>
        <v>Direct</v>
      </c>
      <c r="H2767" s="7" t="s">
        <v>3110</v>
      </c>
    </row>
    <row r="2768" spans="1:8" x14ac:dyDescent="0.2">
      <c r="A2768" s="5" t="s">
        <v>13</v>
      </c>
      <c r="B2768" s="6" t="s">
        <v>19</v>
      </c>
      <c r="C2768" s="7" t="s">
        <v>3111</v>
      </c>
      <c r="D2768" s="7"/>
      <c r="E2768" s="8">
        <v>1.2516885799999999</v>
      </c>
      <c r="F2768" s="8">
        <v>1.2284123600000001</v>
      </c>
      <c r="G2768" s="7" t="str">
        <f t="shared" si="17"/>
        <v>Direct</v>
      </c>
      <c r="H2768" s="7" t="s">
        <v>3112</v>
      </c>
    </row>
    <row r="2769" spans="1:8" x14ac:dyDescent="0.2">
      <c r="A2769" s="5" t="s">
        <v>13</v>
      </c>
      <c r="B2769" s="6" t="s">
        <v>19</v>
      </c>
      <c r="C2769" s="7" t="s">
        <v>3113</v>
      </c>
      <c r="D2769" s="7"/>
      <c r="E2769" s="8">
        <v>-6.7315785999999997</v>
      </c>
      <c r="F2769" s="8">
        <v>-7.1717915999999997</v>
      </c>
      <c r="G2769" s="7" t="str">
        <f t="shared" si="17"/>
        <v>Direct</v>
      </c>
      <c r="H2769" s="7" t="s">
        <v>3114</v>
      </c>
    </row>
    <row r="2770" spans="1:8" x14ac:dyDescent="0.2">
      <c r="A2770" s="5" t="s">
        <v>13</v>
      </c>
      <c r="B2770" s="6" t="s">
        <v>19</v>
      </c>
      <c r="C2770" s="7" t="s">
        <v>3115</v>
      </c>
      <c r="D2770" s="7"/>
      <c r="E2770" s="8">
        <v>-1.5810618999999999</v>
      </c>
      <c r="F2770" s="8">
        <v>-1.6863355</v>
      </c>
      <c r="G2770" s="7" t="str">
        <f t="shared" si="17"/>
        <v>Direct</v>
      </c>
      <c r="H2770" s="7" t="s">
        <v>2024</v>
      </c>
    </row>
    <row r="2771" spans="1:8" x14ac:dyDescent="0.2">
      <c r="A2771" s="5" t="s">
        <v>13</v>
      </c>
      <c r="B2771" s="6" t="s">
        <v>19</v>
      </c>
      <c r="C2771" s="7" t="s">
        <v>3116</v>
      </c>
      <c r="D2771" s="7"/>
      <c r="E2771" s="8">
        <v>-2.4378815999999999</v>
      </c>
      <c r="F2771" s="8">
        <v>-2.4494734999999999</v>
      </c>
      <c r="G2771" s="7" t="str">
        <f t="shared" si="17"/>
        <v>Direct</v>
      </c>
      <c r="H2771" s="7" t="s">
        <v>3117</v>
      </c>
    </row>
    <row r="2772" spans="1:8" x14ac:dyDescent="0.2">
      <c r="A2772" s="5" t="s">
        <v>13</v>
      </c>
      <c r="B2772" s="6" t="s">
        <v>19</v>
      </c>
      <c r="C2772" s="7" t="s">
        <v>3118</v>
      </c>
      <c r="D2772" s="7"/>
      <c r="E2772" s="8">
        <v>-1.6172645000000001</v>
      </c>
      <c r="F2772" s="8">
        <v>-1.5601278000000001</v>
      </c>
      <c r="G2772" s="7" t="str">
        <f t="shared" si="17"/>
        <v>Direct</v>
      </c>
      <c r="H2772" s="7" t="s">
        <v>820</v>
      </c>
    </row>
    <row r="2773" spans="1:8" x14ac:dyDescent="0.2">
      <c r="A2773" s="5" t="s">
        <v>13</v>
      </c>
      <c r="B2773" s="6" t="s">
        <v>19</v>
      </c>
      <c r="C2773" s="7" t="s">
        <v>3119</v>
      </c>
      <c r="D2773" s="7"/>
      <c r="E2773" s="8">
        <v>-7.0034678000000001</v>
      </c>
      <c r="F2773" s="8">
        <v>-2.8009594999999998</v>
      </c>
      <c r="G2773" s="7" t="str">
        <f t="shared" si="17"/>
        <v>Direct</v>
      </c>
      <c r="H2773" s="7" t="s">
        <v>3120</v>
      </c>
    </row>
    <row r="2774" spans="1:8" x14ac:dyDescent="0.2">
      <c r="A2774" s="5" t="s">
        <v>13</v>
      </c>
      <c r="B2774" s="6" t="s">
        <v>19</v>
      </c>
      <c r="C2774" s="7" t="s">
        <v>3121</v>
      </c>
      <c r="D2774" s="7"/>
      <c r="E2774" s="8">
        <v>2.9285389400000001</v>
      </c>
      <c r="F2774" s="8">
        <v>2.1369478200000001</v>
      </c>
      <c r="G2774" s="7" t="str">
        <f t="shared" si="17"/>
        <v>Direct</v>
      </c>
      <c r="H2774" s="7" t="s">
        <v>1634</v>
      </c>
    </row>
    <row r="2775" spans="1:8" x14ac:dyDescent="0.2">
      <c r="A2775" s="5" t="s">
        <v>13</v>
      </c>
      <c r="B2775" s="6" t="s">
        <v>19</v>
      </c>
      <c r="C2775" s="7" t="s">
        <v>565</v>
      </c>
      <c r="D2775" s="7"/>
      <c r="E2775" s="8">
        <v>-1.8280320000000001</v>
      </c>
      <c r="F2775" s="8">
        <v>-1.3972545999999999</v>
      </c>
      <c r="G2775" s="7" t="str">
        <f t="shared" si="17"/>
        <v>Direct</v>
      </c>
      <c r="H2775" s="7" t="s">
        <v>16</v>
      </c>
    </row>
    <row r="2776" spans="1:8" x14ac:dyDescent="0.2">
      <c r="A2776" s="5" t="s">
        <v>13</v>
      </c>
      <c r="B2776" s="6" t="s">
        <v>19</v>
      </c>
      <c r="C2776" s="7" t="s">
        <v>566</v>
      </c>
      <c r="D2776" s="7"/>
      <c r="E2776" s="8">
        <v>-2.2366174999999999</v>
      </c>
      <c r="F2776" s="8">
        <v>-1.9349544999999999</v>
      </c>
      <c r="G2776" s="7" t="str">
        <f t="shared" si="17"/>
        <v>Direct</v>
      </c>
      <c r="H2776" s="7" t="s">
        <v>567</v>
      </c>
    </row>
    <row r="2777" spans="1:8" x14ac:dyDescent="0.2">
      <c r="A2777" s="5" t="s">
        <v>13</v>
      </c>
      <c r="B2777" s="6" t="s">
        <v>19</v>
      </c>
      <c r="C2777" s="7" t="s">
        <v>3122</v>
      </c>
      <c r="D2777" s="7"/>
      <c r="E2777" s="8">
        <v>3.1908309699999999</v>
      </c>
      <c r="F2777" s="8">
        <v>1.63411065</v>
      </c>
      <c r="G2777" s="7" t="str">
        <f t="shared" si="17"/>
        <v>Direct</v>
      </c>
      <c r="H2777" s="7" t="s">
        <v>16</v>
      </c>
    </row>
    <row r="2778" spans="1:8" x14ac:dyDescent="0.2">
      <c r="A2778" s="5" t="s">
        <v>13</v>
      </c>
      <c r="B2778" s="6" t="s">
        <v>19</v>
      </c>
      <c r="C2778" s="7" t="s">
        <v>3123</v>
      </c>
      <c r="D2778" s="7"/>
      <c r="E2778" s="8">
        <v>4.0601710000000004</v>
      </c>
      <c r="F2778" s="8">
        <v>2.41984179</v>
      </c>
      <c r="G2778" s="7" t="str">
        <f t="shared" si="17"/>
        <v>Direct</v>
      </c>
      <c r="H2778" s="7" t="s">
        <v>16</v>
      </c>
    </row>
    <row r="2779" spans="1:8" x14ac:dyDescent="0.2">
      <c r="A2779" s="5" t="s">
        <v>13</v>
      </c>
      <c r="B2779" s="6" t="s">
        <v>19</v>
      </c>
      <c r="C2779" s="7" t="s">
        <v>3124</v>
      </c>
      <c r="D2779" s="7"/>
      <c r="E2779" s="8">
        <v>-2.3747452999999998</v>
      </c>
      <c r="F2779" s="8">
        <v>-2.3435980000000001</v>
      </c>
      <c r="G2779" s="7" t="str">
        <f t="shared" si="17"/>
        <v>Direct</v>
      </c>
      <c r="H2779" s="7" t="s">
        <v>16</v>
      </c>
    </row>
    <row r="2780" spans="1:8" x14ac:dyDescent="0.2">
      <c r="A2780" s="5" t="s">
        <v>13</v>
      </c>
      <c r="B2780" s="6" t="s">
        <v>19</v>
      </c>
      <c r="C2780" s="7" t="s">
        <v>3125</v>
      </c>
      <c r="D2780" s="7"/>
      <c r="E2780" s="8">
        <v>-1.0358830999999999</v>
      </c>
      <c r="F2780" s="8">
        <v>-2.3153038000000001</v>
      </c>
      <c r="G2780" s="7" t="str">
        <f t="shared" si="17"/>
        <v>Direct</v>
      </c>
      <c r="H2780" s="7" t="s">
        <v>16</v>
      </c>
    </row>
    <row r="2781" spans="1:8" x14ac:dyDescent="0.2">
      <c r="A2781" s="5" t="s">
        <v>13</v>
      </c>
      <c r="B2781" s="6" t="s">
        <v>19</v>
      </c>
      <c r="C2781" s="7" t="s">
        <v>568</v>
      </c>
      <c r="D2781" s="7"/>
      <c r="E2781" s="8">
        <v>1.8072035799999999</v>
      </c>
      <c r="F2781" s="8">
        <v>1.59929185</v>
      </c>
      <c r="G2781" s="7" t="str">
        <f t="shared" si="17"/>
        <v>Direct</v>
      </c>
      <c r="H2781" s="7" t="s">
        <v>569</v>
      </c>
    </row>
    <row r="2782" spans="1:8" x14ac:dyDescent="0.2">
      <c r="A2782" s="5" t="s">
        <v>13</v>
      </c>
      <c r="B2782" s="6" t="s">
        <v>19</v>
      </c>
      <c r="C2782" s="7" t="s">
        <v>3126</v>
      </c>
      <c r="D2782" s="7"/>
      <c r="E2782" s="8">
        <v>-2.0503342999999998</v>
      </c>
      <c r="F2782" s="8">
        <v>-1.7162329999999999</v>
      </c>
      <c r="G2782" s="7" t="str">
        <f t="shared" si="17"/>
        <v>Direct</v>
      </c>
      <c r="H2782" s="7" t="s">
        <v>3127</v>
      </c>
    </row>
    <row r="2783" spans="1:8" x14ac:dyDescent="0.2">
      <c r="A2783" s="5" t="s">
        <v>13</v>
      </c>
      <c r="B2783" s="6" t="s">
        <v>19</v>
      </c>
      <c r="C2783" s="7" t="s">
        <v>3128</v>
      </c>
      <c r="D2783" s="7"/>
      <c r="E2783" s="8">
        <v>-4.4125937000000004</v>
      </c>
      <c r="F2783" s="8">
        <v>-4.0709732000000001</v>
      </c>
      <c r="G2783" s="7" t="str">
        <f t="shared" si="17"/>
        <v>Direct</v>
      </c>
      <c r="H2783" s="7" t="s">
        <v>3129</v>
      </c>
    </row>
    <row r="2784" spans="1:8" x14ac:dyDescent="0.2">
      <c r="A2784" s="5" t="s">
        <v>13</v>
      </c>
      <c r="B2784" s="6" t="s">
        <v>19</v>
      </c>
      <c r="C2784" s="7" t="s">
        <v>570</v>
      </c>
      <c r="D2784" s="7"/>
      <c r="E2784" s="8">
        <v>-1.5451447</v>
      </c>
      <c r="F2784" s="8">
        <v>-1.0897866</v>
      </c>
      <c r="G2784" s="7" t="str">
        <f t="shared" si="17"/>
        <v>Direct</v>
      </c>
      <c r="H2784" s="7" t="s">
        <v>571</v>
      </c>
    </row>
    <row r="2785" spans="1:8" x14ac:dyDescent="0.2">
      <c r="A2785" s="5" t="s">
        <v>13</v>
      </c>
      <c r="B2785" s="6" t="s">
        <v>19</v>
      </c>
      <c r="C2785" s="7" t="s">
        <v>572</v>
      </c>
      <c r="D2785" s="7"/>
      <c r="E2785" s="8">
        <v>-3.9198960999999999</v>
      </c>
      <c r="F2785" s="8">
        <v>-3.3935578</v>
      </c>
      <c r="G2785" s="7" t="str">
        <f t="shared" si="17"/>
        <v>Direct</v>
      </c>
      <c r="H2785" s="7" t="s">
        <v>16</v>
      </c>
    </row>
    <row r="2786" spans="1:8" x14ac:dyDescent="0.2">
      <c r="A2786" s="5" t="s">
        <v>13</v>
      </c>
      <c r="B2786" s="6" t="s">
        <v>19</v>
      </c>
      <c r="C2786" s="7" t="s">
        <v>573</v>
      </c>
      <c r="D2786" s="7"/>
      <c r="E2786" s="8">
        <v>-1.4585303999999999</v>
      </c>
      <c r="F2786" s="8">
        <v>-1.1706603</v>
      </c>
      <c r="G2786" s="7" t="str">
        <f t="shared" si="17"/>
        <v>Direct</v>
      </c>
      <c r="H2786" s="7" t="s">
        <v>16</v>
      </c>
    </row>
    <row r="2787" spans="1:8" x14ac:dyDescent="0.2">
      <c r="A2787" s="5" t="s">
        <v>13</v>
      </c>
      <c r="B2787" s="6" t="s">
        <v>19</v>
      </c>
      <c r="C2787" s="7" t="s">
        <v>3130</v>
      </c>
      <c r="D2787" s="7"/>
      <c r="E2787" s="8">
        <v>-3.9457773</v>
      </c>
      <c r="F2787" s="8">
        <v>-4.0256334999999996</v>
      </c>
      <c r="G2787" s="7" t="str">
        <f t="shared" si="17"/>
        <v>Direct</v>
      </c>
      <c r="H2787" s="7" t="s">
        <v>1208</v>
      </c>
    </row>
    <row r="2788" spans="1:8" x14ac:dyDescent="0.2">
      <c r="A2788" s="5" t="s">
        <v>13</v>
      </c>
      <c r="B2788" s="6" t="s">
        <v>19</v>
      </c>
      <c r="C2788" s="7" t="s">
        <v>3131</v>
      </c>
      <c r="D2788" s="7"/>
      <c r="E2788" s="8">
        <v>-3.3041741</v>
      </c>
      <c r="F2788" s="8">
        <v>-2.0860021</v>
      </c>
      <c r="G2788" s="7" t="str">
        <f t="shared" si="17"/>
        <v>Direct</v>
      </c>
      <c r="H2788" s="7" t="s">
        <v>2075</v>
      </c>
    </row>
    <row r="2789" spans="1:8" x14ac:dyDescent="0.2">
      <c r="A2789" s="5" t="s">
        <v>13</v>
      </c>
      <c r="B2789" s="6" t="s">
        <v>19</v>
      </c>
      <c r="C2789" s="7" t="s">
        <v>575</v>
      </c>
      <c r="D2789" s="7"/>
      <c r="E2789" s="8">
        <v>-2.4630751000000002</v>
      </c>
      <c r="F2789" s="8">
        <v>-4.4070334999999998</v>
      </c>
      <c r="G2789" s="7" t="str">
        <f t="shared" si="17"/>
        <v>Direct</v>
      </c>
      <c r="H2789" s="7" t="s">
        <v>576</v>
      </c>
    </row>
    <row r="2790" spans="1:8" x14ac:dyDescent="0.2">
      <c r="A2790" s="5" t="s">
        <v>13</v>
      </c>
      <c r="B2790" s="6" t="s">
        <v>19</v>
      </c>
      <c r="C2790" s="7" t="s">
        <v>3132</v>
      </c>
      <c r="D2790" s="7"/>
      <c r="E2790" s="8">
        <v>-2.317469</v>
      </c>
      <c r="F2790" s="8">
        <v>-2.2445642000000001</v>
      </c>
      <c r="G2790" s="7" t="str">
        <f t="shared" si="17"/>
        <v>Direct</v>
      </c>
      <c r="H2790" s="7" t="s">
        <v>1410</v>
      </c>
    </row>
    <row r="2791" spans="1:8" x14ac:dyDescent="0.2">
      <c r="A2791" s="5" t="s">
        <v>13</v>
      </c>
      <c r="B2791" s="6" t="s">
        <v>19</v>
      </c>
      <c r="C2791" s="7" t="s">
        <v>3133</v>
      </c>
      <c r="D2791" s="7"/>
      <c r="E2791" s="8">
        <v>-1.5878071</v>
      </c>
      <c r="F2791" s="8">
        <v>-1.3332344</v>
      </c>
      <c r="G2791" s="7" t="str">
        <f t="shared" si="17"/>
        <v>Direct</v>
      </c>
      <c r="H2791" s="7" t="s">
        <v>3134</v>
      </c>
    </row>
    <row r="2792" spans="1:8" x14ac:dyDescent="0.2">
      <c r="A2792" s="5" t="s">
        <v>13</v>
      </c>
      <c r="B2792" s="6" t="s">
        <v>19</v>
      </c>
      <c r="C2792" s="7" t="s">
        <v>3135</v>
      </c>
      <c r="D2792" s="7"/>
      <c r="E2792" s="8">
        <v>-5.8317771</v>
      </c>
      <c r="F2792" s="8">
        <v>-8.4940181999999993</v>
      </c>
      <c r="G2792" s="7" t="str">
        <f t="shared" si="17"/>
        <v>Direct</v>
      </c>
      <c r="H2792" s="7" t="s">
        <v>3136</v>
      </c>
    </row>
    <row r="2793" spans="1:8" x14ac:dyDescent="0.2">
      <c r="A2793" s="5" t="s">
        <v>13</v>
      </c>
      <c r="B2793" s="6" t="s">
        <v>19</v>
      </c>
      <c r="C2793" s="7" t="s">
        <v>3137</v>
      </c>
      <c r="D2793" s="7"/>
      <c r="E2793" s="8">
        <v>-1.1184997000000001</v>
      </c>
      <c r="F2793" s="8">
        <v>-1.0738097</v>
      </c>
      <c r="G2793" s="7" t="str">
        <f t="shared" si="17"/>
        <v>Direct</v>
      </c>
      <c r="H2793" s="7" t="s">
        <v>3138</v>
      </c>
    </row>
    <row r="2794" spans="1:8" x14ac:dyDescent="0.2">
      <c r="A2794" s="5" t="s">
        <v>13</v>
      </c>
      <c r="B2794" s="6" t="s">
        <v>19</v>
      </c>
      <c r="C2794" s="7" t="s">
        <v>3139</v>
      </c>
      <c r="D2794" s="7"/>
      <c r="E2794" s="8">
        <v>-1.862382</v>
      </c>
      <c r="F2794" s="8">
        <v>-1.0423944000000001</v>
      </c>
      <c r="G2794" s="7" t="str">
        <f t="shared" si="17"/>
        <v>Direct</v>
      </c>
      <c r="H2794" s="7" t="s">
        <v>3140</v>
      </c>
    </row>
    <row r="2795" spans="1:8" x14ac:dyDescent="0.2">
      <c r="A2795" s="5" t="s">
        <v>13</v>
      </c>
      <c r="B2795" s="6" t="s">
        <v>19</v>
      </c>
      <c r="C2795" s="7" t="s">
        <v>3141</v>
      </c>
      <c r="D2795" s="7"/>
      <c r="E2795" s="8">
        <v>-1.3354585000000001</v>
      </c>
      <c r="F2795" s="8">
        <v>-1.2294065999999999</v>
      </c>
      <c r="G2795" s="7" t="str">
        <f t="shared" si="17"/>
        <v>Direct</v>
      </c>
      <c r="H2795" s="7" t="s">
        <v>3142</v>
      </c>
    </row>
    <row r="2796" spans="1:8" x14ac:dyDescent="0.2">
      <c r="A2796" s="5" t="s">
        <v>13</v>
      </c>
      <c r="B2796" s="6" t="s">
        <v>19</v>
      </c>
      <c r="C2796" s="7" t="s">
        <v>3143</v>
      </c>
      <c r="D2796" s="7"/>
      <c r="E2796" s="8">
        <v>2.6374093699999999</v>
      </c>
      <c r="F2796" s="8">
        <v>1.7229122400000001</v>
      </c>
      <c r="G2796" s="7" t="str">
        <f t="shared" si="17"/>
        <v>Direct</v>
      </c>
      <c r="H2796" s="7" t="s">
        <v>3144</v>
      </c>
    </row>
    <row r="2797" spans="1:8" x14ac:dyDescent="0.2">
      <c r="A2797" s="5" t="s">
        <v>13</v>
      </c>
      <c r="B2797" s="6" t="s">
        <v>19</v>
      </c>
      <c r="C2797" s="7" t="s">
        <v>3145</v>
      </c>
      <c r="D2797" s="7"/>
      <c r="E2797" s="8">
        <v>-3.4445383000000001</v>
      </c>
      <c r="F2797" s="8">
        <v>-1.8757994</v>
      </c>
      <c r="G2797" s="7" t="str">
        <f t="shared" si="17"/>
        <v>Direct</v>
      </c>
      <c r="H2797" s="7" t="s">
        <v>16</v>
      </c>
    </row>
    <row r="2798" spans="1:8" x14ac:dyDescent="0.2">
      <c r="A2798" s="5" t="s">
        <v>13</v>
      </c>
      <c r="B2798" s="6" t="s">
        <v>19</v>
      </c>
      <c r="C2798" s="7" t="s">
        <v>3146</v>
      </c>
      <c r="D2798" s="7"/>
      <c r="E2798" s="8">
        <v>1.91674703</v>
      </c>
      <c r="F2798" s="8">
        <v>1.75298938</v>
      </c>
      <c r="G2798" s="7" t="str">
        <f t="shared" si="17"/>
        <v>Direct</v>
      </c>
      <c r="H2798" s="7" t="s">
        <v>16</v>
      </c>
    </row>
    <row r="2799" spans="1:8" x14ac:dyDescent="0.2">
      <c r="A2799" s="5" t="s">
        <v>13</v>
      </c>
      <c r="B2799" s="6" t="s">
        <v>19</v>
      </c>
      <c r="C2799" s="7" t="s">
        <v>3147</v>
      </c>
      <c r="D2799" s="7"/>
      <c r="E2799" s="8">
        <v>-1.4204471999999999</v>
      </c>
      <c r="F2799" s="8">
        <v>-1.7175073999999999</v>
      </c>
      <c r="G2799" s="7" t="str">
        <f t="shared" si="17"/>
        <v>Direct</v>
      </c>
      <c r="H2799" s="7" t="s">
        <v>16</v>
      </c>
    </row>
    <row r="2800" spans="1:8" x14ac:dyDescent="0.2">
      <c r="A2800" s="5" t="s">
        <v>13</v>
      </c>
      <c r="B2800" s="6" t="s">
        <v>19</v>
      </c>
      <c r="C2800" s="7" t="s">
        <v>577</v>
      </c>
      <c r="D2800" s="7"/>
      <c r="E2800" s="8">
        <v>-3.3286699999999998</v>
      </c>
      <c r="F2800" s="8">
        <v>-2.3916917</v>
      </c>
      <c r="G2800" s="7" t="str">
        <f t="shared" si="17"/>
        <v>Direct</v>
      </c>
      <c r="H2800" s="7" t="s">
        <v>16</v>
      </c>
    </row>
    <row r="2801" spans="1:8" x14ac:dyDescent="0.2">
      <c r="A2801" s="5" t="s">
        <v>13</v>
      </c>
      <c r="B2801" s="6" t="s">
        <v>19</v>
      </c>
      <c r="C2801" s="7" t="s">
        <v>3148</v>
      </c>
      <c r="D2801" s="7"/>
      <c r="E2801" s="8">
        <v>3.8199438400000001</v>
      </c>
      <c r="F2801" s="8">
        <v>2.29764583</v>
      </c>
      <c r="G2801" s="7" t="str">
        <f t="shared" si="17"/>
        <v>Direct</v>
      </c>
      <c r="H2801" s="7" t="s">
        <v>3149</v>
      </c>
    </row>
    <row r="2802" spans="1:8" x14ac:dyDescent="0.2">
      <c r="A2802" s="5" t="s">
        <v>13</v>
      </c>
      <c r="B2802" s="6" t="s">
        <v>19</v>
      </c>
      <c r="C2802" s="7" t="s">
        <v>3150</v>
      </c>
      <c r="D2802" s="7"/>
      <c r="E2802" s="8">
        <v>1.6497093300000001</v>
      </c>
      <c r="F2802" s="8">
        <v>1.07487171</v>
      </c>
      <c r="G2802" s="7" t="str">
        <f t="shared" si="17"/>
        <v>Direct</v>
      </c>
      <c r="H2802" s="7" t="s">
        <v>3151</v>
      </c>
    </row>
    <row r="2803" spans="1:8" x14ac:dyDescent="0.2">
      <c r="A2803" s="5" t="s">
        <v>13</v>
      </c>
      <c r="B2803" s="6" t="s">
        <v>19</v>
      </c>
      <c r="C2803" s="7" t="s">
        <v>578</v>
      </c>
      <c r="D2803" s="7"/>
      <c r="E2803" s="8">
        <v>2.9463920199999998</v>
      </c>
      <c r="F2803" s="8">
        <v>3.3333460000000001</v>
      </c>
      <c r="G2803" s="7" t="str">
        <f t="shared" si="17"/>
        <v>Direct</v>
      </c>
      <c r="H2803" s="7" t="s">
        <v>16</v>
      </c>
    </row>
    <row r="2804" spans="1:8" x14ac:dyDescent="0.2">
      <c r="A2804" s="5" t="s">
        <v>13</v>
      </c>
      <c r="B2804" s="6" t="s">
        <v>19</v>
      </c>
      <c r="C2804" s="7" t="s">
        <v>3152</v>
      </c>
      <c r="D2804" s="7"/>
      <c r="E2804" s="8">
        <v>4.7109950600000001</v>
      </c>
      <c r="F2804" s="8">
        <v>3.0439135199999998</v>
      </c>
      <c r="G2804" s="7" t="str">
        <f t="shared" si="17"/>
        <v>Direct</v>
      </c>
      <c r="H2804" s="7" t="s">
        <v>3151</v>
      </c>
    </row>
    <row r="2805" spans="1:8" x14ac:dyDescent="0.2">
      <c r="A2805" s="5" t="s">
        <v>13</v>
      </c>
      <c r="B2805" s="6" t="s">
        <v>19</v>
      </c>
      <c r="C2805" s="7" t="s">
        <v>3153</v>
      </c>
      <c r="D2805" s="7"/>
      <c r="E2805" s="8">
        <v>5.5502751400000001</v>
      </c>
      <c r="F2805" s="8">
        <v>5.7690431100000001</v>
      </c>
      <c r="G2805" s="7" t="str">
        <f t="shared" si="17"/>
        <v>Direct</v>
      </c>
      <c r="H2805" s="7" t="s">
        <v>16</v>
      </c>
    </row>
    <row r="2806" spans="1:8" x14ac:dyDescent="0.2">
      <c r="A2806" s="5" t="s">
        <v>13</v>
      </c>
      <c r="B2806" s="6" t="s">
        <v>19</v>
      </c>
      <c r="C2806" s="7" t="s">
        <v>3154</v>
      </c>
      <c r="D2806" s="7"/>
      <c r="E2806" s="8">
        <v>4.42828233</v>
      </c>
      <c r="F2806" s="8">
        <v>1.9113573500000001</v>
      </c>
      <c r="G2806" s="7" t="str">
        <f t="shared" si="17"/>
        <v>Direct</v>
      </c>
      <c r="H2806" s="7" t="s">
        <v>3155</v>
      </c>
    </row>
    <row r="2807" spans="1:8" x14ac:dyDescent="0.2">
      <c r="A2807" s="5" t="s">
        <v>13</v>
      </c>
      <c r="B2807" s="6" t="s">
        <v>19</v>
      </c>
      <c r="C2807" s="7" t="s">
        <v>3156</v>
      </c>
      <c r="D2807" s="7"/>
      <c r="E2807" s="8">
        <v>1.2974653899999999</v>
      </c>
      <c r="F2807" s="8">
        <v>1.2732936100000001</v>
      </c>
      <c r="G2807" s="7" t="str">
        <f t="shared" si="17"/>
        <v>Direct</v>
      </c>
      <c r="H2807" s="7" t="s">
        <v>3006</v>
      </c>
    </row>
    <row r="2808" spans="1:8" x14ac:dyDescent="0.2">
      <c r="A2808" s="5" t="s">
        <v>13</v>
      </c>
      <c r="B2808" s="6" t="s">
        <v>19</v>
      </c>
      <c r="C2808" s="7" t="s">
        <v>3157</v>
      </c>
      <c r="D2808" s="7"/>
      <c r="E2808" s="8">
        <v>-1.6597919999999999</v>
      </c>
      <c r="F2808" s="8">
        <v>-1.9028221000000001</v>
      </c>
      <c r="G2808" s="7" t="str">
        <f t="shared" si="17"/>
        <v>Direct</v>
      </c>
      <c r="H2808" s="7" t="s">
        <v>16</v>
      </c>
    </row>
    <row r="2809" spans="1:8" x14ac:dyDescent="0.2">
      <c r="A2809" s="5" t="s">
        <v>13</v>
      </c>
      <c r="B2809" s="6" t="s">
        <v>19</v>
      </c>
      <c r="C2809" s="7" t="s">
        <v>3158</v>
      </c>
      <c r="D2809" s="7"/>
      <c r="E2809" s="8">
        <v>1.5481330499999999</v>
      </c>
      <c r="F2809" s="8">
        <v>1.3905109499999999</v>
      </c>
      <c r="G2809" s="7" t="str">
        <f t="shared" si="17"/>
        <v>Direct</v>
      </c>
      <c r="H2809" s="7" t="s">
        <v>16</v>
      </c>
    </row>
    <row r="2810" spans="1:8" x14ac:dyDescent="0.2">
      <c r="A2810" s="5" t="s">
        <v>13</v>
      </c>
      <c r="B2810" s="6" t="s">
        <v>19</v>
      </c>
      <c r="C2810" s="7" t="s">
        <v>3159</v>
      </c>
      <c r="D2810" s="7"/>
      <c r="E2810" s="8">
        <v>1.8291936900000001</v>
      </c>
      <c r="F2810" s="8">
        <v>1.4868274399999999</v>
      </c>
      <c r="G2810" s="7" t="str">
        <f t="shared" si="17"/>
        <v>Direct</v>
      </c>
      <c r="H2810" s="7" t="s">
        <v>16</v>
      </c>
    </row>
    <row r="2811" spans="1:8" x14ac:dyDescent="0.2">
      <c r="A2811" s="5" t="s">
        <v>13</v>
      </c>
      <c r="B2811" s="6" t="s">
        <v>19</v>
      </c>
      <c r="C2811" s="7" t="s">
        <v>3160</v>
      </c>
      <c r="D2811" s="7"/>
      <c r="E2811" s="8">
        <v>2.4736392</v>
      </c>
      <c r="F2811" s="8">
        <v>1.2298669099999999</v>
      </c>
      <c r="G2811" s="7" t="str">
        <f t="shared" si="17"/>
        <v>Direct</v>
      </c>
      <c r="H2811" s="7" t="s">
        <v>3161</v>
      </c>
    </row>
    <row r="2812" spans="1:8" x14ac:dyDescent="0.2">
      <c r="A2812" s="5" t="s">
        <v>13</v>
      </c>
      <c r="B2812" s="6" t="s">
        <v>19</v>
      </c>
      <c r="C2812" s="7" t="s">
        <v>3162</v>
      </c>
      <c r="D2812" s="7"/>
      <c r="E2812" s="8">
        <v>3.35254298</v>
      </c>
      <c r="F2812" s="8">
        <v>2.0647513700000002</v>
      </c>
      <c r="G2812" s="7" t="str">
        <f t="shared" si="17"/>
        <v>Direct</v>
      </c>
      <c r="H2812" s="7" t="s">
        <v>3161</v>
      </c>
    </row>
    <row r="2813" spans="1:8" x14ac:dyDescent="0.2">
      <c r="A2813" s="5" t="s">
        <v>13</v>
      </c>
      <c r="B2813" s="6" t="s">
        <v>19</v>
      </c>
      <c r="C2813" s="7" t="s">
        <v>3163</v>
      </c>
      <c r="D2813" s="7"/>
      <c r="E2813" s="8">
        <v>-11.541949000000001</v>
      </c>
      <c r="F2813" s="8">
        <v>-10.894743999999999</v>
      </c>
      <c r="G2813" s="7" t="str">
        <f t="shared" si="17"/>
        <v>Direct</v>
      </c>
      <c r="H2813" s="7" t="s">
        <v>3164</v>
      </c>
    </row>
    <row r="2814" spans="1:8" x14ac:dyDescent="0.2">
      <c r="A2814" s="5" t="s">
        <v>13</v>
      </c>
      <c r="B2814" s="6" t="s">
        <v>19</v>
      </c>
      <c r="C2814" s="7" t="s">
        <v>3165</v>
      </c>
      <c r="D2814" s="7"/>
      <c r="E2814" s="8">
        <v>-4.2161055999999997</v>
      </c>
      <c r="F2814" s="8">
        <v>-5.5288769999999996</v>
      </c>
      <c r="G2814" s="7" t="str">
        <f t="shared" si="17"/>
        <v>Direct</v>
      </c>
      <c r="H2814" s="7" t="s">
        <v>3166</v>
      </c>
    </row>
    <row r="2815" spans="1:8" x14ac:dyDescent="0.2">
      <c r="A2815" s="5" t="s">
        <v>13</v>
      </c>
      <c r="B2815" s="6" t="s">
        <v>19</v>
      </c>
      <c r="C2815" s="7" t="s">
        <v>3167</v>
      </c>
      <c r="D2815" s="7"/>
      <c r="E2815" s="8">
        <v>-10.440364000000001</v>
      </c>
      <c r="F2815" s="8">
        <v>-3.9657200000000001</v>
      </c>
      <c r="G2815" s="7" t="str">
        <f t="shared" si="17"/>
        <v>Direct</v>
      </c>
      <c r="H2815" s="7" t="s">
        <v>16</v>
      </c>
    </row>
    <row r="2816" spans="1:8" x14ac:dyDescent="0.2">
      <c r="A2816" s="5" t="s">
        <v>13</v>
      </c>
      <c r="B2816" s="6" t="s">
        <v>19</v>
      </c>
      <c r="C2816" s="7" t="s">
        <v>3168</v>
      </c>
      <c r="D2816" s="7"/>
      <c r="E2816" s="8">
        <v>1.5492154499999999</v>
      </c>
      <c r="F2816" s="8">
        <v>1.0488977799999999</v>
      </c>
      <c r="G2816" s="7" t="str">
        <f t="shared" si="17"/>
        <v>Direct</v>
      </c>
      <c r="H2816" s="7" t="s">
        <v>16</v>
      </c>
    </row>
    <row r="2817" spans="1:8" x14ac:dyDescent="0.2">
      <c r="A2817" s="5" t="s">
        <v>13</v>
      </c>
      <c r="B2817" s="6" t="s">
        <v>19</v>
      </c>
      <c r="C2817" s="7" t="s">
        <v>3169</v>
      </c>
      <c r="D2817" s="7"/>
      <c r="E2817" s="8">
        <v>-5.3728454000000001</v>
      </c>
      <c r="F2817" s="8">
        <v>-3.0839232999999999</v>
      </c>
      <c r="G2817" s="7" t="str">
        <f t="shared" si="17"/>
        <v>Direct</v>
      </c>
      <c r="H2817" s="7" t="s">
        <v>16</v>
      </c>
    </row>
    <row r="2818" spans="1:8" x14ac:dyDescent="0.2">
      <c r="A2818" s="5" t="s">
        <v>13</v>
      </c>
      <c r="B2818" s="6" t="s">
        <v>19</v>
      </c>
      <c r="C2818" s="7" t="s">
        <v>3170</v>
      </c>
      <c r="D2818" s="7"/>
      <c r="E2818" s="8">
        <v>-13.891133</v>
      </c>
      <c r="F2818" s="8">
        <v>-9.0908014000000001</v>
      </c>
      <c r="G2818" s="7" t="str">
        <f t="shared" si="17"/>
        <v>Direct</v>
      </c>
      <c r="H2818" s="7" t="s">
        <v>16</v>
      </c>
    </row>
    <row r="2819" spans="1:8" x14ac:dyDescent="0.2">
      <c r="A2819" s="5" t="s">
        <v>13</v>
      </c>
      <c r="B2819" s="6" t="s">
        <v>19</v>
      </c>
      <c r="C2819" s="7" t="s">
        <v>3171</v>
      </c>
      <c r="D2819" s="7"/>
      <c r="E2819" s="8">
        <v>-3.2776713000000002</v>
      </c>
      <c r="F2819" s="8">
        <v>-2.0204214</v>
      </c>
      <c r="G2819" s="7" t="str">
        <f t="shared" si="17"/>
        <v>Direct</v>
      </c>
      <c r="H2819" s="7" t="s">
        <v>16</v>
      </c>
    </row>
    <row r="2820" spans="1:8" x14ac:dyDescent="0.2">
      <c r="A2820" s="5" t="s">
        <v>13</v>
      </c>
      <c r="B2820" s="6" t="s">
        <v>19</v>
      </c>
      <c r="C2820" s="7" t="s">
        <v>3172</v>
      </c>
      <c r="D2820" s="7"/>
      <c r="E2820" s="8">
        <v>-1.3544318</v>
      </c>
      <c r="F2820" s="8">
        <v>-1.3709511000000001</v>
      </c>
      <c r="G2820" s="7" t="str">
        <f t="shared" si="17"/>
        <v>Direct</v>
      </c>
      <c r="H2820" s="7" t="s">
        <v>3173</v>
      </c>
    </row>
    <row r="2821" spans="1:8" x14ac:dyDescent="0.2">
      <c r="A2821" s="5" t="s">
        <v>13</v>
      </c>
      <c r="B2821" s="6" t="s">
        <v>19</v>
      </c>
      <c r="C2821" s="7" t="s">
        <v>3174</v>
      </c>
      <c r="D2821" s="7"/>
      <c r="E2821" s="8">
        <v>3.27914824</v>
      </c>
      <c r="F2821" s="8">
        <v>1.74772065</v>
      </c>
      <c r="G2821" s="7" t="str">
        <f t="shared" si="17"/>
        <v>Direct</v>
      </c>
      <c r="H2821" s="7" t="s">
        <v>1849</v>
      </c>
    </row>
    <row r="2822" spans="1:8" x14ac:dyDescent="0.2">
      <c r="A2822" s="5" t="s">
        <v>13</v>
      </c>
      <c r="B2822" s="6" t="s">
        <v>19</v>
      </c>
      <c r="C2822" s="7" t="s">
        <v>3175</v>
      </c>
      <c r="D2822" s="7"/>
      <c r="E2822" s="8">
        <v>3.1641207699999998</v>
      </c>
      <c r="F2822" s="8">
        <v>2.8911667900000002</v>
      </c>
      <c r="G2822" s="7" t="str">
        <f t="shared" si="17"/>
        <v>Direct</v>
      </c>
      <c r="H2822" s="7" t="s">
        <v>16</v>
      </c>
    </row>
    <row r="2823" spans="1:8" x14ac:dyDescent="0.2">
      <c r="A2823" s="5" t="s">
        <v>13</v>
      </c>
      <c r="B2823" s="6" t="s">
        <v>19</v>
      </c>
      <c r="C2823" s="7" t="s">
        <v>3176</v>
      </c>
      <c r="D2823" s="7"/>
      <c r="E2823" s="8">
        <v>1.73649381</v>
      </c>
      <c r="F2823" s="8">
        <v>1.39637049</v>
      </c>
      <c r="G2823" s="7" t="str">
        <f t="shared" si="17"/>
        <v>Direct</v>
      </c>
      <c r="H2823" s="7" t="s">
        <v>1038</v>
      </c>
    </row>
    <row r="2824" spans="1:8" x14ac:dyDescent="0.2">
      <c r="A2824" s="5" t="s">
        <v>13</v>
      </c>
      <c r="B2824" s="6" t="s">
        <v>19</v>
      </c>
      <c r="C2824" s="7" t="s">
        <v>3177</v>
      </c>
      <c r="D2824" s="7"/>
      <c r="E2824" s="8">
        <v>-10.007782000000001</v>
      </c>
      <c r="F2824" s="8">
        <v>-11.432719000000001</v>
      </c>
      <c r="G2824" s="7" t="str">
        <f t="shared" si="17"/>
        <v>Direct</v>
      </c>
      <c r="H2824" s="7" t="s">
        <v>655</v>
      </c>
    </row>
    <row r="2825" spans="1:8" x14ac:dyDescent="0.2">
      <c r="A2825" s="5" t="s">
        <v>13</v>
      </c>
      <c r="B2825" s="6" t="s">
        <v>19</v>
      </c>
      <c r="C2825" s="7" t="s">
        <v>3178</v>
      </c>
      <c r="D2825" s="7"/>
      <c r="E2825" s="8">
        <v>-3.4243760000000001</v>
      </c>
      <c r="F2825" s="8">
        <v>-3.2965369</v>
      </c>
      <c r="G2825" s="7" t="str">
        <f t="shared" si="17"/>
        <v>Direct</v>
      </c>
      <c r="H2825" s="7" t="s">
        <v>16</v>
      </c>
    </row>
    <row r="2826" spans="1:8" x14ac:dyDescent="0.2">
      <c r="A2826" s="5" t="s">
        <v>13</v>
      </c>
      <c r="B2826" s="6" t="s">
        <v>19</v>
      </c>
      <c r="C2826" s="7" t="s">
        <v>3179</v>
      </c>
      <c r="D2826" s="7"/>
      <c r="E2826" s="8">
        <v>-3.1863990000000002</v>
      </c>
      <c r="F2826" s="8">
        <v>-2.2064180000000002</v>
      </c>
      <c r="G2826" s="7" t="str">
        <f t="shared" si="17"/>
        <v>Direct</v>
      </c>
      <c r="H2826" s="7" t="s">
        <v>2249</v>
      </c>
    </row>
    <row r="2827" spans="1:8" x14ac:dyDescent="0.2">
      <c r="A2827" s="5" t="s">
        <v>13</v>
      </c>
      <c r="B2827" s="6" t="s">
        <v>19</v>
      </c>
      <c r="C2827" s="7" t="s">
        <v>3180</v>
      </c>
      <c r="D2827" s="7"/>
      <c r="E2827" s="8">
        <v>1.0098589</v>
      </c>
      <c r="F2827" s="8">
        <v>1.5983612</v>
      </c>
      <c r="G2827" s="7" t="str">
        <f t="shared" si="17"/>
        <v>Direct</v>
      </c>
      <c r="H2827" s="7" t="s">
        <v>3181</v>
      </c>
    </row>
    <row r="2828" spans="1:8" x14ac:dyDescent="0.2">
      <c r="A2828" s="5" t="s">
        <v>13</v>
      </c>
      <c r="B2828" s="6" t="s">
        <v>19</v>
      </c>
      <c r="C2828" s="7" t="s">
        <v>3182</v>
      </c>
      <c r="D2828" s="7"/>
      <c r="E2828" s="8">
        <v>-3.4905346000000002</v>
      </c>
      <c r="F2828" s="8">
        <v>-2.880897</v>
      </c>
      <c r="G2828" s="7" t="str">
        <f t="shared" si="17"/>
        <v>Direct</v>
      </c>
      <c r="H2828" s="7" t="s">
        <v>3183</v>
      </c>
    </row>
    <row r="2829" spans="1:8" x14ac:dyDescent="0.2">
      <c r="A2829" s="5" t="s">
        <v>13</v>
      </c>
      <c r="B2829" s="6" t="s">
        <v>19</v>
      </c>
      <c r="C2829" s="7" t="s">
        <v>3184</v>
      </c>
      <c r="D2829" s="7"/>
      <c r="E2829" s="8">
        <v>-3.2007501</v>
      </c>
      <c r="F2829" s="8">
        <v>-4.5003602000000003</v>
      </c>
      <c r="G2829" s="7" t="str">
        <f t="shared" si="17"/>
        <v>Direct</v>
      </c>
      <c r="H2829" s="7" t="s">
        <v>16</v>
      </c>
    </row>
    <row r="2830" spans="1:8" x14ac:dyDescent="0.2">
      <c r="A2830" s="5" t="s">
        <v>13</v>
      </c>
      <c r="B2830" s="6" t="s">
        <v>19</v>
      </c>
      <c r="C2830" s="7" t="s">
        <v>3185</v>
      </c>
      <c r="D2830" s="7"/>
      <c r="E2830" s="8">
        <v>-2.8690804000000001</v>
      </c>
      <c r="F2830" s="8">
        <v>-3.8458861</v>
      </c>
      <c r="G2830" s="7" t="str">
        <f t="shared" si="17"/>
        <v>Direct</v>
      </c>
      <c r="H2830" s="7" t="s">
        <v>3186</v>
      </c>
    </row>
    <row r="2831" spans="1:8" x14ac:dyDescent="0.2">
      <c r="A2831" s="5" t="s">
        <v>13</v>
      </c>
      <c r="B2831" s="6" t="s">
        <v>19</v>
      </c>
      <c r="C2831" s="7" t="s">
        <v>579</v>
      </c>
      <c r="D2831" s="7"/>
      <c r="E2831" s="8">
        <v>-2.7907993000000002</v>
      </c>
      <c r="F2831" s="8">
        <v>-2.2594788000000001</v>
      </c>
      <c r="G2831" s="7" t="str">
        <f t="shared" si="17"/>
        <v>Direct</v>
      </c>
      <c r="H2831" s="7" t="s">
        <v>580</v>
      </c>
    </row>
    <row r="2832" spans="1:8" x14ac:dyDescent="0.2">
      <c r="A2832" s="5" t="s">
        <v>13</v>
      </c>
      <c r="B2832" s="6" t="s">
        <v>19</v>
      </c>
      <c r="C2832" s="7" t="s">
        <v>3187</v>
      </c>
      <c r="D2832" s="7"/>
      <c r="E2832" s="8">
        <v>-3.2361171</v>
      </c>
      <c r="F2832" s="8">
        <v>-1.6409878</v>
      </c>
      <c r="G2832" s="7" t="str">
        <f t="shared" si="17"/>
        <v>Direct</v>
      </c>
      <c r="H2832" s="7" t="s">
        <v>975</v>
      </c>
    </row>
    <row r="2833" spans="1:8" x14ac:dyDescent="0.2">
      <c r="A2833" s="5" t="s">
        <v>13</v>
      </c>
      <c r="B2833" s="6" t="s">
        <v>19</v>
      </c>
      <c r="C2833" s="7" t="s">
        <v>3188</v>
      </c>
      <c r="D2833" s="7"/>
      <c r="E2833" s="8">
        <v>-2.6497674</v>
      </c>
      <c r="F2833" s="8">
        <v>-1.2945359000000001</v>
      </c>
      <c r="G2833" s="7" t="str">
        <f t="shared" si="17"/>
        <v>Direct</v>
      </c>
      <c r="H2833" s="7" t="s">
        <v>3189</v>
      </c>
    </row>
    <row r="2834" spans="1:8" x14ac:dyDescent="0.2">
      <c r="A2834" s="5" t="s">
        <v>13</v>
      </c>
      <c r="B2834" s="6" t="s">
        <v>19</v>
      </c>
      <c r="C2834" s="7" t="s">
        <v>3190</v>
      </c>
      <c r="D2834" s="7"/>
      <c r="E2834" s="8">
        <v>-3.8848128000000002</v>
      </c>
      <c r="F2834" s="8">
        <v>-3.4334004999999999</v>
      </c>
      <c r="G2834" s="7" t="str">
        <f t="shared" si="17"/>
        <v>Direct</v>
      </c>
      <c r="H2834" s="7" t="s">
        <v>16</v>
      </c>
    </row>
    <row r="2835" spans="1:8" x14ac:dyDescent="0.2">
      <c r="A2835" s="5" t="s">
        <v>13</v>
      </c>
      <c r="B2835" s="6" t="s">
        <v>19</v>
      </c>
      <c r="C2835" s="7" t="s">
        <v>3191</v>
      </c>
      <c r="D2835" s="7"/>
      <c r="E2835" s="8">
        <v>3.4092170799999999</v>
      </c>
      <c r="F2835" s="8">
        <v>4.1365193700000003</v>
      </c>
      <c r="G2835" s="7" t="str">
        <f t="shared" si="17"/>
        <v>Direct</v>
      </c>
      <c r="H2835" s="7" t="s">
        <v>16</v>
      </c>
    </row>
    <row r="2836" spans="1:8" x14ac:dyDescent="0.2">
      <c r="A2836" s="5" t="s">
        <v>13</v>
      </c>
      <c r="B2836" s="6" t="s">
        <v>19</v>
      </c>
      <c r="C2836" s="7" t="s">
        <v>583</v>
      </c>
      <c r="D2836" s="7"/>
      <c r="E2836" s="8">
        <v>-4.6658397000000003</v>
      </c>
      <c r="F2836" s="8">
        <v>-3.7180453</v>
      </c>
      <c r="G2836" s="7" t="str">
        <f t="shared" si="17"/>
        <v>Direct</v>
      </c>
      <c r="H2836" s="7" t="s">
        <v>584</v>
      </c>
    </row>
    <row r="2837" spans="1:8" x14ac:dyDescent="0.2">
      <c r="A2837" s="5" t="s">
        <v>13</v>
      </c>
      <c r="B2837" s="6" t="s">
        <v>19</v>
      </c>
      <c r="C2837" s="7" t="s">
        <v>3192</v>
      </c>
      <c r="D2837" s="7"/>
      <c r="E2837" s="8">
        <v>-2.4480936</v>
      </c>
      <c r="F2837" s="8">
        <v>-1.0592135</v>
      </c>
      <c r="G2837" s="7" t="str">
        <f t="shared" si="17"/>
        <v>Direct</v>
      </c>
      <c r="H2837" s="7" t="s">
        <v>3193</v>
      </c>
    </row>
    <row r="2838" spans="1:8" x14ac:dyDescent="0.2">
      <c r="A2838" s="5" t="s">
        <v>13</v>
      </c>
      <c r="B2838" s="6" t="s">
        <v>19</v>
      </c>
      <c r="C2838" s="7" t="s">
        <v>585</v>
      </c>
      <c r="D2838" s="7"/>
      <c r="E2838" s="8">
        <v>2.8131933899999999</v>
      </c>
      <c r="F2838" s="8">
        <v>1.4996534399999999</v>
      </c>
      <c r="G2838" s="7" t="str">
        <f t="shared" si="17"/>
        <v>Direct</v>
      </c>
      <c r="H2838" s="7" t="s">
        <v>16</v>
      </c>
    </row>
    <row r="2839" spans="1:8" x14ac:dyDescent="0.2">
      <c r="A2839" s="5" t="s">
        <v>13</v>
      </c>
      <c r="B2839" s="6" t="s">
        <v>19</v>
      </c>
      <c r="C2839" s="7" t="s">
        <v>3194</v>
      </c>
      <c r="D2839" s="7"/>
      <c r="E2839" s="8">
        <v>-2.8554940000000002</v>
      </c>
      <c r="F2839" s="8">
        <v>-1.0901292</v>
      </c>
      <c r="G2839" s="7" t="str">
        <f t="shared" si="17"/>
        <v>Direct</v>
      </c>
      <c r="H2839" s="7" t="s">
        <v>3195</v>
      </c>
    </row>
    <row r="2840" spans="1:8" x14ac:dyDescent="0.2">
      <c r="A2840" s="5" t="s">
        <v>13</v>
      </c>
      <c r="B2840" s="6" t="s">
        <v>19</v>
      </c>
      <c r="C2840" s="7" t="s">
        <v>3196</v>
      </c>
      <c r="D2840" s="7"/>
      <c r="E2840" s="8">
        <v>-1.4231476999999999</v>
      </c>
      <c r="F2840" s="8">
        <v>-2.7962695000000002</v>
      </c>
      <c r="G2840" s="7" t="str">
        <f t="shared" si="17"/>
        <v>Direct</v>
      </c>
      <c r="H2840" s="7" t="s">
        <v>3195</v>
      </c>
    </row>
    <row r="2841" spans="1:8" x14ac:dyDescent="0.2">
      <c r="A2841" s="5" t="s">
        <v>13</v>
      </c>
      <c r="B2841" s="6" t="s">
        <v>19</v>
      </c>
      <c r="C2841" s="7" t="s">
        <v>3197</v>
      </c>
      <c r="D2841" s="7"/>
      <c r="E2841" s="8">
        <v>-2.2877065000000001</v>
      </c>
      <c r="F2841" s="8">
        <v>-2.6384113</v>
      </c>
      <c r="G2841" s="7" t="str">
        <f t="shared" si="17"/>
        <v>Direct</v>
      </c>
      <c r="H2841" s="7" t="s">
        <v>3198</v>
      </c>
    </row>
    <row r="2842" spans="1:8" x14ac:dyDescent="0.2">
      <c r="A2842" s="5" t="s">
        <v>13</v>
      </c>
      <c r="B2842" s="6" t="s">
        <v>19</v>
      </c>
      <c r="C2842" s="7" t="s">
        <v>3199</v>
      </c>
      <c r="D2842" s="7"/>
      <c r="E2842" s="8">
        <v>-1.8749733</v>
      </c>
      <c r="F2842" s="8">
        <v>-3.0310196</v>
      </c>
      <c r="G2842" s="7" t="str">
        <f t="shared" si="17"/>
        <v>Direct</v>
      </c>
      <c r="H2842" s="7" t="s">
        <v>16</v>
      </c>
    </row>
    <row r="2843" spans="1:8" x14ac:dyDescent="0.2">
      <c r="A2843" s="5" t="s">
        <v>13</v>
      </c>
      <c r="B2843" s="6" t="s">
        <v>19</v>
      </c>
      <c r="C2843" s="7" t="s">
        <v>3200</v>
      </c>
      <c r="D2843" s="7"/>
      <c r="E2843" s="8">
        <v>-1.4567398</v>
      </c>
      <c r="F2843" s="8">
        <v>-2.242359</v>
      </c>
      <c r="G2843" s="7" t="str">
        <f t="shared" si="17"/>
        <v>Direct</v>
      </c>
      <c r="H2843" s="7" t="s">
        <v>3201</v>
      </c>
    </row>
    <row r="2844" spans="1:8" x14ac:dyDescent="0.2">
      <c r="A2844" s="5" t="s">
        <v>13</v>
      </c>
      <c r="B2844" s="6" t="s">
        <v>19</v>
      </c>
      <c r="C2844" s="7" t="s">
        <v>3202</v>
      </c>
      <c r="D2844" s="7"/>
      <c r="E2844" s="8">
        <v>-2.7925591999999999</v>
      </c>
      <c r="F2844" s="8">
        <v>-4.3795399000000002</v>
      </c>
      <c r="G2844" s="7" t="str">
        <f t="shared" si="17"/>
        <v>Direct</v>
      </c>
      <c r="H2844" s="7" t="s">
        <v>3203</v>
      </c>
    </row>
    <row r="2845" spans="1:8" x14ac:dyDescent="0.2">
      <c r="A2845" s="5" t="s">
        <v>13</v>
      </c>
      <c r="B2845" s="6" t="s">
        <v>19</v>
      </c>
      <c r="C2845" s="7" t="s">
        <v>3204</v>
      </c>
      <c r="D2845" s="7"/>
      <c r="E2845" s="8">
        <v>4.2161397999999997</v>
      </c>
      <c r="F2845" s="8">
        <v>2.0750095800000001</v>
      </c>
      <c r="G2845" s="7" t="str">
        <f t="shared" si="17"/>
        <v>Direct</v>
      </c>
      <c r="H2845" s="7" t="s">
        <v>3205</v>
      </c>
    </row>
    <row r="2846" spans="1:8" x14ac:dyDescent="0.2">
      <c r="A2846" s="5" t="s">
        <v>13</v>
      </c>
      <c r="B2846" s="6" t="s">
        <v>19</v>
      </c>
      <c r="C2846" s="7" t="s">
        <v>3206</v>
      </c>
      <c r="D2846" s="7"/>
      <c r="E2846" s="8">
        <v>4.2782744099999999</v>
      </c>
      <c r="F2846" s="8">
        <v>3.5324435300000001</v>
      </c>
      <c r="G2846" s="7" t="str">
        <f t="shared" si="17"/>
        <v>Direct</v>
      </c>
      <c r="H2846" s="7" t="s">
        <v>3207</v>
      </c>
    </row>
    <row r="2847" spans="1:8" x14ac:dyDescent="0.2">
      <c r="A2847" s="5" t="s">
        <v>13</v>
      </c>
      <c r="B2847" s="6" t="s">
        <v>19</v>
      </c>
      <c r="C2847" s="7" t="s">
        <v>3208</v>
      </c>
      <c r="D2847" s="7"/>
      <c r="E2847" s="8">
        <v>2.2974811800000001</v>
      </c>
      <c r="F2847" s="8">
        <v>1.15747719</v>
      </c>
      <c r="G2847" s="7" t="str">
        <f t="shared" si="17"/>
        <v>Direct</v>
      </c>
      <c r="H2847" s="7" t="s">
        <v>3209</v>
      </c>
    </row>
    <row r="2848" spans="1:8" x14ac:dyDescent="0.2">
      <c r="A2848" s="5" t="s">
        <v>13</v>
      </c>
      <c r="B2848" s="6" t="s">
        <v>19</v>
      </c>
      <c r="C2848" s="7" t="s">
        <v>3210</v>
      </c>
      <c r="D2848" s="7"/>
      <c r="E2848" s="8">
        <v>2.08193713</v>
      </c>
      <c r="F2848" s="8">
        <v>3.1123965999999998</v>
      </c>
      <c r="G2848" s="7" t="str">
        <f t="shared" si="17"/>
        <v>Direct</v>
      </c>
      <c r="H2848" s="7" t="s">
        <v>504</v>
      </c>
    </row>
    <row r="2849" spans="1:8" x14ac:dyDescent="0.2">
      <c r="A2849" s="5" t="s">
        <v>13</v>
      </c>
      <c r="B2849" s="6" t="s">
        <v>19</v>
      </c>
      <c r="C2849" s="7" t="s">
        <v>588</v>
      </c>
      <c r="D2849" s="7"/>
      <c r="E2849" s="8">
        <v>-1.7008601000000001</v>
      </c>
      <c r="F2849" s="8">
        <v>-1.3741513999999999</v>
      </c>
      <c r="G2849" s="7" t="str">
        <f t="shared" si="17"/>
        <v>Direct</v>
      </c>
      <c r="H2849" s="7" t="s">
        <v>16</v>
      </c>
    </row>
    <row r="2850" spans="1:8" x14ac:dyDescent="0.2">
      <c r="A2850" s="5" t="s">
        <v>13</v>
      </c>
      <c r="B2850" s="6" t="s">
        <v>19</v>
      </c>
      <c r="C2850" s="7" t="s">
        <v>3211</v>
      </c>
      <c r="D2850" s="7"/>
      <c r="E2850" s="8">
        <v>-2.2296265000000002</v>
      </c>
      <c r="F2850" s="8">
        <v>-1.8356101</v>
      </c>
      <c r="G2850" s="7" t="str">
        <f t="shared" si="17"/>
        <v>Direct</v>
      </c>
      <c r="H2850" s="7" t="s">
        <v>3212</v>
      </c>
    </row>
    <row r="2851" spans="1:8" x14ac:dyDescent="0.2">
      <c r="A2851" s="5" t="s">
        <v>13</v>
      </c>
      <c r="B2851" s="6" t="s">
        <v>19</v>
      </c>
      <c r="C2851" s="7" t="s">
        <v>3213</v>
      </c>
      <c r="D2851" s="7"/>
      <c r="E2851" s="8">
        <v>-3.1766869</v>
      </c>
      <c r="F2851" s="8">
        <v>-2.2811987</v>
      </c>
      <c r="G2851" s="7" t="str">
        <f t="shared" si="17"/>
        <v>Direct</v>
      </c>
      <c r="H2851" s="7" t="s">
        <v>3214</v>
      </c>
    </row>
    <row r="2852" spans="1:8" x14ac:dyDescent="0.2">
      <c r="A2852" s="5" t="s">
        <v>13</v>
      </c>
      <c r="B2852" s="6" t="s">
        <v>19</v>
      </c>
      <c r="C2852" s="7" t="s">
        <v>3215</v>
      </c>
      <c r="D2852" s="7"/>
      <c r="E2852" s="8">
        <v>-1.4943061</v>
      </c>
      <c r="F2852" s="8">
        <v>-2.1877124999999999</v>
      </c>
      <c r="G2852" s="7" t="str">
        <f t="shared" si="17"/>
        <v>Direct</v>
      </c>
      <c r="H2852" s="7" t="s">
        <v>3216</v>
      </c>
    </row>
    <row r="2853" spans="1:8" x14ac:dyDescent="0.2">
      <c r="A2853" s="5" t="s">
        <v>13</v>
      </c>
      <c r="B2853" s="6" t="s">
        <v>19</v>
      </c>
      <c r="C2853" s="7" t="s">
        <v>3217</v>
      </c>
      <c r="D2853" s="7"/>
      <c r="E2853" s="8">
        <v>1.44424346</v>
      </c>
      <c r="F2853" s="8">
        <v>1.2194553400000001</v>
      </c>
      <c r="G2853" s="7" t="str">
        <f t="shared" si="17"/>
        <v>Direct</v>
      </c>
      <c r="H2853" s="7" t="s">
        <v>16</v>
      </c>
    </row>
    <row r="2854" spans="1:8" x14ac:dyDescent="0.2">
      <c r="A2854" s="5" t="s">
        <v>13</v>
      </c>
      <c r="B2854" s="6" t="s">
        <v>19</v>
      </c>
      <c r="C2854" s="7" t="s">
        <v>3218</v>
      </c>
      <c r="D2854" s="7"/>
      <c r="E2854" s="8">
        <v>1.03126242</v>
      </c>
      <c r="F2854" s="8">
        <v>1.18730863</v>
      </c>
      <c r="G2854" s="7" t="str">
        <f t="shared" si="17"/>
        <v>Direct</v>
      </c>
      <c r="H2854" s="7" t="s">
        <v>16</v>
      </c>
    </row>
    <row r="2855" spans="1:8" x14ac:dyDescent="0.2">
      <c r="A2855" s="5" t="s">
        <v>13</v>
      </c>
      <c r="B2855" s="6" t="s">
        <v>19</v>
      </c>
      <c r="C2855" s="7" t="s">
        <v>3219</v>
      </c>
      <c r="D2855" s="7"/>
      <c r="E2855" s="8">
        <v>4.51191941</v>
      </c>
      <c r="F2855" s="8">
        <v>3.3950286799999998</v>
      </c>
      <c r="G2855" s="7" t="str">
        <f t="shared" si="17"/>
        <v>Direct</v>
      </c>
      <c r="H2855" s="7" t="s">
        <v>16</v>
      </c>
    </row>
    <row r="2856" spans="1:8" x14ac:dyDescent="0.2">
      <c r="A2856" s="5" t="s">
        <v>13</v>
      </c>
      <c r="B2856" s="6" t="s">
        <v>19</v>
      </c>
      <c r="C2856" s="7" t="s">
        <v>589</v>
      </c>
      <c r="D2856" s="7"/>
      <c r="E2856" s="8">
        <v>-1.5143542000000001</v>
      </c>
      <c r="F2856" s="8">
        <v>-3.1752508000000002</v>
      </c>
      <c r="G2856" s="7" t="str">
        <f t="shared" si="17"/>
        <v>Direct</v>
      </c>
      <c r="H2856" s="7" t="s">
        <v>590</v>
      </c>
    </row>
    <row r="2857" spans="1:8" x14ac:dyDescent="0.2">
      <c r="A2857" s="5" t="s">
        <v>13</v>
      </c>
      <c r="B2857" s="6" t="s">
        <v>19</v>
      </c>
      <c r="C2857" s="7" t="s">
        <v>3220</v>
      </c>
      <c r="D2857" s="7"/>
      <c r="E2857" s="8">
        <v>-4.5269816</v>
      </c>
      <c r="F2857" s="8">
        <v>-5.5793366000000004</v>
      </c>
      <c r="G2857" s="7" t="str">
        <f t="shared" si="17"/>
        <v>Direct</v>
      </c>
      <c r="H2857" s="7" t="s">
        <v>3221</v>
      </c>
    </row>
    <row r="2858" spans="1:8" x14ac:dyDescent="0.2">
      <c r="A2858" s="5" t="s">
        <v>13</v>
      </c>
      <c r="B2858" s="6" t="s">
        <v>19</v>
      </c>
      <c r="C2858" s="7" t="s">
        <v>3222</v>
      </c>
      <c r="D2858" s="7"/>
      <c r="E2858" s="8">
        <v>-11.418713</v>
      </c>
      <c r="F2858" s="8">
        <v>-13.189048</v>
      </c>
      <c r="G2858" s="7" t="str">
        <f t="shared" si="17"/>
        <v>Direct</v>
      </c>
      <c r="H2858" s="7" t="s">
        <v>3221</v>
      </c>
    </row>
    <row r="2859" spans="1:8" x14ac:dyDescent="0.2">
      <c r="A2859" s="5" t="s">
        <v>13</v>
      </c>
      <c r="B2859" s="6" t="s">
        <v>19</v>
      </c>
      <c r="C2859" s="7" t="s">
        <v>3223</v>
      </c>
      <c r="D2859" s="7"/>
      <c r="E2859" s="8">
        <v>2.9597312200000001</v>
      </c>
      <c r="F2859" s="8">
        <v>1.9924259600000001</v>
      </c>
      <c r="G2859" s="7" t="str">
        <f t="shared" si="17"/>
        <v>Direct</v>
      </c>
      <c r="H2859" s="7" t="s">
        <v>3224</v>
      </c>
    </row>
    <row r="2860" spans="1:8" x14ac:dyDescent="0.2">
      <c r="A2860" s="5" t="s">
        <v>13</v>
      </c>
      <c r="B2860" s="6" t="s">
        <v>19</v>
      </c>
      <c r="C2860" s="7" t="s">
        <v>591</v>
      </c>
      <c r="D2860" s="7"/>
      <c r="E2860" s="8">
        <v>16.391345900000001</v>
      </c>
      <c r="F2860" s="8">
        <v>11.060110399999999</v>
      </c>
      <c r="G2860" s="7" t="str">
        <f t="shared" si="17"/>
        <v>Direct</v>
      </c>
      <c r="H2860" s="7" t="s">
        <v>16</v>
      </c>
    </row>
    <row r="2861" spans="1:8" x14ac:dyDescent="0.2">
      <c r="A2861" s="5" t="s">
        <v>13</v>
      </c>
      <c r="B2861" s="6" t="s">
        <v>19</v>
      </c>
      <c r="C2861" s="7" t="s">
        <v>3225</v>
      </c>
      <c r="D2861" s="7"/>
      <c r="E2861" s="8">
        <v>-4.6728562</v>
      </c>
      <c r="F2861" s="8">
        <v>-3.9952803000000001</v>
      </c>
      <c r="G2861" s="7" t="str">
        <f t="shared" si="17"/>
        <v>Direct</v>
      </c>
      <c r="H2861" s="7" t="s">
        <v>62</v>
      </c>
    </row>
    <row r="2862" spans="1:8" x14ac:dyDescent="0.2">
      <c r="A2862" s="5" t="s">
        <v>13</v>
      </c>
      <c r="B2862" s="6" t="s">
        <v>19</v>
      </c>
      <c r="C2862" s="7" t="s">
        <v>3226</v>
      </c>
      <c r="D2862" s="7"/>
      <c r="E2862" s="8">
        <v>-5.0057200000000002</v>
      </c>
      <c r="F2862" s="8">
        <v>-7.0710962000000004</v>
      </c>
      <c r="G2862" s="7" t="str">
        <f t="shared" si="17"/>
        <v>Direct</v>
      </c>
      <c r="H2862" s="7" t="s">
        <v>62</v>
      </c>
    </row>
    <row r="2863" spans="1:8" x14ac:dyDescent="0.2">
      <c r="A2863" s="5" t="s">
        <v>13</v>
      </c>
      <c r="B2863" s="6" t="s">
        <v>19</v>
      </c>
      <c r="C2863" s="7" t="s">
        <v>3227</v>
      </c>
      <c r="D2863" s="7"/>
      <c r="E2863" s="8">
        <v>-5.0593412999999998</v>
      </c>
      <c r="F2863" s="8">
        <v>-4.5562769999999997</v>
      </c>
      <c r="G2863" s="7" t="str">
        <f t="shared" si="17"/>
        <v>Direct</v>
      </c>
      <c r="H2863" s="7" t="s">
        <v>16</v>
      </c>
    </row>
    <row r="2864" spans="1:8" x14ac:dyDescent="0.2">
      <c r="A2864" s="5" t="s">
        <v>13</v>
      </c>
      <c r="B2864" s="6" t="s">
        <v>19</v>
      </c>
      <c r="C2864" s="7" t="s">
        <v>3228</v>
      </c>
      <c r="D2864" s="7"/>
      <c r="E2864" s="8">
        <v>3.4445382699999998</v>
      </c>
      <c r="F2864" s="8">
        <v>3.4156498499999999</v>
      </c>
      <c r="G2864" s="7" t="str">
        <f t="shared" si="17"/>
        <v>Direct</v>
      </c>
      <c r="H2864" s="7" t="s">
        <v>3229</v>
      </c>
    </row>
    <row r="2865" spans="1:8" x14ac:dyDescent="0.2">
      <c r="A2865" s="5" t="s">
        <v>13</v>
      </c>
      <c r="B2865" s="6" t="s">
        <v>19</v>
      </c>
      <c r="C2865" s="7" t="s">
        <v>3230</v>
      </c>
      <c r="D2865" s="7"/>
      <c r="E2865" s="8">
        <v>2.2959963700000001</v>
      </c>
      <c r="F2865" s="8">
        <v>1.0451796099999999</v>
      </c>
      <c r="G2865" s="7" t="str">
        <f t="shared" si="17"/>
        <v>Direct</v>
      </c>
      <c r="H2865" s="7" t="s">
        <v>3231</v>
      </c>
    </row>
    <row r="2866" spans="1:8" x14ac:dyDescent="0.2">
      <c r="A2866" s="5" t="s">
        <v>13</v>
      </c>
      <c r="B2866" s="6" t="s">
        <v>19</v>
      </c>
      <c r="C2866" s="7" t="s">
        <v>3232</v>
      </c>
      <c r="D2866" s="7"/>
      <c r="E2866" s="8">
        <v>3.7623849200000001</v>
      </c>
      <c r="F2866" s="8">
        <v>4.0833651599999996</v>
      </c>
      <c r="G2866" s="7" t="str">
        <f t="shared" si="17"/>
        <v>Direct</v>
      </c>
      <c r="H2866" s="7" t="s">
        <v>3233</v>
      </c>
    </row>
    <row r="2867" spans="1:8" x14ac:dyDescent="0.2">
      <c r="A2867" s="5" t="s">
        <v>13</v>
      </c>
      <c r="B2867" s="6" t="s">
        <v>19</v>
      </c>
      <c r="C2867" s="7" t="s">
        <v>3234</v>
      </c>
      <c r="D2867" s="7"/>
      <c r="E2867" s="8">
        <v>1.6373458999999999</v>
      </c>
      <c r="F2867" s="8">
        <v>1.4354594300000001</v>
      </c>
      <c r="G2867" s="7" t="str">
        <f t="shared" si="17"/>
        <v>Direct</v>
      </c>
      <c r="H2867" s="7" t="s">
        <v>3235</v>
      </c>
    </row>
    <row r="2868" spans="1:8" x14ac:dyDescent="0.2">
      <c r="A2868" s="5" t="s">
        <v>13</v>
      </c>
      <c r="B2868" s="6" t="s">
        <v>19</v>
      </c>
      <c r="C2868" s="7" t="s">
        <v>3236</v>
      </c>
      <c r="D2868" s="7"/>
      <c r="E2868" s="8">
        <v>-1.0644914999999999</v>
      </c>
      <c r="F2868" s="8">
        <v>-1.1483601000000001</v>
      </c>
      <c r="G2868" s="7" t="str">
        <f t="shared" si="17"/>
        <v>Direct</v>
      </c>
      <c r="H2868" s="7" t="s">
        <v>16</v>
      </c>
    </row>
    <row r="2869" spans="1:8" x14ac:dyDescent="0.2">
      <c r="A2869" s="5" t="s">
        <v>13</v>
      </c>
      <c r="B2869" s="6" t="s">
        <v>19</v>
      </c>
      <c r="C2869" s="7" t="s">
        <v>3237</v>
      </c>
      <c r="D2869" s="7"/>
      <c r="E2869" s="8">
        <v>-4.1763750000000002</v>
      </c>
      <c r="F2869" s="8">
        <v>-3.8811594999999999</v>
      </c>
      <c r="G2869" s="7" t="str">
        <f t="shared" si="17"/>
        <v>Direct</v>
      </c>
      <c r="H2869" s="7" t="s">
        <v>3238</v>
      </c>
    </row>
    <row r="2870" spans="1:8" x14ac:dyDescent="0.2">
      <c r="A2870" s="5" t="s">
        <v>13</v>
      </c>
      <c r="B2870" s="6" t="s">
        <v>19</v>
      </c>
      <c r="C2870" s="7" t="s">
        <v>3239</v>
      </c>
      <c r="D2870" s="7"/>
      <c r="E2870" s="8">
        <v>-1.2462728000000001</v>
      </c>
      <c r="F2870" s="8">
        <v>-1.1779188</v>
      </c>
      <c r="G2870" s="7" t="str">
        <f t="shared" si="17"/>
        <v>Direct</v>
      </c>
      <c r="H2870" s="7" t="s">
        <v>16</v>
      </c>
    </row>
    <row r="2871" spans="1:8" x14ac:dyDescent="0.2">
      <c r="A2871" s="5" t="s">
        <v>13</v>
      </c>
      <c r="B2871" s="6" t="s">
        <v>19</v>
      </c>
      <c r="C2871" s="7" t="s">
        <v>3240</v>
      </c>
      <c r="D2871" s="7"/>
      <c r="E2871" s="8">
        <v>-4.6275015000000002</v>
      </c>
      <c r="F2871" s="8">
        <v>-1.425519</v>
      </c>
      <c r="G2871" s="7" t="str">
        <f t="shared" si="17"/>
        <v>Direct</v>
      </c>
      <c r="H2871" s="7" t="s">
        <v>3241</v>
      </c>
    </row>
    <row r="2872" spans="1:8" x14ac:dyDescent="0.2">
      <c r="A2872" s="5" t="s">
        <v>13</v>
      </c>
      <c r="B2872" s="6" t="s">
        <v>19</v>
      </c>
      <c r="C2872" s="7" t="s">
        <v>3242</v>
      </c>
      <c r="D2872" s="7"/>
      <c r="E2872" s="8">
        <v>1.258491</v>
      </c>
      <c r="F2872" s="8">
        <v>1.42927706</v>
      </c>
      <c r="G2872" s="7" t="str">
        <f t="shared" si="17"/>
        <v>Direct</v>
      </c>
      <c r="H2872" s="7" t="s">
        <v>3243</v>
      </c>
    </row>
    <row r="2873" spans="1:8" x14ac:dyDescent="0.2">
      <c r="A2873" s="5" t="s">
        <v>13</v>
      </c>
      <c r="B2873" s="6" t="s">
        <v>19</v>
      </c>
      <c r="C2873" s="7" t="s">
        <v>3244</v>
      </c>
      <c r="D2873" s="7"/>
      <c r="E2873" s="8">
        <v>4.4679660200000004</v>
      </c>
      <c r="F2873" s="8">
        <v>6.4682449100000001</v>
      </c>
      <c r="G2873" s="7" t="str">
        <f t="shared" si="17"/>
        <v>Direct</v>
      </c>
      <c r="H2873" s="7" t="s">
        <v>16</v>
      </c>
    </row>
    <row r="2874" spans="1:8" x14ac:dyDescent="0.2">
      <c r="A2874" s="5" t="s">
        <v>13</v>
      </c>
      <c r="B2874" s="6" t="s">
        <v>19</v>
      </c>
      <c r="C2874" s="7" t="s">
        <v>3245</v>
      </c>
      <c r="D2874" s="7"/>
      <c r="E2874" s="8">
        <v>-1.1264681999999999</v>
      </c>
      <c r="F2874" s="8">
        <v>-1.1465097</v>
      </c>
      <c r="G2874" s="7" t="str">
        <f t="shared" si="17"/>
        <v>Direct</v>
      </c>
      <c r="H2874" s="7" t="s">
        <v>3246</v>
      </c>
    </row>
    <row r="2875" spans="1:8" x14ac:dyDescent="0.2">
      <c r="A2875" s="5" t="s">
        <v>13</v>
      </c>
      <c r="B2875" s="6" t="s">
        <v>19</v>
      </c>
      <c r="C2875" s="7" t="s">
        <v>3247</v>
      </c>
      <c r="D2875" s="7"/>
      <c r="E2875" s="8">
        <v>-5.2672831000000002</v>
      </c>
      <c r="F2875" s="8">
        <v>-3.4800536000000002</v>
      </c>
      <c r="G2875" s="7" t="str">
        <f t="shared" si="17"/>
        <v>Direct</v>
      </c>
      <c r="H2875" s="7" t="s">
        <v>16</v>
      </c>
    </row>
    <row r="2876" spans="1:8" x14ac:dyDescent="0.2">
      <c r="A2876" s="5" t="s">
        <v>13</v>
      </c>
      <c r="B2876" s="6" t="s">
        <v>19</v>
      </c>
      <c r="C2876" s="7" t="s">
        <v>3248</v>
      </c>
      <c r="D2876" s="7"/>
      <c r="E2876" s="8">
        <v>-2.7131121999999999</v>
      </c>
      <c r="F2876" s="8">
        <v>-4.4493612000000002</v>
      </c>
      <c r="G2876" s="7" t="str">
        <f t="shared" si="17"/>
        <v>Direct</v>
      </c>
      <c r="H2876" s="7" t="s">
        <v>21</v>
      </c>
    </row>
    <row r="2877" spans="1:8" x14ac:dyDescent="0.2">
      <c r="A2877" s="5" t="s">
        <v>13</v>
      </c>
      <c r="B2877" s="6" t="s">
        <v>19</v>
      </c>
      <c r="C2877" s="7" t="s">
        <v>3249</v>
      </c>
      <c r="D2877" s="7"/>
      <c r="E2877" s="8">
        <v>1.5268807900000001</v>
      </c>
      <c r="F2877" s="8">
        <v>2.1477357000000001</v>
      </c>
      <c r="G2877" s="7" t="str">
        <f t="shared" si="17"/>
        <v>Direct</v>
      </c>
      <c r="H2877" s="7" t="s">
        <v>16</v>
      </c>
    </row>
    <row r="2878" spans="1:8" x14ac:dyDescent="0.2">
      <c r="A2878" s="5" t="s">
        <v>13</v>
      </c>
      <c r="B2878" s="6" t="s">
        <v>19</v>
      </c>
      <c r="C2878" s="7" t="s">
        <v>3250</v>
      </c>
      <c r="D2878" s="7"/>
      <c r="E2878" s="8">
        <v>-2.4409250999999998</v>
      </c>
      <c r="F2878" s="8">
        <v>-4.7927249999999999</v>
      </c>
      <c r="G2878" s="7" t="str">
        <f t="shared" si="17"/>
        <v>Direct</v>
      </c>
      <c r="H2878" s="7" t="s">
        <v>16</v>
      </c>
    </row>
    <row r="2879" spans="1:8" x14ac:dyDescent="0.2">
      <c r="A2879" s="5" t="s">
        <v>13</v>
      </c>
      <c r="B2879" s="6" t="s">
        <v>19</v>
      </c>
      <c r="C2879" s="7" t="s">
        <v>3251</v>
      </c>
      <c r="D2879" s="7"/>
      <c r="E2879" s="8">
        <v>2.3032245200000001</v>
      </c>
      <c r="F2879" s="8">
        <v>1.1878523400000001</v>
      </c>
      <c r="G2879" s="7" t="str">
        <f t="shared" si="17"/>
        <v>Direct</v>
      </c>
      <c r="H2879" s="7" t="s">
        <v>16</v>
      </c>
    </row>
    <row r="2880" spans="1:8" x14ac:dyDescent="0.2">
      <c r="A2880" s="5" t="s">
        <v>13</v>
      </c>
      <c r="B2880" s="6" t="s">
        <v>19</v>
      </c>
      <c r="C2880" s="7" t="s">
        <v>3252</v>
      </c>
      <c r="D2880" s="7"/>
      <c r="E2880" s="8">
        <v>4.1609035900000002</v>
      </c>
      <c r="F2880" s="8">
        <v>3.67328038</v>
      </c>
      <c r="G2880" s="7" t="str">
        <f t="shared" si="17"/>
        <v>Direct</v>
      </c>
      <c r="H2880" s="7" t="s">
        <v>16</v>
      </c>
    </row>
    <row r="2881" spans="1:8" x14ac:dyDescent="0.2">
      <c r="A2881" s="5" t="s">
        <v>13</v>
      </c>
      <c r="B2881" s="6" t="s">
        <v>19</v>
      </c>
      <c r="C2881" s="7" t="s">
        <v>3253</v>
      </c>
      <c r="D2881" s="7"/>
      <c r="E2881" s="8">
        <v>-3.7974171000000001</v>
      </c>
      <c r="F2881" s="8">
        <v>-4.5334013999999998</v>
      </c>
      <c r="G2881" s="7" t="str">
        <f t="shared" si="17"/>
        <v>Direct</v>
      </c>
      <c r="H2881" s="7" t="s">
        <v>3254</v>
      </c>
    </row>
    <row r="2882" spans="1:8" x14ac:dyDescent="0.2">
      <c r="A2882" s="5" t="s">
        <v>13</v>
      </c>
      <c r="B2882" s="6" t="s">
        <v>19</v>
      </c>
      <c r="C2882" s="7" t="s">
        <v>3255</v>
      </c>
      <c r="D2882" s="7"/>
      <c r="E2882" s="8">
        <v>-1.1965805</v>
      </c>
      <c r="F2882" s="8">
        <v>-2.8539734000000001</v>
      </c>
      <c r="G2882" s="7" t="str">
        <f t="shared" si="17"/>
        <v>Direct</v>
      </c>
      <c r="H2882" s="7" t="s">
        <v>3254</v>
      </c>
    </row>
    <row r="2883" spans="1:8" x14ac:dyDescent="0.2">
      <c r="A2883" s="5" t="s">
        <v>13</v>
      </c>
      <c r="B2883" s="6" t="s">
        <v>19</v>
      </c>
      <c r="C2883" s="7" t="s">
        <v>592</v>
      </c>
      <c r="D2883" s="7"/>
      <c r="E2883" s="8">
        <v>-19.641179999999999</v>
      </c>
      <c r="F2883" s="8">
        <v>-14.02242</v>
      </c>
      <c r="G2883" s="7" t="str">
        <f t="shared" si="17"/>
        <v>Direct</v>
      </c>
      <c r="H2883" s="7" t="s">
        <v>16</v>
      </c>
    </row>
    <row r="2884" spans="1:8" x14ac:dyDescent="0.2">
      <c r="A2884" s="5" t="s">
        <v>13</v>
      </c>
      <c r="B2884" s="6" t="s">
        <v>19</v>
      </c>
      <c r="C2884" s="7" t="s">
        <v>3256</v>
      </c>
      <c r="D2884" s="7"/>
      <c r="E2884" s="8">
        <v>-2.5557044000000002</v>
      </c>
      <c r="F2884" s="8">
        <v>-1.8068683000000001</v>
      </c>
      <c r="G2884" s="7" t="str">
        <f t="shared" si="17"/>
        <v>Direct</v>
      </c>
      <c r="H2884" s="7" t="s">
        <v>301</v>
      </c>
    </row>
    <row r="2885" spans="1:8" x14ac:dyDescent="0.2">
      <c r="A2885" s="5" t="s">
        <v>13</v>
      </c>
      <c r="B2885" s="6" t="s">
        <v>19</v>
      </c>
      <c r="C2885" s="7" t="s">
        <v>3257</v>
      </c>
      <c r="D2885" s="7"/>
      <c r="E2885" s="8">
        <v>-1.1881069</v>
      </c>
      <c r="F2885" s="8">
        <v>-1.3414974</v>
      </c>
      <c r="G2885" s="7" t="str">
        <f t="shared" si="17"/>
        <v>Direct</v>
      </c>
      <c r="H2885" s="7" t="s">
        <v>3258</v>
      </c>
    </row>
    <row r="2886" spans="1:8" x14ac:dyDescent="0.2">
      <c r="A2886" s="5" t="s">
        <v>13</v>
      </c>
      <c r="B2886" s="6" t="s">
        <v>19</v>
      </c>
      <c r="C2886" s="7" t="s">
        <v>3259</v>
      </c>
      <c r="D2886" s="7"/>
      <c r="E2886" s="8">
        <v>2.1112696899999999</v>
      </c>
      <c r="F2886" s="8">
        <v>2.9514359699999999</v>
      </c>
      <c r="G2886" s="7" t="str">
        <f t="shared" si="17"/>
        <v>Direct</v>
      </c>
      <c r="H2886" s="7" t="s">
        <v>278</v>
      </c>
    </row>
    <row r="2887" spans="1:8" x14ac:dyDescent="0.2">
      <c r="A2887" s="5" t="s">
        <v>13</v>
      </c>
      <c r="B2887" s="6" t="s">
        <v>19</v>
      </c>
      <c r="C2887" s="7" t="s">
        <v>3260</v>
      </c>
      <c r="D2887" s="7"/>
      <c r="E2887" s="8">
        <v>-3.8825162999999998</v>
      </c>
      <c r="F2887" s="8">
        <v>-1.9512640000000001</v>
      </c>
      <c r="G2887" s="7" t="str">
        <f t="shared" si="17"/>
        <v>Direct</v>
      </c>
      <c r="H2887" s="7" t="s">
        <v>16</v>
      </c>
    </row>
    <row r="2888" spans="1:8" x14ac:dyDescent="0.2">
      <c r="A2888" s="5" t="s">
        <v>13</v>
      </c>
      <c r="B2888" s="6" t="s">
        <v>19</v>
      </c>
      <c r="C2888" s="7" t="s">
        <v>593</v>
      </c>
      <c r="D2888" s="7"/>
      <c r="E2888" s="8">
        <v>-2.3620418999999999</v>
      </c>
      <c r="F2888" s="8">
        <v>-1.0542130999999999</v>
      </c>
      <c r="G2888" s="7" t="str">
        <f t="shared" si="17"/>
        <v>Direct</v>
      </c>
      <c r="H2888" s="7" t="s">
        <v>594</v>
      </c>
    </row>
    <row r="2889" spans="1:8" x14ac:dyDescent="0.2">
      <c r="A2889" s="5" t="s">
        <v>13</v>
      </c>
      <c r="B2889" s="6" t="s">
        <v>19</v>
      </c>
      <c r="C2889" s="7" t="s">
        <v>595</v>
      </c>
      <c r="D2889" s="7"/>
      <c r="E2889" s="8">
        <v>-7.6856337000000003</v>
      </c>
      <c r="F2889" s="8">
        <v>-7.4802451000000003</v>
      </c>
      <c r="G2889" s="7" t="str">
        <f t="shared" si="17"/>
        <v>Direct</v>
      </c>
      <c r="H2889" s="7" t="s">
        <v>596</v>
      </c>
    </row>
    <row r="2890" spans="1:8" x14ac:dyDescent="0.2">
      <c r="A2890" s="5" t="s">
        <v>13</v>
      </c>
      <c r="B2890" s="6" t="s">
        <v>19</v>
      </c>
      <c r="C2890" s="7" t="s">
        <v>3261</v>
      </c>
      <c r="D2890" s="7"/>
      <c r="E2890" s="8">
        <v>1.15318532</v>
      </c>
      <c r="F2890" s="8">
        <v>1.1000482199999999</v>
      </c>
      <c r="G2890" s="7" t="str">
        <f t="shared" si="17"/>
        <v>Direct</v>
      </c>
      <c r="H2890" s="7" t="s">
        <v>16</v>
      </c>
    </row>
    <row r="2891" spans="1:8" x14ac:dyDescent="0.2">
      <c r="A2891" s="5" t="s">
        <v>13</v>
      </c>
      <c r="B2891" s="6" t="s">
        <v>19</v>
      </c>
      <c r="C2891" s="7" t="s">
        <v>3262</v>
      </c>
      <c r="D2891" s="7"/>
      <c r="E2891" s="8">
        <v>-1.5904210999999999</v>
      </c>
      <c r="F2891" s="8">
        <v>-1.1907687</v>
      </c>
      <c r="G2891" s="7" t="str">
        <f t="shared" si="17"/>
        <v>Direct</v>
      </c>
      <c r="H2891" s="7" t="s">
        <v>16</v>
      </c>
    </row>
    <row r="2892" spans="1:8" x14ac:dyDescent="0.2">
      <c r="A2892" s="5" t="s">
        <v>13</v>
      </c>
      <c r="B2892" s="6" t="s">
        <v>19</v>
      </c>
      <c r="C2892" s="7" t="s">
        <v>3263</v>
      </c>
      <c r="D2892" s="7"/>
      <c r="E2892" s="8">
        <v>-2.1547312999999999</v>
      </c>
      <c r="F2892" s="8">
        <v>-1.7890557</v>
      </c>
      <c r="G2892" s="7" t="str">
        <f t="shared" si="17"/>
        <v>Direct</v>
      </c>
      <c r="H2892" s="7" t="s">
        <v>16</v>
      </c>
    </row>
    <row r="2893" spans="1:8" x14ac:dyDescent="0.2">
      <c r="A2893" s="5" t="s">
        <v>13</v>
      </c>
      <c r="B2893" s="6" t="s">
        <v>19</v>
      </c>
      <c r="C2893" s="7" t="s">
        <v>3264</v>
      </c>
      <c r="D2893" s="7"/>
      <c r="E2893" s="8">
        <v>-6.7325001999999996</v>
      </c>
      <c r="F2893" s="8">
        <v>-5.9443973000000003</v>
      </c>
      <c r="G2893" s="7" t="str">
        <f t="shared" si="17"/>
        <v>Direct</v>
      </c>
      <c r="H2893" s="7" t="s">
        <v>3214</v>
      </c>
    </row>
    <row r="2894" spans="1:8" x14ac:dyDescent="0.2">
      <c r="A2894" s="5" t="s">
        <v>13</v>
      </c>
      <c r="B2894" s="6" t="s">
        <v>19</v>
      </c>
      <c r="C2894" s="7" t="s">
        <v>3265</v>
      </c>
      <c r="D2894" s="7"/>
      <c r="E2894" s="8">
        <v>1.10016406</v>
      </c>
      <c r="F2894" s="8">
        <v>1.0343689300000001</v>
      </c>
      <c r="G2894" s="7" t="str">
        <f t="shared" si="17"/>
        <v>Direct</v>
      </c>
      <c r="H2894" s="7" t="s">
        <v>16</v>
      </c>
    </row>
    <row r="2895" spans="1:8" x14ac:dyDescent="0.2">
      <c r="A2895" s="5" t="s">
        <v>13</v>
      </c>
      <c r="B2895" s="6" t="s">
        <v>19</v>
      </c>
      <c r="C2895" s="7" t="s">
        <v>3266</v>
      </c>
      <c r="D2895" s="7"/>
      <c r="E2895" s="8">
        <v>-1.8866372</v>
      </c>
      <c r="F2895" s="8">
        <v>-1.8696923999999999</v>
      </c>
      <c r="G2895" s="7" t="str">
        <f t="shared" si="17"/>
        <v>Direct</v>
      </c>
      <c r="H2895" s="7" t="s">
        <v>3267</v>
      </c>
    </row>
    <row r="2896" spans="1:8" x14ac:dyDescent="0.2">
      <c r="A2896" s="5" t="s">
        <v>13</v>
      </c>
      <c r="B2896" s="6" t="s">
        <v>19</v>
      </c>
      <c r="C2896" s="7" t="s">
        <v>3268</v>
      </c>
      <c r="D2896" s="7"/>
      <c r="E2896" s="8">
        <v>-1.5432205000000001</v>
      </c>
      <c r="F2896" s="8">
        <v>-2.8897675999999999</v>
      </c>
      <c r="G2896" s="7" t="str">
        <f t="shared" si="17"/>
        <v>Direct</v>
      </c>
      <c r="H2896" s="7" t="s">
        <v>2914</v>
      </c>
    </row>
    <row r="2897" spans="1:8" x14ac:dyDescent="0.2">
      <c r="A2897" s="5" t="s">
        <v>13</v>
      </c>
      <c r="B2897" s="6" t="s">
        <v>19</v>
      </c>
      <c r="C2897" s="7" t="s">
        <v>597</v>
      </c>
      <c r="D2897" s="7"/>
      <c r="E2897" s="8">
        <v>-2.4055485999999999</v>
      </c>
      <c r="F2897" s="8">
        <v>-3.0511575999999998</v>
      </c>
      <c r="G2897" s="7" t="str">
        <f t="shared" si="17"/>
        <v>Direct</v>
      </c>
      <c r="H2897" s="7" t="s">
        <v>16</v>
      </c>
    </row>
    <row r="2898" spans="1:8" x14ac:dyDescent="0.2">
      <c r="A2898" s="5" t="s">
        <v>13</v>
      </c>
      <c r="B2898" s="6" t="s">
        <v>19</v>
      </c>
      <c r="C2898" s="7" t="s">
        <v>3269</v>
      </c>
      <c r="D2898" s="7"/>
      <c r="E2898" s="8">
        <v>-1.4567398</v>
      </c>
      <c r="F2898" s="8">
        <v>-4.3389746000000002</v>
      </c>
      <c r="G2898" s="7" t="str">
        <f t="shared" si="17"/>
        <v>Direct</v>
      </c>
      <c r="H2898" s="7" t="s">
        <v>3270</v>
      </c>
    </row>
    <row r="2899" spans="1:8" x14ac:dyDescent="0.2">
      <c r="A2899" s="5" t="s">
        <v>13</v>
      </c>
      <c r="B2899" s="6" t="s">
        <v>19</v>
      </c>
      <c r="C2899" s="7" t="s">
        <v>3271</v>
      </c>
      <c r="D2899" s="7"/>
      <c r="E2899" s="8">
        <v>3.9311735300000001</v>
      </c>
      <c r="F2899" s="8">
        <v>3.28055466</v>
      </c>
      <c r="G2899" s="7" t="str">
        <f t="shared" si="17"/>
        <v>Direct</v>
      </c>
      <c r="H2899" s="7" t="s">
        <v>3272</v>
      </c>
    </row>
    <row r="2900" spans="1:8" x14ac:dyDescent="0.2">
      <c r="A2900" s="5" t="s">
        <v>13</v>
      </c>
      <c r="B2900" s="6" t="s">
        <v>19</v>
      </c>
      <c r="C2900" s="7" t="s">
        <v>598</v>
      </c>
      <c r="D2900" s="7"/>
      <c r="E2900" s="8">
        <v>-3.9756604000000002</v>
      </c>
      <c r="F2900" s="8">
        <v>-2.9646992000000001</v>
      </c>
      <c r="G2900" s="7" t="str">
        <f t="shared" si="17"/>
        <v>Direct</v>
      </c>
      <c r="H2900" s="7" t="s">
        <v>599</v>
      </c>
    </row>
    <row r="2901" spans="1:8" x14ac:dyDescent="0.2">
      <c r="A2901" s="5" t="s">
        <v>13</v>
      </c>
      <c r="B2901" s="6" t="s">
        <v>19</v>
      </c>
      <c r="C2901" s="7" t="s">
        <v>3273</v>
      </c>
      <c r="D2901" s="7"/>
      <c r="E2901" s="8">
        <v>-7.8613283000000003</v>
      </c>
      <c r="F2901" s="8">
        <v>-7.0734288999999997</v>
      </c>
      <c r="G2901" s="7" t="str">
        <f t="shared" si="17"/>
        <v>Direct</v>
      </c>
      <c r="H2901" s="7" t="s">
        <v>3274</v>
      </c>
    </row>
    <row r="2902" spans="1:8" x14ac:dyDescent="0.2">
      <c r="A2902" s="5" t="s">
        <v>13</v>
      </c>
      <c r="B2902" s="6" t="s">
        <v>19</v>
      </c>
      <c r="C2902" s="7" t="s">
        <v>3275</v>
      </c>
      <c r="D2902" s="7"/>
      <c r="E2902" s="8">
        <v>-1.3764957</v>
      </c>
      <c r="F2902" s="8">
        <v>-1.756113</v>
      </c>
      <c r="G2902" s="7" t="str">
        <f t="shared" si="17"/>
        <v>Direct</v>
      </c>
      <c r="H2902" s="7" t="s">
        <v>16</v>
      </c>
    </row>
    <row r="2903" spans="1:8" x14ac:dyDescent="0.2">
      <c r="A2903" s="5" t="s">
        <v>13</v>
      </c>
      <c r="B2903" s="6" t="s">
        <v>19</v>
      </c>
      <c r="C2903" s="7" t="s">
        <v>3276</v>
      </c>
      <c r="D2903" s="7"/>
      <c r="E2903" s="8">
        <v>-1.8322052</v>
      </c>
      <c r="F2903" s="8">
        <v>-1.0879970000000001</v>
      </c>
      <c r="G2903" s="7" t="str">
        <f t="shared" si="17"/>
        <v>Direct</v>
      </c>
      <c r="H2903" s="7" t="s">
        <v>3277</v>
      </c>
    </row>
    <row r="2904" spans="1:8" x14ac:dyDescent="0.2">
      <c r="A2904" s="5" t="s">
        <v>13</v>
      </c>
      <c r="B2904" s="6" t="s">
        <v>19</v>
      </c>
      <c r="C2904" s="7" t="s">
        <v>3278</v>
      </c>
      <c r="D2904" s="7"/>
      <c r="E2904" s="8">
        <v>2.3529940300000001</v>
      </c>
      <c r="F2904" s="8">
        <v>1.4203377500000001</v>
      </c>
      <c r="G2904" s="7" t="str">
        <f t="shared" si="17"/>
        <v>Direct</v>
      </c>
      <c r="H2904" s="7" t="s">
        <v>16</v>
      </c>
    </row>
    <row r="2905" spans="1:8" x14ac:dyDescent="0.2">
      <c r="A2905" s="5" t="s">
        <v>13</v>
      </c>
      <c r="B2905" s="6" t="s">
        <v>19</v>
      </c>
      <c r="C2905" s="7" t="s">
        <v>3279</v>
      </c>
      <c r="D2905" s="7"/>
      <c r="E2905" s="8">
        <v>-3.9316475</v>
      </c>
      <c r="F2905" s="8">
        <v>-1.5999363</v>
      </c>
      <c r="G2905" s="7" t="str">
        <f t="shared" si="17"/>
        <v>Direct</v>
      </c>
      <c r="H2905" s="7" t="s">
        <v>1175</v>
      </c>
    </row>
    <row r="2906" spans="1:8" x14ac:dyDescent="0.2">
      <c r="A2906" s="5" t="s">
        <v>13</v>
      </c>
      <c r="B2906" s="6" t="s">
        <v>19</v>
      </c>
      <c r="C2906" s="7" t="s">
        <v>600</v>
      </c>
      <c r="D2906" s="7"/>
      <c r="E2906" s="8">
        <v>-3.8724382999999998</v>
      </c>
      <c r="F2906" s="8">
        <v>-4.1812978999999997</v>
      </c>
      <c r="G2906" s="7" t="str">
        <f t="shared" si="17"/>
        <v>Direct</v>
      </c>
      <c r="H2906" s="7" t="s">
        <v>601</v>
      </c>
    </row>
    <row r="2907" spans="1:8" x14ac:dyDescent="0.2">
      <c r="A2907" s="5" t="s">
        <v>13</v>
      </c>
      <c r="B2907" s="6" t="s">
        <v>19</v>
      </c>
      <c r="C2907" s="7" t="s">
        <v>3280</v>
      </c>
      <c r="D2907" s="7"/>
      <c r="E2907" s="8">
        <v>-2.9277860000000002</v>
      </c>
      <c r="F2907" s="8">
        <v>-1.1925599</v>
      </c>
      <c r="G2907" s="7" t="str">
        <f t="shared" si="17"/>
        <v>Direct</v>
      </c>
      <c r="H2907" s="7" t="s">
        <v>3281</v>
      </c>
    </row>
    <row r="2908" spans="1:8" x14ac:dyDescent="0.2">
      <c r="A2908" s="5" t="s">
        <v>13</v>
      </c>
      <c r="B2908" s="6" t="s">
        <v>19</v>
      </c>
      <c r="C2908" s="7" t="s">
        <v>3282</v>
      </c>
      <c r="D2908" s="7"/>
      <c r="E2908" s="8">
        <v>5.0434539000000003</v>
      </c>
      <c r="F2908" s="8">
        <v>3.1596091500000001</v>
      </c>
      <c r="G2908" s="7" t="str">
        <f t="shared" si="17"/>
        <v>Direct</v>
      </c>
      <c r="H2908" s="7" t="s">
        <v>16</v>
      </c>
    </row>
    <row r="2909" spans="1:8" x14ac:dyDescent="0.2">
      <c r="A2909" s="5" t="s">
        <v>13</v>
      </c>
      <c r="B2909" s="6" t="s">
        <v>19</v>
      </c>
      <c r="C2909" s="7" t="s">
        <v>3283</v>
      </c>
      <c r="D2909" s="7"/>
      <c r="E2909" s="8">
        <v>-2.9819567999999999</v>
      </c>
      <c r="F2909" s="8">
        <v>-2.2401654</v>
      </c>
      <c r="G2909" s="7" t="str">
        <f t="shared" si="17"/>
        <v>Direct</v>
      </c>
      <c r="H2909" s="7" t="s">
        <v>3284</v>
      </c>
    </row>
    <row r="2910" spans="1:8" x14ac:dyDescent="0.2">
      <c r="A2910" s="5" t="s">
        <v>13</v>
      </c>
      <c r="B2910" s="6" t="s">
        <v>19</v>
      </c>
      <c r="C2910" s="7" t="s">
        <v>3285</v>
      </c>
      <c r="D2910" s="7"/>
      <c r="E2910" s="8">
        <v>-1.355097</v>
      </c>
      <c r="F2910" s="8">
        <v>-1.6779363</v>
      </c>
      <c r="G2910" s="7" t="str">
        <f t="shared" si="17"/>
        <v>Direct</v>
      </c>
      <c r="H2910" s="7" t="s">
        <v>3286</v>
      </c>
    </row>
    <row r="2911" spans="1:8" x14ac:dyDescent="0.2">
      <c r="A2911" s="5" t="s">
        <v>13</v>
      </c>
      <c r="B2911" s="6" t="s">
        <v>19</v>
      </c>
      <c r="C2911" s="7" t="s">
        <v>3287</v>
      </c>
      <c r="D2911" s="7"/>
      <c r="E2911" s="8">
        <v>-3.0160593000000002</v>
      </c>
      <c r="F2911" s="8">
        <v>-3.3864689000000001</v>
      </c>
      <c r="G2911" s="7" t="str">
        <f t="shared" si="17"/>
        <v>Direct</v>
      </c>
      <c r="H2911" s="7" t="s">
        <v>3288</v>
      </c>
    </row>
    <row r="2912" spans="1:8" x14ac:dyDescent="0.2">
      <c r="A2912" s="5" t="s">
        <v>13</v>
      </c>
      <c r="B2912" s="6" t="s">
        <v>19</v>
      </c>
      <c r="C2912" s="7" t="s">
        <v>3289</v>
      </c>
      <c r="D2912" s="7"/>
      <c r="E2912" s="8">
        <v>5.3242813499999997</v>
      </c>
      <c r="F2912" s="8">
        <v>4.7240787800000001</v>
      </c>
      <c r="G2912" s="7" t="str">
        <f t="shared" si="17"/>
        <v>Direct</v>
      </c>
      <c r="H2912" s="7" t="s">
        <v>3290</v>
      </c>
    </row>
    <row r="2913" spans="1:8" x14ac:dyDescent="0.2">
      <c r="A2913" s="5" t="s">
        <v>13</v>
      </c>
      <c r="B2913" s="6" t="s">
        <v>19</v>
      </c>
      <c r="C2913" s="7" t="s">
        <v>3291</v>
      </c>
      <c r="D2913" s="7"/>
      <c r="E2913" s="8">
        <v>-6.9375448000000004</v>
      </c>
      <c r="F2913" s="8">
        <v>-4.6538171999999998</v>
      </c>
      <c r="G2913" s="7" t="str">
        <f t="shared" si="17"/>
        <v>Direct</v>
      </c>
      <c r="H2913" s="7" t="s">
        <v>1021</v>
      </c>
    </row>
    <row r="2914" spans="1:8" x14ac:dyDescent="0.2">
      <c r="A2914" s="5" t="s">
        <v>13</v>
      </c>
      <c r="B2914" s="6" t="s">
        <v>19</v>
      </c>
      <c r="C2914" s="7" t="s">
        <v>3292</v>
      </c>
      <c r="D2914" s="7"/>
      <c r="E2914" s="8">
        <v>4.7464842899999997</v>
      </c>
      <c r="F2914" s="8">
        <v>2.4189957999999998</v>
      </c>
      <c r="G2914" s="7" t="str">
        <f t="shared" si="17"/>
        <v>Direct</v>
      </c>
      <c r="H2914" s="7" t="s">
        <v>16</v>
      </c>
    </row>
    <row r="2915" spans="1:8" x14ac:dyDescent="0.2">
      <c r="A2915" s="5" t="s">
        <v>13</v>
      </c>
      <c r="B2915" s="6" t="s">
        <v>19</v>
      </c>
      <c r="C2915" s="7" t="s">
        <v>3293</v>
      </c>
      <c r="D2915" s="7"/>
      <c r="E2915" s="8">
        <v>-1.0017912</v>
      </c>
      <c r="F2915" s="8">
        <v>-1.2733293999999999</v>
      </c>
      <c r="G2915" s="7" t="str">
        <f t="shared" si="17"/>
        <v>Direct</v>
      </c>
      <c r="H2915" s="7" t="s">
        <v>3294</v>
      </c>
    </row>
    <row r="2916" spans="1:8" x14ac:dyDescent="0.2">
      <c r="A2916" s="5" t="s">
        <v>13</v>
      </c>
      <c r="B2916" s="6" t="s">
        <v>19</v>
      </c>
      <c r="C2916" s="7" t="s">
        <v>3295</v>
      </c>
      <c r="D2916" s="7"/>
      <c r="E2916" s="8">
        <v>-1.6607479999999999</v>
      </c>
      <c r="F2916" s="8">
        <v>-2.5911271999999999</v>
      </c>
      <c r="G2916" s="7" t="str">
        <f t="shared" si="17"/>
        <v>Direct</v>
      </c>
      <c r="H2916" s="7" t="s">
        <v>2373</v>
      </c>
    </row>
    <row r="2917" spans="1:8" x14ac:dyDescent="0.2">
      <c r="A2917" s="5" t="s">
        <v>13</v>
      </c>
      <c r="B2917" s="6" t="s">
        <v>19</v>
      </c>
      <c r="C2917" s="7" t="s">
        <v>602</v>
      </c>
      <c r="D2917" s="7"/>
      <c r="E2917" s="8">
        <v>-1.3553329000000001</v>
      </c>
      <c r="F2917" s="8">
        <v>-2.1994232999999999</v>
      </c>
      <c r="G2917" s="7" t="str">
        <f t="shared" si="17"/>
        <v>Direct</v>
      </c>
      <c r="H2917" s="7" t="s">
        <v>16</v>
      </c>
    </row>
    <row r="2918" spans="1:8" x14ac:dyDescent="0.2">
      <c r="A2918" s="5" t="s">
        <v>13</v>
      </c>
      <c r="B2918" s="6" t="s">
        <v>19</v>
      </c>
      <c r="C2918" s="7" t="s">
        <v>3296</v>
      </c>
      <c r="D2918" s="7"/>
      <c r="E2918" s="8">
        <v>1.0726586899999999</v>
      </c>
      <c r="F2918" s="8">
        <v>1.8697585000000001</v>
      </c>
      <c r="G2918" s="7" t="str">
        <f t="shared" si="17"/>
        <v>Direct</v>
      </c>
      <c r="H2918" s="7" t="s">
        <v>16</v>
      </c>
    </row>
    <row r="2919" spans="1:8" x14ac:dyDescent="0.2">
      <c r="A2919" s="5" t="s">
        <v>13</v>
      </c>
      <c r="B2919" s="6" t="s">
        <v>19</v>
      </c>
      <c r="C2919" s="7" t="s">
        <v>3297</v>
      </c>
      <c r="D2919" s="7"/>
      <c r="E2919" s="8">
        <v>4.4843304499999999</v>
      </c>
      <c r="F2919" s="8">
        <v>2.67409418</v>
      </c>
      <c r="G2919" s="7" t="str">
        <f t="shared" si="17"/>
        <v>Direct</v>
      </c>
      <c r="H2919" s="7" t="s">
        <v>820</v>
      </c>
    </row>
    <row r="2920" spans="1:8" x14ac:dyDescent="0.2">
      <c r="A2920" s="5" t="s">
        <v>13</v>
      </c>
      <c r="B2920" s="6" t="s">
        <v>19</v>
      </c>
      <c r="C2920" s="7" t="s">
        <v>3298</v>
      </c>
      <c r="D2920" s="7"/>
      <c r="E2920" s="8">
        <v>-1.1754450000000001</v>
      </c>
      <c r="F2920" s="8">
        <v>-1.902766</v>
      </c>
      <c r="G2920" s="7" t="str">
        <f t="shared" si="17"/>
        <v>Direct</v>
      </c>
      <c r="H2920" s="7" t="s">
        <v>16</v>
      </c>
    </row>
    <row r="2921" spans="1:8" x14ac:dyDescent="0.2">
      <c r="A2921" s="5" t="s">
        <v>13</v>
      </c>
      <c r="B2921" s="6" t="s">
        <v>19</v>
      </c>
      <c r="C2921" s="7" t="s">
        <v>3299</v>
      </c>
      <c r="D2921" s="7"/>
      <c r="E2921" s="8">
        <v>2.60619837</v>
      </c>
      <c r="F2921" s="8">
        <v>2.55324873</v>
      </c>
      <c r="G2921" s="7" t="str">
        <f t="shared" si="17"/>
        <v>Direct</v>
      </c>
      <c r="H2921" s="7" t="s">
        <v>3300</v>
      </c>
    </row>
    <row r="2922" spans="1:8" x14ac:dyDescent="0.2">
      <c r="A2922" s="5" t="s">
        <v>13</v>
      </c>
      <c r="B2922" s="6" t="s">
        <v>19</v>
      </c>
      <c r="C2922" s="7" t="s">
        <v>3301</v>
      </c>
      <c r="D2922" s="7"/>
      <c r="E2922" s="8">
        <v>1.80136586</v>
      </c>
      <c r="F2922" s="8">
        <v>1.0546051299999999</v>
      </c>
      <c r="G2922" s="7" t="str">
        <f t="shared" si="17"/>
        <v>Direct</v>
      </c>
      <c r="H2922" s="7" t="s">
        <v>1216</v>
      </c>
    </row>
    <row r="2923" spans="1:8" x14ac:dyDescent="0.2">
      <c r="A2923" s="5" t="s">
        <v>13</v>
      </c>
      <c r="B2923" s="6" t="s">
        <v>19</v>
      </c>
      <c r="C2923" s="7" t="s">
        <v>603</v>
      </c>
      <c r="D2923" s="7"/>
      <c r="E2923" s="8">
        <v>-7.0596560999999998</v>
      </c>
      <c r="F2923" s="8">
        <v>-2.7852301000000002</v>
      </c>
      <c r="G2923" s="7" t="str">
        <f t="shared" si="17"/>
        <v>Direct</v>
      </c>
      <c r="H2923" s="7" t="s">
        <v>604</v>
      </c>
    </row>
    <row r="2924" spans="1:8" x14ac:dyDescent="0.2">
      <c r="A2924" s="5" t="s">
        <v>13</v>
      </c>
      <c r="B2924" s="6" t="s">
        <v>19</v>
      </c>
      <c r="C2924" s="7" t="s">
        <v>3302</v>
      </c>
      <c r="D2924" s="7"/>
      <c r="E2924" s="8">
        <v>-3.9698500000000001</v>
      </c>
      <c r="F2924" s="8">
        <v>-3.902126</v>
      </c>
      <c r="G2924" s="7" t="str">
        <f t="shared" si="17"/>
        <v>Direct</v>
      </c>
      <c r="H2924" s="7" t="s">
        <v>3303</v>
      </c>
    </row>
    <row r="2925" spans="1:8" x14ac:dyDescent="0.2">
      <c r="A2925" s="5" t="s">
        <v>13</v>
      </c>
      <c r="B2925" s="6" t="s">
        <v>19</v>
      </c>
      <c r="C2925" s="7" t="s">
        <v>605</v>
      </c>
      <c r="D2925" s="7"/>
      <c r="E2925" s="8">
        <v>-2.7495402000000002</v>
      </c>
      <c r="F2925" s="8">
        <v>-4.0804172000000003</v>
      </c>
      <c r="G2925" s="7" t="str">
        <f t="shared" si="17"/>
        <v>Direct</v>
      </c>
      <c r="H2925" s="7" t="s">
        <v>606</v>
      </c>
    </row>
    <row r="2926" spans="1:8" x14ac:dyDescent="0.2">
      <c r="A2926" s="5" t="s">
        <v>13</v>
      </c>
      <c r="B2926" s="6" t="s">
        <v>19</v>
      </c>
      <c r="C2926" s="7" t="s">
        <v>3304</v>
      </c>
      <c r="D2926" s="7"/>
      <c r="E2926" s="8">
        <v>-4.705317</v>
      </c>
      <c r="F2926" s="8">
        <v>-2.7939484999999999</v>
      </c>
      <c r="G2926" s="7" t="str">
        <f t="shared" si="17"/>
        <v>Direct</v>
      </c>
      <c r="H2926" s="7" t="s">
        <v>3305</v>
      </c>
    </row>
    <row r="2927" spans="1:8" x14ac:dyDescent="0.2">
      <c r="A2927" s="5" t="s">
        <v>13</v>
      </c>
      <c r="B2927" s="6" t="s">
        <v>19</v>
      </c>
      <c r="C2927" s="7" t="s">
        <v>3306</v>
      </c>
      <c r="D2927" s="7"/>
      <c r="E2927" s="8">
        <v>2.7967298399999998</v>
      </c>
      <c r="F2927" s="8">
        <v>2.74949413</v>
      </c>
      <c r="G2927" s="7" t="str">
        <f t="shared" si="17"/>
        <v>Direct</v>
      </c>
      <c r="H2927" s="7" t="s">
        <v>16</v>
      </c>
    </row>
    <row r="2928" spans="1:8" x14ac:dyDescent="0.2">
      <c r="A2928" s="5" t="s">
        <v>13</v>
      </c>
      <c r="B2928" s="6" t="s">
        <v>19</v>
      </c>
      <c r="C2928" s="7" t="s">
        <v>3307</v>
      </c>
      <c r="D2928" s="7"/>
      <c r="E2928" s="8">
        <v>-1.5642741</v>
      </c>
      <c r="F2928" s="8">
        <v>-1.7461799</v>
      </c>
      <c r="G2928" s="7" t="str">
        <f t="shared" si="17"/>
        <v>Direct</v>
      </c>
      <c r="H2928" s="7" t="s">
        <v>16</v>
      </c>
    </row>
    <row r="2929" spans="1:8" x14ac:dyDescent="0.2">
      <c r="A2929" s="5" t="s">
        <v>13</v>
      </c>
      <c r="B2929" s="6" t="s">
        <v>19</v>
      </c>
      <c r="C2929" s="7" t="s">
        <v>3308</v>
      </c>
      <c r="D2929" s="7"/>
      <c r="E2929" s="8">
        <v>15.210509699999999</v>
      </c>
      <c r="F2929" s="8">
        <v>12.2284243</v>
      </c>
      <c r="G2929" s="7" t="str">
        <f t="shared" si="17"/>
        <v>Direct</v>
      </c>
      <c r="H2929" s="7" t="s">
        <v>3309</v>
      </c>
    </row>
    <row r="2930" spans="1:8" x14ac:dyDescent="0.2">
      <c r="A2930" s="5" t="s">
        <v>13</v>
      </c>
      <c r="B2930" s="6" t="s">
        <v>19</v>
      </c>
      <c r="C2930" s="7" t="s">
        <v>3310</v>
      </c>
      <c r="D2930" s="7"/>
      <c r="E2930" s="8">
        <v>-5.5877882999999997</v>
      </c>
      <c r="F2930" s="8">
        <v>-5.5217682999999997</v>
      </c>
      <c r="G2930" s="7" t="str">
        <f t="shared" si="17"/>
        <v>Direct</v>
      </c>
      <c r="H2930" s="7" t="s">
        <v>3311</v>
      </c>
    </row>
    <row r="2931" spans="1:8" x14ac:dyDescent="0.2">
      <c r="A2931" s="5" t="s">
        <v>13</v>
      </c>
      <c r="B2931" s="6" t="s">
        <v>19</v>
      </c>
      <c r="C2931" s="7" t="s">
        <v>3312</v>
      </c>
      <c r="D2931" s="7"/>
      <c r="E2931" s="8">
        <v>1.15769239</v>
      </c>
      <c r="F2931" s="8">
        <v>1.6970103999999999</v>
      </c>
      <c r="G2931" s="7" t="str">
        <f t="shared" si="17"/>
        <v>Direct</v>
      </c>
      <c r="H2931" s="7" t="s">
        <v>980</v>
      </c>
    </row>
    <row r="2932" spans="1:8" x14ac:dyDescent="0.2">
      <c r="A2932" s="5" t="s">
        <v>13</v>
      </c>
      <c r="B2932" s="6" t="s">
        <v>19</v>
      </c>
      <c r="C2932" s="7" t="s">
        <v>3313</v>
      </c>
      <c r="D2932" s="7"/>
      <c r="E2932" s="8">
        <v>-3.3135387000000001</v>
      </c>
      <c r="F2932" s="8">
        <v>-2.5466242000000001</v>
      </c>
      <c r="G2932" s="7" t="str">
        <f t="shared" si="17"/>
        <v>Direct</v>
      </c>
      <c r="H2932" s="7" t="s">
        <v>3314</v>
      </c>
    </row>
    <row r="2933" spans="1:8" x14ac:dyDescent="0.2">
      <c r="A2933" s="5" t="s">
        <v>13</v>
      </c>
      <c r="B2933" s="6" t="s">
        <v>19</v>
      </c>
      <c r="C2933" s="7" t="s">
        <v>3315</v>
      </c>
      <c r="D2933" s="7"/>
      <c r="E2933" s="8">
        <v>-4.3388701000000003</v>
      </c>
      <c r="F2933" s="8">
        <v>-3.2155086000000002</v>
      </c>
      <c r="G2933" s="7" t="str">
        <f t="shared" si="17"/>
        <v>Direct</v>
      </c>
      <c r="H2933" s="7" t="s">
        <v>1143</v>
      </c>
    </row>
    <row r="2934" spans="1:8" x14ac:dyDescent="0.2">
      <c r="A2934" s="5" t="s">
        <v>13</v>
      </c>
      <c r="B2934" s="6" t="s">
        <v>19</v>
      </c>
      <c r="C2934" s="7" t="s">
        <v>3316</v>
      </c>
      <c r="D2934" s="7"/>
      <c r="E2934" s="8">
        <v>-1.1575126</v>
      </c>
      <c r="F2934" s="8">
        <v>-1.4340109999999999</v>
      </c>
      <c r="G2934" s="7" t="str">
        <f t="shared" si="17"/>
        <v>Direct</v>
      </c>
      <c r="H2934" s="7" t="s">
        <v>567</v>
      </c>
    </row>
    <row r="2935" spans="1:8" x14ac:dyDescent="0.2">
      <c r="A2935" s="5" t="s">
        <v>13</v>
      </c>
      <c r="B2935" s="6" t="s">
        <v>19</v>
      </c>
      <c r="C2935" s="7" t="s">
        <v>3317</v>
      </c>
      <c r="D2935" s="7"/>
      <c r="E2935" s="8">
        <v>4.3210604799999999</v>
      </c>
      <c r="F2935" s="8">
        <v>5.0130693700000002</v>
      </c>
      <c r="G2935" s="7" t="str">
        <f t="shared" si="17"/>
        <v>Direct</v>
      </c>
      <c r="H2935" s="7" t="s">
        <v>16</v>
      </c>
    </row>
    <row r="2936" spans="1:8" x14ac:dyDescent="0.2">
      <c r="A2936" s="5" t="s">
        <v>13</v>
      </c>
      <c r="B2936" s="6" t="s">
        <v>19</v>
      </c>
      <c r="C2936" s="7" t="s">
        <v>3318</v>
      </c>
      <c r="D2936" s="7"/>
      <c r="E2936" s="8">
        <v>1.5117265499999999</v>
      </c>
      <c r="F2936" s="8">
        <v>1.1172639900000001</v>
      </c>
      <c r="G2936" s="7" t="str">
        <f t="shared" si="17"/>
        <v>Direct</v>
      </c>
      <c r="H2936" s="7" t="s">
        <v>3319</v>
      </c>
    </row>
    <row r="2937" spans="1:8" x14ac:dyDescent="0.2">
      <c r="A2937" s="5" t="s">
        <v>13</v>
      </c>
      <c r="B2937" s="6" t="s">
        <v>19</v>
      </c>
      <c r="C2937" s="7" t="s">
        <v>3320</v>
      </c>
      <c r="D2937" s="7"/>
      <c r="E2937" s="8">
        <v>3.6214538100000002</v>
      </c>
      <c r="F2937" s="8">
        <v>3.9135598599999999</v>
      </c>
      <c r="G2937" s="7" t="str">
        <f t="shared" si="17"/>
        <v>Direct</v>
      </c>
      <c r="H2937" s="7" t="s">
        <v>16</v>
      </c>
    </row>
    <row r="2938" spans="1:8" x14ac:dyDescent="0.2">
      <c r="A2938" s="5" t="s">
        <v>13</v>
      </c>
      <c r="B2938" s="6" t="s">
        <v>19</v>
      </c>
      <c r="C2938" s="7" t="s">
        <v>3321</v>
      </c>
      <c r="D2938" s="7"/>
      <c r="E2938" s="8">
        <v>2.4838366399999998</v>
      </c>
      <c r="F2938" s="8">
        <v>3.86083211</v>
      </c>
      <c r="G2938" s="7" t="str">
        <f t="shared" si="17"/>
        <v>Direct</v>
      </c>
      <c r="H2938" s="7" t="s">
        <v>3322</v>
      </c>
    </row>
    <row r="2939" spans="1:8" x14ac:dyDescent="0.2">
      <c r="A2939" s="5" t="s">
        <v>13</v>
      </c>
      <c r="B2939" s="6" t="s">
        <v>19</v>
      </c>
      <c r="C2939" s="7" t="s">
        <v>3323</v>
      </c>
      <c r="D2939" s="7"/>
      <c r="E2939" s="8">
        <v>1.15477009</v>
      </c>
      <c r="F2939" s="8">
        <v>1.2156836</v>
      </c>
      <c r="G2939" s="7" t="str">
        <f t="shared" si="17"/>
        <v>Direct</v>
      </c>
      <c r="H2939" s="7" t="s">
        <v>3324</v>
      </c>
    </row>
    <row r="2940" spans="1:8" x14ac:dyDescent="0.2">
      <c r="A2940" s="5" t="s">
        <v>13</v>
      </c>
      <c r="B2940" s="6" t="s">
        <v>19</v>
      </c>
      <c r="C2940" s="7" t="s">
        <v>3325</v>
      </c>
      <c r="D2940" s="7"/>
      <c r="E2940" s="8">
        <v>-4.0945172000000003</v>
      </c>
      <c r="F2940" s="8">
        <v>-3.9657200000000001</v>
      </c>
      <c r="G2940" s="7" t="str">
        <f t="shared" si="17"/>
        <v>Direct</v>
      </c>
      <c r="H2940" s="7" t="s">
        <v>16</v>
      </c>
    </row>
    <row r="2941" spans="1:8" x14ac:dyDescent="0.2">
      <c r="A2941" s="5" t="s">
        <v>13</v>
      </c>
      <c r="B2941" s="6" t="s">
        <v>19</v>
      </c>
      <c r="C2941" s="7" t="s">
        <v>3326</v>
      </c>
      <c r="D2941" s="7"/>
      <c r="E2941" s="8">
        <v>-2.2708735999999998</v>
      </c>
      <c r="F2941" s="8">
        <v>-1.4606058</v>
      </c>
      <c r="G2941" s="7" t="str">
        <f t="shared" si="17"/>
        <v>Direct</v>
      </c>
      <c r="H2941" s="7" t="s">
        <v>16</v>
      </c>
    </row>
    <row r="2942" spans="1:8" x14ac:dyDescent="0.2">
      <c r="A2942" s="5" t="s">
        <v>13</v>
      </c>
      <c r="B2942" s="6" t="s">
        <v>19</v>
      </c>
      <c r="C2942" s="7" t="s">
        <v>3327</v>
      </c>
      <c r="D2942" s="7"/>
      <c r="E2942" s="8">
        <v>-2.1686519999999998</v>
      </c>
      <c r="F2942" s="8">
        <v>-2.3192575</v>
      </c>
      <c r="G2942" s="7" t="str">
        <f t="shared" si="17"/>
        <v>Direct</v>
      </c>
      <c r="H2942" s="7" t="s">
        <v>172</v>
      </c>
    </row>
    <row r="2943" spans="1:8" x14ac:dyDescent="0.2">
      <c r="A2943" s="5" t="s">
        <v>13</v>
      </c>
      <c r="B2943" s="6" t="s">
        <v>19</v>
      </c>
      <c r="C2943" s="7" t="s">
        <v>3328</v>
      </c>
      <c r="D2943" s="7"/>
      <c r="E2943" s="8">
        <v>-1.6040474</v>
      </c>
      <c r="F2943" s="8">
        <v>-2.6564261</v>
      </c>
      <c r="G2943" s="7" t="str">
        <f t="shared" si="17"/>
        <v>Direct</v>
      </c>
      <c r="H2943" s="7" t="s">
        <v>16</v>
      </c>
    </row>
    <row r="2944" spans="1:8" x14ac:dyDescent="0.2">
      <c r="A2944" s="5" t="s">
        <v>13</v>
      </c>
      <c r="B2944" s="6" t="s">
        <v>19</v>
      </c>
      <c r="C2944" s="7" t="s">
        <v>3329</v>
      </c>
      <c r="D2944" s="7"/>
      <c r="E2944" s="8">
        <v>3.49053463</v>
      </c>
      <c r="F2944" s="8">
        <v>3.80393983</v>
      </c>
      <c r="G2944" s="7" t="str">
        <f t="shared" si="17"/>
        <v>Direct</v>
      </c>
      <c r="H2944" s="7" t="s">
        <v>3330</v>
      </c>
    </row>
    <row r="2945" spans="1:8" x14ac:dyDescent="0.2">
      <c r="A2945" s="5" t="s">
        <v>13</v>
      </c>
      <c r="B2945" s="6" t="s">
        <v>19</v>
      </c>
      <c r="C2945" s="7" t="s">
        <v>3331</v>
      </c>
      <c r="D2945" s="7"/>
      <c r="E2945" s="8">
        <v>1.3747387900000001</v>
      </c>
      <c r="F2945" s="8">
        <v>1.6025841999999999</v>
      </c>
      <c r="G2945" s="7" t="str">
        <f t="shared" si="17"/>
        <v>Direct</v>
      </c>
      <c r="H2945" s="7" t="s">
        <v>3332</v>
      </c>
    </row>
    <row r="2946" spans="1:8" x14ac:dyDescent="0.2">
      <c r="A2946" s="5" t="s">
        <v>13</v>
      </c>
      <c r="B2946" s="6" t="s">
        <v>19</v>
      </c>
      <c r="C2946" s="7" t="s">
        <v>3333</v>
      </c>
      <c r="D2946" s="7"/>
      <c r="E2946" s="8">
        <v>2.1600162799999998</v>
      </c>
      <c r="F2946" s="8">
        <v>2.9270435400000001</v>
      </c>
      <c r="G2946" s="7" t="str">
        <f t="shared" si="17"/>
        <v>Direct</v>
      </c>
      <c r="H2946" s="7" t="s">
        <v>3334</v>
      </c>
    </row>
    <row r="2947" spans="1:8" x14ac:dyDescent="0.2">
      <c r="A2947" s="5" t="s">
        <v>13</v>
      </c>
      <c r="B2947" s="6" t="s">
        <v>19</v>
      </c>
      <c r="C2947" s="7" t="s">
        <v>3335</v>
      </c>
      <c r="D2947" s="7"/>
      <c r="E2947" s="8">
        <v>-1.8208222999999999</v>
      </c>
      <c r="F2947" s="8">
        <v>-1.6893159</v>
      </c>
      <c r="G2947" s="7" t="str">
        <f t="shared" si="17"/>
        <v>Direct</v>
      </c>
      <c r="H2947" s="7" t="s">
        <v>3336</v>
      </c>
    </row>
    <row r="2948" spans="1:8" x14ac:dyDescent="0.2">
      <c r="A2948" s="5" t="s">
        <v>13</v>
      </c>
      <c r="B2948" s="6" t="s">
        <v>19</v>
      </c>
      <c r="C2948" s="7" t="s">
        <v>3337</v>
      </c>
      <c r="D2948" s="7"/>
      <c r="E2948" s="8">
        <v>4.1844916599999999</v>
      </c>
      <c r="F2948" s="8">
        <v>3.1567860699999999</v>
      </c>
      <c r="G2948" s="7" t="str">
        <f t="shared" si="17"/>
        <v>Direct</v>
      </c>
      <c r="H2948" s="7" t="s">
        <v>606</v>
      </c>
    </row>
    <row r="2949" spans="1:8" x14ac:dyDescent="0.2">
      <c r="A2949" s="5" t="s">
        <v>13</v>
      </c>
      <c r="B2949" s="6" t="s">
        <v>19</v>
      </c>
      <c r="C2949" s="7" t="s">
        <v>3338</v>
      </c>
      <c r="D2949" s="7"/>
      <c r="E2949" s="8">
        <v>-2.534151</v>
      </c>
      <c r="F2949" s="8">
        <v>-4.2236504000000004</v>
      </c>
      <c r="G2949" s="7" t="str">
        <f t="shared" si="17"/>
        <v>Direct</v>
      </c>
      <c r="H2949" s="7" t="s">
        <v>3339</v>
      </c>
    </row>
    <row r="2950" spans="1:8" x14ac:dyDescent="0.2">
      <c r="A2950" s="5" t="s">
        <v>13</v>
      </c>
      <c r="B2950" s="6" t="s">
        <v>19</v>
      </c>
      <c r="C2950" s="7" t="s">
        <v>3340</v>
      </c>
      <c r="D2950" s="7"/>
      <c r="E2950" s="8">
        <v>-4.5153416999999996</v>
      </c>
      <c r="F2950" s="8">
        <v>-3.6887550999999998</v>
      </c>
      <c r="G2950" s="7" t="str">
        <f t="shared" si="17"/>
        <v>Direct</v>
      </c>
      <c r="H2950" s="7" t="s">
        <v>3341</v>
      </c>
    </row>
    <row r="2951" spans="1:8" x14ac:dyDescent="0.2">
      <c r="A2951" s="5" t="s">
        <v>13</v>
      </c>
      <c r="B2951" s="6" t="s">
        <v>19</v>
      </c>
      <c r="C2951" s="7" t="s">
        <v>3342</v>
      </c>
      <c r="D2951" s="7"/>
      <c r="E2951" s="8">
        <v>-1.7784823999999999</v>
      </c>
      <c r="F2951" s="8">
        <v>-1.9184116</v>
      </c>
      <c r="G2951" s="7" t="str">
        <f t="shared" si="17"/>
        <v>Direct</v>
      </c>
      <c r="H2951" s="7" t="s">
        <v>3343</v>
      </c>
    </row>
    <row r="2952" spans="1:8" x14ac:dyDescent="0.2">
      <c r="A2952" s="5" t="s">
        <v>13</v>
      </c>
      <c r="B2952" s="6" t="s">
        <v>19</v>
      </c>
      <c r="C2952" s="7" t="s">
        <v>3344</v>
      </c>
      <c r="D2952" s="7"/>
      <c r="E2952" s="8">
        <v>4.0111760700000003</v>
      </c>
      <c r="F2952" s="8">
        <v>2.6182654799999998</v>
      </c>
      <c r="G2952" s="7" t="str">
        <f t="shared" si="17"/>
        <v>Direct</v>
      </c>
      <c r="H2952" s="7" t="s">
        <v>3345</v>
      </c>
    </row>
    <row r="2953" spans="1:8" x14ac:dyDescent="0.2">
      <c r="A2953" s="5" t="s">
        <v>13</v>
      </c>
      <c r="B2953" s="6" t="s">
        <v>19</v>
      </c>
      <c r="C2953" s="7" t="s">
        <v>3346</v>
      </c>
      <c r="D2953" s="7"/>
      <c r="E2953" s="8">
        <v>1.52778572</v>
      </c>
      <c r="F2953" s="8">
        <v>1.0741143500000001</v>
      </c>
      <c r="G2953" s="7" t="str">
        <f t="shared" si="17"/>
        <v>Direct</v>
      </c>
      <c r="H2953" s="7" t="s">
        <v>16</v>
      </c>
    </row>
    <row r="2954" spans="1:8" x14ac:dyDescent="0.2">
      <c r="A2954" s="5" t="s">
        <v>13</v>
      </c>
      <c r="B2954" s="6" t="s">
        <v>19</v>
      </c>
      <c r="C2954" s="7" t="s">
        <v>3347</v>
      </c>
      <c r="D2954" s="7"/>
      <c r="E2954" s="8">
        <v>-1.2336023</v>
      </c>
      <c r="F2954" s="8">
        <v>-2.0334386000000002</v>
      </c>
      <c r="G2954" s="7" t="str">
        <f t="shared" si="17"/>
        <v>Direct</v>
      </c>
      <c r="H2954" s="7" t="s">
        <v>3348</v>
      </c>
    </row>
    <row r="2955" spans="1:8" x14ac:dyDescent="0.2">
      <c r="A2955" s="5" t="s">
        <v>13</v>
      </c>
      <c r="B2955" s="6" t="s">
        <v>19</v>
      </c>
      <c r="C2955" s="7" t="s">
        <v>3349</v>
      </c>
      <c r="D2955" s="7"/>
      <c r="E2955" s="8">
        <v>-6.1566425000000002</v>
      </c>
      <c r="F2955" s="8">
        <v>-4.9209429</v>
      </c>
      <c r="G2955" s="7" t="str">
        <f t="shared" si="17"/>
        <v>Direct</v>
      </c>
      <c r="H2955" s="7" t="s">
        <v>1367</v>
      </c>
    </row>
    <row r="2956" spans="1:8" x14ac:dyDescent="0.2">
      <c r="A2956" s="5" t="s">
        <v>13</v>
      </c>
      <c r="B2956" s="6" t="s">
        <v>19</v>
      </c>
      <c r="C2956" s="7" t="s">
        <v>3350</v>
      </c>
      <c r="D2956" s="7"/>
      <c r="E2956" s="8">
        <v>2.0418484000000001</v>
      </c>
      <c r="F2956" s="8">
        <v>1.0828566399999999</v>
      </c>
      <c r="G2956" s="7" t="str">
        <f t="shared" si="17"/>
        <v>Direct</v>
      </c>
      <c r="H2956" s="7" t="s">
        <v>16</v>
      </c>
    </row>
    <row r="2957" spans="1:8" x14ac:dyDescent="0.2">
      <c r="A2957" s="5" t="s">
        <v>13</v>
      </c>
      <c r="B2957" s="6" t="s">
        <v>19</v>
      </c>
      <c r="C2957" s="7" t="s">
        <v>3351</v>
      </c>
      <c r="D2957" s="7"/>
      <c r="E2957" s="8">
        <v>-5.7664483000000004</v>
      </c>
      <c r="F2957" s="8">
        <v>-4.5481502999999996</v>
      </c>
      <c r="G2957" s="7" t="str">
        <f t="shared" si="17"/>
        <v>Direct</v>
      </c>
      <c r="H2957" s="7" t="s">
        <v>3352</v>
      </c>
    </row>
    <row r="2958" spans="1:8" x14ac:dyDescent="0.2">
      <c r="A2958" s="5" t="s">
        <v>13</v>
      </c>
      <c r="B2958" s="6" t="s">
        <v>19</v>
      </c>
      <c r="C2958" s="7" t="s">
        <v>3353</v>
      </c>
      <c r="D2958" s="7"/>
      <c r="E2958" s="8">
        <v>-1.9718718</v>
      </c>
      <c r="F2958" s="8">
        <v>-1.666275</v>
      </c>
      <c r="G2958" s="7" t="str">
        <f t="shared" si="17"/>
        <v>Direct</v>
      </c>
      <c r="H2958" s="7" t="s">
        <v>16</v>
      </c>
    </row>
    <row r="2959" spans="1:8" x14ac:dyDescent="0.2">
      <c r="A2959" s="5" t="s">
        <v>13</v>
      </c>
      <c r="B2959" s="6" t="s">
        <v>19</v>
      </c>
      <c r="C2959" s="7" t="s">
        <v>3354</v>
      </c>
      <c r="D2959" s="7"/>
      <c r="E2959" s="8">
        <v>-1.1264681999999999</v>
      </c>
      <c r="F2959" s="8">
        <v>-1.0210094000000001</v>
      </c>
      <c r="G2959" s="7" t="str">
        <f t="shared" si="17"/>
        <v>Direct</v>
      </c>
      <c r="H2959" s="7" t="s">
        <v>3355</v>
      </c>
    </row>
    <row r="2960" spans="1:8" x14ac:dyDescent="0.2">
      <c r="A2960" s="5" t="s">
        <v>13</v>
      </c>
      <c r="B2960" s="6" t="s">
        <v>19</v>
      </c>
      <c r="C2960" s="7" t="s">
        <v>607</v>
      </c>
      <c r="D2960" s="7"/>
      <c r="E2960" s="8">
        <v>-8.9641552999999998</v>
      </c>
      <c r="F2960" s="8">
        <v>-8.1753595000000008</v>
      </c>
      <c r="G2960" s="7" t="str">
        <f t="shared" si="17"/>
        <v>Direct</v>
      </c>
      <c r="H2960" s="7" t="s">
        <v>608</v>
      </c>
    </row>
    <row r="2961" spans="1:8" x14ac:dyDescent="0.2">
      <c r="A2961" s="5" t="s">
        <v>13</v>
      </c>
      <c r="B2961" s="6" t="s">
        <v>19</v>
      </c>
      <c r="C2961" s="7" t="s">
        <v>3356</v>
      </c>
      <c r="D2961" s="7"/>
      <c r="E2961" s="8">
        <v>-1.0418343999999999</v>
      </c>
      <c r="F2961" s="8">
        <v>-1.7466107</v>
      </c>
      <c r="G2961" s="7" t="str">
        <f t="shared" si="17"/>
        <v>Direct</v>
      </c>
      <c r="H2961" s="7" t="s">
        <v>608</v>
      </c>
    </row>
    <row r="2962" spans="1:8" x14ac:dyDescent="0.2">
      <c r="A2962" s="5" t="s">
        <v>13</v>
      </c>
      <c r="B2962" s="6" t="s">
        <v>19</v>
      </c>
      <c r="C2962" s="7" t="s">
        <v>3357</v>
      </c>
      <c r="D2962" s="7"/>
      <c r="E2962" s="8">
        <v>-1.6136024</v>
      </c>
      <c r="F2962" s="8">
        <v>-3.0929649000000001</v>
      </c>
      <c r="G2962" s="7" t="str">
        <f t="shared" si="17"/>
        <v>Direct</v>
      </c>
      <c r="H2962" s="7" t="s">
        <v>3358</v>
      </c>
    </row>
    <row r="2963" spans="1:8" x14ac:dyDescent="0.2">
      <c r="A2963" s="5" t="s">
        <v>13</v>
      </c>
      <c r="B2963" s="6" t="s">
        <v>19</v>
      </c>
      <c r="C2963" s="7" t="s">
        <v>3359</v>
      </c>
      <c r="D2963" s="7"/>
      <c r="E2963" s="8">
        <v>-2.7184414000000001</v>
      </c>
      <c r="F2963" s="8">
        <v>-2.1260222</v>
      </c>
      <c r="G2963" s="7" t="str">
        <f t="shared" si="17"/>
        <v>Direct</v>
      </c>
      <c r="H2963" s="7" t="s">
        <v>3360</v>
      </c>
    </row>
    <row r="2964" spans="1:8" x14ac:dyDescent="0.2">
      <c r="A2964" s="5" t="s">
        <v>13</v>
      </c>
      <c r="B2964" s="6" t="s">
        <v>19</v>
      </c>
      <c r="C2964" s="7" t="s">
        <v>3361</v>
      </c>
      <c r="D2964" s="7"/>
      <c r="E2964" s="8">
        <v>-3.6150821</v>
      </c>
      <c r="F2964" s="8">
        <v>-3.1052384000000002</v>
      </c>
      <c r="G2964" s="7" t="str">
        <f t="shared" si="17"/>
        <v>Direct</v>
      </c>
      <c r="H2964" s="7" t="s">
        <v>3362</v>
      </c>
    </row>
    <row r="2965" spans="1:8" x14ac:dyDescent="0.2">
      <c r="A2965" s="5" t="s">
        <v>13</v>
      </c>
      <c r="B2965" s="6" t="s">
        <v>19</v>
      </c>
      <c r="C2965" s="7" t="s">
        <v>3363</v>
      </c>
      <c r="D2965" s="7"/>
      <c r="E2965" s="8">
        <v>-4.4049309000000001</v>
      </c>
      <c r="F2965" s="8">
        <v>-2.1142834000000001</v>
      </c>
      <c r="G2965" s="7" t="str">
        <f t="shared" si="17"/>
        <v>Direct</v>
      </c>
      <c r="H2965" s="7" t="s">
        <v>3364</v>
      </c>
    </row>
    <row r="2966" spans="1:8" x14ac:dyDescent="0.2">
      <c r="A2966" s="5" t="s">
        <v>13</v>
      </c>
      <c r="B2966" s="6" t="s">
        <v>19</v>
      </c>
      <c r="C2966" s="7" t="s">
        <v>3365</v>
      </c>
      <c r="D2966" s="7"/>
      <c r="E2966" s="8">
        <v>-3.6287216999999998</v>
      </c>
      <c r="F2966" s="8">
        <v>-1.2254749</v>
      </c>
      <c r="G2966" s="7" t="str">
        <f t="shared" si="17"/>
        <v>Direct</v>
      </c>
      <c r="H2966" s="7" t="s">
        <v>172</v>
      </c>
    </row>
    <row r="2967" spans="1:8" x14ac:dyDescent="0.2">
      <c r="A2967" s="5" t="s">
        <v>13</v>
      </c>
      <c r="B2967" s="6" t="s">
        <v>19</v>
      </c>
      <c r="C2967" s="7" t="s">
        <v>3366</v>
      </c>
      <c r="D2967" s="7"/>
      <c r="E2967" s="8">
        <v>-5.2314281999999999</v>
      </c>
      <c r="F2967" s="8">
        <v>-3.3538934999999999</v>
      </c>
      <c r="G2967" s="7" t="str">
        <f t="shared" si="17"/>
        <v>Direct</v>
      </c>
      <c r="H2967" s="7" t="s">
        <v>3367</v>
      </c>
    </row>
    <row r="2968" spans="1:8" x14ac:dyDescent="0.2">
      <c r="A2968" s="5" t="s">
        <v>13</v>
      </c>
      <c r="B2968" s="6" t="s">
        <v>19</v>
      </c>
      <c r="C2968" s="7" t="s">
        <v>3368</v>
      </c>
      <c r="D2968" s="7"/>
      <c r="E2968" s="8">
        <v>3.29400914</v>
      </c>
      <c r="F2968" s="8">
        <v>2.1583583900000001</v>
      </c>
      <c r="G2968" s="7" t="str">
        <f t="shared" si="17"/>
        <v>Direct</v>
      </c>
      <c r="H2968" s="7" t="s">
        <v>1744</v>
      </c>
    </row>
    <row r="2969" spans="1:8" x14ac:dyDescent="0.2">
      <c r="A2969" s="5" t="s">
        <v>13</v>
      </c>
      <c r="B2969" s="6" t="s">
        <v>19</v>
      </c>
      <c r="C2969" s="7" t="s">
        <v>3369</v>
      </c>
      <c r="D2969" s="7"/>
      <c r="E2969" s="8">
        <v>-1.7838299</v>
      </c>
      <c r="F2969" s="8">
        <v>-1.5688633000000001</v>
      </c>
      <c r="G2969" s="7" t="str">
        <f t="shared" si="17"/>
        <v>Direct</v>
      </c>
      <c r="H2969" s="7" t="s">
        <v>3370</v>
      </c>
    </row>
    <row r="2970" spans="1:8" x14ac:dyDescent="0.2">
      <c r="A2970" s="5" t="s">
        <v>13</v>
      </c>
      <c r="B2970" s="6" t="s">
        <v>19</v>
      </c>
      <c r="C2970" s="7" t="s">
        <v>3371</v>
      </c>
      <c r="D2970" s="7"/>
      <c r="E2970" s="8">
        <v>-2.5867265000000002</v>
      </c>
      <c r="F2970" s="8">
        <v>-2.9104575000000001</v>
      </c>
      <c r="G2970" s="7" t="str">
        <f t="shared" si="17"/>
        <v>Direct</v>
      </c>
      <c r="H2970" s="7" t="s">
        <v>16</v>
      </c>
    </row>
    <row r="2971" spans="1:8" x14ac:dyDescent="0.2">
      <c r="A2971" s="5" t="s">
        <v>13</v>
      </c>
      <c r="B2971" s="6" t="s">
        <v>19</v>
      </c>
      <c r="C2971" s="7" t="s">
        <v>3372</v>
      </c>
      <c r="D2971" s="7"/>
      <c r="E2971" s="8">
        <v>2.5700118700000001</v>
      </c>
      <c r="F2971" s="8">
        <v>1.60896218</v>
      </c>
      <c r="G2971" s="7" t="str">
        <f t="shared" si="17"/>
        <v>Direct</v>
      </c>
      <c r="H2971" s="7" t="s">
        <v>16</v>
      </c>
    </row>
    <row r="2972" spans="1:8" x14ac:dyDescent="0.2">
      <c r="A2972" s="5" t="s">
        <v>13</v>
      </c>
      <c r="B2972" s="6" t="s">
        <v>19</v>
      </c>
      <c r="C2972" s="7" t="s">
        <v>3373</v>
      </c>
      <c r="D2972" s="7"/>
      <c r="E2972" s="8">
        <v>-1.5120471</v>
      </c>
      <c r="F2972" s="8">
        <v>-1.1429775</v>
      </c>
      <c r="G2972" s="7" t="str">
        <f t="shared" si="17"/>
        <v>Direct</v>
      </c>
      <c r="H2972" s="7" t="s">
        <v>3374</v>
      </c>
    </row>
    <row r="2973" spans="1:8" x14ac:dyDescent="0.2">
      <c r="A2973" s="5" t="s">
        <v>13</v>
      </c>
      <c r="B2973" s="6" t="s">
        <v>19</v>
      </c>
      <c r="C2973" s="7" t="s">
        <v>609</v>
      </c>
      <c r="D2973" s="7"/>
      <c r="E2973" s="8">
        <v>-1.3166255</v>
      </c>
      <c r="F2973" s="8">
        <v>-1.5635192</v>
      </c>
      <c r="G2973" s="7" t="str">
        <f t="shared" si="17"/>
        <v>Direct</v>
      </c>
      <c r="H2973" s="7" t="s">
        <v>610</v>
      </c>
    </row>
    <row r="2974" spans="1:8" x14ac:dyDescent="0.2">
      <c r="A2974" s="5" t="s">
        <v>13</v>
      </c>
      <c r="B2974" s="6" t="s">
        <v>19</v>
      </c>
      <c r="C2974" s="7" t="s">
        <v>3375</v>
      </c>
      <c r="D2974" s="7"/>
      <c r="E2974" s="8">
        <v>-1.4183615999999999</v>
      </c>
      <c r="F2974" s="8">
        <v>-1.6877584999999999</v>
      </c>
      <c r="G2974" s="7" t="str">
        <f t="shared" si="17"/>
        <v>Direct</v>
      </c>
      <c r="H2974" s="7" t="s">
        <v>3376</v>
      </c>
    </row>
    <row r="2975" spans="1:8" x14ac:dyDescent="0.2">
      <c r="A2975" s="5" t="s">
        <v>13</v>
      </c>
      <c r="B2975" s="6" t="s">
        <v>19</v>
      </c>
      <c r="C2975" s="7" t="s">
        <v>3377</v>
      </c>
      <c r="D2975" s="7"/>
      <c r="E2975" s="8">
        <v>-7.8090003000000001</v>
      </c>
      <c r="F2975" s="8">
        <v>-6.8452561999999997</v>
      </c>
      <c r="G2975" s="7" t="str">
        <f t="shared" si="17"/>
        <v>Direct</v>
      </c>
      <c r="H2975" s="7" t="s">
        <v>16</v>
      </c>
    </row>
    <row r="2976" spans="1:8" x14ac:dyDescent="0.2">
      <c r="A2976" s="5" t="s">
        <v>13</v>
      </c>
      <c r="B2976" s="6" t="s">
        <v>19</v>
      </c>
      <c r="C2976" s="7" t="s">
        <v>3378</v>
      </c>
      <c r="D2976" s="7"/>
      <c r="E2976" s="8">
        <v>-1.6314654</v>
      </c>
      <c r="F2976" s="8">
        <v>-2.2977405000000002</v>
      </c>
      <c r="G2976" s="7" t="str">
        <f t="shared" si="17"/>
        <v>Direct</v>
      </c>
      <c r="H2976" s="7" t="s">
        <v>16</v>
      </c>
    </row>
    <row r="2977" spans="1:8" x14ac:dyDescent="0.2">
      <c r="A2977" s="5" t="s">
        <v>13</v>
      </c>
      <c r="B2977" s="6" t="s">
        <v>19</v>
      </c>
      <c r="C2977" s="7" t="s">
        <v>3379</v>
      </c>
      <c r="D2977" s="7"/>
      <c r="E2977" s="8">
        <v>-1.0594409</v>
      </c>
      <c r="F2977" s="8">
        <v>-1.5185128999999999</v>
      </c>
      <c r="G2977" s="7" t="str">
        <f t="shared" si="17"/>
        <v>Direct</v>
      </c>
      <c r="H2977" s="7" t="s">
        <v>16</v>
      </c>
    </row>
    <row r="2978" spans="1:8" x14ac:dyDescent="0.2">
      <c r="A2978" s="5" t="s">
        <v>13</v>
      </c>
      <c r="B2978" s="6" t="s">
        <v>19</v>
      </c>
      <c r="C2978" s="7" t="s">
        <v>3380</v>
      </c>
      <c r="D2978" s="7"/>
      <c r="E2978" s="8">
        <v>-3.9877514000000001</v>
      </c>
      <c r="F2978" s="8">
        <v>-4.3869321000000001</v>
      </c>
      <c r="G2978" s="7" t="str">
        <f t="shared" si="17"/>
        <v>Direct</v>
      </c>
      <c r="H2978" s="7" t="s">
        <v>16</v>
      </c>
    </row>
    <row r="2979" spans="1:8" x14ac:dyDescent="0.2">
      <c r="A2979" s="5" t="s">
        <v>13</v>
      </c>
      <c r="B2979" s="6" t="s">
        <v>19</v>
      </c>
      <c r="C2979" s="7" t="s">
        <v>3381</v>
      </c>
      <c r="D2979" s="7"/>
      <c r="E2979" s="8">
        <v>-3.3428003999999998</v>
      </c>
      <c r="F2979" s="8">
        <v>-1.6037656</v>
      </c>
      <c r="G2979" s="7" t="str">
        <f t="shared" si="17"/>
        <v>Direct</v>
      </c>
      <c r="H2979" s="7" t="s">
        <v>16</v>
      </c>
    </row>
    <row r="2980" spans="1:8" x14ac:dyDescent="0.2">
      <c r="A2980" s="5" t="s">
        <v>13</v>
      </c>
      <c r="B2980" s="6" t="s">
        <v>19</v>
      </c>
      <c r="C2980" s="7" t="s">
        <v>3382</v>
      </c>
      <c r="D2980" s="7"/>
      <c r="E2980" s="8">
        <v>-1.1515458000000001</v>
      </c>
      <c r="F2980" s="8">
        <v>-1.0732250000000001</v>
      </c>
      <c r="G2980" s="7" t="str">
        <f t="shared" si="17"/>
        <v>Direct</v>
      </c>
      <c r="H2980" s="7" t="s">
        <v>982</v>
      </c>
    </row>
    <row r="2981" spans="1:8" x14ac:dyDescent="0.2">
      <c r="A2981" s="5" t="s">
        <v>13</v>
      </c>
      <c r="B2981" s="6" t="s">
        <v>19</v>
      </c>
      <c r="C2981" s="7" t="s">
        <v>3383</v>
      </c>
      <c r="D2981" s="7"/>
      <c r="E2981" s="8">
        <v>3.9829563499999998</v>
      </c>
      <c r="F2981" s="8">
        <v>2.5706611100000001</v>
      </c>
      <c r="G2981" s="7" t="str">
        <f t="shared" si="17"/>
        <v>Direct</v>
      </c>
      <c r="H2981" s="7" t="s">
        <v>3384</v>
      </c>
    </row>
    <row r="2982" spans="1:8" x14ac:dyDescent="0.2">
      <c r="A2982" s="5" t="s">
        <v>13</v>
      </c>
      <c r="B2982" s="6" t="s">
        <v>19</v>
      </c>
      <c r="C2982" s="7" t="s">
        <v>3385</v>
      </c>
      <c r="D2982" s="7"/>
      <c r="E2982" s="8">
        <v>-1.0559886000000001</v>
      </c>
      <c r="F2982" s="8">
        <v>-1.0773598</v>
      </c>
      <c r="G2982" s="7" t="str">
        <f t="shared" si="17"/>
        <v>Direct</v>
      </c>
      <c r="H2982" s="7" t="s">
        <v>2781</v>
      </c>
    </row>
    <row r="2983" spans="1:8" x14ac:dyDescent="0.2">
      <c r="A2983" s="5" t="s">
        <v>13</v>
      </c>
      <c r="B2983" s="6" t="s">
        <v>19</v>
      </c>
      <c r="C2983" s="7" t="s">
        <v>3386</v>
      </c>
      <c r="D2983" s="7"/>
      <c r="E2983" s="8">
        <v>-2.5313264000000002</v>
      </c>
      <c r="F2983" s="8">
        <v>-1.9357537</v>
      </c>
      <c r="G2983" s="7" t="str">
        <f t="shared" si="17"/>
        <v>Direct</v>
      </c>
      <c r="H2983" s="7" t="s">
        <v>16</v>
      </c>
    </row>
    <row r="2984" spans="1:8" x14ac:dyDescent="0.2">
      <c r="A2984" s="5" t="s">
        <v>13</v>
      </c>
      <c r="B2984" s="6" t="s">
        <v>19</v>
      </c>
      <c r="C2984" s="7" t="s">
        <v>3387</v>
      </c>
      <c r="D2984" s="7"/>
      <c r="E2984" s="8">
        <v>-2.1527835999999998</v>
      </c>
      <c r="F2984" s="8">
        <v>-2.3980944000000002</v>
      </c>
      <c r="G2984" s="7" t="str">
        <f t="shared" si="17"/>
        <v>Direct</v>
      </c>
      <c r="H2984" s="7" t="s">
        <v>3388</v>
      </c>
    </row>
    <row r="2985" spans="1:8" x14ac:dyDescent="0.2">
      <c r="A2985" s="5" t="s">
        <v>13</v>
      </c>
      <c r="B2985" s="6" t="s">
        <v>19</v>
      </c>
      <c r="C2985" s="7" t="s">
        <v>3389</v>
      </c>
      <c r="D2985" s="7"/>
      <c r="E2985" s="8">
        <v>1.62308681</v>
      </c>
      <c r="F2985" s="8">
        <v>3.06154576</v>
      </c>
      <c r="G2985" s="7" t="str">
        <f t="shared" si="17"/>
        <v>Direct</v>
      </c>
      <c r="H2985" s="7" t="s">
        <v>16</v>
      </c>
    </row>
    <row r="2986" spans="1:8" x14ac:dyDescent="0.2">
      <c r="A2986" s="5" t="s">
        <v>13</v>
      </c>
      <c r="B2986" s="6" t="s">
        <v>19</v>
      </c>
      <c r="C2986" s="7" t="s">
        <v>3390</v>
      </c>
      <c r="D2986" s="7"/>
      <c r="E2986" s="8">
        <v>2.11314278</v>
      </c>
      <c r="F2986" s="8">
        <v>1.64983064</v>
      </c>
      <c r="G2986" s="7" t="str">
        <f t="shared" si="17"/>
        <v>Direct</v>
      </c>
      <c r="H2986" s="7" t="s">
        <v>2137</v>
      </c>
    </row>
    <row r="2987" spans="1:8" x14ac:dyDescent="0.2">
      <c r="A2987" s="5" t="s">
        <v>13</v>
      </c>
      <c r="B2987" s="6" t="s">
        <v>19</v>
      </c>
      <c r="C2987" s="7" t="s">
        <v>3391</v>
      </c>
      <c r="D2987" s="7"/>
      <c r="E2987" s="8">
        <v>-1.2544188999999999</v>
      </c>
      <c r="F2987" s="8">
        <v>-1.1192635</v>
      </c>
      <c r="G2987" s="7" t="str">
        <f t="shared" si="17"/>
        <v>Direct</v>
      </c>
      <c r="H2987" s="7" t="s">
        <v>532</v>
      </c>
    </row>
    <row r="2988" spans="1:8" x14ac:dyDescent="0.2">
      <c r="A2988" s="5" t="s">
        <v>13</v>
      </c>
      <c r="B2988" s="6" t="s">
        <v>19</v>
      </c>
      <c r="C2988" s="7" t="s">
        <v>612</v>
      </c>
      <c r="D2988" s="7"/>
      <c r="E2988" s="8">
        <v>-3.3970425</v>
      </c>
      <c r="F2988" s="8">
        <v>-6.5960217999999999</v>
      </c>
      <c r="G2988" s="7" t="str">
        <f t="shared" si="17"/>
        <v>Direct</v>
      </c>
      <c r="H2988" s="7" t="s">
        <v>613</v>
      </c>
    </row>
    <row r="2989" spans="1:8" x14ac:dyDescent="0.2">
      <c r="A2989" s="5" t="s">
        <v>13</v>
      </c>
      <c r="B2989" s="6" t="s">
        <v>19</v>
      </c>
      <c r="C2989" s="7" t="s">
        <v>3392</v>
      </c>
      <c r="D2989" s="7"/>
      <c r="E2989" s="8">
        <v>-3.0104483000000002</v>
      </c>
      <c r="F2989" s="8">
        <v>-2.8013031000000002</v>
      </c>
      <c r="G2989" s="7" t="str">
        <f t="shared" si="17"/>
        <v>Direct</v>
      </c>
      <c r="H2989" s="7" t="s">
        <v>2187</v>
      </c>
    </row>
    <row r="2990" spans="1:8" x14ac:dyDescent="0.2">
      <c r="A2990" s="5" t="s">
        <v>13</v>
      </c>
      <c r="B2990" s="6" t="s">
        <v>19</v>
      </c>
      <c r="C2990" s="7" t="s">
        <v>3393</v>
      </c>
      <c r="D2990" s="7"/>
      <c r="E2990" s="8">
        <v>-2.6522353000000001</v>
      </c>
      <c r="F2990" s="8">
        <v>-2.7272318000000002</v>
      </c>
      <c r="G2990" s="7" t="str">
        <f t="shared" si="17"/>
        <v>Direct</v>
      </c>
      <c r="H2990" s="7" t="s">
        <v>3394</v>
      </c>
    </row>
    <row r="2991" spans="1:8" x14ac:dyDescent="0.2">
      <c r="A2991" s="5" t="s">
        <v>13</v>
      </c>
      <c r="B2991" s="6" t="s">
        <v>19</v>
      </c>
      <c r="C2991" s="7" t="s">
        <v>614</v>
      </c>
      <c r="D2991" s="7"/>
      <c r="E2991" s="8">
        <v>1.6720692100000001</v>
      </c>
      <c r="F2991" s="8">
        <v>2.5322311900000001</v>
      </c>
      <c r="G2991" s="7" t="str">
        <f t="shared" si="17"/>
        <v>Direct</v>
      </c>
      <c r="H2991" s="7" t="s">
        <v>16</v>
      </c>
    </row>
    <row r="2992" spans="1:8" x14ac:dyDescent="0.2">
      <c r="A2992" s="5" t="s">
        <v>13</v>
      </c>
      <c r="B2992" s="6" t="s">
        <v>19</v>
      </c>
      <c r="C2992" s="7" t="s">
        <v>615</v>
      </c>
      <c r="D2992" s="7"/>
      <c r="E2992" s="8">
        <v>1.4206129700000001</v>
      </c>
      <c r="F2992" s="8">
        <v>1.9492563899999999</v>
      </c>
      <c r="G2992" s="7" t="str">
        <f t="shared" si="17"/>
        <v>Direct</v>
      </c>
      <c r="H2992" s="7" t="s">
        <v>16</v>
      </c>
    </row>
    <row r="2993" spans="1:8" x14ac:dyDescent="0.2">
      <c r="A2993" s="5" t="s">
        <v>13</v>
      </c>
      <c r="B2993" s="6" t="s">
        <v>19</v>
      </c>
      <c r="C2993" s="7" t="s">
        <v>3395</v>
      </c>
      <c r="D2993" s="7"/>
      <c r="E2993" s="8">
        <v>3.2265848899999998</v>
      </c>
      <c r="F2993" s="8">
        <v>1.78886367</v>
      </c>
      <c r="G2993" s="7" t="str">
        <f t="shared" si="17"/>
        <v>Direct</v>
      </c>
      <c r="H2993" s="7" t="s">
        <v>16</v>
      </c>
    </row>
    <row r="2994" spans="1:8" x14ac:dyDescent="0.2">
      <c r="A2994" s="5" t="s">
        <v>13</v>
      </c>
      <c r="B2994" s="6" t="s">
        <v>19</v>
      </c>
      <c r="C2994" s="7" t="s">
        <v>3396</v>
      </c>
      <c r="D2994" s="7"/>
      <c r="E2994" s="8">
        <v>-1.1232686999999999</v>
      </c>
      <c r="F2994" s="8">
        <v>-1.2852136000000001</v>
      </c>
      <c r="G2994" s="7" t="str">
        <f t="shared" si="17"/>
        <v>Direct</v>
      </c>
      <c r="H2994" s="7" t="s">
        <v>3013</v>
      </c>
    </row>
    <row r="2995" spans="1:8" x14ac:dyDescent="0.2">
      <c r="A2995" s="5" t="s">
        <v>13</v>
      </c>
      <c r="B2995" s="6" t="s">
        <v>19</v>
      </c>
      <c r="C2995" s="7" t="s">
        <v>3397</v>
      </c>
      <c r="D2995" s="7"/>
      <c r="E2995" s="8">
        <v>1.4628257099999999</v>
      </c>
      <c r="F2995" s="8">
        <v>1.1573844200000001</v>
      </c>
      <c r="G2995" s="7" t="str">
        <f t="shared" si="17"/>
        <v>Direct</v>
      </c>
      <c r="H2995" s="7" t="s">
        <v>16</v>
      </c>
    </row>
    <row r="2996" spans="1:8" x14ac:dyDescent="0.2">
      <c r="A2996" s="5" t="s">
        <v>13</v>
      </c>
      <c r="B2996" s="6" t="s">
        <v>19</v>
      </c>
      <c r="C2996" s="7" t="s">
        <v>3398</v>
      </c>
      <c r="D2996" s="7"/>
      <c r="E2996" s="8">
        <v>-2.6271618000000001</v>
      </c>
      <c r="F2996" s="8">
        <v>-2.1569543000000002</v>
      </c>
      <c r="G2996" s="7" t="str">
        <f t="shared" si="17"/>
        <v>Direct</v>
      </c>
      <c r="H2996" s="7" t="s">
        <v>162</v>
      </c>
    </row>
    <row r="2997" spans="1:8" x14ac:dyDescent="0.2">
      <c r="A2997" s="5" t="s">
        <v>13</v>
      </c>
      <c r="B2997" s="6" t="s">
        <v>19</v>
      </c>
      <c r="C2997" s="7" t="s">
        <v>3399</v>
      </c>
      <c r="D2997" s="7"/>
      <c r="E2997" s="8">
        <v>-8.3580304999999999</v>
      </c>
      <c r="F2997" s="8">
        <v>-4.9176777999999999</v>
      </c>
      <c r="G2997" s="7" t="str">
        <f t="shared" si="17"/>
        <v>Direct</v>
      </c>
      <c r="H2997" s="7" t="s">
        <v>848</v>
      </c>
    </row>
    <row r="2998" spans="1:8" x14ac:dyDescent="0.2">
      <c r="A2998" s="5" t="s">
        <v>13</v>
      </c>
      <c r="B2998" s="6" t="s">
        <v>19</v>
      </c>
      <c r="C2998" s="7" t="s">
        <v>3400</v>
      </c>
      <c r="D2998" s="7"/>
      <c r="E2998" s="8">
        <v>-1.0742247</v>
      </c>
      <c r="F2998" s="8">
        <v>-1.7580617999999999</v>
      </c>
      <c r="G2998" s="7" t="str">
        <f t="shared" si="17"/>
        <v>Direct</v>
      </c>
      <c r="H2998" s="7" t="s">
        <v>3401</v>
      </c>
    </row>
    <row r="2999" spans="1:8" x14ac:dyDescent="0.2">
      <c r="A2999" s="5" t="s">
        <v>13</v>
      </c>
      <c r="B2999" s="6" t="s">
        <v>19</v>
      </c>
      <c r="C2999" s="7" t="s">
        <v>3402</v>
      </c>
      <c r="D2999" s="7"/>
      <c r="E2999" s="8">
        <v>3.1238040499999999</v>
      </c>
      <c r="F2999" s="8">
        <v>1.1886627000000001</v>
      </c>
      <c r="G2999" s="7" t="str">
        <f t="shared" si="17"/>
        <v>Direct</v>
      </c>
      <c r="H2999" s="7" t="s">
        <v>16</v>
      </c>
    </row>
    <row r="3000" spans="1:8" x14ac:dyDescent="0.2">
      <c r="A3000" s="5" t="s">
        <v>13</v>
      </c>
      <c r="B3000" s="6" t="s">
        <v>19</v>
      </c>
      <c r="C3000" s="7" t="s">
        <v>617</v>
      </c>
      <c r="D3000" s="7"/>
      <c r="E3000" s="8">
        <v>-2.0248203999999999</v>
      </c>
      <c r="F3000" s="8">
        <v>-3.3930478000000002</v>
      </c>
      <c r="G3000" s="7" t="str">
        <f t="shared" si="17"/>
        <v>Direct</v>
      </c>
      <c r="H3000" s="7" t="s">
        <v>16</v>
      </c>
    </row>
    <row r="3001" spans="1:8" x14ac:dyDescent="0.2">
      <c r="A3001" s="5" t="s">
        <v>13</v>
      </c>
      <c r="B3001" s="6" t="s">
        <v>19</v>
      </c>
      <c r="C3001" s="7" t="s">
        <v>618</v>
      </c>
      <c r="D3001" s="7"/>
      <c r="E3001" s="8">
        <v>-3.1674627000000002</v>
      </c>
      <c r="F3001" s="8">
        <v>-4.1645184000000004</v>
      </c>
      <c r="G3001" s="7" t="str">
        <f t="shared" si="17"/>
        <v>Direct</v>
      </c>
      <c r="H3001" s="7" t="s">
        <v>16</v>
      </c>
    </row>
    <row r="3002" spans="1:8" x14ac:dyDescent="0.2">
      <c r="A3002" s="5" t="s">
        <v>13</v>
      </c>
      <c r="B3002" s="6" t="s">
        <v>19</v>
      </c>
      <c r="C3002" s="7" t="s">
        <v>3403</v>
      </c>
      <c r="D3002" s="7"/>
      <c r="E3002" s="8">
        <v>-1.4894000999999999</v>
      </c>
      <c r="F3002" s="8">
        <v>-2.3916917</v>
      </c>
      <c r="G3002" s="7" t="str">
        <f t="shared" si="17"/>
        <v>Direct</v>
      </c>
      <c r="H3002" s="7" t="s">
        <v>3404</v>
      </c>
    </row>
    <row r="3003" spans="1:8" x14ac:dyDescent="0.2">
      <c r="A3003" s="5" t="s">
        <v>13</v>
      </c>
      <c r="B3003" s="6" t="s">
        <v>19</v>
      </c>
      <c r="C3003" s="7" t="s">
        <v>3405</v>
      </c>
      <c r="D3003" s="7"/>
      <c r="E3003" s="8">
        <v>-1.7281062</v>
      </c>
      <c r="F3003" s="8">
        <v>-1.2261027</v>
      </c>
      <c r="G3003" s="7" t="str">
        <f t="shared" si="17"/>
        <v>Direct</v>
      </c>
      <c r="H3003" s="7" t="s">
        <v>16</v>
      </c>
    </row>
    <row r="3004" spans="1:8" x14ac:dyDescent="0.2">
      <c r="A3004" s="5" t="s">
        <v>13</v>
      </c>
      <c r="B3004" s="6" t="s">
        <v>19</v>
      </c>
      <c r="C3004" s="7" t="s">
        <v>3406</v>
      </c>
      <c r="D3004" s="7"/>
      <c r="E3004" s="8">
        <v>2.73222231</v>
      </c>
      <c r="F3004" s="8">
        <v>2.8998291100000002</v>
      </c>
      <c r="G3004" s="7" t="str">
        <f t="shared" si="17"/>
        <v>Direct</v>
      </c>
      <c r="H3004" s="7" t="s">
        <v>3407</v>
      </c>
    </row>
    <row r="3005" spans="1:8" x14ac:dyDescent="0.2">
      <c r="A3005" s="5" t="s">
        <v>13</v>
      </c>
      <c r="B3005" s="6" t="s">
        <v>19</v>
      </c>
      <c r="C3005" s="7" t="s">
        <v>3408</v>
      </c>
      <c r="D3005" s="7"/>
      <c r="E3005" s="8">
        <v>-3.3301267000000001</v>
      </c>
      <c r="F3005" s="8">
        <v>-3.9057523000000001</v>
      </c>
      <c r="G3005" s="7" t="str">
        <f t="shared" si="17"/>
        <v>Direct</v>
      </c>
      <c r="H3005" s="7" t="s">
        <v>178</v>
      </c>
    </row>
    <row r="3006" spans="1:8" x14ac:dyDescent="0.2">
      <c r="A3006" s="5" t="s">
        <v>13</v>
      </c>
      <c r="B3006" s="6" t="s">
        <v>19</v>
      </c>
      <c r="C3006" s="7" t="s">
        <v>3409</v>
      </c>
      <c r="D3006" s="7"/>
      <c r="E3006" s="8">
        <v>-4.1787258999999999</v>
      </c>
      <c r="F3006" s="8">
        <v>-3.4024812999999998</v>
      </c>
      <c r="G3006" s="7" t="str">
        <f t="shared" si="17"/>
        <v>Direct</v>
      </c>
      <c r="H3006" s="7" t="s">
        <v>3410</v>
      </c>
    </row>
    <row r="3007" spans="1:8" x14ac:dyDescent="0.2">
      <c r="A3007" s="5" t="s">
        <v>13</v>
      </c>
      <c r="B3007" s="6" t="s">
        <v>19</v>
      </c>
      <c r="C3007" s="7" t="s">
        <v>3411</v>
      </c>
      <c r="D3007" s="7"/>
      <c r="E3007" s="8">
        <v>-1.2877213999999999</v>
      </c>
      <c r="F3007" s="8">
        <v>-1.0507137</v>
      </c>
      <c r="G3007" s="7" t="str">
        <f t="shared" si="17"/>
        <v>Direct</v>
      </c>
      <c r="H3007" s="7" t="s">
        <v>1358</v>
      </c>
    </row>
    <row r="3008" spans="1:8" x14ac:dyDescent="0.2">
      <c r="A3008" s="5" t="s">
        <v>13</v>
      </c>
      <c r="B3008" s="6" t="s">
        <v>19</v>
      </c>
      <c r="C3008" s="7" t="s">
        <v>3412</v>
      </c>
      <c r="D3008" s="7"/>
      <c r="E3008" s="8">
        <v>-13.078468000000001</v>
      </c>
      <c r="F3008" s="8">
        <v>-8.4933157000000001</v>
      </c>
      <c r="G3008" s="7" t="str">
        <f t="shared" si="17"/>
        <v>Direct</v>
      </c>
      <c r="H3008" s="7" t="s">
        <v>16</v>
      </c>
    </row>
    <row r="3009" spans="1:8" x14ac:dyDescent="0.2">
      <c r="A3009" s="5" t="s">
        <v>13</v>
      </c>
      <c r="B3009" s="6" t="s">
        <v>19</v>
      </c>
      <c r="C3009" s="7" t="s">
        <v>3413</v>
      </c>
      <c r="D3009" s="7"/>
      <c r="E3009" s="8">
        <v>1.02480152</v>
      </c>
      <c r="F3009" s="8">
        <v>1.4715810300000001</v>
      </c>
      <c r="G3009" s="7" t="str">
        <f t="shared" si="17"/>
        <v>Direct</v>
      </c>
      <c r="H3009" s="7" t="s">
        <v>16</v>
      </c>
    </row>
    <row r="3010" spans="1:8" x14ac:dyDescent="0.2">
      <c r="A3010" s="5" t="s">
        <v>13</v>
      </c>
      <c r="B3010" s="6" t="s">
        <v>19</v>
      </c>
      <c r="C3010" s="7" t="s">
        <v>3414</v>
      </c>
      <c r="D3010" s="7"/>
      <c r="E3010" s="8">
        <v>2.8920355999999998</v>
      </c>
      <c r="F3010" s="8">
        <v>2.6197863199999998</v>
      </c>
      <c r="G3010" s="7" t="str">
        <f t="shared" si="17"/>
        <v>Direct</v>
      </c>
      <c r="H3010" s="7" t="s">
        <v>16</v>
      </c>
    </row>
    <row r="3011" spans="1:8" x14ac:dyDescent="0.2">
      <c r="A3011" s="5" t="s">
        <v>13</v>
      </c>
      <c r="B3011" s="6" t="s">
        <v>19</v>
      </c>
      <c r="C3011" s="7" t="s">
        <v>3415</v>
      </c>
      <c r="D3011" s="7"/>
      <c r="E3011" s="8">
        <v>-1.6623322</v>
      </c>
      <c r="F3011" s="8">
        <v>-1.1329111000000001</v>
      </c>
      <c r="G3011" s="7" t="str">
        <f t="shared" si="17"/>
        <v>Direct</v>
      </c>
      <c r="H3011" s="7" t="s">
        <v>3416</v>
      </c>
    </row>
    <row r="3012" spans="1:8" x14ac:dyDescent="0.2">
      <c r="A3012" s="5" t="s">
        <v>13</v>
      </c>
      <c r="B3012" s="6" t="s">
        <v>19</v>
      </c>
      <c r="C3012" s="7" t="s">
        <v>3417</v>
      </c>
      <c r="D3012" s="7"/>
      <c r="E3012" s="8">
        <v>-1.5893617</v>
      </c>
      <c r="F3012" s="8">
        <v>-1.1818306000000001</v>
      </c>
      <c r="G3012" s="7" t="str">
        <f t="shared" si="17"/>
        <v>Direct</v>
      </c>
      <c r="H3012" s="7" t="s">
        <v>1105</v>
      </c>
    </row>
    <row r="3013" spans="1:8" x14ac:dyDescent="0.2">
      <c r="A3013" s="5" t="s">
        <v>13</v>
      </c>
      <c r="B3013" s="6" t="s">
        <v>19</v>
      </c>
      <c r="C3013" s="7" t="s">
        <v>3418</v>
      </c>
      <c r="D3013" s="7"/>
      <c r="E3013" s="8">
        <v>7.8573070999999999</v>
      </c>
      <c r="F3013" s="8">
        <v>5.6284804299999998</v>
      </c>
      <c r="G3013" s="7" t="str">
        <f t="shared" ref="G3013:G3267" si="18">IF(OR(AND(E3013&gt;0,F3013&gt;0),AND(E3013&lt;0,F3013&lt;0)),"Direct","Inverse")</f>
        <v>Direct</v>
      </c>
      <c r="H3013" s="7" t="s">
        <v>3419</v>
      </c>
    </row>
    <row r="3014" spans="1:8" x14ac:dyDescent="0.2">
      <c r="A3014" s="5" t="s">
        <v>13</v>
      </c>
      <c r="B3014" s="6" t="s">
        <v>19</v>
      </c>
      <c r="C3014" s="7" t="s">
        <v>3420</v>
      </c>
      <c r="D3014" s="7"/>
      <c r="E3014" s="8">
        <v>1.87869522</v>
      </c>
      <c r="F3014" s="8">
        <v>3.5164876600000001</v>
      </c>
      <c r="G3014" s="7" t="str">
        <f t="shared" si="18"/>
        <v>Direct</v>
      </c>
      <c r="H3014" s="7" t="s">
        <v>16</v>
      </c>
    </row>
    <row r="3015" spans="1:8" x14ac:dyDescent="0.2">
      <c r="A3015" s="5" t="s">
        <v>13</v>
      </c>
      <c r="B3015" s="6" t="s">
        <v>19</v>
      </c>
      <c r="C3015" s="7" t="s">
        <v>619</v>
      </c>
      <c r="D3015" s="7"/>
      <c r="E3015" s="8">
        <v>-1.0458589</v>
      </c>
      <c r="F3015" s="8">
        <v>-5.1366455999999996</v>
      </c>
      <c r="G3015" s="7" t="str">
        <f t="shared" si="18"/>
        <v>Direct</v>
      </c>
      <c r="H3015" s="7" t="s">
        <v>16</v>
      </c>
    </row>
    <row r="3016" spans="1:8" x14ac:dyDescent="0.2">
      <c r="A3016" s="5" t="s">
        <v>13</v>
      </c>
      <c r="B3016" s="6" t="s">
        <v>19</v>
      </c>
      <c r="C3016" s="7" t="s">
        <v>3421</v>
      </c>
      <c r="D3016" s="7"/>
      <c r="E3016" s="8">
        <v>-1.2953817000000001</v>
      </c>
      <c r="F3016" s="8">
        <v>-1.0148895</v>
      </c>
      <c r="G3016" s="7" t="str">
        <f t="shared" si="18"/>
        <v>Direct</v>
      </c>
      <c r="H3016" s="7" t="s">
        <v>3422</v>
      </c>
    </row>
    <row r="3017" spans="1:8" x14ac:dyDescent="0.2">
      <c r="A3017" s="5" t="s">
        <v>13</v>
      </c>
      <c r="B3017" s="6" t="s">
        <v>19</v>
      </c>
      <c r="C3017" s="7" t="s">
        <v>3423</v>
      </c>
      <c r="D3017" s="7"/>
      <c r="E3017" s="8">
        <v>-2.0057442000000001</v>
      </c>
      <c r="F3017" s="8">
        <v>-2.7254410999999998</v>
      </c>
      <c r="G3017" s="7" t="str">
        <f t="shared" si="18"/>
        <v>Direct</v>
      </c>
      <c r="H3017" s="7" t="s">
        <v>3424</v>
      </c>
    </row>
    <row r="3018" spans="1:8" x14ac:dyDescent="0.2">
      <c r="A3018" s="5" t="s">
        <v>13</v>
      </c>
      <c r="B3018" s="6" t="s">
        <v>19</v>
      </c>
      <c r="C3018" s="7" t="s">
        <v>3425</v>
      </c>
      <c r="D3018" s="7"/>
      <c r="E3018" s="8">
        <v>2.5756936600000002</v>
      </c>
      <c r="F3018" s="8">
        <v>2.6161825099999998</v>
      </c>
      <c r="G3018" s="7" t="str">
        <f t="shared" si="18"/>
        <v>Direct</v>
      </c>
      <c r="H3018" s="7" t="s">
        <v>16</v>
      </c>
    </row>
    <row r="3019" spans="1:8" x14ac:dyDescent="0.2">
      <c r="A3019" s="5" t="s">
        <v>13</v>
      </c>
      <c r="B3019" s="6" t="s">
        <v>19</v>
      </c>
      <c r="C3019" s="7" t="s">
        <v>3426</v>
      </c>
      <c r="D3019" s="7"/>
      <c r="E3019" s="8">
        <v>2.0320424199999998</v>
      </c>
      <c r="F3019" s="8">
        <v>2.0860020800000001</v>
      </c>
      <c r="G3019" s="7" t="str">
        <f t="shared" si="18"/>
        <v>Direct</v>
      </c>
      <c r="H3019" s="7" t="s">
        <v>3427</v>
      </c>
    </row>
    <row r="3020" spans="1:8" x14ac:dyDescent="0.2">
      <c r="A3020" s="5" t="s">
        <v>13</v>
      </c>
      <c r="B3020" s="6" t="s">
        <v>19</v>
      </c>
      <c r="C3020" s="7" t="s">
        <v>3428</v>
      </c>
      <c r="D3020" s="7"/>
      <c r="E3020" s="8">
        <v>-11.746703999999999</v>
      </c>
      <c r="F3020" s="8">
        <v>-11.439885</v>
      </c>
      <c r="G3020" s="7" t="str">
        <f t="shared" si="18"/>
        <v>Direct</v>
      </c>
      <c r="H3020" s="7" t="s">
        <v>3429</v>
      </c>
    </row>
    <row r="3021" spans="1:8" x14ac:dyDescent="0.2">
      <c r="A3021" s="5" t="s">
        <v>13</v>
      </c>
      <c r="B3021" s="6" t="s">
        <v>19</v>
      </c>
      <c r="C3021" s="7" t="s">
        <v>620</v>
      </c>
      <c r="D3021" s="7"/>
      <c r="E3021" s="8">
        <v>-4.8529466000000001</v>
      </c>
      <c r="F3021" s="8">
        <v>-2.6109064000000002</v>
      </c>
      <c r="G3021" s="7" t="str">
        <f t="shared" si="18"/>
        <v>Direct</v>
      </c>
      <c r="H3021" s="7" t="s">
        <v>621</v>
      </c>
    </row>
    <row r="3022" spans="1:8" x14ac:dyDescent="0.2">
      <c r="A3022" s="5" t="s">
        <v>13</v>
      </c>
      <c r="B3022" s="6" t="s">
        <v>19</v>
      </c>
      <c r="C3022" s="7" t="s">
        <v>3430</v>
      </c>
      <c r="D3022" s="7"/>
      <c r="E3022" s="8">
        <v>-8.2981365</v>
      </c>
      <c r="F3022" s="8">
        <v>-7.7717226999999998</v>
      </c>
      <c r="G3022" s="7" t="str">
        <f t="shared" si="18"/>
        <v>Direct</v>
      </c>
      <c r="H3022" s="7" t="s">
        <v>3431</v>
      </c>
    </row>
    <row r="3023" spans="1:8" x14ac:dyDescent="0.2">
      <c r="A3023" s="5" t="s">
        <v>13</v>
      </c>
      <c r="B3023" s="6" t="s">
        <v>19</v>
      </c>
      <c r="C3023" s="7" t="s">
        <v>622</v>
      </c>
      <c r="D3023" s="7"/>
      <c r="E3023" s="8">
        <v>-1.4417692</v>
      </c>
      <c r="F3023" s="8">
        <v>-1.1093362</v>
      </c>
      <c r="G3023" s="7" t="str">
        <f t="shared" si="18"/>
        <v>Direct</v>
      </c>
      <c r="H3023" s="7" t="s">
        <v>623</v>
      </c>
    </row>
    <row r="3024" spans="1:8" x14ac:dyDescent="0.2">
      <c r="A3024" s="5" t="s">
        <v>13</v>
      </c>
      <c r="B3024" s="6" t="s">
        <v>19</v>
      </c>
      <c r="C3024" s="7" t="s">
        <v>3432</v>
      </c>
      <c r="D3024" s="7"/>
      <c r="E3024" s="8">
        <v>1.5955295</v>
      </c>
      <c r="F3024" s="8">
        <v>1.55147163</v>
      </c>
      <c r="G3024" s="7" t="str">
        <f t="shared" si="18"/>
        <v>Direct</v>
      </c>
      <c r="H3024" s="7" t="s">
        <v>16</v>
      </c>
    </row>
    <row r="3025" spans="1:8" x14ac:dyDescent="0.2">
      <c r="A3025" s="5" t="s">
        <v>13</v>
      </c>
      <c r="B3025" s="6" t="s">
        <v>19</v>
      </c>
      <c r="C3025" s="7" t="s">
        <v>624</v>
      </c>
      <c r="D3025" s="7"/>
      <c r="E3025" s="8">
        <v>1.63076789</v>
      </c>
      <c r="F3025" s="8">
        <v>1.00850102</v>
      </c>
      <c r="G3025" s="7" t="str">
        <f t="shared" si="18"/>
        <v>Direct</v>
      </c>
      <c r="H3025" s="7" t="s">
        <v>625</v>
      </c>
    </row>
    <row r="3026" spans="1:8" x14ac:dyDescent="0.2">
      <c r="A3026" s="5" t="s">
        <v>13</v>
      </c>
      <c r="B3026" s="6" t="s">
        <v>19</v>
      </c>
      <c r="C3026" s="7" t="s">
        <v>3433</v>
      </c>
      <c r="D3026" s="7"/>
      <c r="E3026" s="8">
        <v>-1.8786951999999999</v>
      </c>
      <c r="F3026" s="8">
        <v>-2.0121085000000001</v>
      </c>
      <c r="G3026" s="7" t="str">
        <f t="shared" si="18"/>
        <v>Direct</v>
      </c>
      <c r="H3026" s="7" t="s">
        <v>16</v>
      </c>
    </row>
    <row r="3027" spans="1:8" x14ac:dyDescent="0.2">
      <c r="A3027" s="5" t="s">
        <v>13</v>
      </c>
      <c r="B3027" s="6" t="s">
        <v>19</v>
      </c>
      <c r="C3027" s="7" t="s">
        <v>3434</v>
      </c>
      <c r="D3027" s="7"/>
      <c r="E3027" s="8">
        <v>1.27110678</v>
      </c>
      <c r="F3027" s="8">
        <v>1.0854013199999999</v>
      </c>
      <c r="G3027" s="7" t="str">
        <f t="shared" si="18"/>
        <v>Direct</v>
      </c>
      <c r="H3027" s="7" t="s">
        <v>16</v>
      </c>
    </row>
    <row r="3028" spans="1:8" x14ac:dyDescent="0.2">
      <c r="A3028" s="5" t="s">
        <v>13</v>
      </c>
      <c r="B3028" s="6" t="s">
        <v>19</v>
      </c>
      <c r="C3028" s="7" t="s">
        <v>3435</v>
      </c>
      <c r="D3028" s="7"/>
      <c r="E3028" s="8">
        <v>1.35430261</v>
      </c>
      <c r="F3028" s="8">
        <v>2.1171918500000002</v>
      </c>
      <c r="G3028" s="7" t="str">
        <f t="shared" si="18"/>
        <v>Direct</v>
      </c>
      <c r="H3028" s="7" t="s">
        <v>3436</v>
      </c>
    </row>
    <row r="3029" spans="1:8" x14ac:dyDescent="0.2">
      <c r="A3029" s="5" t="s">
        <v>13</v>
      </c>
      <c r="B3029" s="6" t="s">
        <v>19</v>
      </c>
      <c r="C3029" s="7" t="s">
        <v>626</v>
      </c>
      <c r="D3029" s="7"/>
      <c r="E3029" s="8">
        <v>1.63901462</v>
      </c>
      <c r="F3029" s="8">
        <v>1.54631253</v>
      </c>
      <c r="G3029" s="7" t="str">
        <f t="shared" si="18"/>
        <v>Direct</v>
      </c>
      <c r="H3029" s="7" t="s">
        <v>627</v>
      </c>
    </row>
    <row r="3030" spans="1:8" x14ac:dyDescent="0.2">
      <c r="A3030" s="5" t="s">
        <v>13</v>
      </c>
      <c r="B3030" s="6" t="s">
        <v>19</v>
      </c>
      <c r="C3030" s="7" t="s">
        <v>3437</v>
      </c>
      <c r="D3030" s="7"/>
      <c r="E3030" s="8">
        <v>-1.4023106000000001</v>
      </c>
      <c r="F3030" s="8">
        <v>-1.2769807</v>
      </c>
      <c r="G3030" s="7" t="str">
        <f t="shared" si="18"/>
        <v>Direct</v>
      </c>
      <c r="H3030" s="7" t="s">
        <v>3438</v>
      </c>
    </row>
    <row r="3031" spans="1:8" x14ac:dyDescent="0.2">
      <c r="A3031" s="5" t="s">
        <v>13</v>
      </c>
      <c r="B3031" s="6" t="s">
        <v>19</v>
      </c>
      <c r="C3031" s="7" t="s">
        <v>3439</v>
      </c>
      <c r="D3031" s="7"/>
      <c r="E3031" s="8">
        <v>1.67451153</v>
      </c>
      <c r="F3031" s="8">
        <v>2.1677114</v>
      </c>
      <c r="G3031" s="7" t="str">
        <f t="shared" si="18"/>
        <v>Direct</v>
      </c>
      <c r="H3031" s="7" t="s">
        <v>16</v>
      </c>
    </row>
    <row r="3032" spans="1:8" x14ac:dyDescent="0.2">
      <c r="A3032" s="5" t="s">
        <v>13</v>
      </c>
      <c r="B3032" s="6" t="s">
        <v>19</v>
      </c>
      <c r="C3032" s="7" t="s">
        <v>3440</v>
      </c>
      <c r="D3032" s="7"/>
      <c r="E3032" s="8">
        <v>3.0396772900000002</v>
      </c>
      <c r="F3032" s="8">
        <v>4.3151933500000004</v>
      </c>
      <c r="G3032" s="7" t="str">
        <f t="shared" si="18"/>
        <v>Direct</v>
      </c>
      <c r="H3032" s="7" t="s">
        <v>3441</v>
      </c>
    </row>
    <row r="3033" spans="1:8" x14ac:dyDescent="0.2">
      <c r="A3033" s="5" t="s">
        <v>13</v>
      </c>
      <c r="B3033" s="6" t="s">
        <v>19</v>
      </c>
      <c r="C3033" s="7" t="s">
        <v>3442</v>
      </c>
      <c r="D3033" s="7"/>
      <c r="E3033" s="8">
        <v>-1.9553255</v>
      </c>
      <c r="F3033" s="8">
        <v>-2.0492485</v>
      </c>
      <c r="G3033" s="7" t="str">
        <f t="shared" si="18"/>
        <v>Direct</v>
      </c>
      <c r="H3033" s="7" t="s">
        <v>3443</v>
      </c>
    </row>
    <row r="3034" spans="1:8" x14ac:dyDescent="0.2">
      <c r="A3034" s="5" t="s">
        <v>13</v>
      </c>
      <c r="B3034" s="6" t="s">
        <v>19</v>
      </c>
      <c r="C3034" s="7" t="s">
        <v>3444</v>
      </c>
      <c r="D3034" s="7"/>
      <c r="E3034" s="8">
        <v>1.0663026200000001</v>
      </c>
      <c r="F3034" s="8">
        <v>1.1761534600000001</v>
      </c>
      <c r="G3034" s="7" t="str">
        <f t="shared" si="18"/>
        <v>Direct</v>
      </c>
      <c r="H3034" s="7" t="s">
        <v>3445</v>
      </c>
    </row>
    <row r="3035" spans="1:8" x14ac:dyDescent="0.2">
      <c r="A3035" s="5" t="s">
        <v>13</v>
      </c>
      <c r="B3035" s="6" t="s">
        <v>19</v>
      </c>
      <c r="C3035" s="7" t="s">
        <v>3446</v>
      </c>
      <c r="D3035" s="7"/>
      <c r="E3035" s="8">
        <v>-2.0503342999999998</v>
      </c>
      <c r="F3035" s="8">
        <v>-1.0737585000000001</v>
      </c>
      <c r="G3035" s="7" t="str">
        <f t="shared" si="18"/>
        <v>Direct</v>
      </c>
      <c r="H3035" s="7" t="s">
        <v>3447</v>
      </c>
    </row>
    <row r="3036" spans="1:8" x14ac:dyDescent="0.2">
      <c r="A3036" s="5" t="s">
        <v>13</v>
      </c>
      <c r="B3036" s="6" t="s">
        <v>19</v>
      </c>
      <c r="C3036" s="7" t="s">
        <v>628</v>
      </c>
      <c r="D3036" s="7"/>
      <c r="E3036" s="8">
        <v>-1.4899340000000001</v>
      </c>
      <c r="F3036" s="8">
        <v>-1.9274849999999999</v>
      </c>
      <c r="G3036" s="7" t="str">
        <f t="shared" si="18"/>
        <v>Direct</v>
      </c>
      <c r="H3036" s="7" t="s">
        <v>629</v>
      </c>
    </row>
    <row r="3037" spans="1:8" x14ac:dyDescent="0.2">
      <c r="A3037" s="5" t="s">
        <v>13</v>
      </c>
      <c r="B3037" s="6" t="s">
        <v>19</v>
      </c>
      <c r="C3037" s="7" t="s">
        <v>3448</v>
      </c>
      <c r="D3037" s="7"/>
      <c r="E3037" s="8">
        <v>-6.5296273999999999</v>
      </c>
      <c r="F3037" s="8">
        <v>-2.8347465000000001</v>
      </c>
      <c r="G3037" s="7" t="str">
        <f t="shared" si="18"/>
        <v>Direct</v>
      </c>
      <c r="H3037" s="7" t="s">
        <v>16</v>
      </c>
    </row>
    <row r="3038" spans="1:8" x14ac:dyDescent="0.2">
      <c r="A3038" s="5" t="s">
        <v>13</v>
      </c>
      <c r="B3038" s="6" t="s">
        <v>19</v>
      </c>
      <c r="C3038" s="7" t="s">
        <v>3449</v>
      </c>
      <c r="D3038" s="7"/>
      <c r="E3038" s="8">
        <v>2.3847629000000001</v>
      </c>
      <c r="F3038" s="8">
        <v>2.1997751399999999</v>
      </c>
      <c r="G3038" s="7" t="str">
        <f t="shared" si="18"/>
        <v>Direct</v>
      </c>
      <c r="H3038" s="7" t="s">
        <v>16</v>
      </c>
    </row>
    <row r="3039" spans="1:8" x14ac:dyDescent="0.2">
      <c r="A3039" s="5" t="s">
        <v>13</v>
      </c>
      <c r="B3039" s="6" t="s">
        <v>19</v>
      </c>
      <c r="C3039" s="7" t="s">
        <v>3450</v>
      </c>
      <c r="D3039" s="7"/>
      <c r="E3039" s="8">
        <v>-3.2501791</v>
      </c>
      <c r="F3039" s="8">
        <v>-4.0614926000000002</v>
      </c>
      <c r="G3039" s="7" t="str">
        <f t="shared" si="18"/>
        <v>Direct</v>
      </c>
      <c r="H3039" s="7" t="s">
        <v>16</v>
      </c>
    </row>
    <row r="3040" spans="1:8" x14ac:dyDescent="0.2">
      <c r="A3040" s="5" t="s">
        <v>13</v>
      </c>
      <c r="B3040" s="6" t="s">
        <v>19</v>
      </c>
      <c r="C3040" s="7" t="s">
        <v>3451</v>
      </c>
      <c r="D3040" s="7"/>
      <c r="E3040" s="8">
        <v>1.44755418</v>
      </c>
      <c r="F3040" s="8">
        <v>1.3423206000000001</v>
      </c>
      <c r="G3040" s="7" t="str">
        <f t="shared" si="18"/>
        <v>Direct</v>
      </c>
      <c r="H3040" s="7" t="s">
        <v>16</v>
      </c>
    </row>
    <row r="3041" spans="1:8" x14ac:dyDescent="0.2">
      <c r="A3041" s="5" t="s">
        <v>13</v>
      </c>
      <c r="B3041" s="6" t="s">
        <v>19</v>
      </c>
      <c r="C3041" s="7" t="s">
        <v>3452</v>
      </c>
      <c r="D3041" s="7"/>
      <c r="E3041" s="8">
        <v>3.46441709</v>
      </c>
      <c r="F3041" s="8">
        <v>2.7380534299999999</v>
      </c>
      <c r="G3041" s="7" t="str">
        <f t="shared" si="18"/>
        <v>Direct</v>
      </c>
      <c r="H3041" s="7" t="s">
        <v>16</v>
      </c>
    </row>
    <row r="3042" spans="1:8" x14ac:dyDescent="0.2">
      <c r="A3042" s="5" t="s">
        <v>13</v>
      </c>
      <c r="B3042" s="6" t="s">
        <v>19</v>
      </c>
      <c r="C3042" s="7" t="s">
        <v>3453</v>
      </c>
      <c r="D3042" s="7"/>
      <c r="E3042" s="8">
        <v>-8.2676832000000005</v>
      </c>
      <c r="F3042" s="8">
        <v>-7.1991563000000003</v>
      </c>
      <c r="G3042" s="7" t="str">
        <f t="shared" si="18"/>
        <v>Direct</v>
      </c>
      <c r="H3042" s="7" t="s">
        <v>16</v>
      </c>
    </row>
    <row r="3043" spans="1:8" x14ac:dyDescent="0.2">
      <c r="A3043" s="5" t="s">
        <v>13</v>
      </c>
      <c r="B3043" s="6" t="s">
        <v>19</v>
      </c>
      <c r="C3043" s="7" t="s">
        <v>632</v>
      </c>
      <c r="D3043" s="7"/>
      <c r="E3043" s="8">
        <v>-2.6374094000000001</v>
      </c>
      <c r="F3043" s="8">
        <v>-3.4377393000000001</v>
      </c>
      <c r="G3043" s="7" t="str">
        <f t="shared" si="18"/>
        <v>Direct</v>
      </c>
      <c r="H3043" s="7" t="s">
        <v>633</v>
      </c>
    </row>
    <row r="3044" spans="1:8" x14ac:dyDescent="0.2">
      <c r="A3044" s="5" t="s">
        <v>13</v>
      </c>
      <c r="B3044" s="6" t="s">
        <v>19</v>
      </c>
      <c r="C3044" s="7" t="s">
        <v>3454</v>
      </c>
      <c r="D3044" s="7"/>
      <c r="E3044" s="8">
        <v>10.0840672</v>
      </c>
      <c r="F3044" s="8">
        <v>13.0604523</v>
      </c>
      <c r="G3044" s="7" t="str">
        <f t="shared" si="18"/>
        <v>Direct</v>
      </c>
      <c r="H3044" s="7" t="s">
        <v>3455</v>
      </c>
    </row>
    <row r="3045" spans="1:8" x14ac:dyDescent="0.2">
      <c r="A3045" s="5" t="s">
        <v>13</v>
      </c>
      <c r="B3045" s="6" t="s">
        <v>19</v>
      </c>
      <c r="C3045" s="7" t="s">
        <v>3456</v>
      </c>
      <c r="D3045" s="7"/>
      <c r="E3045" s="8">
        <v>-3.7240099999999998</v>
      </c>
      <c r="F3045" s="8">
        <v>-3.5691198000000002</v>
      </c>
      <c r="G3045" s="7" t="str">
        <f t="shared" si="18"/>
        <v>Direct</v>
      </c>
      <c r="H3045" s="7" t="s">
        <v>3457</v>
      </c>
    </row>
    <row r="3046" spans="1:8" x14ac:dyDescent="0.2">
      <c r="A3046" s="5" t="s">
        <v>13</v>
      </c>
      <c r="B3046" s="6" t="s">
        <v>19</v>
      </c>
      <c r="C3046" s="7" t="s">
        <v>3458</v>
      </c>
      <c r="D3046" s="7"/>
      <c r="E3046" s="8">
        <v>-3.0037083999999998</v>
      </c>
      <c r="F3046" s="8">
        <v>-1.9552258</v>
      </c>
      <c r="G3046" s="7" t="str">
        <f t="shared" si="18"/>
        <v>Direct</v>
      </c>
      <c r="H3046" s="7" t="s">
        <v>3459</v>
      </c>
    </row>
    <row r="3047" spans="1:8" x14ac:dyDescent="0.2">
      <c r="A3047" s="5" t="s">
        <v>13</v>
      </c>
      <c r="B3047" s="6" t="s">
        <v>19</v>
      </c>
      <c r="C3047" s="7" t="s">
        <v>3460</v>
      </c>
      <c r="D3047" s="7"/>
      <c r="E3047" s="8">
        <v>-5.5077940999999999</v>
      </c>
      <c r="F3047" s="8">
        <v>-4.4935308000000003</v>
      </c>
      <c r="G3047" s="7" t="str">
        <f t="shared" si="18"/>
        <v>Direct</v>
      </c>
      <c r="H3047" s="7" t="s">
        <v>1154</v>
      </c>
    </row>
    <row r="3048" spans="1:8" x14ac:dyDescent="0.2">
      <c r="A3048" s="5" t="s">
        <v>13</v>
      </c>
      <c r="B3048" s="6" t="s">
        <v>19</v>
      </c>
      <c r="C3048" s="7" t="s">
        <v>634</v>
      </c>
      <c r="D3048" s="7"/>
      <c r="E3048" s="8">
        <v>-4.3264217</v>
      </c>
      <c r="F3048" s="8">
        <v>-2.7509752999999999</v>
      </c>
      <c r="G3048" s="7" t="str">
        <f t="shared" si="18"/>
        <v>Direct</v>
      </c>
      <c r="H3048" s="7" t="s">
        <v>16</v>
      </c>
    </row>
    <row r="3049" spans="1:8" x14ac:dyDescent="0.2">
      <c r="A3049" s="5" t="s">
        <v>13</v>
      </c>
      <c r="B3049" s="6" t="s">
        <v>19</v>
      </c>
      <c r="C3049" s="7" t="s">
        <v>3461</v>
      </c>
      <c r="D3049" s="7"/>
      <c r="E3049" s="8">
        <v>-12.407971999999999</v>
      </c>
      <c r="F3049" s="8">
        <v>-7.3416259000000004</v>
      </c>
      <c r="G3049" s="7" t="str">
        <f t="shared" si="18"/>
        <v>Direct</v>
      </c>
      <c r="H3049" s="7" t="s">
        <v>29</v>
      </c>
    </row>
    <row r="3050" spans="1:8" x14ac:dyDescent="0.2">
      <c r="A3050" s="5" t="s">
        <v>13</v>
      </c>
      <c r="B3050" s="6" t="s">
        <v>19</v>
      </c>
      <c r="C3050" s="7" t="s">
        <v>3462</v>
      </c>
      <c r="D3050" s="7"/>
      <c r="E3050" s="8">
        <v>1.18439881</v>
      </c>
      <c r="F3050" s="8">
        <v>1.8261586000000001</v>
      </c>
      <c r="G3050" s="7" t="str">
        <f t="shared" si="18"/>
        <v>Direct</v>
      </c>
      <c r="H3050" s="7" t="s">
        <v>3305</v>
      </c>
    </row>
    <row r="3051" spans="1:8" x14ac:dyDescent="0.2">
      <c r="A3051" s="5" t="s">
        <v>13</v>
      </c>
      <c r="B3051" s="6" t="s">
        <v>19</v>
      </c>
      <c r="C3051" s="7" t="s">
        <v>3463</v>
      </c>
      <c r="D3051" s="7"/>
      <c r="E3051" s="8">
        <v>-3.0015790999999998</v>
      </c>
      <c r="F3051" s="8">
        <v>-2.1387011999999999</v>
      </c>
      <c r="G3051" s="7" t="str">
        <f t="shared" si="18"/>
        <v>Direct</v>
      </c>
      <c r="H3051" s="7" t="s">
        <v>16</v>
      </c>
    </row>
    <row r="3052" spans="1:8" x14ac:dyDescent="0.2">
      <c r="A3052" s="5" t="s">
        <v>13</v>
      </c>
      <c r="B3052" s="6" t="s">
        <v>19</v>
      </c>
      <c r="C3052" s="7" t="s">
        <v>3464</v>
      </c>
      <c r="D3052" s="7"/>
      <c r="E3052" s="8">
        <v>-3.6193578</v>
      </c>
      <c r="F3052" s="8">
        <v>-2.6197678999999998</v>
      </c>
      <c r="G3052" s="7" t="str">
        <f t="shared" si="18"/>
        <v>Direct</v>
      </c>
      <c r="H3052" s="7" t="s">
        <v>16</v>
      </c>
    </row>
    <row r="3053" spans="1:8" x14ac:dyDescent="0.2">
      <c r="A3053" s="5" t="s">
        <v>13</v>
      </c>
      <c r="B3053" s="6" t="s">
        <v>19</v>
      </c>
      <c r="C3053" s="7" t="s">
        <v>3465</v>
      </c>
      <c r="D3053" s="7"/>
      <c r="E3053" s="8">
        <v>-2.5834423000000002</v>
      </c>
      <c r="F3053" s="8">
        <v>-1.7484980000000001</v>
      </c>
      <c r="G3053" s="7" t="str">
        <f t="shared" si="18"/>
        <v>Direct</v>
      </c>
      <c r="H3053" s="7" t="s">
        <v>16</v>
      </c>
    </row>
    <row r="3054" spans="1:8" x14ac:dyDescent="0.2">
      <c r="A3054" s="5" t="s">
        <v>13</v>
      </c>
      <c r="B3054" s="6" t="s">
        <v>19</v>
      </c>
      <c r="C3054" s="7" t="s">
        <v>635</v>
      </c>
      <c r="D3054" s="7"/>
      <c r="E3054" s="8">
        <v>-4.4191381999999999</v>
      </c>
      <c r="F3054" s="8">
        <v>-3.7458437</v>
      </c>
      <c r="G3054" s="7" t="str">
        <f t="shared" si="18"/>
        <v>Direct</v>
      </c>
      <c r="H3054" s="7" t="s">
        <v>125</v>
      </c>
    </row>
    <row r="3055" spans="1:8" x14ac:dyDescent="0.2">
      <c r="A3055" s="5" t="s">
        <v>13</v>
      </c>
      <c r="B3055" s="6" t="s">
        <v>19</v>
      </c>
      <c r="C3055" s="7" t="s">
        <v>3466</v>
      </c>
      <c r="D3055" s="7"/>
      <c r="E3055" s="8">
        <v>-6.8524145000000001</v>
      </c>
      <c r="F3055" s="8">
        <v>-4.8089190999999998</v>
      </c>
      <c r="G3055" s="7" t="str">
        <f t="shared" si="18"/>
        <v>Direct</v>
      </c>
      <c r="H3055" s="7" t="s">
        <v>3467</v>
      </c>
    </row>
    <row r="3056" spans="1:8" x14ac:dyDescent="0.2">
      <c r="A3056" s="5" t="s">
        <v>13</v>
      </c>
      <c r="B3056" s="6" t="s">
        <v>19</v>
      </c>
      <c r="C3056" s="7" t="s">
        <v>3468</v>
      </c>
      <c r="D3056" s="7"/>
      <c r="E3056" s="8">
        <v>-1.4522013</v>
      </c>
      <c r="F3056" s="8">
        <v>-1.2471753999999999</v>
      </c>
      <c r="G3056" s="7" t="str">
        <f t="shared" si="18"/>
        <v>Direct</v>
      </c>
      <c r="H3056" s="7" t="s">
        <v>3469</v>
      </c>
    </row>
    <row r="3057" spans="1:8" x14ac:dyDescent="0.2">
      <c r="A3057" s="5" t="s">
        <v>13</v>
      </c>
      <c r="B3057" s="6" t="s">
        <v>19</v>
      </c>
      <c r="C3057" s="7" t="s">
        <v>3470</v>
      </c>
      <c r="D3057" s="7"/>
      <c r="E3057" s="8">
        <v>1.22972937</v>
      </c>
      <c r="F3057" s="8">
        <v>1.1892381299999999</v>
      </c>
      <c r="G3057" s="7" t="str">
        <f t="shared" si="18"/>
        <v>Direct</v>
      </c>
      <c r="H3057" s="7" t="s">
        <v>3471</v>
      </c>
    </row>
    <row r="3058" spans="1:8" x14ac:dyDescent="0.2">
      <c r="A3058" s="5" t="s">
        <v>13</v>
      </c>
      <c r="B3058" s="6" t="s">
        <v>19</v>
      </c>
      <c r="C3058" s="7" t="s">
        <v>3472</v>
      </c>
      <c r="D3058" s="7"/>
      <c r="E3058" s="8">
        <v>-3.2163783000000001</v>
      </c>
      <c r="F3058" s="8">
        <v>-5.4063771999999997</v>
      </c>
      <c r="G3058" s="7" t="str">
        <f t="shared" si="18"/>
        <v>Direct</v>
      </c>
      <c r="H3058" s="7" t="s">
        <v>379</v>
      </c>
    </row>
    <row r="3059" spans="1:8" x14ac:dyDescent="0.2">
      <c r="A3059" s="5" t="s">
        <v>13</v>
      </c>
      <c r="B3059" s="6" t="s">
        <v>19</v>
      </c>
      <c r="C3059" s="7" t="s">
        <v>3473</v>
      </c>
      <c r="D3059" s="7"/>
      <c r="E3059" s="8">
        <v>1.56361901</v>
      </c>
      <c r="F3059" s="8">
        <v>2.1711331700000001</v>
      </c>
      <c r="G3059" s="7" t="str">
        <f t="shared" si="18"/>
        <v>Direct</v>
      </c>
      <c r="H3059" s="7" t="s">
        <v>16</v>
      </c>
    </row>
    <row r="3060" spans="1:8" x14ac:dyDescent="0.2">
      <c r="A3060" s="5" t="s">
        <v>13</v>
      </c>
      <c r="B3060" s="6" t="s">
        <v>19</v>
      </c>
      <c r="C3060" s="7" t="s">
        <v>3474</v>
      </c>
      <c r="D3060" s="7"/>
      <c r="E3060" s="8">
        <v>1.9230928</v>
      </c>
      <c r="F3060" s="8">
        <v>1.1282560699999999</v>
      </c>
      <c r="G3060" s="7" t="str">
        <f t="shared" si="18"/>
        <v>Direct</v>
      </c>
      <c r="H3060" s="7" t="s">
        <v>3272</v>
      </c>
    </row>
    <row r="3061" spans="1:8" x14ac:dyDescent="0.2">
      <c r="A3061" s="5" t="s">
        <v>13</v>
      </c>
      <c r="B3061" s="6" t="s">
        <v>19</v>
      </c>
      <c r="C3061" s="7" t="s">
        <v>3475</v>
      </c>
      <c r="D3061" s="7"/>
      <c r="E3061" s="8">
        <v>-1.6745114999999999</v>
      </c>
      <c r="F3061" s="8">
        <v>-1.2388412</v>
      </c>
      <c r="G3061" s="7" t="str">
        <f t="shared" si="18"/>
        <v>Direct</v>
      </c>
      <c r="H3061" s="7" t="s">
        <v>16</v>
      </c>
    </row>
    <row r="3062" spans="1:8" x14ac:dyDescent="0.2">
      <c r="A3062" s="5" t="s">
        <v>13</v>
      </c>
      <c r="B3062" s="6" t="s">
        <v>19</v>
      </c>
      <c r="C3062" s="7" t="s">
        <v>3476</v>
      </c>
      <c r="D3062" s="7"/>
      <c r="E3062" s="8">
        <v>5.8389900299999997</v>
      </c>
      <c r="F3062" s="8">
        <v>8.8337398300000007</v>
      </c>
      <c r="G3062" s="7" t="str">
        <f t="shared" si="18"/>
        <v>Direct</v>
      </c>
      <c r="H3062" s="7" t="s">
        <v>3477</v>
      </c>
    </row>
    <row r="3063" spans="1:8" x14ac:dyDescent="0.2">
      <c r="A3063" s="5" t="s">
        <v>13</v>
      </c>
      <c r="B3063" s="6" t="s">
        <v>19</v>
      </c>
      <c r="C3063" s="7" t="s">
        <v>3478</v>
      </c>
      <c r="D3063" s="7"/>
      <c r="E3063" s="8">
        <v>-2.2799356</v>
      </c>
      <c r="F3063" s="8">
        <v>-1.4122979</v>
      </c>
      <c r="G3063" s="7" t="str">
        <f t="shared" si="18"/>
        <v>Direct</v>
      </c>
      <c r="H3063" s="7" t="s">
        <v>3479</v>
      </c>
    </row>
    <row r="3064" spans="1:8" x14ac:dyDescent="0.2">
      <c r="A3064" s="5" t="s">
        <v>13</v>
      </c>
      <c r="B3064" s="6" t="s">
        <v>19</v>
      </c>
      <c r="C3064" s="7" t="s">
        <v>636</v>
      </c>
      <c r="D3064" s="7"/>
      <c r="E3064" s="8">
        <v>-1.5581011</v>
      </c>
      <c r="F3064" s="8">
        <v>-2.1877124999999999</v>
      </c>
      <c r="G3064" s="7" t="str">
        <f t="shared" si="18"/>
        <v>Direct</v>
      </c>
      <c r="H3064" s="7" t="s">
        <v>637</v>
      </c>
    </row>
    <row r="3065" spans="1:8" x14ac:dyDescent="0.2">
      <c r="A3065" s="5" t="s">
        <v>13</v>
      </c>
      <c r="B3065" s="6" t="s">
        <v>19</v>
      </c>
      <c r="C3065" s="7" t="s">
        <v>3480</v>
      </c>
      <c r="D3065" s="7"/>
      <c r="E3065" s="8">
        <v>1.2355471099999999</v>
      </c>
      <c r="F3065" s="8">
        <v>1.0737585300000001</v>
      </c>
      <c r="G3065" s="7" t="str">
        <f t="shared" si="18"/>
        <v>Direct</v>
      </c>
      <c r="H3065" s="7" t="s">
        <v>504</v>
      </c>
    </row>
    <row r="3066" spans="1:8" x14ac:dyDescent="0.2">
      <c r="A3066" s="5" t="s">
        <v>13</v>
      </c>
      <c r="B3066" s="6" t="s">
        <v>19</v>
      </c>
      <c r="C3066" s="7" t="s">
        <v>3481</v>
      </c>
      <c r="D3066" s="7"/>
      <c r="E3066" s="8">
        <v>-15.591696000000001</v>
      </c>
      <c r="F3066" s="8">
        <v>-14.575925</v>
      </c>
      <c r="G3066" s="7" t="str">
        <f t="shared" si="18"/>
        <v>Direct</v>
      </c>
      <c r="H3066" s="7" t="s">
        <v>3482</v>
      </c>
    </row>
    <row r="3067" spans="1:8" x14ac:dyDescent="0.2">
      <c r="A3067" s="5" t="s">
        <v>13</v>
      </c>
      <c r="B3067" s="6" t="s">
        <v>19</v>
      </c>
      <c r="C3067" s="7" t="s">
        <v>3483</v>
      </c>
      <c r="D3067" s="7"/>
      <c r="E3067" s="8">
        <v>-2.7776084000000001</v>
      </c>
      <c r="F3067" s="8">
        <v>-3.4477077</v>
      </c>
      <c r="G3067" s="7" t="str">
        <f t="shared" si="18"/>
        <v>Direct</v>
      </c>
      <c r="H3067" s="7" t="s">
        <v>2090</v>
      </c>
    </row>
    <row r="3068" spans="1:8" x14ac:dyDescent="0.2">
      <c r="A3068" s="5" t="s">
        <v>13</v>
      </c>
      <c r="B3068" s="6" t="s">
        <v>19</v>
      </c>
      <c r="C3068" s="7" t="s">
        <v>3484</v>
      </c>
      <c r="D3068" s="7"/>
      <c r="E3068" s="8">
        <v>3.43556822</v>
      </c>
      <c r="F3068" s="8">
        <v>3.8899549800000002</v>
      </c>
      <c r="G3068" s="7" t="str">
        <f t="shared" si="18"/>
        <v>Direct</v>
      </c>
      <c r="H3068" s="7" t="s">
        <v>3485</v>
      </c>
    </row>
    <row r="3069" spans="1:8" x14ac:dyDescent="0.2">
      <c r="A3069" s="5" t="s">
        <v>13</v>
      </c>
      <c r="B3069" s="6" t="s">
        <v>19</v>
      </c>
      <c r="C3069" s="7" t="s">
        <v>3486</v>
      </c>
      <c r="D3069" s="7"/>
      <c r="E3069" s="8">
        <v>2.23454782</v>
      </c>
      <c r="F3069" s="8">
        <v>2.4425636499999999</v>
      </c>
      <c r="G3069" s="7" t="str">
        <f t="shared" si="18"/>
        <v>Direct</v>
      </c>
      <c r="H3069" s="7" t="s">
        <v>3487</v>
      </c>
    </row>
    <row r="3070" spans="1:8" x14ac:dyDescent="0.2">
      <c r="A3070" s="5" t="s">
        <v>13</v>
      </c>
      <c r="B3070" s="6" t="s">
        <v>19</v>
      </c>
      <c r="C3070" s="7" t="s">
        <v>3488</v>
      </c>
      <c r="D3070" s="7"/>
      <c r="E3070" s="8">
        <v>-2.6077672999999999</v>
      </c>
      <c r="F3070" s="8">
        <v>-2.4244458999999998</v>
      </c>
      <c r="G3070" s="7" t="str">
        <f t="shared" si="18"/>
        <v>Direct</v>
      </c>
      <c r="H3070" s="7" t="s">
        <v>3489</v>
      </c>
    </row>
    <row r="3071" spans="1:8" x14ac:dyDescent="0.2">
      <c r="A3071" s="5" t="s">
        <v>13</v>
      </c>
      <c r="B3071" s="6" t="s">
        <v>19</v>
      </c>
      <c r="C3071" s="7" t="s">
        <v>3490</v>
      </c>
      <c r="D3071" s="7"/>
      <c r="E3071" s="8">
        <v>-8.2131229000000001</v>
      </c>
      <c r="F3071" s="8">
        <v>-7.4128145999999999</v>
      </c>
      <c r="G3071" s="7" t="str">
        <f t="shared" si="18"/>
        <v>Direct</v>
      </c>
      <c r="H3071" s="7" t="s">
        <v>3489</v>
      </c>
    </row>
    <row r="3072" spans="1:8" x14ac:dyDescent="0.2">
      <c r="A3072" s="5" t="s">
        <v>13</v>
      </c>
      <c r="B3072" s="6" t="s">
        <v>19</v>
      </c>
      <c r="C3072" s="7" t="s">
        <v>3491</v>
      </c>
      <c r="D3072" s="7"/>
      <c r="E3072" s="8">
        <v>-2.8666279000000001</v>
      </c>
      <c r="F3072" s="8">
        <v>-1.9776806</v>
      </c>
      <c r="G3072" s="7" t="str">
        <f t="shared" si="18"/>
        <v>Direct</v>
      </c>
      <c r="H3072" s="7" t="s">
        <v>3492</v>
      </c>
    </row>
    <row r="3073" spans="1:8" x14ac:dyDescent="0.2">
      <c r="A3073" s="5" t="s">
        <v>13</v>
      </c>
      <c r="B3073" s="6" t="s">
        <v>19</v>
      </c>
      <c r="C3073" s="7" t="s">
        <v>3493</v>
      </c>
      <c r="D3073" s="7"/>
      <c r="E3073" s="8">
        <v>1.1092175399999999</v>
      </c>
      <c r="F3073" s="8">
        <v>1.0920352200000001</v>
      </c>
      <c r="G3073" s="7" t="str">
        <f t="shared" si="18"/>
        <v>Direct</v>
      </c>
      <c r="H3073" s="7" t="s">
        <v>3494</v>
      </c>
    </row>
    <row r="3074" spans="1:8" x14ac:dyDescent="0.2">
      <c r="A3074" s="5" t="s">
        <v>13</v>
      </c>
      <c r="B3074" s="6" t="s">
        <v>19</v>
      </c>
      <c r="C3074" s="7" t="s">
        <v>3495</v>
      </c>
      <c r="D3074" s="7"/>
      <c r="E3074" s="8">
        <v>-2.1793222999999999</v>
      </c>
      <c r="F3074" s="8">
        <v>-1.8391894</v>
      </c>
      <c r="G3074" s="7" t="str">
        <f t="shared" si="18"/>
        <v>Direct</v>
      </c>
      <c r="H3074" s="7" t="s">
        <v>1143</v>
      </c>
    </row>
    <row r="3075" spans="1:8" x14ac:dyDescent="0.2">
      <c r="A3075" s="5" t="s">
        <v>13</v>
      </c>
      <c r="B3075" s="6" t="s">
        <v>19</v>
      </c>
      <c r="C3075" s="7" t="s">
        <v>3496</v>
      </c>
      <c r="D3075" s="7"/>
      <c r="E3075" s="8">
        <v>-1.5818475999999999</v>
      </c>
      <c r="F3075" s="8">
        <v>-1.0541026</v>
      </c>
      <c r="G3075" s="7" t="str">
        <f t="shared" si="18"/>
        <v>Direct</v>
      </c>
      <c r="H3075" s="7" t="s">
        <v>3497</v>
      </c>
    </row>
    <row r="3076" spans="1:8" x14ac:dyDescent="0.2">
      <c r="A3076" s="5" t="s">
        <v>13</v>
      </c>
      <c r="B3076" s="6" t="s">
        <v>19</v>
      </c>
      <c r="C3076" s="7" t="s">
        <v>3498</v>
      </c>
      <c r="D3076" s="7"/>
      <c r="E3076" s="8">
        <v>1.76683821</v>
      </c>
      <c r="F3076" s="8">
        <v>1.0386246100000001</v>
      </c>
      <c r="G3076" s="7" t="str">
        <f t="shared" si="18"/>
        <v>Direct</v>
      </c>
      <c r="H3076" s="7" t="s">
        <v>3499</v>
      </c>
    </row>
    <row r="3077" spans="1:8" x14ac:dyDescent="0.2">
      <c r="A3077" s="5" t="s">
        <v>13</v>
      </c>
      <c r="B3077" s="6" t="s">
        <v>19</v>
      </c>
      <c r="C3077" s="7" t="s">
        <v>3500</v>
      </c>
      <c r="D3077" s="7"/>
      <c r="E3077" s="8">
        <v>-2.6276518000000002</v>
      </c>
      <c r="F3077" s="8">
        <v>-2.4603128999999999</v>
      </c>
      <c r="G3077" s="7" t="str">
        <f t="shared" si="18"/>
        <v>Direct</v>
      </c>
      <c r="H3077" s="7" t="s">
        <v>16</v>
      </c>
    </row>
    <row r="3078" spans="1:8" x14ac:dyDescent="0.2">
      <c r="A3078" s="5" t="s">
        <v>13</v>
      </c>
      <c r="B3078" s="6" t="s">
        <v>19</v>
      </c>
      <c r="C3078" s="7" t="s">
        <v>3501</v>
      </c>
      <c r="D3078" s="7"/>
      <c r="E3078" s="8">
        <v>-4.9549149000000003</v>
      </c>
      <c r="F3078" s="8">
        <v>-3.4198005</v>
      </c>
      <c r="G3078" s="7" t="str">
        <f t="shared" si="18"/>
        <v>Direct</v>
      </c>
      <c r="H3078" s="7" t="s">
        <v>3502</v>
      </c>
    </row>
    <row r="3079" spans="1:8" x14ac:dyDescent="0.2">
      <c r="A3079" s="5" t="s">
        <v>13</v>
      </c>
      <c r="B3079" s="6" t="s">
        <v>19</v>
      </c>
      <c r="C3079" s="7" t="s">
        <v>3503</v>
      </c>
      <c r="D3079" s="7"/>
      <c r="E3079" s="8">
        <v>1.1492775500000001</v>
      </c>
      <c r="F3079" s="8">
        <v>1.6511136099999999</v>
      </c>
      <c r="G3079" s="7" t="str">
        <f t="shared" si="18"/>
        <v>Direct</v>
      </c>
      <c r="H3079" s="7" t="s">
        <v>3504</v>
      </c>
    </row>
    <row r="3080" spans="1:8" x14ac:dyDescent="0.2">
      <c r="A3080" s="5" t="s">
        <v>13</v>
      </c>
      <c r="B3080" s="6" t="s">
        <v>19</v>
      </c>
      <c r="C3080" s="7" t="s">
        <v>3505</v>
      </c>
      <c r="D3080" s="7"/>
      <c r="E3080" s="8">
        <v>2.1962140699999999</v>
      </c>
      <c r="F3080" s="8">
        <v>1.73458921</v>
      </c>
      <c r="G3080" s="7" t="str">
        <f t="shared" si="18"/>
        <v>Direct</v>
      </c>
      <c r="H3080" s="7" t="s">
        <v>3506</v>
      </c>
    </row>
    <row r="3081" spans="1:8" x14ac:dyDescent="0.2">
      <c r="A3081" s="5" t="s">
        <v>13</v>
      </c>
      <c r="B3081" s="6" t="s">
        <v>19</v>
      </c>
      <c r="C3081" s="7" t="s">
        <v>3507</v>
      </c>
      <c r="D3081" s="7"/>
      <c r="E3081" s="8">
        <v>-6.0101677000000002</v>
      </c>
      <c r="F3081" s="8">
        <v>-5.9332415999999997</v>
      </c>
      <c r="G3081" s="7" t="str">
        <f t="shared" si="18"/>
        <v>Direct</v>
      </c>
      <c r="H3081" s="7" t="s">
        <v>192</v>
      </c>
    </row>
    <row r="3082" spans="1:8" x14ac:dyDescent="0.2">
      <c r="A3082" s="5" t="s">
        <v>13</v>
      </c>
      <c r="B3082" s="6" t="s">
        <v>19</v>
      </c>
      <c r="C3082" s="7" t="s">
        <v>639</v>
      </c>
      <c r="D3082" s="7"/>
      <c r="E3082" s="8">
        <v>-1.2473295</v>
      </c>
      <c r="F3082" s="8">
        <v>-2.3916917</v>
      </c>
      <c r="G3082" s="7" t="str">
        <f t="shared" si="18"/>
        <v>Direct</v>
      </c>
      <c r="H3082" s="7" t="s">
        <v>640</v>
      </c>
    </row>
    <row r="3083" spans="1:8" x14ac:dyDescent="0.2">
      <c r="A3083" s="5" t="s">
        <v>13</v>
      </c>
      <c r="B3083" s="6" t="s">
        <v>19</v>
      </c>
      <c r="C3083" s="7" t="s">
        <v>3508</v>
      </c>
      <c r="D3083" s="7"/>
      <c r="E3083" s="8">
        <v>-1.5156643000000001</v>
      </c>
      <c r="F3083" s="8">
        <v>-1.9550341</v>
      </c>
      <c r="G3083" s="7" t="str">
        <f t="shared" si="18"/>
        <v>Direct</v>
      </c>
      <c r="H3083" s="7" t="s">
        <v>3509</v>
      </c>
    </row>
    <row r="3084" spans="1:8" x14ac:dyDescent="0.2">
      <c r="A3084" s="5" t="s">
        <v>13</v>
      </c>
      <c r="B3084" s="6" t="s">
        <v>19</v>
      </c>
      <c r="C3084" s="7" t="s">
        <v>3510</v>
      </c>
      <c r="D3084" s="7"/>
      <c r="E3084" s="8">
        <v>-5.5497816999999996</v>
      </c>
      <c r="F3084" s="8">
        <v>-3.4580141000000002</v>
      </c>
      <c r="G3084" s="7" t="str">
        <f t="shared" si="18"/>
        <v>Direct</v>
      </c>
      <c r="H3084" s="7" t="s">
        <v>3511</v>
      </c>
    </row>
    <row r="3085" spans="1:8" x14ac:dyDescent="0.2">
      <c r="A3085" s="5" t="s">
        <v>13</v>
      </c>
      <c r="B3085" s="6" t="s">
        <v>19</v>
      </c>
      <c r="C3085" s="7" t="s">
        <v>3512</v>
      </c>
      <c r="D3085" s="7"/>
      <c r="E3085" s="8">
        <v>1.44424346</v>
      </c>
      <c r="F3085" s="8">
        <v>1.4325813599999999</v>
      </c>
      <c r="G3085" s="7" t="str">
        <f t="shared" si="18"/>
        <v>Direct</v>
      </c>
      <c r="H3085" s="7" t="s">
        <v>3513</v>
      </c>
    </row>
    <row r="3086" spans="1:8" x14ac:dyDescent="0.2">
      <c r="A3086" s="5" t="s">
        <v>13</v>
      </c>
      <c r="B3086" s="6" t="s">
        <v>19</v>
      </c>
      <c r="C3086" s="7" t="s">
        <v>641</v>
      </c>
      <c r="D3086" s="7"/>
      <c r="E3086" s="8">
        <v>-1.4374742</v>
      </c>
      <c r="F3086" s="8">
        <v>-3.5437935999999999</v>
      </c>
      <c r="G3086" s="7" t="str">
        <f t="shared" si="18"/>
        <v>Direct</v>
      </c>
      <c r="H3086" s="7" t="s">
        <v>16</v>
      </c>
    </row>
    <row r="3087" spans="1:8" x14ac:dyDescent="0.2">
      <c r="A3087" s="5" t="s">
        <v>13</v>
      </c>
      <c r="B3087" s="6" t="s">
        <v>19</v>
      </c>
      <c r="C3087" s="7" t="s">
        <v>3514</v>
      </c>
      <c r="D3087" s="7"/>
      <c r="E3087" s="8">
        <v>2.4013647800000002</v>
      </c>
      <c r="F3087" s="8">
        <v>2.3568114900000001</v>
      </c>
      <c r="G3087" s="7" t="str">
        <f t="shared" si="18"/>
        <v>Direct</v>
      </c>
      <c r="H3087" s="7" t="s">
        <v>16</v>
      </c>
    </row>
    <row r="3088" spans="1:8" x14ac:dyDescent="0.2">
      <c r="A3088" s="5" t="s">
        <v>13</v>
      </c>
      <c r="B3088" s="6" t="s">
        <v>19</v>
      </c>
      <c r="C3088" s="7" t="s">
        <v>3515</v>
      </c>
      <c r="D3088" s="7"/>
      <c r="E3088" s="8">
        <v>1.28565263</v>
      </c>
      <c r="F3088" s="8">
        <v>1.47771758</v>
      </c>
      <c r="G3088" s="7" t="str">
        <f t="shared" si="18"/>
        <v>Direct</v>
      </c>
      <c r="H3088" s="7" t="s">
        <v>16</v>
      </c>
    </row>
    <row r="3089" spans="1:8" x14ac:dyDescent="0.2">
      <c r="A3089" s="5" t="s">
        <v>13</v>
      </c>
      <c r="B3089" s="6" t="s">
        <v>19</v>
      </c>
      <c r="C3089" s="7" t="s">
        <v>642</v>
      </c>
      <c r="D3089" s="7"/>
      <c r="E3089" s="8">
        <v>6.4409224199999997</v>
      </c>
      <c r="F3089" s="8">
        <v>4.6145729199999996</v>
      </c>
      <c r="G3089" s="7" t="str">
        <f t="shared" si="18"/>
        <v>Direct</v>
      </c>
      <c r="H3089" s="7" t="s">
        <v>643</v>
      </c>
    </row>
    <row r="3090" spans="1:8" x14ac:dyDescent="0.2">
      <c r="A3090" s="5" t="s">
        <v>13</v>
      </c>
      <c r="B3090" s="6" t="s">
        <v>19</v>
      </c>
      <c r="C3090" s="7" t="s">
        <v>3516</v>
      </c>
      <c r="D3090" s="7"/>
      <c r="E3090" s="8">
        <v>1.8307520500000001</v>
      </c>
      <c r="F3090" s="8">
        <v>1.6374089700000001</v>
      </c>
      <c r="G3090" s="7" t="str">
        <f t="shared" si="18"/>
        <v>Direct</v>
      </c>
      <c r="H3090" s="7" t="s">
        <v>16</v>
      </c>
    </row>
    <row r="3091" spans="1:8" x14ac:dyDescent="0.2">
      <c r="A3091" s="5" t="s">
        <v>13</v>
      </c>
      <c r="B3091" s="6" t="s">
        <v>19</v>
      </c>
      <c r="C3091" s="7" t="s">
        <v>3517</v>
      </c>
      <c r="D3091" s="7"/>
      <c r="E3091" s="8">
        <v>-3.5760339999999999</v>
      </c>
      <c r="F3091" s="8">
        <v>-2.3897217999999998</v>
      </c>
      <c r="G3091" s="7" t="str">
        <f t="shared" si="18"/>
        <v>Direct</v>
      </c>
      <c r="H3091" s="7" t="s">
        <v>2150</v>
      </c>
    </row>
    <row r="3092" spans="1:8" x14ac:dyDescent="0.2">
      <c r="A3092" s="5" t="s">
        <v>13</v>
      </c>
      <c r="B3092" s="6" t="s">
        <v>19</v>
      </c>
      <c r="C3092" s="7" t="s">
        <v>3518</v>
      </c>
      <c r="D3092" s="7"/>
      <c r="E3092" s="8">
        <v>1.0026672999999999</v>
      </c>
      <c r="F3092" s="8">
        <v>1.02950425</v>
      </c>
      <c r="G3092" s="7" t="str">
        <f t="shared" si="18"/>
        <v>Direct</v>
      </c>
      <c r="H3092" s="7" t="s">
        <v>3519</v>
      </c>
    </row>
    <row r="3093" spans="1:8" x14ac:dyDescent="0.2">
      <c r="A3093" s="5" t="s">
        <v>13</v>
      </c>
      <c r="B3093" s="6" t="s">
        <v>19</v>
      </c>
      <c r="C3093" s="7" t="s">
        <v>3520</v>
      </c>
      <c r="D3093" s="7"/>
      <c r="E3093" s="8">
        <v>-1.4389479000000001</v>
      </c>
      <c r="F3093" s="8">
        <v>-2.0731042999999998</v>
      </c>
      <c r="G3093" s="7" t="str">
        <f t="shared" si="18"/>
        <v>Direct</v>
      </c>
      <c r="H3093" s="7" t="s">
        <v>3521</v>
      </c>
    </row>
    <row r="3094" spans="1:8" x14ac:dyDescent="0.2">
      <c r="A3094" s="5" t="s">
        <v>13</v>
      </c>
      <c r="B3094" s="6" t="s">
        <v>19</v>
      </c>
      <c r="C3094" s="7" t="s">
        <v>3522</v>
      </c>
      <c r="D3094" s="7"/>
      <c r="E3094" s="8">
        <v>-6.5871421999999997</v>
      </c>
      <c r="F3094" s="8">
        <v>-5.6402649</v>
      </c>
      <c r="G3094" s="7" t="str">
        <f t="shared" si="18"/>
        <v>Direct</v>
      </c>
      <c r="H3094" s="7" t="s">
        <v>3523</v>
      </c>
    </row>
    <row r="3095" spans="1:8" x14ac:dyDescent="0.2">
      <c r="A3095" s="5" t="s">
        <v>13</v>
      </c>
      <c r="B3095" s="6" t="s">
        <v>19</v>
      </c>
      <c r="C3095" s="7" t="s">
        <v>3524</v>
      </c>
      <c r="D3095" s="7"/>
      <c r="E3095" s="8">
        <v>-6.2531584999999996</v>
      </c>
      <c r="F3095" s="8">
        <v>-6.3962653999999999</v>
      </c>
      <c r="G3095" s="7" t="str">
        <f t="shared" si="18"/>
        <v>Direct</v>
      </c>
      <c r="H3095" s="7" t="s">
        <v>3525</v>
      </c>
    </row>
    <row r="3096" spans="1:8" x14ac:dyDescent="0.2">
      <c r="A3096" s="5" t="s">
        <v>13</v>
      </c>
      <c r="B3096" s="6" t="s">
        <v>19</v>
      </c>
      <c r="C3096" s="7" t="s">
        <v>3526</v>
      </c>
      <c r="D3096" s="7"/>
      <c r="E3096" s="8">
        <v>-2.3570940999999999</v>
      </c>
      <c r="F3096" s="8">
        <v>-2.6904010999999999</v>
      </c>
      <c r="G3096" s="7" t="str">
        <f t="shared" si="18"/>
        <v>Direct</v>
      </c>
      <c r="H3096" s="7" t="s">
        <v>3527</v>
      </c>
    </row>
    <row r="3097" spans="1:8" x14ac:dyDescent="0.2">
      <c r="A3097" s="5" t="s">
        <v>13</v>
      </c>
      <c r="B3097" s="6" t="s">
        <v>19</v>
      </c>
      <c r="C3097" s="7" t="s">
        <v>3528</v>
      </c>
      <c r="D3097" s="7"/>
      <c r="E3097" s="8">
        <v>-1.6523896</v>
      </c>
      <c r="F3097" s="8">
        <v>-1.4841645000000001</v>
      </c>
      <c r="G3097" s="7" t="str">
        <f t="shared" si="18"/>
        <v>Direct</v>
      </c>
      <c r="H3097" s="7" t="s">
        <v>1358</v>
      </c>
    </row>
    <row r="3098" spans="1:8" x14ac:dyDescent="0.2">
      <c r="A3098" s="5" t="s">
        <v>13</v>
      </c>
      <c r="B3098" s="6" t="s">
        <v>19</v>
      </c>
      <c r="C3098" s="7" t="s">
        <v>3529</v>
      </c>
      <c r="D3098" s="7"/>
      <c r="E3098" s="8">
        <v>-2.6126771999999998</v>
      </c>
      <c r="F3098" s="8">
        <v>-2.1349743000000001</v>
      </c>
      <c r="G3098" s="7" t="str">
        <f t="shared" si="18"/>
        <v>Direct</v>
      </c>
      <c r="H3098" s="7" t="s">
        <v>3530</v>
      </c>
    </row>
    <row r="3099" spans="1:8" x14ac:dyDescent="0.2">
      <c r="A3099" s="5" t="s">
        <v>13</v>
      </c>
      <c r="B3099" s="6" t="s">
        <v>19</v>
      </c>
      <c r="C3099" s="7" t="s">
        <v>3531</v>
      </c>
      <c r="D3099" s="7"/>
      <c r="E3099" s="8">
        <v>-1.4087018</v>
      </c>
      <c r="F3099" s="8">
        <v>-1.4730736</v>
      </c>
      <c r="G3099" s="7" t="str">
        <f t="shared" si="18"/>
        <v>Direct</v>
      </c>
      <c r="H3099" s="7" t="s">
        <v>3532</v>
      </c>
    </row>
    <row r="3100" spans="1:8" x14ac:dyDescent="0.2">
      <c r="A3100" s="5" t="s">
        <v>13</v>
      </c>
      <c r="B3100" s="6" t="s">
        <v>19</v>
      </c>
      <c r="C3100" s="7" t="s">
        <v>3533</v>
      </c>
      <c r="D3100" s="7"/>
      <c r="E3100" s="8">
        <v>1.3113728</v>
      </c>
      <c r="F3100" s="8">
        <v>1.6293005899999999</v>
      </c>
      <c r="G3100" s="7" t="str">
        <f t="shared" si="18"/>
        <v>Direct</v>
      </c>
      <c r="H3100" s="7" t="s">
        <v>3534</v>
      </c>
    </row>
    <row r="3101" spans="1:8" x14ac:dyDescent="0.2">
      <c r="A3101" s="5" t="s">
        <v>13</v>
      </c>
      <c r="B3101" s="6" t="s">
        <v>19</v>
      </c>
      <c r="C3101" s="7" t="s">
        <v>3535</v>
      </c>
      <c r="D3101" s="7"/>
      <c r="E3101" s="8">
        <v>-1.1740195</v>
      </c>
      <c r="F3101" s="8">
        <v>-1.7395640999999999</v>
      </c>
      <c r="G3101" s="7" t="str">
        <f t="shared" si="18"/>
        <v>Direct</v>
      </c>
      <c r="H3101" s="7" t="s">
        <v>3536</v>
      </c>
    </row>
    <row r="3102" spans="1:8" x14ac:dyDescent="0.2">
      <c r="A3102" s="5" t="s">
        <v>13</v>
      </c>
      <c r="B3102" s="6" t="s">
        <v>19</v>
      </c>
      <c r="C3102" s="7" t="s">
        <v>3537</v>
      </c>
      <c r="D3102" s="7"/>
      <c r="E3102" s="8">
        <v>-2.6985967999999998</v>
      </c>
      <c r="F3102" s="8">
        <v>-2.0707931999999998</v>
      </c>
      <c r="G3102" s="7" t="str">
        <f t="shared" si="18"/>
        <v>Direct</v>
      </c>
      <c r="H3102" s="7" t="s">
        <v>16</v>
      </c>
    </row>
    <row r="3103" spans="1:8" x14ac:dyDescent="0.2">
      <c r="A3103" s="5" t="s">
        <v>13</v>
      </c>
      <c r="B3103" s="6" t="s">
        <v>19</v>
      </c>
      <c r="C3103" s="7" t="s">
        <v>644</v>
      </c>
      <c r="D3103" s="7"/>
      <c r="E3103" s="8">
        <v>-1.7940498</v>
      </c>
      <c r="F3103" s="8">
        <v>-1.5784828</v>
      </c>
      <c r="G3103" s="7" t="str">
        <f t="shared" si="18"/>
        <v>Direct</v>
      </c>
      <c r="H3103" s="7" t="s">
        <v>16</v>
      </c>
    </row>
    <row r="3104" spans="1:8" x14ac:dyDescent="0.2">
      <c r="A3104" s="5" t="s">
        <v>13</v>
      </c>
      <c r="B3104" s="6" t="s">
        <v>19</v>
      </c>
      <c r="C3104" s="7" t="s">
        <v>645</v>
      </c>
      <c r="D3104" s="7"/>
      <c r="E3104" s="8">
        <v>-6.2632089999999998</v>
      </c>
      <c r="F3104" s="8">
        <v>-5.6476626999999997</v>
      </c>
      <c r="G3104" s="7" t="str">
        <f t="shared" si="18"/>
        <v>Direct</v>
      </c>
      <c r="H3104" s="7" t="s">
        <v>16</v>
      </c>
    </row>
    <row r="3105" spans="1:8" x14ac:dyDescent="0.2">
      <c r="A3105" s="5" t="s">
        <v>13</v>
      </c>
      <c r="B3105" s="6" t="s">
        <v>19</v>
      </c>
      <c r="C3105" s="7" t="s">
        <v>646</v>
      </c>
      <c r="D3105" s="7"/>
      <c r="E3105" s="8">
        <v>-3.0281459000000002</v>
      </c>
      <c r="F3105" s="8">
        <v>-1.0126374</v>
      </c>
      <c r="G3105" s="7" t="str">
        <f t="shared" si="18"/>
        <v>Direct</v>
      </c>
      <c r="H3105" s="7" t="s">
        <v>16</v>
      </c>
    </row>
    <row r="3106" spans="1:8" x14ac:dyDescent="0.2">
      <c r="A3106" s="5" t="s">
        <v>13</v>
      </c>
      <c r="B3106" s="6" t="s">
        <v>19</v>
      </c>
      <c r="C3106" s="7" t="s">
        <v>3538</v>
      </c>
      <c r="D3106" s="7"/>
      <c r="E3106" s="8">
        <v>5.5032553399999999</v>
      </c>
      <c r="F3106" s="8">
        <v>5.4063772200000004</v>
      </c>
      <c r="G3106" s="7" t="str">
        <f t="shared" si="18"/>
        <v>Direct</v>
      </c>
      <c r="H3106" s="7" t="s">
        <v>3539</v>
      </c>
    </row>
    <row r="3107" spans="1:8" x14ac:dyDescent="0.2">
      <c r="A3107" s="5" t="s">
        <v>13</v>
      </c>
      <c r="B3107" s="6" t="s">
        <v>19</v>
      </c>
      <c r="C3107" s="7" t="s">
        <v>3540</v>
      </c>
      <c r="D3107" s="7"/>
      <c r="E3107" s="8">
        <v>-2.0369164999999998</v>
      </c>
      <c r="F3107" s="8">
        <v>-2.3099791000000001</v>
      </c>
      <c r="G3107" s="7" t="str">
        <f t="shared" si="18"/>
        <v>Direct</v>
      </c>
      <c r="H3107" s="7" t="s">
        <v>3541</v>
      </c>
    </row>
    <row r="3108" spans="1:8" x14ac:dyDescent="0.2">
      <c r="A3108" s="5" t="s">
        <v>13</v>
      </c>
      <c r="B3108" s="6" t="s">
        <v>19</v>
      </c>
      <c r="C3108" s="7" t="s">
        <v>647</v>
      </c>
      <c r="D3108" s="7"/>
      <c r="E3108" s="8">
        <v>-2.0424088999999999</v>
      </c>
      <c r="F3108" s="8">
        <v>-2.0625529999999999</v>
      </c>
      <c r="G3108" s="7" t="str">
        <f t="shared" si="18"/>
        <v>Direct</v>
      </c>
      <c r="H3108" s="7" t="s">
        <v>648</v>
      </c>
    </row>
    <row r="3109" spans="1:8" x14ac:dyDescent="0.2">
      <c r="A3109" s="5" t="s">
        <v>13</v>
      </c>
      <c r="B3109" s="6" t="s">
        <v>19</v>
      </c>
      <c r="C3109" s="7" t="s">
        <v>649</v>
      </c>
      <c r="D3109" s="7"/>
      <c r="E3109" s="8">
        <v>-3.1291863000000002</v>
      </c>
      <c r="F3109" s="8">
        <v>-5.1602214999999996</v>
      </c>
      <c r="G3109" s="7" t="str">
        <f t="shared" si="18"/>
        <v>Direct</v>
      </c>
      <c r="H3109" s="7" t="s">
        <v>650</v>
      </c>
    </row>
    <row r="3110" spans="1:8" x14ac:dyDescent="0.2">
      <c r="A3110" s="5" t="s">
        <v>13</v>
      </c>
      <c r="B3110" s="6" t="s">
        <v>19</v>
      </c>
      <c r="C3110" s="7" t="s">
        <v>3542</v>
      </c>
      <c r="D3110" s="7"/>
      <c r="E3110" s="8">
        <v>-3.7882729999999998</v>
      </c>
      <c r="F3110" s="8">
        <v>-1.3690844</v>
      </c>
      <c r="G3110" s="7" t="str">
        <f t="shared" si="18"/>
        <v>Direct</v>
      </c>
      <c r="H3110" s="7" t="s">
        <v>16</v>
      </c>
    </row>
    <row r="3111" spans="1:8" x14ac:dyDescent="0.2">
      <c r="A3111" s="5" t="s">
        <v>13</v>
      </c>
      <c r="B3111" s="6" t="s">
        <v>19</v>
      </c>
      <c r="C3111" s="7" t="s">
        <v>3543</v>
      </c>
      <c r="D3111" s="7"/>
      <c r="E3111" s="8">
        <v>-2.3521744</v>
      </c>
      <c r="F3111" s="8">
        <v>-1.8739482000000001</v>
      </c>
      <c r="G3111" s="7" t="str">
        <f t="shared" si="18"/>
        <v>Direct</v>
      </c>
      <c r="H3111" s="7" t="s">
        <v>3544</v>
      </c>
    </row>
    <row r="3112" spans="1:8" x14ac:dyDescent="0.2">
      <c r="A3112" s="5" t="s">
        <v>13</v>
      </c>
      <c r="B3112" s="6" t="s">
        <v>19</v>
      </c>
      <c r="C3112" s="7" t="s">
        <v>651</v>
      </c>
      <c r="D3112" s="7"/>
      <c r="E3112" s="8">
        <v>-6.0071488999999998</v>
      </c>
      <c r="F3112" s="8">
        <v>-3.6247764999999998</v>
      </c>
      <c r="G3112" s="7" t="str">
        <f t="shared" si="18"/>
        <v>Direct</v>
      </c>
      <c r="H3112" s="7" t="s">
        <v>16</v>
      </c>
    </row>
    <row r="3113" spans="1:8" x14ac:dyDescent="0.2">
      <c r="A3113" s="5" t="s">
        <v>13</v>
      </c>
      <c r="B3113" s="6" t="s">
        <v>19</v>
      </c>
      <c r="C3113" s="7" t="s">
        <v>3545</v>
      </c>
      <c r="D3113" s="7"/>
      <c r="E3113" s="8">
        <v>3.2138474600000002</v>
      </c>
      <c r="F3113" s="8">
        <v>1.2106203900000001</v>
      </c>
      <c r="G3113" s="7" t="str">
        <f t="shared" si="18"/>
        <v>Direct</v>
      </c>
      <c r="H3113" s="7" t="s">
        <v>16</v>
      </c>
    </row>
    <row r="3114" spans="1:8" x14ac:dyDescent="0.2">
      <c r="A3114" s="5" t="s">
        <v>13</v>
      </c>
      <c r="B3114" s="6" t="s">
        <v>19</v>
      </c>
      <c r="C3114" s="7" t="s">
        <v>3546</v>
      </c>
      <c r="D3114" s="7"/>
      <c r="E3114" s="8">
        <v>8.0703971699999997</v>
      </c>
      <c r="F3114" s="8">
        <v>8.0054542499999997</v>
      </c>
      <c r="G3114" s="7" t="str">
        <f t="shared" si="18"/>
        <v>Direct</v>
      </c>
      <c r="H3114" s="7" t="s">
        <v>3547</v>
      </c>
    </row>
    <row r="3115" spans="1:8" x14ac:dyDescent="0.2">
      <c r="A3115" s="5" t="s">
        <v>13</v>
      </c>
      <c r="B3115" s="6" t="s">
        <v>19</v>
      </c>
      <c r="C3115" s="7" t="s">
        <v>3548</v>
      </c>
      <c r="D3115" s="7"/>
      <c r="E3115" s="8">
        <v>-2.5934849999999998</v>
      </c>
      <c r="F3115" s="8">
        <v>-3.7978676999999998</v>
      </c>
      <c r="G3115" s="7" t="str">
        <f t="shared" si="18"/>
        <v>Direct</v>
      </c>
      <c r="H3115" s="7" t="s">
        <v>3549</v>
      </c>
    </row>
    <row r="3116" spans="1:8" x14ac:dyDescent="0.2">
      <c r="A3116" s="5" t="s">
        <v>13</v>
      </c>
      <c r="B3116" s="6" t="s">
        <v>19</v>
      </c>
      <c r="C3116" s="7" t="s">
        <v>3550</v>
      </c>
      <c r="D3116" s="7"/>
      <c r="E3116" s="8">
        <v>-1.8718785</v>
      </c>
      <c r="F3116" s="8">
        <v>-1.1901014000000001</v>
      </c>
      <c r="G3116" s="7" t="str">
        <f t="shared" si="18"/>
        <v>Direct</v>
      </c>
      <c r="H3116" s="7" t="s">
        <v>3551</v>
      </c>
    </row>
    <row r="3117" spans="1:8" x14ac:dyDescent="0.2">
      <c r="A3117" s="5" t="s">
        <v>13</v>
      </c>
      <c r="B3117" s="6" t="s">
        <v>19</v>
      </c>
      <c r="C3117" s="7" t="s">
        <v>653</v>
      </c>
      <c r="D3117" s="7"/>
      <c r="E3117" s="8">
        <v>-1.0610584000000001</v>
      </c>
      <c r="F3117" s="8">
        <v>-1.0866610999999999</v>
      </c>
      <c r="G3117" s="7" t="str">
        <f t="shared" si="18"/>
        <v>Direct</v>
      </c>
      <c r="H3117" s="7" t="s">
        <v>16</v>
      </c>
    </row>
    <row r="3118" spans="1:8" x14ac:dyDescent="0.2">
      <c r="A3118" s="5" t="s">
        <v>13</v>
      </c>
      <c r="B3118" s="6" t="s">
        <v>19</v>
      </c>
      <c r="C3118" s="7" t="s">
        <v>3552</v>
      </c>
      <c r="D3118" s="7"/>
      <c r="E3118" s="8">
        <v>-3.6749081000000001</v>
      </c>
      <c r="F3118" s="8">
        <v>-3.5116143000000002</v>
      </c>
      <c r="G3118" s="7" t="str">
        <f t="shared" si="18"/>
        <v>Direct</v>
      </c>
      <c r="H3118" s="7" t="s">
        <v>2509</v>
      </c>
    </row>
    <row r="3119" spans="1:8" x14ac:dyDescent="0.2">
      <c r="A3119" s="5" t="s">
        <v>13</v>
      </c>
      <c r="B3119" s="6" t="s">
        <v>19</v>
      </c>
      <c r="C3119" s="7" t="s">
        <v>3553</v>
      </c>
      <c r="D3119" s="7"/>
      <c r="E3119" s="8">
        <v>2.3847629000000001</v>
      </c>
      <c r="F3119" s="8">
        <v>1.32226172</v>
      </c>
      <c r="G3119" s="7" t="str">
        <f t="shared" si="18"/>
        <v>Direct</v>
      </c>
      <c r="H3119" s="7" t="s">
        <v>3554</v>
      </c>
    </row>
    <row r="3120" spans="1:8" x14ac:dyDescent="0.2">
      <c r="A3120" s="5" t="s">
        <v>13</v>
      </c>
      <c r="B3120" s="6" t="s">
        <v>19</v>
      </c>
      <c r="C3120" s="7" t="s">
        <v>3555</v>
      </c>
      <c r="D3120" s="7"/>
      <c r="E3120" s="8">
        <v>3.3617541599999998</v>
      </c>
      <c r="F3120" s="8">
        <v>3.21491974</v>
      </c>
      <c r="G3120" s="7" t="str">
        <f t="shared" si="18"/>
        <v>Direct</v>
      </c>
      <c r="H3120" s="7" t="s">
        <v>3556</v>
      </c>
    </row>
    <row r="3121" spans="1:8" x14ac:dyDescent="0.2">
      <c r="A3121" s="5" t="s">
        <v>13</v>
      </c>
      <c r="B3121" s="6" t="s">
        <v>19</v>
      </c>
      <c r="C3121" s="7" t="s">
        <v>3557</v>
      </c>
      <c r="D3121" s="7"/>
      <c r="E3121" s="8">
        <v>-3.0281459000000002</v>
      </c>
      <c r="F3121" s="8">
        <v>-2.3764970999999999</v>
      </c>
      <c r="G3121" s="7" t="str">
        <f t="shared" si="18"/>
        <v>Direct</v>
      </c>
      <c r="H3121" s="7" t="s">
        <v>349</v>
      </c>
    </row>
    <row r="3122" spans="1:8" x14ac:dyDescent="0.2">
      <c r="A3122" s="5" t="s">
        <v>13</v>
      </c>
      <c r="B3122" s="6" t="s">
        <v>19</v>
      </c>
      <c r="C3122" s="7" t="s">
        <v>3558</v>
      </c>
      <c r="D3122" s="7"/>
      <c r="E3122" s="8">
        <v>-1.7242731</v>
      </c>
      <c r="F3122" s="8">
        <v>-1.3681302</v>
      </c>
      <c r="G3122" s="7" t="str">
        <f t="shared" si="18"/>
        <v>Direct</v>
      </c>
      <c r="H3122" s="7" t="s">
        <v>3559</v>
      </c>
    </row>
    <row r="3123" spans="1:8" x14ac:dyDescent="0.2">
      <c r="A3123" s="5" t="s">
        <v>13</v>
      </c>
      <c r="B3123" s="6" t="s">
        <v>19</v>
      </c>
      <c r="C3123" s="7" t="s">
        <v>3560</v>
      </c>
      <c r="D3123" s="7"/>
      <c r="E3123" s="8">
        <v>-2.3144360000000002</v>
      </c>
      <c r="F3123" s="8">
        <v>-1.9696077999999999</v>
      </c>
      <c r="G3123" s="7" t="str">
        <f t="shared" si="18"/>
        <v>Direct</v>
      </c>
      <c r="H3123" s="7" t="s">
        <v>3561</v>
      </c>
    </row>
    <row r="3124" spans="1:8" x14ac:dyDescent="0.2">
      <c r="A3124" s="5" t="s">
        <v>13</v>
      </c>
      <c r="B3124" s="6" t="s">
        <v>19</v>
      </c>
      <c r="C3124" s="7" t="s">
        <v>3562</v>
      </c>
      <c r="D3124" s="7"/>
      <c r="E3124" s="8">
        <v>-1.0800253</v>
      </c>
      <c r="F3124" s="8">
        <v>-1.2094673</v>
      </c>
      <c r="G3124" s="7" t="str">
        <f t="shared" si="18"/>
        <v>Direct</v>
      </c>
      <c r="H3124" s="7" t="s">
        <v>3563</v>
      </c>
    </row>
    <row r="3125" spans="1:8" x14ac:dyDescent="0.2">
      <c r="A3125" s="5" t="s">
        <v>13</v>
      </c>
      <c r="B3125" s="6" t="s">
        <v>19</v>
      </c>
      <c r="C3125" s="7" t="s">
        <v>654</v>
      </c>
      <c r="D3125" s="7"/>
      <c r="E3125" s="8">
        <v>-2.2892187000000002</v>
      </c>
      <c r="F3125" s="8">
        <v>-2.2115504000000001</v>
      </c>
      <c r="G3125" s="7" t="str">
        <f t="shared" si="18"/>
        <v>Direct</v>
      </c>
      <c r="H3125" s="7" t="s">
        <v>655</v>
      </c>
    </row>
    <row r="3126" spans="1:8" x14ac:dyDescent="0.2">
      <c r="A3126" s="5" t="s">
        <v>13</v>
      </c>
      <c r="B3126" s="6" t="s">
        <v>19</v>
      </c>
      <c r="C3126" s="7" t="s">
        <v>3564</v>
      </c>
      <c r="D3126" s="7"/>
      <c r="E3126" s="8">
        <v>1.7251948500000001</v>
      </c>
      <c r="F3126" s="8">
        <v>1.5541844300000001</v>
      </c>
      <c r="G3126" s="7" t="str">
        <f t="shared" si="18"/>
        <v>Direct</v>
      </c>
      <c r="H3126" s="7" t="s">
        <v>1707</v>
      </c>
    </row>
    <row r="3127" spans="1:8" x14ac:dyDescent="0.2">
      <c r="A3127" s="5" t="s">
        <v>13</v>
      </c>
      <c r="B3127" s="6" t="s">
        <v>19</v>
      </c>
      <c r="C3127" s="7" t="s">
        <v>3565</v>
      </c>
      <c r="D3127" s="7"/>
      <c r="E3127" s="8">
        <v>1.45168769</v>
      </c>
      <c r="F3127" s="8">
        <v>1.5308783500000001</v>
      </c>
      <c r="G3127" s="7" t="str">
        <f t="shared" si="18"/>
        <v>Direct</v>
      </c>
      <c r="H3127" s="7" t="s">
        <v>3566</v>
      </c>
    </row>
    <row r="3128" spans="1:8" x14ac:dyDescent="0.2">
      <c r="A3128" s="5" t="s">
        <v>13</v>
      </c>
      <c r="B3128" s="6" t="s">
        <v>19</v>
      </c>
      <c r="C3128" s="7" t="s">
        <v>3567</v>
      </c>
      <c r="D3128" s="7"/>
      <c r="E3128" s="8">
        <v>2.0093427099999999</v>
      </c>
      <c r="F3128" s="8">
        <v>2.2911417900000002</v>
      </c>
      <c r="G3128" s="7" t="str">
        <f t="shared" si="18"/>
        <v>Direct</v>
      </c>
      <c r="H3128" s="7" t="s">
        <v>16</v>
      </c>
    </row>
    <row r="3129" spans="1:8" x14ac:dyDescent="0.2">
      <c r="A3129" s="5" t="s">
        <v>13</v>
      </c>
      <c r="B3129" s="6" t="s">
        <v>19</v>
      </c>
      <c r="C3129" s="7" t="s">
        <v>3568</v>
      </c>
      <c r="D3129" s="7"/>
      <c r="E3129" s="8">
        <v>-1.3486644999999999</v>
      </c>
      <c r="F3129" s="8">
        <v>-1.3518889999999999</v>
      </c>
      <c r="G3129" s="7" t="str">
        <f t="shared" si="18"/>
        <v>Direct</v>
      </c>
      <c r="H3129" s="7" t="s">
        <v>16</v>
      </c>
    </row>
    <row r="3130" spans="1:8" x14ac:dyDescent="0.2">
      <c r="A3130" s="5" t="s">
        <v>13</v>
      </c>
      <c r="B3130" s="6" t="s">
        <v>19</v>
      </c>
      <c r="C3130" s="7" t="s">
        <v>3569</v>
      </c>
      <c r="D3130" s="7"/>
      <c r="E3130" s="8">
        <v>-1.0450804</v>
      </c>
      <c r="F3130" s="8">
        <v>-1.1126206999999999</v>
      </c>
      <c r="G3130" s="7" t="str">
        <f t="shared" si="18"/>
        <v>Direct</v>
      </c>
      <c r="H3130" s="7" t="s">
        <v>3570</v>
      </c>
    </row>
    <row r="3131" spans="1:8" x14ac:dyDescent="0.2">
      <c r="A3131" s="5" t="s">
        <v>13</v>
      </c>
      <c r="B3131" s="6" t="s">
        <v>19</v>
      </c>
      <c r="C3131" s="7" t="s">
        <v>3571</v>
      </c>
      <c r="D3131" s="7"/>
      <c r="E3131" s="8">
        <v>-1.1027815000000001</v>
      </c>
      <c r="F3131" s="8">
        <v>-1.0103593</v>
      </c>
      <c r="G3131" s="7" t="str">
        <f t="shared" si="18"/>
        <v>Direct</v>
      </c>
      <c r="H3131" s="7" t="s">
        <v>192</v>
      </c>
    </row>
    <row r="3132" spans="1:8" x14ac:dyDescent="0.2">
      <c r="A3132" s="5" t="s">
        <v>13</v>
      </c>
      <c r="B3132" s="6" t="s">
        <v>19</v>
      </c>
      <c r="C3132" s="7" t="s">
        <v>3572</v>
      </c>
      <c r="D3132" s="7"/>
      <c r="E3132" s="8">
        <v>-1.3650354</v>
      </c>
      <c r="F3132" s="8">
        <v>-2.5956177</v>
      </c>
      <c r="G3132" s="7" t="str">
        <f t="shared" si="18"/>
        <v>Direct</v>
      </c>
      <c r="H3132" s="7" t="s">
        <v>3573</v>
      </c>
    </row>
    <row r="3133" spans="1:8" x14ac:dyDescent="0.2">
      <c r="A3133" s="5" t="s">
        <v>13</v>
      </c>
      <c r="B3133" s="6" t="s">
        <v>19</v>
      </c>
      <c r="C3133" s="7" t="s">
        <v>3574</v>
      </c>
      <c r="D3133" s="7"/>
      <c r="E3133" s="8">
        <v>-1.6610149000000001</v>
      </c>
      <c r="F3133" s="8">
        <v>-1.2966605</v>
      </c>
      <c r="G3133" s="7" t="str">
        <f t="shared" si="18"/>
        <v>Direct</v>
      </c>
      <c r="H3133" s="7" t="s">
        <v>16</v>
      </c>
    </row>
    <row r="3134" spans="1:8" x14ac:dyDescent="0.2">
      <c r="A3134" s="5" t="s">
        <v>13</v>
      </c>
      <c r="B3134" s="6" t="s">
        <v>19</v>
      </c>
      <c r="C3134" s="7" t="s">
        <v>3575</v>
      </c>
      <c r="D3134" s="7"/>
      <c r="E3134" s="8">
        <v>-7.2937557999999996</v>
      </c>
      <c r="F3134" s="8">
        <v>-5.3612301000000002</v>
      </c>
      <c r="G3134" s="7" t="str">
        <f t="shared" si="18"/>
        <v>Direct</v>
      </c>
      <c r="H3134" s="7" t="s">
        <v>16</v>
      </c>
    </row>
    <row r="3135" spans="1:8" x14ac:dyDescent="0.2">
      <c r="A3135" s="5" t="s">
        <v>13</v>
      </c>
      <c r="B3135" s="6" t="s">
        <v>19</v>
      </c>
      <c r="C3135" s="7" t="s">
        <v>3576</v>
      </c>
      <c r="D3135" s="7"/>
      <c r="E3135" s="8">
        <v>2.1277181999999999</v>
      </c>
      <c r="F3135" s="8">
        <v>2.0403533700000001</v>
      </c>
      <c r="G3135" s="7" t="str">
        <f t="shared" si="18"/>
        <v>Direct</v>
      </c>
      <c r="H3135" s="7" t="s">
        <v>16</v>
      </c>
    </row>
    <row r="3136" spans="1:8" x14ac:dyDescent="0.2">
      <c r="A3136" s="5" t="s">
        <v>13</v>
      </c>
      <c r="B3136" s="6" t="s">
        <v>19</v>
      </c>
      <c r="C3136" s="7" t="s">
        <v>3577</v>
      </c>
      <c r="D3136" s="7"/>
      <c r="E3136" s="8">
        <v>6.7318735700000003</v>
      </c>
      <c r="F3136" s="8">
        <v>2.6205833300000001</v>
      </c>
      <c r="G3136" s="7" t="str">
        <f t="shared" si="18"/>
        <v>Direct</v>
      </c>
      <c r="H3136" s="7" t="s">
        <v>16</v>
      </c>
    </row>
    <row r="3137" spans="1:8" x14ac:dyDescent="0.2">
      <c r="A3137" s="5" t="s">
        <v>13</v>
      </c>
      <c r="B3137" s="6" t="s">
        <v>19</v>
      </c>
      <c r="C3137" s="7" t="s">
        <v>3578</v>
      </c>
      <c r="D3137" s="7"/>
      <c r="E3137" s="8">
        <v>1.9149517899999999</v>
      </c>
      <c r="F3137" s="8">
        <v>1.76195886</v>
      </c>
      <c r="G3137" s="7" t="str">
        <f t="shared" si="18"/>
        <v>Direct</v>
      </c>
      <c r="H3137" s="7" t="s">
        <v>16</v>
      </c>
    </row>
    <row r="3138" spans="1:8" x14ac:dyDescent="0.2">
      <c r="A3138" s="5" t="s">
        <v>13</v>
      </c>
      <c r="B3138" s="6" t="s">
        <v>19</v>
      </c>
      <c r="C3138" s="7" t="s">
        <v>3579</v>
      </c>
      <c r="D3138" s="7"/>
      <c r="E3138" s="8">
        <v>-3.5400835000000002</v>
      </c>
      <c r="F3138" s="8">
        <v>-3.6797442999999999</v>
      </c>
      <c r="G3138" s="7" t="str">
        <f t="shared" si="18"/>
        <v>Direct</v>
      </c>
      <c r="H3138" s="7" t="s">
        <v>16</v>
      </c>
    </row>
    <row r="3139" spans="1:8" x14ac:dyDescent="0.2">
      <c r="A3139" s="5" t="s">
        <v>13</v>
      </c>
      <c r="B3139" s="6" t="s">
        <v>19</v>
      </c>
      <c r="C3139" s="7" t="s">
        <v>3580</v>
      </c>
      <c r="D3139" s="7"/>
      <c r="E3139" s="8">
        <v>-5.2392931999999997</v>
      </c>
      <c r="F3139" s="8">
        <v>-3.6851945000000002</v>
      </c>
      <c r="G3139" s="7" t="str">
        <f t="shared" si="18"/>
        <v>Direct</v>
      </c>
      <c r="H3139" s="7" t="s">
        <v>3581</v>
      </c>
    </row>
    <row r="3140" spans="1:8" x14ac:dyDescent="0.2">
      <c r="A3140" s="5" t="s">
        <v>13</v>
      </c>
      <c r="B3140" s="6" t="s">
        <v>19</v>
      </c>
      <c r="C3140" s="7" t="s">
        <v>3582</v>
      </c>
      <c r="D3140" s="7"/>
      <c r="E3140" s="8">
        <v>1.3537269599999999</v>
      </c>
      <c r="F3140" s="8">
        <v>2.1704784199999998</v>
      </c>
      <c r="G3140" s="7" t="str">
        <f t="shared" si="18"/>
        <v>Direct</v>
      </c>
      <c r="H3140" s="7" t="s">
        <v>16</v>
      </c>
    </row>
    <row r="3141" spans="1:8" x14ac:dyDescent="0.2">
      <c r="A3141" s="5" t="s">
        <v>13</v>
      </c>
      <c r="B3141" s="6" t="s">
        <v>19</v>
      </c>
      <c r="C3141" s="7" t="s">
        <v>656</v>
      </c>
      <c r="D3141" s="7"/>
      <c r="E3141" s="8">
        <v>-4.2735700999999997</v>
      </c>
      <c r="F3141" s="8">
        <v>-2.4454842000000001</v>
      </c>
      <c r="G3141" s="7" t="str">
        <f t="shared" si="18"/>
        <v>Direct</v>
      </c>
      <c r="H3141" s="7" t="s">
        <v>657</v>
      </c>
    </row>
    <row r="3142" spans="1:8" x14ac:dyDescent="0.2">
      <c r="A3142" s="5" t="s">
        <v>13</v>
      </c>
      <c r="B3142" s="6" t="s">
        <v>19</v>
      </c>
      <c r="C3142" s="7" t="s">
        <v>658</v>
      </c>
      <c r="D3142" s="7"/>
      <c r="E3142" s="8">
        <v>-3.6617780999999998</v>
      </c>
      <c r="F3142" s="8">
        <v>-2.8623474</v>
      </c>
      <c r="G3142" s="7" t="str">
        <f t="shared" si="18"/>
        <v>Direct</v>
      </c>
      <c r="H3142" s="7" t="s">
        <v>659</v>
      </c>
    </row>
    <row r="3143" spans="1:8" x14ac:dyDescent="0.2">
      <c r="A3143" s="5" t="s">
        <v>13</v>
      </c>
      <c r="B3143" s="6" t="s">
        <v>19</v>
      </c>
      <c r="C3143" s="7" t="s">
        <v>3583</v>
      </c>
      <c r="D3143" s="7"/>
      <c r="E3143" s="8">
        <v>-2.5308864</v>
      </c>
      <c r="F3143" s="8">
        <v>-2.1717274999999998</v>
      </c>
      <c r="G3143" s="7" t="str">
        <f t="shared" si="18"/>
        <v>Direct</v>
      </c>
      <c r="H3143" s="7" t="s">
        <v>16</v>
      </c>
    </row>
    <row r="3144" spans="1:8" x14ac:dyDescent="0.2">
      <c r="A3144" s="5" t="s">
        <v>13</v>
      </c>
      <c r="B3144" s="6" t="s">
        <v>19</v>
      </c>
      <c r="C3144" s="7" t="s">
        <v>660</v>
      </c>
      <c r="D3144" s="7"/>
      <c r="E3144" s="8">
        <v>-3.9904259999999998</v>
      </c>
      <c r="F3144" s="8">
        <v>-1.3066248</v>
      </c>
      <c r="G3144" s="7" t="str">
        <f t="shared" si="18"/>
        <v>Direct</v>
      </c>
      <c r="H3144" s="7" t="s">
        <v>661</v>
      </c>
    </row>
    <row r="3145" spans="1:8" x14ac:dyDescent="0.2">
      <c r="A3145" s="5" t="s">
        <v>13</v>
      </c>
      <c r="B3145" s="6" t="s">
        <v>19</v>
      </c>
      <c r="C3145" s="7" t="s">
        <v>3584</v>
      </c>
      <c r="D3145" s="7"/>
      <c r="E3145" s="8">
        <v>-4.6058617000000002</v>
      </c>
      <c r="F3145" s="8">
        <v>-4.3881888</v>
      </c>
      <c r="G3145" s="7" t="str">
        <f t="shared" si="18"/>
        <v>Direct</v>
      </c>
      <c r="H3145" s="7" t="s">
        <v>558</v>
      </c>
    </row>
    <row r="3146" spans="1:8" x14ac:dyDescent="0.2">
      <c r="A3146" s="5" t="s">
        <v>13</v>
      </c>
      <c r="B3146" s="6" t="s">
        <v>19</v>
      </c>
      <c r="C3146" s="7" t="s">
        <v>3585</v>
      </c>
      <c r="D3146" s="7"/>
      <c r="E3146" s="8">
        <v>-1.9710171999999999</v>
      </c>
      <c r="F3146" s="8">
        <v>-2.4421048000000001</v>
      </c>
      <c r="G3146" s="7" t="str">
        <f t="shared" si="18"/>
        <v>Direct</v>
      </c>
      <c r="H3146" s="7" t="s">
        <v>2983</v>
      </c>
    </row>
    <row r="3147" spans="1:8" x14ac:dyDescent="0.2">
      <c r="A3147" s="5" t="s">
        <v>13</v>
      </c>
      <c r="B3147" s="6" t="s">
        <v>19</v>
      </c>
      <c r="C3147" s="7" t="s">
        <v>3586</v>
      </c>
      <c r="D3147" s="7"/>
      <c r="E3147" s="8">
        <v>2.1488648000000001</v>
      </c>
      <c r="F3147" s="8">
        <v>2.2621686799999998</v>
      </c>
      <c r="G3147" s="7" t="str">
        <f t="shared" si="18"/>
        <v>Direct</v>
      </c>
      <c r="H3147" s="7" t="s">
        <v>16</v>
      </c>
    </row>
    <row r="3148" spans="1:8" x14ac:dyDescent="0.2">
      <c r="A3148" s="5" t="s">
        <v>13</v>
      </c>
      <c r="B3148" s="6" t="s">
        <v>19</v>
      </c>
      <c r="C3148" s="7" t="s">
        <v>3587</v>
      </c>
      <c r="D3148" s="7"/>
      <c r="E3148" s="8">
        <v>1.77280679</v>
      </c>
      <c r="F3148" s="8">
        <v>1.1429774699999999</v>
      </c>
      <c r="G3148" s="7" t="str">
        <f t="shared" si="18"/>
        <v>Direct</v>
      </c>
      <c r="H3148" s="7" t="s">
        <v>3588</v>
      </c>
    </row>
    <row r="3149" spans="1:8" x14ac:dyDescent="0.2">
      <c r="A3149" s="5" t="s">
        <v>13</v>
      </c>
      <c r="B3149" s="6" t="s">
        <v>19</v>
      </c>
      <c r="C3149" s="7" t="s">
        <v>662</v>
      </c>
      <c r="D3149" s="7"/>
      <c r="E3149" s="8">
        <v>1.6220417300000001</v>
      </c>
      <c r="F3149" s="8">
        <v>1.0907027600000001</v>
      </c>
      <c r="G3149" s="7" t="str">
        <f t="shared" si="18"/>
        <v>Direct</v>
      </c>
      <c r="H3149" s="7" t="s">
        <v>663</v>
      </c>
    </row>
    <row r="3150" spans="1:8" x14ac:dyDescent="0.2">
      <c r="A3150" s="5" t="s">
        <v>13</v>
      </c>
      <c r="B3150" s="6" t="s">
        <v>19</v>
      </c>
      <c r="C3150" s="7" t="s">
        <v>3589</v>
      </c>
      <c r="D3150" s="7"/>
      <c r="E3150" s="8">
        <v>-2.0626612</v>
      </c>
      <c r="F3150" s="8">
        <v>-2.0691217000000002</v>
      </c>
      <c r="G3150" s="7" t="str">
        <f t="shared" si="18"/>
        <v>Direct</v>
      </c>
      <c r="H3150" s="7" t="s">
        <v>3590</v>
      </c>
    </row>
    <row r="3151" spans="1:8" x14ac:dyDescent="0.2">
      <c r="A3151" s="5" t="s">
        <v>13</v>
      </c>
      <c r="B3151" s="6" t="s">
        <v>19</v>
      </c>
      <c r="C3151" s="7" t="s">
        <v>664</v>
      </c>
      <c r="D3151" s="7"/>
      <c r="E3151" s="8">
        <v>-2.0506647</v>
      </c>
      <c r="F3151" s="8">
        <v>-2.6268767</v>
      </c>
      <c r="G3151" s="7" t="str">
        <f t="shared" si="18"/>
        <v>Direct</v>
      </c>
      <c r="H3151" s="7" t="s">
        <v>665</v>
      </c>
    </row>
    <row r="3152" spans="1:8" x14ac:dyDescent="0.2">
      <c r="A3152" s="5" t="s">
        <v>13</v>
      </c>
      <c r="B3152" s="6" t="s">
        <v>19</v>
      </c>
      <c r="C3152" s="7" t="s">
        <v>3591</v>
      </c>
      <c r="D3152" s="7"/>
      <c r="E3152" s="8">
        <v>-1.0508278</v>
      </c>
      <c r="F3152" s="8">
        <v>-2.4454842000000001</v>
      </c>
      <c r="G3152" s="7" t="str">
        <f t="shared" si="18"/>
        <v>Direct</v>
      </c>
      <c r="H3152" s="7" t="s">
        <v>16</v>
      </c>
    </row>
    <row r="3153" spans="1:8" x14ac:dyDescent="0.2">
      <c r="A3153" s="5" t="s">
        <v>13</v>
      </c>
      <c r="B3153" s="6" t="s">
        <v>19</v>
      </c>
      <c r="C3153" s="7" t="s">
        <v>3592</v>
      </c>
      <c r="D3153" s="7"/>
      <c r="E3153" s="8">
        <v>-6.9218453999999996</v>
      </c>
      <c r="F3153" s="8">
        <v>-5.4021792</v>
      </c>
      <c r="G3153" s="7" t="str">
        <f t="shared" si="18"/>
        <v>Direct</v>
      </c>
      <c r="H3153" s="7" t="s">
        <v>1995</v>
      </c>
    </row>
    <row r="3154" spans="1:8" x14ac:dyDescent="0.2">
      <c r="A3154" s="5" t="s">
        <v>13</v>
      </c>
      <c r="B3154" s="6" t="s">
        <v>19</v>
      </c>
      <c r="C3154" s="7" t="s">
        <v>3593</v>
      </c>
      <c r="D3154" s="7"/>
      <c r="E3154" s="8">
        <v>-1.3410483</v>
      </c>
      <c r="F3154" s="8">
        <v>-2.1807503000000001</v>
      </c>
      <c r="G3154" s="7" t="str">
        <f t="shared" si="18"/>
        <v>Direct</v>
      </c>
      <c r="H3154" s="7" t="s">
        <v>16</v>
      </c>
    </row>
    <row r="3155" spans="1:8" x14ac:dyDescent="0.2">
      <c r="A3155" s="5" t="s">
        <v>13</v>
      </c>
      <c r="B3155" s="6" t="s">
        <v>19</v>
      </c>
      <c r="C3155" s="7" t="s">
        <v>3594</v>
      </c>
      <c r="D3155" s="7"/>
      <c r="E3155" s="8">
        <v>-1.2757016000000001</v>
      </c>
      <c r="F3155" s="8">
        <v>-1.4414051000000001</v>
      </c>
      <c r="G3155" s="7" t="str">
        <f t="shared" si="18"/>
        <v>Direct</v>
      </c>
      <c r="H3155" s="7" t="s">
        <v>3595</v>
      </c>
    </row>
    <row r="3156" spans="1:8" x14ac:dyDescent="0.2">
      <c r="A3156" s="5" t="s">
        <v>13</v>
      </c>
      <c r="B3156" s="6" t="s">
        <v>19</v>
      </c>
      <c r="C3156" s="7" t="s">
        <v>666</v>
      </c>
      <c r="D3156" s="7"/>
      <c r="E3156" s="8">
        <v>-2.5818401999999998</v>
      </c>
      <c r="F3156" s="8">
        <v>-3.2776320999999999</v>
      </c>
      <c r="G3156" s="7" t="str">
        <f t="shared" si="18"/>
        <v>Direct</v>
      </c>
      <c r="H3156" s="7" t="s">
        <v>417</v>
      </c>
    </row>
    <row r="3157" spans="1:8" x14ac:dyDescent="0.2">
      <c r="A3157" s="5" t="s">
        <v>13</v>
      </c>
      <c r="B3157" s="6" t="s">
        <v>19</v>
      </c>
      <c r="C3157" s="7" t="s">
        <v>3596</v>
      </c>
      <c r="D3157" s="7"/>
      <c r="E3157" s="8">
        <v>-5.1782927000000001</v>
      </c>
      <c r="F3157" s="8">
        <v>-5.0847356000000001</v>
      </c>
      <c r="G3157" s="7" t="str">
        <f t="shared" si="18"/>
        <v>Direct</v>
      </c>
      <c r="H3157" s="7" t="s">
        <v>3597</v>
      </c>
    </row>
    <row r="3158" spans="1:8" x14ac:dyDescent="0.2">
      <c r="A3158" s="5" t="s">
        <v>13</v>
      </c>
      <c r="B3158" s="6" t="s">
        <v>19</v>
      </c>
      <c r="C3158" s="7" t="s">
        <v>3598</v>
      </c>
      <c r="D3158" s="7"/>
      <c r="E3158" s="8">
        <v>4.86879712</v>
      </c>
      <c r="F3158" s="8">
        <v>2.7971189500000002</v>
      </c>
      <c r="G3158" s="7" t="str">
        <f t="shared" si="18"/>
        <v>Direct</v>
      </c>
      <c r="H3158" s="7" t="s">
        <v>16</v>
      </c>
    </row>
    <row r="3159" spans="1:8" x14ac:dyDescent="0.2">
      <c r="A3159" s="5" t="s">
        <v>13</v>
      </c>
      <c r="B3159" s="6" t="s">
        <v>19</v>
      </c>
      <c r="C3159" s="7" t="s">
        <v>3599</v>
      </c>
      <c r="D3159" s="7"/>
      <c r="E3159" s="8">
        <v>-3.3059596</v>
      </c>
      <c r="F3159" s="8">
        <v>-3.2406207999999999</v>
      </c>
      <c r="G3159" s="7" t="str">
        <f t="shared" si="18"/>
        <v>Direct</v>
      </c>
      <c r="H3159" s="7" t="s">
        <v>3600</v>
      </c>
    </row>
    <row r="3160" spans="1:8" x14ac:dyDescent="0.2">
      <c r="A3160" s="5" t="s">
        <v>13</v>
      </c>
      <c r="B3160" s="6" t="s">
        <v>19</v>
      </c>
      <c r="C3160" s="7" t="s">
        <v>3601</v>
      </c>
      <c r="D3160" s="7"/>
      <c r="E3160" s="8">
        <v>-2.5719888000000002</v>
      </c>
      <c r="F3160" s="8">
        <v>-2.1440646000000001</v>
      </c>
      <c r="G3160" s="7" t="str">
        <f t="shared" si="18"/>
        <v>Direct</v>
      </c>
      <c r="H3160" s="7" t="s">
        <v>16</v>
      </c>
    </row>
    <row r="3161" spans="1:8" x14ac:dyDescent="0.2">
      <c r="A3161" s="5" t="s">
        <v>13</v>
      </c>
      <c r="B3161" s="6" t="s">
        <v>19</v>
      </c>
      <c r="C3161" s="7" t="s">
        <v>3602</v>
      </c>
      <c r="D3161" s="7"/>
      <c r="E3161" s="8">
        <v>-5.1467153000000003</v>
      </c>
      <c r="F3161" s="8">
        <v>-4.3030919000000001</v>
      </c>
      <c r="G3161" s="7" t="str">
        <f t="shared" si="18"/>
        <v>Direct</v>
      </c>
      <c r="H3161" s="7" t="s">
        <v>16</v>
      </c>
    </row>
    <row r="3162" spans="1:8" x14ac:dyDescent="0.2">
      <c r="A3162" s="5" t="s">
        <v>13</v>
      </c>
      <c r="B3162" s="6" t="s">
        <v>19</v>
      </c>
      <c r="C3162" s="7" t="s">
        <v>3603</v>
      </c>
      <c r="D3162" s="7"/>
      <c r="E3162" s="8">
        <v>1.54686759</v>
      </c>
      <c r="F3162" s="8">
        <v>1.1549912</v>
      </c>
      <c r="G3162" s="7" t="str">
        <f t="shared" si="18"/>
        <v>Direct</v>
      </c>
      <c r="H3162" s="7" t="s">
        <v>3604</v>
      </c>
    </row>
    <row r="3163" spans="1:8" x14ac:dyDescent="0.2">
      <c r="A3163" s="5" t="s">
        <v>13</v>
      </c>
      <c r="B3163" s="6" t="s">
        <v>19</v>
      </c>
      <c r="C3163" s="7" t="s">
        <v>3605</v>
      </c>
      <c r="D3163" s="7"/>
      <c r="E3163" s="8">
        <v>2.7070946500000002</v>
      </c>
      <c r="F3163" s="8">
        <v>1.9493441499999999</v>
      </c>
      <c r="G3163" s="7" t="str">
        <f t="shared" si="18"/>
        <v>Direct</v>
      </c>
      <c r="H3163" s="7" t="s">
        <v>1043</v>
      </c>
    </row>
    <row r="3164" spans="1:8" x14ac:dyDescent="0.2">
      <c r="A3164" s="5" t="s">
        <v>13</v>
      </c>
      <c r="B3164" s="6" t="s">
        <v>19</v>
      </c>
      <c r="C3164" s="7" t="s">
        <v>3606</v>
      </c>
      <c r="D3164" s="7"/>
      <c r="E3164" s="8">
        <v>-3.3603393000000001</v>
      </c>
      <c r="F3164" s="8">
        <v>-5.2999612999999997</v>
      </c>
      <c r="G3164" s="7" t="str">
        <f t="shared" si="18"/>
        <v>Direct</v>
      </c>
      <c r="H3164" s="7" t="s">
        <v>16</v>
      </c>
    </row>
    <row r="3165" spans="1:8" x14ac:dyDescent="0.2">
      <c r="A3165" s="5" t="s">
        <v>13</v>
      </c>
      <c r="B3165" s="6" t="s">
        <v>19</v>
      </c>
      <c r="C3165" s="7" t="s">
        <v>3607</v>
      </c>
      <c r="D3165" s="7"/>
      <c r="E3165" s="8">
        <v>2.3412355900000001</v>
      </c>
      <c r="F3165" s="8">
        <v>1.27285969</v>
      </c>
      <c r="G3165" s="7" t="str">
        <f t="shared" si="18"/>
        <v>Direct</v>
      </c>
      <c r="H3165" s="7" t="s">
        <v>16</v>
      </c>
    </row>
    <row r="3166" spans="1:8" x14ac:dyDescent="0.2">
      <c r="A3166" s="5" t="s">
        <v>13</v>
      </c>
      <c r="B3166" s="6" t="s">
        <v>19</v>
      </c>
      <c r="C3166" s="7" t="s">
        <v>3608</v>
      </c>
      <c r="D3166" s="7"/>
      <c r="E3166" s="8">
        <v>2.3496440999999999</v>
      </c>
      <c r="F3166" s="8">
        <v>2.1056192999999999</v>
      </c>
      <c r="G3166" s="7" t="str">
        <f t="shared" si="18"/>
        <v>Direct</v>
      </c>
      <c r="H3166" s="7" t="s">
        <v>16</v>
      </c>
    </row>
    <row r="3167" spans="1:8" x14ac:dyDescent="0.2">
      <c r="A3167" s="5" t="s">
        <v>13</v>
      </c>
      <c r="B3167" s="6" t="s">
        <v>19</v>
      </c>
      <c r="C3167" s="7" t="s">
        <v>3609</v>
      </c>
      <c r="D3167" s="7"/>
      <c r="E3167" s="8">
        <v>-10.550367</v>
      </c>
      <c r="F3167" s="8">
        <v>-6.7089473000000002</v>
      </c>
      <c r="G3167" s="7" t="str">
        <f t="shared" si="18"/>
        <v>Direct</v>
      </c>
      <c r="H3167" s="7" t="s">
        <v>3610</v>
      </c>
    </row>
    <row r="3168" spans="1:8" x14ac:dyDescent="0.2">
      <c r="A3168" s="5" t="s">
        <v>13</v>
      </c>
      <c r="B3168" s="6" t="s">
        <v>19</v>
      </c>
      <c r="C3168" s="7" t="s">
        <v>3611</v>
      </c>
      <c r="D3168" s="7"/>
      <c r="E3168" s="8">
        <v>-1.0634155999999999</v>
      </c>
      <c r="F3168" s="8">
        <v>-1.1304069000000001</v>
      </c>
      <c r="G3168" s="7" t="str">
        <f t="shared" si="18"/>
        <v>Direct</v>
      </c>
      <c r="H3168" s="7" t="s">
        <v>3612</v>
      </c>
    </row>
    <row r="3169" spans="1:8" x14ac:dyDescent="0.2">
      <c r="A3169" s="5" t="s">
        <v>13</v>
      </c>
      <c r="B3169" s="6" t="s">
        <v>19</v>
      </c>
      <c r="C3169" s="7" t="s">
        <v>3613</v>
      </c>
      <c r="D3169" s="7"/>
      <c r="E3169" s="8">
        <v>1.0450803900000001</v>
      </c>
      <c r="F3169" s="8">
        <v>1.1606368</v>
      </c>
      <c r="G3169" s="7" t="str">
        <f t="shared" si="18"/>
        <v>Direct</v>
      </c>
      <c r="H3169" s="7" t="s">
        <v>24</v>
      </c>
    </row>
    <row r="3170" spans="1:8" x14ac:dyDescent="0.2">
      <c r="A3170" s="5" t="s">
        <v>13</v>
      </c>
      <c r="B3170" s="6" t="s">
        <v>19</v>
      </c>
      <c r="C3170" s="7" t="s">
        <v>667</v>
      </c>
      <c r="D3170" s="7"/>
      <c r="E3170" s="8">
        <v>-1.5827253999999999</v>
      </c>
      <c r="F3170" s="8">
        <v>-1.5161625000000001</v>
      </c>
      <c r="G3170" s="7" t="str">
        <f t="shared" si="18"/>
        <v>Direct</v>
      </c>
      <c r="H3170" s="7" t="s">
        <v>16</v>
      </c>
    </row>
    <row r="3171" spans="1:8" x14ac:dyDescent="0.2">
      <c r="A3171" s="5" t="s">
        <v>13</v>
      </c>
      <c r="B3171" s="6" t="s">
        <v>19</v>
      </c>
      <c r="C3171" s="7" t="s">
        <v>3614</v>
      </c>
      <c r="D3171" s="7"/>
      <c r="E3171" s="8">
        <v>-3.9920762999999999</v>
      </c>
      <c r="F3171" s="8">
        <v>-4.9531387999999996</v>
      </c>
      <c r="G3171" s="7" t="str">
        <f t="shared" si="18"/>
        <v>Direct</v>
      </c>
      <c r="H3171" s="7" t="s">
        <v>3615</v>
      </c>
    </row>
    <row r="3172" spans="1:8" x14ac:dyDescent="0.2">
      <c r="A3172" s="5" t="s">
        <v>13</v>
      </c>
      <c r="B3172" s="6" t="s">
        <v>19</v>
      </c>
      <c r="C3172" s="7" t="s">
        <v>3616</v>
      </c>
      <c r="D3172" s="7"/>
      <c r="E3172" s="8">
        <v>-1.5501258</v>
      </c>
      <c r="F3172" s="8">
        <v>-1.1995722</v>
      </c>
      <c r="G3172" s="7" t="str">
        <f t="shared" si="18"/>
        <v>Direct</v>
      </c>
      <c r="H3172" s="7" t="s">
        <v>3617</v>
      </c>
    </row>
    <row r="3173" spans="1:8" x14ac:dyDescent="0.2">
      <c r="A3173" s="5" t="s">
        <v>13</v>
      </c>
      <c r="B3173" s="6" t="s">
        <v>19</v>
      </c>
      <c r="C3173" s="7" t="s">
        <v>3618</v>
      </c>
      <c r="D3173" s="7"/>
      <c r="E3173" s="8">
        <v>2.0083450799999998</v>
      </c>
      <c r="F3173" s="8">
        <v>2.3288476500000002</v>
      </c>
      <c r="G3173" s="7" t="str">
        <f t="shared" si="18"/>
        <v>Direct</v>
      </c>
      <c r="H3173" s="7" t="s">
        <v>3619</v>
      </c>
    </row>
    <row r="3174" spans="1:8" x14ac:dyDescent="0.2">
      <c r="A3174" s="5" t="s">
        <v>13</v>
      </c>
      <c r="B3174" s="6" t="s">
        <v>19</v>
      </c>
      <c r="C3174" s="7" t="s">
        <v>668</v>
      </c>
      <c r="D3174" s="7"/>
      <c r="E3174" s="8">
        <v>-1.7905180000000001</v>
      </c>
      <c r="F3174" s="8">
        <v>-4.3709689999999997</v>
      </c>
      <c r="G3174" s="7" t="str">
        <f t="shared" si="18"/>
        <v>Direct</v>
      </c>
      <c r="H3174" s="7" t="s">
        <v>16</v>
      </c>
    </row>
    <row r="3175" spans="1:8" x14ac:dyDescent="0.2">
      <c r="A3175" s="5" t="s">
        <v>13</v>
      </c>
      <c r="B3175" s="6" t="s">
        <v>19</v>
      </c>
      <c r="C3175" s="7" t="s">
        <v>3620</v>
      </c>
      <c r="D3175" s="7"/>
      <c r="E3175" s="8">
        <v>-2.2660661000000002</v>
      </c>
      <c r="F3175" s="8">
        <v>-1.7922647</v>
      </c>
      <c r="G3175" s="7" t="str">
        <f t="shared" si="18"/>
        <v>Direct</v>
      </c>
      <c r="H3175" s="7" t="s">
        <v>3621</v>
      </c>
    </row>
    <row r="3176" spans="1:8" x14ac:dyDescent="0.2">
      <c r="A3176" s="5" t="s">
        <v>13</v>
      </c>
      <c r="B3176" s="6" t="s">
        <v>19</v>
      </c>
      <c r="C3176" s="7" t="s">
        <v>3622</v>
      </c>
      <c r="D3176" s="7"/>
      <c r="E3176" s="8">
        <v>2.3484034500000002</v>
      </c>
      <c r="F3176" s="8">
        <v>1.9027075600000001</v>
      </c>
      <c r="G3176" s="7" t="str">
        <f t="shared" si="18"/>
        <v>Direct</v>
      </c>
      <c r="H3176" s="7" t="s">
        <v>3623</v>
      </c>
    </row>
    <row r="3177" spans="1:8" x14ac:dyDescent="0.2">
      <c r="A3177" s="5" t="s">
        <v>13</v>
      </c>
      <c r="B3177" s="6" t="s">
        <v>19</v>
      </c>
      <c r="C3177" s="7" t="s">
        <v>670</v>
      </c>
      <c r="D3177" s="7"/>
      <c r="E3177" s="8">
        <v>-5.1092858999999997</v>
      </c>
      <c r="F3177" s="8">
        <v>-2.9866101</v>
      </c>
      <c r="G3177" s="7" t="str">
        <f t="shared" si="18"/>
        <v>Direct</v>
      </c>
      <c r="H3177" s="7" t="s">
        <v>16</v>
      </c>
    </row>
    <row r="3178" spans="1:8" x14ac:dyDescent="0.2">
      <c r="A3178" s="5" t="s">
        <v>13</v>
      </c>
      <c r="B3178" s="6" t="s">
        <v>19</v>
      </c>
      <c r="C3178" s="7" t="s">
        <v>3624</v>
      </c>
      <c r="D3178" s="7"/>
      <c r="E3178" s="8">
        <v>-2.6571481000000001</v>
      </c>
      <c r="F3178" s="8">
        <v>-2.5002469999999999</v>
      </c>
      <c r="G3178" s="7" t="str">
        <f t="shared" si="18"/>
        <v>Direct</v>
      </c>
      <c r="H3178" s="7" t="s">
        <v>16</v>
      </c>
    </row>
    <row r="3179" spans="1:8" x14ac:dyDescent="0.2">
      <c r="A3179" s="5" t="s">
        <v>13</v>
      </c>
      <c r="B3179" s="6" t="s">
        <v>19</v>
      </c>
      <c r="C3179" s="7" t="s">
        <v>3625</v>
      </c>
      <c r="D3179" s="7"/>
      <c r="E3179" s="8">
        <v>-2.6990006000000002</v>
      </c>
      <c r="F3179" s="8">
        <v>-2.0126998</v>
      </c>
      <c r="G3179" s="7" t="str">
        <f t="shared" si="18"/>
        <v>Direct</v>
      </c>
      <c r="H3179" s="7" t="s">
        <v>3626</v>
      </c>
    </row>
    <row r="3180" spans="1:8" x14ac:dyDescent="0.2">
      <c r="A3180" s="5" t="s">
        <v>13</v>
      </c>
      <c r="B3180" s="6" t="s">
        <v>19</v>
      </c>
      <c r="C3180" s="7" t="s">
        <v>3627</v>
      </c>
      <c r="D3180" s="7"/>
      <c r="E3180" s="8">
        <v>-5.2627534999999996</v>
      </c>
      <c r="F3180" s="8">
        <v>-5.6583741999999999</v>
      </c>
      <c r="G3180" s="7" t="str">
        <f t="shared" si="18"/>
        <v>Direct</v>
      </c>
      <c r="H3180" s="7" t="s">
        <v>3628</v>
      </c>
    </row>
    <row r="3181" spans="1:8" x14ac:dyDescent="0.2">
      <c r="A3181" s="5" t="s">
        <v>13</v>
      </c>
      <c r="B3181" s="6" t="s">
        <v>19</v>
      </c>
      <c r="C3181" s="7" t="s">
        <v>3629</v>
      </c>
      <c r="D3181" s="7"/>
      <c r="E3181" s="8">
        <v>-1.5207245</v>
      </c>
      <c r="F3181" s="8">
        <v>-1.9132450000000001</v>
      </c>
      <c r="G3181" s="7" t="str">
        <f t="shared" si="18"/>
        <v>Direct</v>
      </c>
      <c r="H3181" s="7" t="s">
        <v>3630</v>
      </c>
    </row>
    <row r="3182" spans="1:8" x14ac:dyDescent="0.2">
      <c r="A3182" s="5" t="s">
        <v>13</v>
      </c>
      <c r="B3182" s="6" t="s">
        <v>19</v>
      </c>
      <c r="C3182" s="7" t="s">
        <v>3631</v>
      </c>
      <c r="D3182" s="7"/>
      <c r="E3182" s="8">
        <v>7.3020952399999999</v>
      </c>
      <c r="F3182" s="8">
        <v>4.8321873499999999</v>
      </c>
      <c r="G3182" s="7" t="str">
        <f t="shared" si="18"/>
        <v>Direct</v>
      </c>
      <c r="H3182" s="7" t="s">
        <v>16</v>
      </c>
    </row>
    <row r="3183" spans="1:8" x14ac:dyDescent="0.2">
      <c r="A3183" s="5" t="s">
        <v>13</v>
      </c>
      <c r="B3183" s="6" t="s">
        <v>19</v>
      </c>
      <c r="C3183" s="7" t="s">
        <v>3632</v>
      </c>
      <c r="D3183" s="7"/>
      <c r="E3183" s="8">
        <v>-2.4634619999999998</v>
      </c>
      <c r="F3183" s="8">
        <v>-1.0957642999999999</v>
      </c>
      <c r="G3183" s="7" t="str">
        <f t="shared" si="18"/>
        <v>Direct</v>
      </c>
      <c r="H3183" s="7" t="s">
        <v>16</v>
      </c>
    </row>
    <row r="3184" spans="1:8" x14ac:dyDescent="0.2">
      <c r="A3184" s="5" t="s">
        <v>13</v>
      </c>
      <c r="B3184" s="6" t="s">
        <v>19</v>
      </c>
      <c r="C3184" s="7" t="s">
        <v>3633</v>
      </c>
      <c r="D3184" s="7"/>
      <c r="E3184" s="8">
        <v>-2.7893995999999999</v>
      </c>
      <c r="F3184" s="8">
        <v>-2.1335807</v>
      </c>
      <c r="G3184" s="7" t="str">
        <f t="shared" si="18"/>
        <v>Direct</v>
      </c>
      <c r="H3184" s="7" t="s">
        <v>3634</v>
      </c>
    </row>
    <row r="3185" spans="1:8" x14ac:dyDescent="0.2">
      <c r="A3185" s="5" t="s">
        <v>13</v>
      </c>
      <c r="B3185" s="6" t="s">
        <v>19</v>
      </c>
      <c r="C3185" s="7" t="s">
        <v>3635</v>
      </c>
      <c r="D3185" s="7"/>
      <c r="E3185" s="8">
        <v>-6.9719487000000004</v>
      </c>
      <c r="F3185" s="8">
        <v>-4.8595492</v>
      </c>
      <c r="G3185" s="7" t="str">
        <f t="shared" si="18"/>
        <v>Direct</v>
      </c>
      <c r="H3185" s="7" t="s">
        <v>3636</v>
      </c>
    </row>
    <row r="3186" spans="1:8" x14ac:dyDescent="0.2">
      <c r="A3186" s="5" t="s">
        <v>13</v>
      </c>
      <c r="B3186" s="6" t="s">
        <v>19</v>
      </c>
      <c r="C3186" s="7" t="s">
        <v>672</v>
      </c>
      <c r="D3186" s="7"/>
      <c r="E3186" s="8">
        <v>-2.3133374999999998</v>
      </c>
      <c r="F3186" s="8">
        <v>-3.9688034000000001</v>
      </c>
      <c r="G3186" s="7" t="str">
        <f t="shared" si="18"/>
        <v>Direct</v>
      </c>
      <c r="H3186" s="7" t="s">
        <v>673</v>
      </c>
    </row>
    <row r="3187" spans="1:8" x14ac:dyDescent="0.2">
      <c r="A3187" s="5" t="s">
        <v>13</v>
      </c>
      <c r="B3187" s="6" t="s">
        <v>19</v>
      </c>
      <c r="C3187" s="7" t="s">
        <v>3637</v>
      </c>
      <c r="D3187" s="7"/>
      <c r="E3187" s="8">
        <v>-2.2370261</v>
      </c>
      <c r="F3187" s="8">
        <v>-1.4465252</v>
      </c>
      <c r="G3187" s="7" t="str">
        <f t="shared" si="18"/>
        <v>Direct</v>
      </c>
      <c r="H3187" s="7" t="s">
        <v>2215</v>
      </c>
    </row>
    <row r="3188" spans="1:8" x14ac:dyDescent="0.2">
      <c r="A3188" s="5" t="s">
        <v>13</v>
      </c>
      <c r="B3188" s="6" t="s">
        <v>19</v>
      </c>
      <c r="C3188" s="7" t="s">
        <v>3638</v>
      </c>
      <c r="D3188" s="7"/>
      <c r="E3188" s="8">
        <v>-9.7930025000000001</v>
      </c>
      <c r="F3188" s="8">
        <v>-5.8675107000000004</v>
      </c>
      <c r="G3188" s="7" t="str">
        <f t="shared" si="18"/>
        <v>Direct</v>
      </c>
      <c r="H3188" s="7" t="s">
        <v>16</v>
      </c>
    </row>
    <row r="3189" spans="1:8" x14ac:dyDescent="0.2">
      <c r="A3189" s="5" t="s">
        <v>13</v>
      </c>
      <c r="B3189" s="6" t="s">
        <v>19</v>
      </c>
      <c r="C3189" s="7" t="s">
        <v>3639</v>
      </c>
      <c r="D3189" s="7"/>
      <c r="E3189" s="8">
        <v>-5.2609216999999999</v>
      </c>
      <c r="F3189" s="8">
        <v>-4.5492904000000003</v>
      </c>
      <c r="G3189" s="7" t="str">
        <f t="shared" si="18"/>
        <v>Direct</v>
      </c>
      <c r="H3189" s="7" t="s">
        <v>3640</v>
      </c>
    </row>
    <row r="3190" spans="1:8" x14ac:dyDescent="0.2">
      <c r="A3190" s="5" t="s">
        <v>13</v>
      </c>
      <c r="B3190" s="6" t="s">
        <v>19</v>
      </c>
      <c r="C3190" s="7" t="s">
        <v>3641</v>
      </c>
      <c r="D3190" s="7"/>
      <c r="E3190" s="8">
        <v>3.79343319</v>
      </c>
      <c r="F3190" s="8">
        <v>5.1794202900000004</v>
      </c>
      <c r="G3190" s="7" t="str">
        <f t="shared" si="18"/>
        <v>Direct</v>
      </c>
      <c r="H3190" s="7" t="s">
        <v>3642</v>
      </c>
    </row>
    <row r="3191" spans="1:8" x14ac:dyDescent="0.2">
      <c r="A3191" s="5" t="s">
        <v>13</v>
      </c>
      <c r="B3191" s="6" t="s">
        <v>19</v>
      </c>
      <c r="C3191" s="7" t="s">
        <v>674</v>
      </c>
      <c r="D3191" s="7"/>
      <c r="E3191" s="8">
        <v>-5.5877882999999997</v>
      </c>
      <c r="F3191" s="8">
        <v>-3.8899550000000001</v>
      </c>
      <c r="G3191" s="7" t="str">
        <f t="shared" si="18"/>
        <v>Direct</v>
      </c>
      <c r="H3191" s="7" t="s">
        <v>675</v>
      </c>
    </row>
    <row r="3192" spans="1:8" x14ac:dyDescent="0.2">
      <c r="A3192" s="5" t="s">
        <v>13</v>
      </c>
      <c r="B3192" s="6" t="s">
        <v>19</v>
      </c>
      <c r="C3192" s="7" t="s">
        <v>3643</v>
      </c>
      <c r="D3192" s="7"/>
      <c r="E3192" s="8">
        <v>-1.0053091000000001</v>
      </c>
      <c r="F3192" s="8">
        <v>-1.9512640000000001</v>
      </c>
      <c r="G3192" s="7" t="str">
        <f t="shared" si="18"/>
        <v>Direct</v>
      </c>
      <c r="H3192" s="7" t="s">
        <v>16</v>
      </c>
    </row>
    <row r="3193" spans="1:8" x14ac:dyDescent="0.2">
      <c r="A3193" s="5" t="s">
        <v>13</v>
      </c>
      <c r="B3193" s="6" t="s">
        <v>19</v>
      </c>
      <c r="C3193" s="7" t="s">
        <v>3644</v>
      </c>
      <c r="D3193" s="7"/>
      <c r="E3193" s="8">
        <v>-1.7710722000000001</v>
      </c>
      <c r="F3193" s="8">
        <v>-2.8630922000000001</v>
      </c>
      <c r="G3193" s="7" t="str">
        <f t="shared" si="18"/>
        <v>Direct</v>
      </c>
      <c r="H3193" s="7" t="s">
        <v>3645</v>
      </c>
    </row>
    <row r="3194" spans="1:8" x14ac:dyDescent="0.2">
      <c r="A3194" s="5" t="s">
        <v>13</v>
      </c>
      <c r="B3194" s="6" t="s">
        <v>19</v>
      </c>
      <c r="C3194" s="7" t="s">
        <v>3646</v>
      </c>
      <c r="D3194" s="7"/>
      <c r="E3194" s="8">
        <v>-1.6157279</v>
      </c>
      <c r="F3194" s="8">
        <v>-1.2702179</v>
      </c>
      <c r="G3194" s="7" t="str">
        <f t="shared" si="18"/>
        <v>Direct</v>
      </c>
      <c r="H3194" s="7" t="s">
        <v>3647</v>
      </c>
    </row>
    <row r="3195" spans="1:8" x14ac:dyDescent="0.2">
      <c r="A3195" s="5" t="s">
        <v>13</v>
      </c>
      <c r="B3195" s="6" t="s">
        <v>19</v>
      </c>
      <c r="C3195" s="7" t="s">
        <v>3648</v>
      </c>
      <c r="D3195" s="7"/>
      <c r="E3195" s="8">
        <v>-1.3793191</v>
      </c>
      <c r="F3195" s="8">
        <v>-1.2651669999999999</v>
      </c>
      <c r="G3195" s="7" t="str">
        <f t="shared" si="18"/>
        <v>Direct</v>
      </c>
      <c r="H3195" s="7" t="s">
        <v>16</v>
      </c>
    </row>
    <row r="3196" spans="1:8" x14ac:dyDescent="0.2">
      <c r="A3196" s="5" t="s">
        <v>13</v>
      </c>
      <c r="B3196" s="6" t="s">
        <v>19</v>
      </c>
      <c r="C3196" s="7" t="s">
        <v>3649</v>
      </c>
      <c r="D3196" s="7"/>
      <c r="E3196" s="8">
        <v>-1.6592939</v>
      </c>
      <c r="F3196" s="8">
        <v>-3.8458861</v>
      </c>
      <c r="G3196" s="7" t="str">
        <f t="shared" si="18"/>
        <v>Direct</v>
      </c>
      <c r="H3196" s="7" t="s">
        <v>16</v>
      </c>
    </row>
    <row r="3197" spans="1:8" x14ac:dyDescent="0.2">
      <c r="A3197" s="5" t="s">
        <v>13</v>
      </c>
      <c r="B3197" s="6" t="s">
        <v>19</v>
      </c>
      <c r="C3197" s="7" t="s">
        <v>3650</v>
      </c>
      <c r="D3197" s="7"/>
      <c r="E3197" s="8">
        <v>3.8206826899999999</v>
      </c>
      <c r="F3197" s="8">
        <v>3.2079337799999998</v>
      </c>
      <c r="G3197" s="7" t="str">
        <f t="shared" si="18"/>
        <v>Direct</v>
      </c>
      <c r="H3197" s="7" t="s">
        <v>16</v>
      </c>
    </row>
    <row r="3198" spans="1:8" x14ac:dyDescent="0.2">
      <c r="A3198" s="5" t="s">
        <v>13</v>
      </c>
      <c r="B3198" s="6" t="s">
        <v>19</v>
      </c>
      <c r="C3198" s="7" t="s">
        <v>3651</v>
      </c>
      <c r="D3198" s="7"/>
      <c r="E3198" s="8">
        <v>-2.3162262999999998</v>
      </c>
      <c r="F3198" s="8">
        <v>-1.8542946</v>
      </c>
      <c r="G3198" s="7" t="str">
        <f t="shared" si="18"/>
        <v>Direct</v>
      </c>
      <c r="H3198" s="7" t="s">
        <v>16</v>
      </c>
    </row>
    <row r="3199" spans="1:8" x14ac:dyDescent="0.2">
      <c r="A3199" s="5" t="s">
        <v>13</v>
      </c>
      <c r="B3199" s="6" t="s">
        <v>19</v>
      </c>
      <c r="C3199" s="7" t="s">
        <v>676</v>
      </c>
      <c r="D3199" s="7"/>
      <c r="E3199" s="8">
        <v>3.35039664</v>
      </c>
      <c r="F3199" s="8">
        <v>1.2053489399999999</v>
      </c>
      <c r="G3199" s="7" t="str">
        <f t="shared" si="18"/>
        <v>Direct</v>
      </c>
      <c r="H3199" s="7" t="s">
        <v>16</v>
      </c>
    </row>
    <row r="3200" spans="1:8" x14ac:dyDescent="0.2">
      <c r="A3200" s="5" t="s">
        <v>13</v>
      </c>
      <c r="B3200" s="6" t="s">
        <v>19</v>
      </c>
      <c r="C3200" s="7" t="s">
        <v>3652</v>
      </c>
      <c r="D3200" s="7"/>
      <c r="E3200" s="8">
        <v>2.58912107</v>
      </c>
      <c r="F3200" s="8">
        <v>3.8458861199999999</v>
      </c>
      <c r="G3200" s="7" t="str">
        <f t="shared" si="18"/>
        <v>Direct</v>
      </c>
      <c r="H3200" s="7" t="s">
        <v>16</v>
      </c>
    </row>
    <row r="3201" spans="1:8" x14ac:dyDescent="0.2">
      <c r="A3201" s="5" t="s">
        <v>13</v>
      </c>
      <c r="B3201" s="6" t="s">
        <v>19</v>
      </c>
      <c r="C3201" s="7" t="s">
        <v>3653</v>
      </c>
      <c r="D3201" s="7"/>
      <c r="E3201" s="8">
        <v>-2.9832765000000001</v>
      </c>
      <c r="F3201" s="8">
        <v>-3.2909255000000002</v>
      </c>
      <c r="G3201" s="7" t="str">
        <f t="shared" si="18"/>
        <v>Direct</v>
      </c>
      <c r="H3201" s="7" t="s">
        <v>16</v>
      </c>
    </row>
    <row r="3202" spans="1:8" x14ac:dyDescent="0.2">
      <c r="A3202" s="5" t="s">
        <v>13</v>
      </c>
      <c r="B3202" s="6" t="s">
        <v>19</v>
      </c>
      <c r="C3202" s="7" t="s">
        <v>3654</v>
      </c>
      <c r="D3202" s="7"/>
      <c r="E3202" s="8">
        <v>-1.0108600000000001</v>
      </c>
      <c r="F3202" s="8">
        <v>-1.0702691</v>
      </c>
      <c r="G3202" s="7" t="str">
        <f t="shared" si="18"/>
        <v>Direct</v>
      </c>
      <c r="H3202" s="7" t="s">
        <v>16</v>
      </c>
    </row>
    <row r="3203" spans="1:8" x14ac:dyDescent="0.2">
      <c r="A3203" s="5" t="s">
        <v>13</v>
      </c>
      <c r="B3203" s="6" t="s">
        <v>19</v>
      </c>
      <c r="C3203" s="7" t="s">
        <v>3655</v>
      </c>
      <c r="D3203" s="7"/>
      <c r="E3203" s="8">
        <v>1.92813542</v>
      </c>
      <c r="F3203" s="8">
        <v>1.2798565799999999</v>
      </c>
      <c r="G3203" s="7" t="str">
        <f t="shared" si="18"/>
        <v>Direct</v>
      </c>
      <c r="H3203" s="7" t="s">
        <v>16</v>
      </c>
    </row>
    <row r="3204" spans="1:8" x14ac:dyDescent="0.2">
      <c r="A3204" s="5" t="s">
        <v>13</v>
      </c>
      <c r="B3204" s="6" t="s">
        <v>19</v>
      </c>
      <c r="C3204" s="7" t="s">
        <v>3656</v>
      </c>
      <c r="D3204" s="7"/>
      <c r="E3204" s="8">
        <v>2.0328490499999998</v>
      </c>
      <c r="F3204" s="8">
        <v>2.2744860600000001</v>
      </c>
      <c r="G3204" s="7" t="str">
        <f t="shared" si="18"/>
        <v>Direct</v>
      </c>
      <c r="H3204" s="7" t="s">
        <v>1555</v>
      </c>
    </row>
    <row r="3205" spans="1:8" x14ac:dyDescent="0.2">
      <c r="A3205" s="5" t="s">
        <v>13</v>
      </c>
      <c r="B3205" s="6" t="s">
        <v>19</v>
      </c>
      <c r="C3205" s="7" t="s">
        <v>677</v>
      </c>
      <c r="D3205" s="7"/>
      <c r="E3205" s="8">
        <v>-3.3961947000000001</v>
      </c>
      <c r="F3205" s="8">
        <v>-4.3792328999999999</v>
      </c>
      <c r="G3205" s="7" t="str">
        <f t="shared" si="18"/>
        <v>Direct</v>
      </c>
      <c r="H3205" s="7" t="s">
        <v>16</v>
      </c>
    </row>
    <row r="3206" spans="1:8" x14ac:dyDescent="0.2">
      <c r="A3206" s="5" t="s">
        <v>13</v>
      </c>
      <c r="B3206" s="6" t="s">
        <v>19</v>
      </c>
      <c r="C3206" s="7" t="s">
        <v>3657</v>
      </c>
      <c r="D3206" s="7"/>
      <c r="E3206" s="8">
        <v>-1.2830195</v>
      </c>
      <c r="F3206" s="8">
        <v>-2.4740269000000001</v>
      </c>
      <c r="G3206" s="7" t="str">
        <f t="shared" si="18"/>
        <v>Direct</v>
      </c>
      <c r="H3206" s="7" t="s">
        <v>3658</v>
      </c>
    </row>
    <row r="3207" spans="1:8" x14ac:dyDescent="0.2">
      <c r="A3207" s="5" t="s">
        <v>13</v>
      </c>
      <c r="B3207" s="6" t="s">
        <v>19</v>
      </c>
      <c r="C3207" s="7" t="s">
        <v>3659</v>
      </c>
      <c r="D3207" s="7"/>
      <c r="E3207" s="8">
        <v>-1.5972267</v>
      </c>
      <c r="F3207" s="8">
        <v>-2.1051313999999999</v>
      </c>
      <c r="G3207" s="7" t="str">
        <f t="shared" si="18"/>
        <v>Direct</v>
      </c>
      <c r="H3207" s="7" t="s">
        <v>3660</v>
      </c>
    </row>
    <row r="3208" spans="1:8" x14ac:dyDescent="0.2">
      <c r="A3208" s="5" t="s">
        <v>13</v>
      </c>
      <c r="B3208" s="6" t="s">
        <v>19</v>
      </c>
      <c r="C3208" s="7" t="s">
        <v>3661</v>
      </c>
      <c r="D3208" s="7"/>
      <c r="E3208" s="8">
        <v>1.5912765200000001</v>
      </c>
      <c r="F3208" s="8">
        <v>1.62417072</v>
      </c>
      <c r="G3208" s="7" t="str">
        <f t="shared" si="18"/>
        <v>Direct</v>
      </c>
      <c r="H3208" s="7" t="s">
        <v>3662</v>
      </c>
    </row>
    <row r="3209" spans="1:8" x14ac:dyDescent="0.2">
      <c r="A3209" s="5" t="s">
        <v>13</v>
      </c>
      <c r="B3209" s="6" t="s">
        <v>19</v>
      </c>
      <c r="C3209" s="7" t="s">
        <v>3663</v>
      </c>
      <c r="D3209" s="7"/>
      <c r="E3209" s="8">
        <v>-1.7872665999999999</v>
      </c>
      <c r="F3209" s="8">
        <v>-1.5107991999999999</v>
      </c>
      <c r="G3209" s="7" t="str">
        <f t="shared" si="18"/>
        <v>Direct</v>
      </c>
      <c r="H3209" s="7" t="s">
        <v>16</v>
      </c>
    </row>
    <row r="3210" spans="1:8" x14ac:dyDescent="0.2">
      <c r="A3210" s="5" t="s">
        <v>13</v>
      </c>
      <c r="B3210" s="6" t="s">
        <v>19</v>
      </c>
      <c r="C3210" s="7" t="s">
        <v>3664</v>
      </c>
      <c r="D3210" s="7"/>
      <c r="E3210" s="8">
        <v>-6.1236683000000003</v>
      </c>
      <c r="F3210" s="8">
        <v>-5.2767610999999999</v>
      </c>
      <c r="G3210" s="7" t="str">
        <f t="shared" si="18"/>
        <v>Direct</v>
      </c>
      <c r="H3210" s="7" t="s">
        <v>3665</v>
      </c>
    </row>
    <row r="3211" spans="1:8" x14ac:dyDescent="0.2">
      <c r="A3211" s="5" t="s">
        <v>13</v>
      </c>
      <c r="B3211" s="6" t="s">
        <v>19</v>
      </c>
      <c r="C3211" s="7" t="s">
        <v>3666</v>
      </c>
      <c r="D3211" s="7"/>
      <c r="E3211" s="8">
        <v>-2.2652706999999999</v>
      </c>
      <c r="F3211" s="8">
        <v>-2.0343841999999999</v>
      </c>
      <c r="G3211" s="7" t="str">
        <f t="shared" si="18"/>
        <v>Direct</v>
      </c>
      <c r="H3211" s="7" t="s">
        <v>3667</v>
      </c>
    </row>
    <row r="3212" spans="1:8" x14ac:dyDescent="0.2">
      <c r="A3212" s="5" t="s">
        <v>13</v>
      </c>
      <c r="B3212" s="6" t="s">
        <v>19</v>
      </c>
      <c r="C3212" s="7" t="s">
        <v>3668</v>
      </c>
      <c r="D3212" s="7"/>
      <c r="E3212" s="8">
        <v>3.0847753</v>
      </c>
      <c r="F3212" s="8">
        <v>2.6268767300000002</v>
      </c>
      <c r="G3212" s="7" t="str">
        <f t="shared" si="18"/>
        <v>Direct</v>
      </c>
      <c r="H3212" s="7" t="s">
        <v>3209</v>
      </c>
    </row>
    <row r="3213" spans="1:8" x14ac:dyDescent="0.2">
      <c r="A3213" s="5" t="s">
        <v>13</v>
      </c>
      <c r="B3213" s="6" t="s">
        <v>19</v>
      </c>
      <c r="C3213" s="7" t="s">
        <v>3669</v>
      </c>
      <c r="D3213" s="7"/>
      <c r="E3213" s="8">
        <v>-3.5908711000000002</v>
      </c>
      <c r="F3213" s="8">
        <v>-3.3890060000000002</v>
      </c>
      <c r="G3213" s="7" t="str">
        <f t="shared" si="18"/>
        <v>Direct</v>
      </c>
      <c r="H3213" s="7" t="s">
        <v>3670</v>
      </c>
    </row>
    <row r="3214" spans="1:8" x14ac:dyDescent="0.2">
      <c r="A3214" s="5" t="s">
        <v>13</v>
      </c>
      <c r="B3214" s="6" t="s">
        <v>19</v>
      </c>
      <c r="C3214" s="7" t="s">
        <v>678</v>
      </c>
      <c r="D3214" s="7"/>
      <c r="E3214" s="8">
        <v>-2.3534095000000002</v>
      </c>
      <c r="F3214" s="8">
        <v>-4.6065478000000004</v>
      </c>
      <c r="G3214" s="7" t="str">
        <f t="shared" si="18"/>
        <v>Direct</v>
      </c>
      <c r="H3214" s="7" t="s">
        <v>16</v>
      </c>
    </row>
    <row r="3215" spans="1:8" x14ac:dyDescent="0.2">
      <c r="A3215" s="5" t="s">
        <v>13</v>
      </c>
      <c r="B3215" s="6" t="s">
        <v>19</v>
      </c>
      <c r="C3215" s="7" t="s">
        <v>3671</v>
      </c>
      <c r="D3215" s="7"/>
      <c r="E3215" s="8">
        <v>2.58184017</v>
      </c>
      <c r="F3215" s="8">
        <v>1.5043826199999999</v>
      </c>
      <c r="G3215" s="7" t="str">
        <f t="shared" si="18"/>
        <v>Direct</v>
      </c>
      <c r="H3215" s="7" t="s">
        <v>3672</v>
      </c>
    </row>
    <row r="3216" spans="1:8" x14ac:dyDescent="0.2">
      <c r="A3216" s="5" t="s">
        <v>13</v>
      </c>
      <c r="B3216" s="6" t="s">
        <v>19</v>
      </c>
      <c r="C3216" s="7" t="s">
        <v>3673</v>
      </c>
      <c r="D3216" s="7"/>
      <c r="E3216" s="8">
        <v>-5.8389899999999999</v>
      </c>
      <c r="F3216" s="8">
        <v>-5.9603197999999997</v>
      </c>
      <c r="G3216" s="7" t="str">
        <f t="shared" si="18"/>
        <v>Direct</v>
      </c>
      <c r="H3216" s="7" t="s">
        <v>16</v>
      </c>
    </row>
    <row r="3217" spans="1:8" x14ac:dyDescent="0.2">
      <c r="A3217" s="5" t="s">
        <v>13</v>
      </c>
      <c r="B3217" s="6" t="s">
        <v>19</v>
      </c>
      <c r="C3217" s="7" t="s">
        <v>3674</v>
      </c>
      <c r="D3217" s="7"/>
      <c r="E3217" s="8">
        <v>-2.2819364000000002</v>
      </c>
      <c r="F3217" s="8">
        <v>-4.0815222000000002</v>
      </c>
      <c r="G3217" s="7" t="str">
        <f t="shared" si="18"/>
        <v>Direct</v>
      </c>
      <c r="H3217" s="7" t="s">
        <v>16</v>
      </c>
    </row>
    <row r="3218" spans="1:8" x14ac:dyDescent="0.2">
      <c r="A3218" s="5" t="s">
        <v>13</v>
      </c>
      <c r="B3218" s="6" t="s">
        <v>19</v>
      </c>
      <c r="C3218" s="7" t="s">
        <v>3675</v>
      </c>
      <c r="D3218" s="7"/>
      <c r="E3218" s="8">
        <v>1.35430261</v>
      </c>
      <c r="F3218" s="8">
        <v>1.4425021899999999</v>
      </c>
      <c r="G3218" s="7" t="str">
        <f t="shared" si="18"/>
        <v>Direct</v>
      </c>
      <c r="H3218" s="7" t="s">
        <v>16</v>
      </c>
    </row>
    <row r="3219" spans="1:8" x14ac:dyDescent="0.2">
      <c r="A3219" s="5" t="s">
        <v>13</v>
      </c>
      <c r="B3219" s="6" t="s">
        <v>19</v>
      </c>
      <c r="C3219" s="7" t="s">
        <v>3676</v>
      </c>
      <c r="D3219" s="7"/>
      <c r="E3219" s="8">
        <v>3.68690819</v>
      </c>
      <c r="F3219" s="8">
        <v>2.1458697199999999</v>
      </c>
      <c r="G3219" s="7" t="str">
        <f t="shared" si="18"/>
        <v>Direct</v>
      </c>
      <c r="H3219" s="7" t="s">
        <v>2435</v>
      </c>
    </row>
    <row r="3220" spans="1:8" x14ac:dyDescent="0.2">
      <c r="A3220" s="5" t="s">
        <v>13</v>
      </c>
      <c r="B3220" s="6" t="s">
        <v>19</v>
      </c>
      <c r="C3220" s="7" t="s">
        <v>3677</v>
      </c>
      <c r="D3220" s="7"/>
      <c r="E3220" s="8">
        <v>6.0995145800000001</v>
      </c>
      <c r="F3220" s="8">
        <v>3.5140226800000001</v>
      </c>
      <c r="G3220" s="7" t="str">
        <f t="shared" si="18"/>
        <v>Direct</v>
      </c>
      <c r="H3220" s="7" t="s">
        <v>16</v>
      </c>
    </row>
    <row r="3221" spans="1:8" x14ac:dyDescent="0.2">
      <c r="A3221" s="5" t="s">
        <v>13</v>
      </c>
      <c r="B3221" s="6" t="s">
        <v>19</v>
      </c>
      <c r="C3221" s="7" t="s">
        <v>3678</v>
      </c>
      <c r="D3221" s="7"/>
      <c r="E3221" s="8">
        <v>-2.1747363000000002</v>
      </c>
      <c r="F3221" s="8">
        <v>-1.8602832</v>
      </c>
      <c r="G3221" s="7" t="str">
        <f t="shared" si="18"/>
        <v>Direct</v>
      </c>
      <c r="H3221" s="7" t="s">
        <v>16</v>
      </c>
    </row>
    <row r="3222" spans="1:8" x14ac:dyDescent="0.2">
      <c r="A3222" s="5" t="s">
        <v>13</v>
      </c>
      <c r="B3222" s="6" t="s">
        <v>19</v>
      </c>
      <c r="C3222" s="7" t="s">
        <v>3679</v>
      </c>
      <c r="D3222" s="7"/>
      <c r="E3222" s="8">
        <v>-2.7883274999999998</v>
      </c>
      <c r="F3222" s="8">
        <v>-1.45878</v>
      </c>
      <c r="G3222" s="7" t="str">
        <f t="shared" si="18"/>
        <v>Direct</v>
      </c>
      <c r="H3222" s="7" t="s">
        <v>3680</v>
      </c>
    </row>
    <row r="3223" spans="1:8" x14ac:dyDescent="0.2">
      <c r="A3223" s="5" t="s">
        <v>13</v>
      </c>
      <c r="B3223" s="6" t="s">
        <v>19</v>
      </c>
      <c r="C3223" s="7" t="s">
        <v>3681</v>
      </c>
      <c r="D3223" s="7"/>
      <c r="E3223" s="8">
        <v>-5.0882392999999997</v>
      </c>
      <c r="F3223" s="8">
        <v>-2.4778958000000002</v>
      </c>
      <c r="G3223" s="7" t="str">
        <f t="shared" si="18"/>
        <v>Direct</v>
      </c>
      <c r="H3223" s="7" t="s">
        <v>16</v>
      </c>
    </row>
    <row r="3224" spans="1:8" x14ac:dyDescent="0.2">
      <c r="A3224" s="5" t="s">
        <v>13</v>
      </c>
      <c r="B3224" s="6" t="s">
        <v>19</v>
      </c>
      <c r="C3224" s="7" t="s">
        <v>3682</v>
      </c>
      <c r="D3224" s="7"/>
      <c r="E3224" s="8">
        <v>1.7087940500000001</v>
      </c>
      <c r="F3224" s="8">
        <v>1.62549593</v>
      </c>
      <c r="G3224" s="7" t="str">
        <f t="shared" si="18"/>
        <v>Direct</v>
      </c>
      <c r="H3224" s="7" t="s">
        <v>16</v>
      </c>
    </row>
    <row r="3225" spans="1:8" x14ac:dyDescent="0.2">
      <c r="A3225" s="5" t="s">
        <v>13</v>
      </c>
      <c r="B3225" s="6" t="s">
        <v>19</v>
      </c>
      <c r="C3225" s="7" t="s">
        <v>3683</v>
      </c>
      <c r="D3225" s="7"/>
      <c r="E3225" s="8">
        <v>-3.6424542999999998</v>
      </c>
      <c r="F3225" s="8">
        <v>-4.2233669999999996</v>
      </c>
      <c r="G3225" s="7" t="str">
        <f t="shared" si="18"/>
        <v>Direct</v>
      </c>
      <c r="H3225" s="7" t="s">
        <v>3684</v>
      </c>
    </row>
    <row r="3226" spans="1:8" x14ac:dyDescent="0.2">
      <c r="A3226" s="5" t="s">
        <v>13</v>
      </c>
      <c r="B3226" s="6" t="s">
        <v>19</v>
      </c>
      <c r="C3226" s="7" t="s">
        <v>3685</v>
      </c>
      <c r="D3226" s="7"/>
      <c r="E3226" s="8">
        <v>2.3138228500000002</v>
      </c>
      <c r="F3226" s="8">
        <v>2.8161846800000001</v>
      </c>
      <c r="G3226" s="7" t="str">
        <f t="shared" si="18"/>
        <v>Direct</v>
      </c>
      <c r="H3226" s="7" t="s">
        <v>3686</v>
      </c>
    </row>
    <row r="3227" spans="1:8" x14ac:dyDescent="0.2">
      <c r="A3227" s="5" t="s">
        <v>13</v>
      </c>
      <c r="B3227" s="6" t="s">
        <v>19</v>
      </c>
      <c r="C3227" s="7" t="s">
        <v>3687</v>
      </c>
      <c r="D3227" s="7"/>
      <c r="E3227" s="8">
        <v>1.01524155</v>
      </c>
      <c r="F3227" s="8">
        <v>1.0722674000000001</v>
      </c>
      <c r="G3227" s="7" t="str">
        <f t="shared" si="18"/>
        <v>Direct</v>
      </c>
      <c r="H3227" s="7" t="s">
        <v>3688</v>
      </c>
    </row>
    <row r="3228" spans="1:8" x14ac:dyDescent="0.2">
      <c r="A3228" s="5" t="s">
        <v>13</v>
      </c>
      <c r="B3228" s="6" t="s">
        <v>19</v>
      </c>
      <c r="C3228" s="7" t="s">
        <v>3689</v>
      </c>
      <c r="D3228" s="7"/>
      <c r="E3228" s="8">
        <v>-5.8132910999999998</v>
      </c>
      <c r="F3228" s="8">
        <v>-5.2546103000000004</v>
      </c>
      <c r="G3228" s="7" t="str">
        <f t="shared" si="18"/>
        <v>Direct</v>
      </c>
      <c r="H3228" s="7" t="s">
        <v>3690</v>
      </c>
    </row>
    <row r="3229" spans="1:8" x14ac:dyDescent="0.2">
      <c r="A3229" s="5" t="s">
        <v>13</v>
      </c>
      <c r="B3229" s="6" t="s">
        <v>19</v>
      </c>
      <c r="C3229" s="7" t="s">
        <v>3691</v>
      </c>
      <c r="D3229" s="7"/>
      <c r="E3229" s="8">
        <v>-3.8988307</v>
      </c>
      <c r="F3229" s="8">
        <v>-2.2056680000000002</v>
      </c>
      <c r="G3229" s="7" t="str">
        <f t="shared" si="18"/>
        <v>Direct</v>
      </c>
      <c r="H3229" s="7" t="s">
        <v>3690</v>
      </c>
    </row>
    <row r="3230" spans="1:8" x14ac:dyDescent="0.2">
      <c r="A3230" s="5" t="s">
        <v>13</v>
      </c>
      <c r="B3230" s="6" t="s">
        <v>19</v>
      </c>
      <c r="C3230" s="7" t="s">
        <v>3692</v>
      </c>
      <c r="D3230" s="7"/>
      <c r="E3230" s="8">
        <v>-1.9287977000000001</v>
      </c>
      <c r="F3230" s="8">
        <v>-1.5911413999999999</v>
      </c>
      <c r="G3230" s="7" t="str">
        <f t="shared" si="18"/>
        <v>Direct</v>
      </c>
      <c r="H3230" s="7" t="s">
        <v>3690</v>
      </c>
    </row>
    <row r="3231" spans="1:8" x14ac:dyDescent="0.2">
      <c r="A3231" s="5" t="s">
        <v>13</v>
      </c>
      <c r="B3231" s="6" t="s">
        <v>19</v>
      </c>
      <c r="C3231" s="7" t="s">
        <v>3693</v>
      </c>
      <c r="D3231" s="7"/>
      <c r="E3231" s="8">
        <v>-5.4889245999999998</v>
      </c>
      <c r="F3231" s="8">
        <v>-4.6488271000000001</v>
      </c>
      <c r="G3231" s="7" t="str">
        <f t="shared" si="18"/>
        <v>Direct</v>
      </c>
      <c r="H3231" s="7" t="s">
        <v>16</v>
      </c>
    </row>
    <row r="3232" spans="1:8" x14ac:dyDescent="0.2">
      <c r="A3232" s="5" t="s">
        <v>13</v>
      </c>
      <c r="B3232" s="6" t="s">
        <v>19</v>
      </c>
      <c r="C3232" s="7" t="s">
        <v>3694</v>
      </c>
      <c r="D3232" s="7"/>
      <c r="E3232" s="8">
        <v>1.33367609</v>
      </c>
      <c r="F3232" s="8">
        <v>1.8544034199999999</v>
      </c>
      <c r="G3232" s="7" t="str">
        <f t="shared" si="18"/>
        <v>Direct</v>
      </c>
      <c r="H3232" s="7" t="s">
        <v>3695</v>
      </c>
    </row>
    <row r="3233" spans="1:8" x14ac:dyDescent="0.2">
      <c r="A3233" s="5" t="s">
        <v>13</v>
      </c>
      <c r="B3233" s="6" t="s">
        <v>19</v>
      </c>
      <c r="C3233" s="7" t="s">
        <v>3696</v>
      </c>
      <c r="D3233" s="7"/>
      <c r="E3233" s="8">
        <v>-4.0335339000000001</v>
      </c>
      <c r="F3233" s="8">
        <v>-3.2406207999999999</v>
      </c>
      <c r="G3233" s="7" t="str">
        <f t="shared" si="18"/>
        <v>Direct</v>
      </c>
      <c r="H3233" s="7" t="s">
        <v>3697</v>
      </c>
    </row>
    <row r="3234" spans="1:8" x14ac:dyDescent="0.2">
      <c r="A3234" s="5" t="s">
        <v>13</v>
      </c>
      <c r="B3234" s="6" t="s">
        <v>19</v>
      </c>
      <c r="C3234" s="7" t="s">
        <v>3698</v>
      </c>
      <c r="D3234" s="7"/>
      <c r="E3234" s="8">
        <v>-1.4608017</v>
      </c>
      <c r="F3234" s="8">
        <v>-2.3580149000000001</v>
      </c>
      <c r="G3234" s="7" t="str">
        <f t="shared" si="18"/>
        <v>Direct</v>
      </c>
      <c r="H3234" s="7" t="s">
        <v>16</v>
      </c>
    </row>
    <row r="3235" spans="1:8" x14ac:dyDescent="0.2">
      <c r="A3235" s="5" t="s">
        <v>13</v>
      </c>
      <c r="B3235" s="6" t="s">
        <v>19</v>
      </c>
      <c r="C3235" s="7" t="s">
        <v>3699</v>
      </c>
      <c r="D3235" s="7"/>
      <c r="E3235" s="8">
        <v>1.4979880999999999</v>
      </c>
      <c r="F3235" s="8">
        <v>1.9440864600000001</v>
      </c>
      <c r="G3235" s="7" t="str">
        <f t="shared" si="18"/>
        <v>Direct</v>
      </c>
      <c r="H3235" s="7" t="s">
        <v>16</v>
      </c>
    </row>
    <row r="3236" spans="1:8" x14ac:dyDescent="0.2">
      <c r="A3236" s="5" t="s">
        <v>13</v>
      </c>
      <c r="B3236" s="6" t="s">
        <v>19</v>
      </c>
      <c r="C3236" s="7" t="s">
        <v>3700</v>
      </c>
      <c r="D3236" s="7"/>
      <c r="E3236" s="8">
        <v>-11.075507999999999</v>
      </c>
      <c r="F3236" s="8">
        <v>-4.2621279999999997</v>
      </c>
      <c r="G3236" s="7" t="str">
        <f t="shared" si="18"/>
        <v>Direct</v>
      </c>
      <c r="H3236" s="7" t="s">
        <v>16</v>
      </c>
    </row>
    <row r="3237" spans="1:8" x14ac:dyDescent="0.2">
      <c r="A3237" s="5" t="s">
        <v>13</v>
      </c>
      <c r="B3237" s="6" t="s">
        <v>19</v>
      </c>
      <c r="C3237" s="7" t="s">
        <v>3701</v>
      </c>
      <c r="D3237" s="7"/>
      <c r="E3237" s="8">
        <v>2.3581747800000001</v>
      </c>
      <c r="F3237" s="8">
        <v>1.49718007</v>
      </c>
      <c r="G3237" s="7" t="str">
        <f t="shared" si="18"/>
        <v>Direct</v>
      </c>
      <c r="H3237" s="7" t="s">
        <v>16</v>
      </c>
    </row>
    <row r="3238" spans="1:8" x14ac:dyDescent="0.2">
      <c r="A3238" s="5" t="s">
        <v>13</v>
      </c>
      <c r="B3238" s="6" t="s">
        <v>19</v>
      </c>
      <c r="C3238" s="7" t="s">
        <v>3702</v>
      </c>
      <c r="D3238" s="7"/>
      <c r="E3238" s="8">
        <v>1.54531437</v>
      </c>
      <c r="F3238" s="8">
        <v>1.27278329</v>
      </c>
      <c r="G3238" s="7" t="str">
        <f t="shared" si="18"/>
        <v>Direct</v>
      </c>
      <c r="H3238" s="7" t="s">
        <v>2637</v>
      </c>
    </row>
    <row r="3239" spans="1:8" x14ac:dyDescent="0.2">
      <c r="A3239" s="5" t="s">
        <v>13</v>
      </c>
      <c r="B3239" s="6" t="s">
        <v>19</v>
      </c>
      <c r="C3239" s="7" t="s">
        <v>3703</v>
      </c>
      <c r="D3239" s="7"/>
      <c r="E3239" s="8">
        <v>1.28423892</v>
      </c>
      <c r="F3239" s="8">
        <v>1.80295655</v>
      </c>
      <c r="G3239" s="7" t="str">
        <f t="shared" si="18"/>
        <v>Direct</v>
      </c>
      <c r="H3239" s="7" t="s">
        <v>2735</v>
      </c>
    </row>
    <row r="3240" spans="1:8" x14ac:dyDescent="0.2">
      <c r="A3240" s="5" t="s">
        <v>13</v>
      </c>
      <c r="B3240" s="6" t="s">
        <v>19</v>
      </c>
      <c r="C3240" s="7" t="s">
        <v>3704</v>
      </c>
      <c r="D3240" s="7"/>
      <c r="E3240" s="8">
        <v>-3.7974171000000001</v>
      </c>
      <c r="F3240" s="8">
        <v>-5.9332415999999997</v>
      </c>
      <c r="G3240" s="7" t="str">
        <f t="shared" si="18"/>
        <v>Direct</v>
      </c>
      <c r="H3240" s="7" t="s">
        <v>16</v>
      </c>
    </row>
    <row r="3241" spans="1:8" x14ac:dyDescent="0.2">
      <c r="A3241" s="5" t="s">
        <v>13</v>
      </c>
      <c r="B3241" s="6" t="s">
        <v>19</v>
      </c>
      <c r="C3241" s="7" t="s">
        <v>3705</v>
      </c>
      <c r="D3241" s="7"/>
      <c r="E3241" s="8">
        <v>-1.2336023</v>
      </c>
      <c r="F3241" s="8">
        <v>-1.2329912999999999</v>
      </c>
      <c r="G3241" s="7" t="str">
        <f t="shared" si="18"/>
        <v>Direct</v>
      </c>
      <c r="H3241" s="7" t="s">
        <v>3706</v>
      </c>
    </row>
    <row r="3242" spans="1:8" x14ac:dyDescent="0.2">
      <c r="A3242" s="5" t="s">
        <v>13</v>
      </c>
      <c r="B3242" s="6" t="s">
        <v>19</v>
      </c>
      <c r="C3242" s="7" t="s">
        <v>3707</v>
      </c>
      <c r="D3242" s="7"/>
      <c r="E3242" s="8">
        <v>-1.9299852</v>
      </c>
      <c r="F3242" s="8">
        <v>-1.6025841999999999</v>
      </c>
      <c r="G3242" s="7" t="str">
        <f t="shared" si="18"/>
        <v>Direct</v>
      </c>
      <c r="H3242" s="7" t="s">
        <v>3708</v>
      </c>
    </row>
    <row r="3243" spans="1:8" x14ac:dyDescent="0.2">
      <c r="A3243" s="5" t="s">
        <v>13</v>
      </c>
      <c r="B3243" s="6" t="s">
        <v>19</v>
      </c>
      <c r="C3243" s="7" t="s">
        <v>3709</v>
      </c>
      <c r="D3243" s="7"/>
      <c r="E3243" s="8">
        <v>-4.6984553</v>
      </c>
      <c r="F3243" s="8">
        <v>-4.4174265999999998</v>
      </c>
      <c r="G3243" s="7" t="str">
        <f t="shared" si="18"/>
        <v>Direct</v>
      </c>
      <c r="H3243" s="7" t="s">
        <v>2310</v>
      </c>
    </row>
    <row r="3244" spans="1:8" x14ac:dyDescent="0.2">
      <c r="A3244" s="5" t="s">
        <v>13</v>
      </c>
      <c r="B3244" s="6" t="s">
        <v>19</v>
      </c>
      <c r="C3244" s="7" t="s">
        <v>3710</v>
      </c>
      <c r="D3244" s="7"/>
      <c r="E3244" s="8">
        <v>-4.3851250999999998</v>
      </c>
      <c r="F3244" s="8">
        <v>-3.5084051000000001</v>
      </c>
      <c r="G3244" s="7" t="str">
        <f t="shared" si="18"/>
        <v>Direct</v>
      </c>
      <c r="H3244" s="7" t="s">
        <v>3711</v>
      </c>
    </row>
    <row r="3245" spans="1:8" x14ac:dyDescent="0.2">
      <c r="A3245" s="5" t="s">
        <v>13</v>
      </c>
      <c r="B3245" s="6" t="s">
        <v>19</v>
      </c>
      <c r="C3245" s="7" t="s">
        <v>3712</v>
      </c>
      <c r="D3245" s="7"/>
      <c r="E3245" s="8">
        <v>1.39461865</v>
      </c>
      <c r="F3245" s="8">
        <v>3.0038130299999999</v>
      </c>
      <c r="G3245" s="7" t="str">
        <f t="shared" si="18"/>
        <v>Direct</v>
      </c>
      <c r="H3245" s="7" t="s">
        <v>3713</v>
      </c>
    </row>
    <row r="3246" spans="1:8" x14ac:dyDescent="0.2">
      <c r="A3246" s="5" t="s">
        <v>13</v>
      </c>
      <c r="B3246" s="6" t="s">
        <v>19</v>
      </c>
      <c r="C3246" s="7" t="s">
        <v>3714</v>
      </c>
      <c r="D3246" s="7"/>
      <c r="E3246" s="8">
        <v>5.3470957800000001</v>
      </c>
      <c r="F3246" s="8">
        <v>4.1450626000000002</v>
      </c>
      <c r="G3246" s="7" t="str">
        <f t="shared" si="18"/>
        <v>Direct</v>
      </c>
      <c r="H3246" s="7" t="s">
        <v>3715</v>
      </c>
    </row>
    <row r="3247" spans="1:8" x14ac:dyDescent="0.2">
      <c r="A3247" s="5" t="s">
        <v>13</v>
      </c>
      <c r="B3247" s="6" t="s">
        <v>19</v>
      </c>
      <c r="C3247" s="7" t="s">
        <v>3716</v>
      </c>
      <c r="D3247" s="7"/>
      <c r="E3247" s="8">
        <v>1.59109425</v>
      </c>
      <c r="F3247" s="8">
        <v>1.11003282</v>
      </c>
      <c r="G3247" s="7" t="str">
        <f t="shared" si="18"/>
        <v>Direct</v>
      </c>
      <c r="H3247" s="7" t="s">
        <v>3717</v>
      </c>
    </row>
    <row r="3248" spans="1:8" x14ac:dyDescent="0.2">
      <c r="A3248" s="5" t="s">
        <v>13</v>
      </c>
      <c r="B3248" s="6" t="s">
        <v>19</v>
      </c>
      <c r="C3248" s="7" t="s">
        <v>3718</v>
      </c>
      <c r="D3248" s="7"/>
      <c r="E3248" s="8">
        <v>2.3366361100000002</v>
      </c>
      <c r="F3248" s="8">
        <v>1.2717340100000001</v>
      </c>
      <c r="G3248" s="7" t="str">
        <f t="shared" si="18"/>
        <v>Direct</v>
      </c>
      <c r="H3248" s="7" t="s">
        <v>1906</v>
      </c>
    </row>
    <row r="3249" spans="1:8" x14ac:dyDescent="0.2">
      <c r="A3249" s="5" t="s">
        <v>13</v>
      </c>
      <c r="B3249" s="6" t="s">
        <v>19</v>
      </c>
      <c r="C3249" s="7" t="s">
        <v>3719</v>
      </c>
      <c r="D3249" s="7"/>
      <c r="E3249" s="8">
        <v>2.4069133599999999</v>
      </c>
      <c r="F3249" s="8">
        <v>1.1939308799999999</v>
      </c>
      <c r="G3249" s="7" t="str">
        <f t="shared" si="18"/>
        <v>Direct</v>
      </c>
      <c r="H3249" s="7" t="s">
        <v>16</v>
      </c>
    </row>
    <row r="3250" spans="1:8" x14ac:dyDescent="0.2">
      <c r="A3250" s="5" t="s">
        <v>13</v>
      </c>
      <c r="B3250" s="6" t="s">
        <v>19</v>
      </c>
      <c r="C3250" s="7" t="s">
        <v>3720</v>
      </c>
      <c r="D3250" s="7"/>
      <c r="E3250" s="8">
        <v>-2.8951055999999999</v>
      </c>
      <c r="F3250" s="8">
        <v>-1.9239428999999999</v>
      </c>
      <c r="G3250" s="7" t="str">
        <f t="shared" si="18"/>
        <v>Direct</v>
      </c>
      <c r="H3250" s="7" t="s">
        <v>3721</v>
      </c>
    </row>
    <row r="3251" spans="1:8" x14ac:dyDescent="0.2">
      <c r="A3251" s="5" t="s">
        <v>13</v>
      </c>
      <c r="B3251" s="6" t="s">
        <v>19</v>
      </c>
      <c r="C3251" s="7" t="s">
        <v>3722</v>
      </c>
      <c r="D3251" s="7"/>
      <c r="E3251" s="8">
        <v>1.09766696</v>
      </c>
      <c r="F3251" s="8">
        <v>3.0024582</v>
      </c>
      <c r="G3251" s="7" t="str">
        <f t="shared" si="18"/>
        <v>Direct</v>
      </c>
      <c r="H3251" s="7" t="s">
        <v>3723</v>
      </c>
    </row>
    <row r="3252" spans="1:8" x14ac:dyDescent="0.2">
      <c r="A3252" s="5" t="s">
        <v>13</v>
      </c>
      <c r="B3252" s="6" t="s">
        <v>19</v>
      </c>
      <c r="C3252" s="7" t="s">
        <v>3724</v>
      </c>
      <c r="D3252" s="7"/>
      <c r="E3252" s="8">
        <v>-3.7129142000000002</v>
      </c>
      <c r="F3252" s="8">
        <v>-2.7858499999999999</v>
      </c>
      <c r="G3252" s="7" t="str">
        <f t="shared" si="18"/>
        <v>Direct</v>
      </c>
      <c r="H3252" s="7" t="s">
        <v>3725</v>
      </c>
    </row>
    <row r="3253" spans="1:8" x14ac:dyDescent="0.2">
      <c r="A3253" s="5" t="s">
        <v>13</v>
      </c>
      <c r="B3253" s="6" t="s">
        <v>19</v>
      </c>
      <c r="C3253" s="7" t="s">
        <v>3726</v>
      </c>
      <c r="D3253" s="7"/>
      <c r="E3253" s="8">
        <v>2.7154288700000002</v>
      </c>
      <c r="F3253" s="8">
        <v>2.1968336800000001</v>
      </c>
      <c r="G3253" s="7" t="str">
        <f t="shared" si="18"/>
        <v>Direct</v>
      </c>
      <c r="H3253" s="7" t="s">
        <v>3727</v>
      </c>
    </row>
    <row r="3254" spans="1:8" x14ac:dyDescent="0.2">
      <c r="A3254" s="5" t="s">
        <v>13</v>
      </c>
      <c r="B3254" s="6" t="s">
        <v>19</v>
      </c>
      <c r="C3254" s="7" t="s">
        <v>680</v>
      </c>
      <c r="D3254" s="7"/>
      <c r="E3254" s="8">
        <v>-1.3385488999999999</v>
      </c>
      <c r="F3254" s="8">
        <v>-3.7109800000000002</v>
      </c>
      <c r="G3254" s="7" t="str">
        <f t="shared" si="18"/>
        <v>Direct</v>
      </c>
      <c r="H3254" s="7" t="s">
        <v>681</v>
      </c>
    </row>
    <row r="3255" spans="1:8" x14ac:dyDescent="0.2">
      <c r="A3255" s="5" t="s">
        <v>13</v>
      </c>
      <c r="B3255" s="6" t="s">
        <v>19</v>
      </c>
      <c r="C3255" s="7" t="s">
        <v>3728</v>
      </c>
      <c r="D3255" s="7"/>
      <c r="E3255" s="8">
        <v>-1.4025905000000001</v>
      </c>
      <c r="F3255" s="8">
        <v>-1.0590111</v>
      </c>
      <c r="G3255" s="7" t="str">
        <f t="shared" si="18"/>
        <v>Direct</v>
      </c>
      <c r="H3255" s="7" t="s">
        <v>2333</v>
      </c>
    </row>
    <row r="3256" spans="1:8" x14ac:dyDescent="0.2">
      <c r="A3256" s="5" t="s">
        <v>13</v>
      </c>
      <c r="B3256" s="6" t="s">
        <v>19</v>
      </c>
      <c r="C3256" s="7" t="s">
        <v>682</v>
      </c>
      <c r="D3256" s="7"/>
      <c r="E3256" s="8">
        <v>-4.4959426999999996</v>
      </c>
      <c r="F3256" s="8">
        <v>-3.8425375000000002</v>
      </c>
      <c r="G3256" s="7" t="str">
        <f t="shared" si="18"/>
        <v>Direct</v>
      </c>
      <c r="H3256" s="7" t="s">
        <v>683</v>
      </c>
    </row>
    <row r="3257" spans="1:8" x14ac:dyDescent="0.2">
      <c r="A3257" s="5" t="s">
        <v>13</v>
      </c>
      <c r="B3257" s="6" t="s">
        <v>19</v>
      </c>
      <c r="C3257" s="7" t="s">
        <v>3729</v>
      </c>
      <c r="D3257" s="7"/>
      <c r="E3257" s="8">
        <v>-1.5120471</v>
      </c>
      <c r="F3257" s="8">
        <v>-3.8899550000000001</v>
      </c>
      <c r="G3257" s="7" t="str">
        <f t="shared" si="18"/>
        <v>Direct</v>
      </c>
      <c r="H3257" s="7" t="s">
        <v>16</v>
      </c>
    </row>
    <row r="3258" spans="1:8" x14ac:dyDescent="0.2">
      <c r="A3258" s="5" t="s">
        <v>13</v>
      </c>
      <c r="B3258" s="6" t="s">
        <v>19</v>
      </c>
      <c r="C3258" s="7" t="s">
        <v>3730</v>
      </c>
      <c r="D3258" s="7"/>
      <c r="E3258" s="8">
        <v>-5.3323397999999997</v>
      </c>
      <c r="F3258" s="8">
        <v>-3.5140226999999999</v>
      </c>
      <c r="G3258" s="7" t="str">
        <f t="shared" si="18"/>
        <v>Direct</v>
      </c>
      <c r="H3258" s="7" t="s">
        <v>16</v>
      </c>
    </row>
    <row r="3259" spans="1:8" x14ac:dyDescent="0.2">
      <c r="A3259" s="5" t="s">
        <v>13</v>
      </c>
      <c r="B3259" s="6" t="s">
        <v>19</v>
      </c>
      <c r="C3259" s="7" t="s">
        <v>3731</v>
      </c>
      <c r="D3259" s="7"/>
      <c r="E3259" s="8">
        <v>2.0635980799999998</v>
      </c>
      <c r="F3259" s="8">
        <v>3.0194234600000001</v>
      </c>
      <c r="G3259" s="7" t="str">
        <f t="shared" si="18"/>
        <v>Direct</v>
      </c>
      <c r="H3259" s="7" t="s">
        <v>3732</v>
      </c>
    </row>
    <row r="3260" spans="1:8" x14ac:dyDescent="0.2">
      <c r="A3260" s="5" t="s">
        <v>13</v>
      </c>
      <c r="B3260" s="6" t="s">
        <v>19</v>
      </c>
      <c r="C3260" s="7" t="s">
        <v>3733</v>
      </c>
      <c r="D3260" s="7"/>
      <c r="E3260" s="8">
        <v>1.61587711</v>
      </c>
      <c r="F3260" s="8">
        <v>1.08799705</v>
      </c>
      <c r="G3260" s="7" t="str">
        <f t="shared" si="18"/>
        <v>Direct</v>
      </c>
      <c r="H3260" s="7" t="s">
        <v>3734</v>
      </c>
    </row>
    <row r="3261" spans="1:8" x14ac:dyDescent="0.2">
      <c r="A3261" s="5" t="s">
        <v>13</v>
      </c>
      <c r="B3261" s="6" t="s">
        <v>19</v>
      </c>
      <c r="C3261" s="7" t="s">
        <v>684</v>
      </c>
      <c r="D3261" s="7"/>
      <c r="E3261" s="8">
        <v>3.0171209700000001</v>
      </c>
      <c r="F3261" s="8">
        <v>3.0696249899999999</v>
      </c>
      <c r="G3261" s="7" t="str">
        <f t="shared" si="18"/>
        <v>Direct</v>
      </c>
      <c r="H3261" s="7" t="s">
        <v>16</v>
      </c>
    </row>
    <row r="3262" spans="1:8" x14ac:dyDescent="0.2">
      <c r="A3262" s="5" t="s">
        <v>13</v>
      </c>
      <c r="B3262" s="6" t="s">
        <v>19</v>
      </c>
      <c r="C3262" s="7" t="s">
        <v>3735</v>
      </c>
      <c r="D3262" s="7"/>
      <c r="E3262" s="8">
        <v>1.81006562</v>
      </c>
      <c r="F3262" s="8">
        <v>2.0786518300000001</v>
      </c>
      <c r="G3262" s="7" t="str">
        <f t="shared" si="18"/>
        <v>Direct</v>
      </c>
      <c r="H3262" s="7" t="s">
        <v>3736</v>
      </c>
    </row>
    <row r="3263" spans="1:8" x14ac:dyDescent="0.2">
      <c r="A3263" s="5" t="s">
        <v>13</v>
      </c>
      <c r="B3263" s="6" t="s">
        <v>19</v>
      </c>
      <c r="C3263" s="7" t="s">
        <v>3737</v>
      </c>
      <c r="D3263" s="7"/>
      <c r="E3263" s="8">
        <v>3.7391354200000002</v>
      </c>
      <c r="F3263" s="8">
        <v>4.0832629000000003</v>
      </c>
      <c r="G3263" s="7" t="str">
        <f t="shared" si="18"/>
        <v>Direct</v>
      </c>
      <c r="H3263" s="7" t="s">
        <v>3736</v>
      </c>
    </row>
    <row r="3264" spans="1:8" x14ac:dyDescent="0.2">
      <c r="A3264" s="5" t="s">
        <v>13</v>
      </c>
      <c r="B3264" s="6" t="s">
        <v>19</v>
      </c>
      <c r="C3264" s="7" t="s">
        <v>3738</v>
      </c>
      <c r="D3264" s="7"/>
      <c r="E3264" s="8">
        <v>-4.0655058999999998</v>
      </c>
      <c r="F3264" s="8">
        <v>-5.2239899999999997</v>
      </c>
      <c r="G3264" s="7" t="str">
        <f t="shared" si="18"/>
        <v>Direct</v>
      </c>
      <c r="H3264" s="7" t="s">
        <v>829</v>
      </c>
    </row>
    <row r="3265" spans="1:8" x14ac:dyDescent="0.2">
      <c r="A3265" s="5" t="s">
        <v>13</v>
      </c>
      <c r="B3265" s="6" t="s">
        <v>19</v>
      </c>
      <c r="C3265" s="7" t="s">
        <v>3739</v>
      </c>
      <c r="D3265" s="7"/>
      <c r="E3265" s="8">
        <v>2.05100712</v>
      </c>
      <c r="F3265" s="8">
        <v>1.5946132</v>
      </c>
      <c r="G3265" s="7" t="str">
        <f t="shared" si="18"/>
        <v>Direct</v>
      </c>
      <c r="H3265" s="7" t="s">
        <v>429</v>
      </c>
    </row>
    <row r="3266" spans="1:8" x14ac:dyDescent="0.2">
      <c r="A3266" s="5" t="s">
        <v>13</v>
      </c>
      <c r="B3266" s="6" t="s">
        <v>19</v>
      </c>
      <c r="C3266" s="7" t="s">
        <v>3740</v>
      </c>
      <c r="D3266" s="7"/>
      <c r="E3266" s="8">
        <v>2.4281584199999999</v>
      </c>
      <c r="F3266" s="8">
        <v>2.07206264</v>
      </c>
      <c r="G3266" s="7" t="str">
        <f t="shared" si="18"/>
        <v>Direct</v>
      </c>
      <c r="H3266" s="7" t="s">
        <v>16</v>
      </c>
    </row>
    <row r="3267" spans="1:8" x14ac:dyDescent="0.2">
      <c r="A3267" s="5" t="s">
        <v>13</v>
      </c>
      <c r="B3267" s="6" t="s">
        <v>19</v>
      </c>
      <c r="C3267" s="7" t="s">
        <v>3741</v>
      </c>
      <c r="D3267" s="7"/>
      <c r="E3267" s="8">
        <v>-2.3336329</v>
      </c>
      <c r="F3267" s="8">
        <v>-1.8517576</v>
      </c>
      <c r="G3267" s="7" t="str">
        <f t="shared" si="18"/>
        <v>Direct</v>
      </c>
      <c r="H3267" s="7" t="s">
        <v>3742</v>
      </c>
    </row>
    <row r="3268" spans="1:8" x14ac:dyDescent="0.2">
      <c r="A3268" s="5" t="s">
        <v>13</v>
      </c>
      <c r="B3268" s="6" t="s">
        <v>19</v>
      </c>
      <c r="C3268" s="7" t="s">
        <v>3743</v>
      </c>
      <c r="D3268" s="7"/>
      <c r="E3268" s="8">
        <v>1.4636191000000001</v>
      </c>
      <c r="F3268" s="8">
        <v>1.5196846399999999</v>
      </c>
      <c r="G3268" s="7" t="str">
        <f t="shared" ref="G3268:G3494" si="19">IF(OR(AND(E3268&gt;0,F3268&gt;0),AND(E3268&lt;0,F3268&lt;0)),"Direct","Inverse")</f>
        <v>Direct</v>
      </c>
      <c r="H3268" s="7" t="s">
        <v>16</v>
      </c>
    </row>
    <row r="3269" spans="1:8" x14ac:dyDescent="0.2">
      <c r="A3269" s="5" t="s">
        <v>13</v>
      </c>
      <c r="B3269" s="6" t="s">
        <v>19</v>
      </c>
      <c r="C3269" s="7" t="s">
        <v>3744</v>
      </c>
      <c r="D3269" s="7"/>
      <c r="E3269" s="8">
        <v>-1.1098862</v>
      </c>
      <c r="F3269" s="8">
        <v>-1.4923819</v>
      </c>
      <c r="G3269" s="7" t="str">
        <f t="shared" si="19"/>
        <v>Direct</v>
      </c>
      <c r="H3269" s="7" t="s">
        <v>16</v>
      </c>
    </row>
    <row r="3270" spans="1:8" x14ac:dyDescent="0.2">
      <c r="A3270" s="5" t="s">
        <v>13</v>
      </c>
      <c r="B3270" s="6" t="s">
        <v>19</v>
      </c>
      <c r="C3270" s="7" t="s">
        <v>3745</v>
      </c>
      <c r="D3270" s="7"/>
      <c r="E3270" s="8">
        <v>-2.4721085</v>
      </c>
      <c r="F3270" s="8">
        <v>-3.6244627999999999</v>
      </c>
      <c r="G3270" s="7" t="str">
        <f t="shared" si="19"/>
        <v>Direct</v>
      </c>
      <c r="H3270" s="7" t="s">
        <v>3746</v>
      </c>
    </row>
    <row r="3271" spans="1:8" x14ac:dyDescent="0.2">
      <c r="A3271" s="5" t="s">
        <v>13</v>
      </c>
      <c r="B3271" s="6" t="s">
        <v>19</v>
      </c>
      <c r="C3271" s="7" t="s">
        <v>3747</v>
      </c>
      <c r="D3271" s="7"/>
      <c r="E3271" s="8">
        <v>-2.0937234</v>
      </c>
      <c r="F3271" s="8">
        <v>-2.0346104999999999</v>
      </c>
      <c r="G3271" s="7" t="str">
        <f t="shared" si="19"/>
        <v>Direct</v>
      </c>
      <c r="H3271" s="7" t="s">
        <v>3748</v>
      </c>
    </row>
    <row r="3272" spans="1:8" x14ac:dyDescent="0.2">
      <c r="A3272" s="5" t="s">
        <v>13</v>
      </c>
      <c r="B3272" s="6" t="s">
        <v>19</v>
      </c>
      <c r="C3272" s="7" t="s">
        <v>685</v>
      </c>
      <c r="D3272" s="7"/>
      <c r="E3272" s="8">
        <v>-7.5127471999999997</v>
      </c>
      <c r="F3272" s="8">
        <v>-5.9332415999999997</v>
      </c>
      <c r="G3272" s="7" t="str">
        <f t="shared" si="19"/>
        <v>Direct</v>
      </c>
      <c r="H3272" s="7" t="s">
        <v>686</v>
      </c>
    </row>
    <row r="3273" spans="1:8" x14ac:dyDescent="0.2">
      <c r="A3273" s="5" t="s">
        <v>13</v>
      </c>
      <c r="B3273" s="6" t="s">
        <v>19</v>
      </c>
      <c r="C3273" s="7" t="s">
        <v>3749</v>
      </c>
      <c r="D3273" s="7"/>
      <c r="E3273" s="8">
        <v>3.9698499900000002</v>
      </c>
      <c r="F3273" s="8">
        <v>4.3136912299999999</v>
      </c>
      <c r="G3273" s="7" t="str">
        <f t="shared" si="19"/>
        <v>Direct</v>
      </c>
      <c r="H3273" s="7" t="s">
        <v>3750</v>
      </c>
    </row>
    <row r="3274" spans="1:8" x14ac:dyDescent="0.2">
      <c r="A3274" s="5" t="s">
        <v>13</v>
      </c>
      <c r="B3274" s="6" t="s">
        <v>19</v>
      </c>
      <c r="C3274" s="7" t="s">
        <v>3751</v>
      </c>
      <c r="D3274" s="7"/>
      <c r="E3274" s="8">
        <v>-2.5399332000000001</v>
      </c>
      <c r="F3274" s="8">
        <v>-1.6208940999999999</v>
      </c>
      <c r="G3274" s="7" t="str">
        <f t="shared" si="19"/>
        <v>Direct</v>
      </c>
      <c r="H3274" s="7" t="s">
        <v>3752</v>
      </c>
    </row>
    <row r="3275" spans="1:8" x14ac:dyDescent="0.2">
      <c r="A3275" s="5" t="s">
        <v>13</v>
      </c>
      <c r="B3275" s="6" t="s">
        <v>19</v>
      </c>
      <c r="C3275" s="7" t="s">
        <v>687</v>
      </c>
      <c r="D3275" s="7"/>
      <c r="E3275" s="8">
        <v>2.5695755</v>
      </c>
      <c r="F3275" s="8">
        <v>1.9471500799999999</v>
      </c>
      <c r="G3275" s="7" t="str">
        <f t="shared" si="19"/>
        <v>Direct</v>
      </c>
      <c r="H3275" s="7" t="s">
        <v>688</v>
      </c>
    </row>
    <row r="3276" spans="1:8" x14ac:dyDescent="0.2">
      <c r="A3276" s="5" t="s">
        <v>13</v>
      </c>
      <c r="B3276" s="6" t="s">
        <v>19</v>
      </c>
      <c r="C3276" s="7" t="s">
        <v>3753</v>
      </c>
      <c r="D3276" s="7"/>
      <c r="E3276" s="8">
        <v>-1.9216447999999999</v>
      </c>
      <c r="F3276" s="8">
        <v>-2.1945172999999998</v>
      </c>
      <c r="G3276" s="7" t="str">
        <f t="shared" si="19"/>
        <v>Direct</v>
      </c>
      <c r="H3276" s="7" t="s">
        <v>3754</v>
      </c>
    </row>
    <row r="3277" spans="1:8" x14ac:dyDescent="0.2">
      <c r="A3277" s="5" t="s">
        <v>13</v>
      </c>
      <c r="B3277" s="6" t="s">
        <v>19</v>
      </c>
      <c r="C3277" s="7" t="s">
        <v>3755</v>
      </c>
      <c r="D3277" s="7"/>
      <c r="E3277" s="8">
        <v>7.8358587699999998</v>
      </c>
      <c r="F3277" s="8">
        <v>5.7468923399999996</v>
      </c>
      <c r="G3277" s="7" t="str">
        <f t="shared" si="19"/>
        <v>Direct</v>
      </c>
      <c r="H3277" s="7" t="s">
        <v>3756</v>
      </c>
    </row>
    <row r="3278" spans="1:8" x14ac:dyDescent="0.2">
      <c r="A3278" s="5" t="s">
        <v>13</v>
      </c>
      <c r="B3278" s="6" t="s">
        <v>19</v>
      </c>
      <c r="C3278" s="7" t="s">
        <v>3757</v>
      </c>
      <c r="D3278" s="7"/>
      <c r="E3278" s="8">
        <v>2.49306932</v>
      </c>
      <c r="F3278" s="8">
        <v>1.5238922399999999</v>
      </c>
      <c r="G3278" s="7" t="str">
        <f t="shared" si="19"/>
        <v>Direct</v>
      </c>
      <c r="H3278" s="7" t="s">
        <v>3758</v>
      </c>
    </row>
    <row r="3279" spans="1:8" x14ac:dyDescent="0.2">
      <c r="A3279" s="5" t="s">
        <v>13</v>
      </c>
      <c r="B3279" s="6" t="s">
        <v>19</v>
      </c>
      <c r="C3279" s="7" t="s">
        <v>3759</v>
      </c>
      <c r="D3279" s="7"/>
      <c r="E3279" s="8">
        <v>-4.5320372999999998</v>
      </c>
      <c r="F3279" s="8">
        <v>-7.1757990999999999</v>
      </c>
      <c r="G3279" s="7" t="str">
        <f t="shared" si="19"/>
        <v>Direct</v>
      </c>
      <c r="H3279" s="7" t="s">
        <v>16</v>
      </c>
    </row>
    <row r="3280" spans="1:8" x14ac:dyDescent="0.2">
      <c r="A3280" s="5" t="s">
        <v>13</v>
      </c>
      <c r="B3280" s="6" t="s">
        <v>19</v>
      </c>
      <c r="C3280" s="7" t="s">
        <v>3760</v>
      </c>
      <c r="D3280" s="7"/>
      <c r="E3280" s="8">
        <v>1.5213855000000001</v>
      </c>
      <c r="F3280" s="8">
        <v>1.4864187600000001</v>
      </c>
      <c r="G3280" s="7" t="str">
        <f t="shared" si="19"/>
        <v>Direct</v>
      </c>
      <c r="H3280" s="7" t="s">
        <v>3761</v>
      </c>
    </row>
    <row r="3281" spans="1:8" x14ac:dyDescent="0.2">
      <c r="A3281" s="5" t="s">
        <v>13</v>
      </c>
      <c r="B3281" s="6" t="s">
        <v>19</v>
      </c>
      <c r="C3281" s="7" t="s">
        <v>3762</v>
      </c>
      <c r="D3281" s="7"/>
      <c r="E3281" s="8">
        <v>-2.0012319000000001</v>
      </c>
      <c r="F3281" s="8">
        <v>-3.221463</v>
      </c>
      <c r="G3281" s="7" t="str">
        <f t="shared" si="19"/>
        <v>Direct</v>
      </c>
      <c r="H3281" s="7" t="s">
        <v>3763</v>
      </c>
    </row>
    <row r="3282" spans="1:8" x14ac:dyDescent="0.2">
      <c r="A3282" s="5" t="s">
        <v>13</v>
      </c>
      <c r="B3282" s="6" t="s">
        <v>19</v>
      </c>
      <c r="C3282" s="7" t="s">
        <v>3764</v>
      </c>
      <c r="D3282" s="7"/>
      <c r="E3282" s="8">
        <v>-3.6318492999999998</v>
      </c>
      <c r="F3282" s="8">
        <v>-3.0779155999999999</v>
      </c>
      <c r="G3282" s="7" t="str">
        <f t="shared" si="19"/>
        <v>Direct</v>
      </c>
      <c r="H3282" s="7" t="s">
        <v>3765</v>
      </c>
    </row>
    <row r="3283" spans="1:8" x14ac:dyDescent="0.2">
      <c r="A3283" s="5" t="s">
        <v>13</v>
      </c>
      <c r="B3283" s="6" t="s">
        <v>19</v>
      </c>
      <c r="C3283" s="7" t="s">
        <v>689</v>
      </c>
      <c r="D3283" s="7"/>
      <c r="E3283" s="8">
        <v>-1.7542156</v>
      </c>
      <c r="F3283" s="8">
        <v>-2.8156105</v>
      </c>
      <c r="G3283" s="7" t="str">
        <f t="shared" si="19"/>
        <v>Direct</v>
      </c>
      <c r="H3283" s="7" t="s">
        <v>16</v>
      </c>
    </row>
    <row r="3284" spans="1:8" x14ac:dyDescent="0.2">
      <c r="A3284" s="5" t="s">
        <v>13</v>
      </c>
      <c r="B3284" s="6" t="s">
        <v>19</v>
      </c>
      <c r="C3284" s="7" t="s">
        <v>3766</v>
      </c>
      <c r="D3284" s="7"/>
      <c r="E3284" s="8">
        <v>-1.0357067</v>
      </c>
      <c r="F3284" s="8">
        <v>-3.8154029</v>
      </c>
      <c r="G3284" s="7" t="str">
        <f t="shared" si="19"/>
        <v>Direct</v>
      </c>
      <c r="H3284" s="7" t="s">
        <v>3767</v>
      </c>
    </row>
    <row r="3285" spans="1:8" x14ac:dyDescent="0.2">
      <c r="A3285" s="5" t="s">
        <v>13</v>
      </c>
      <c r="B3285" s="6" t="s">
        <v>19</v>
      </c>
      <c r="C3285" s="7" t="s">
        <v>3768</v>
      </c>
      <c r="D3285" s="7"/>
      <c r="E3285" s="8">
        <v>-2.1874547</v>
      </c>
      <c r="F3285" s="8">
        <v>-1.9461963</v>
      </c>
      <c r="G3285" s="7" t="str">
        <f t="shared" si="19"/>
        <v>Direct</v>
      </c>
      <c r="H3285" s="7" t="s">
        <v>3769</v>
      </c>
    </row>
    <row r="3286" spans="1:8" x14ac:dyDescent="0.2">
      <c r="A3286" s="5" t="s">
        <v>13</v>
      </c>
      <c r="B3286" s="6" t="s">
        <v>19</v>
      </c>
      <c r="C3286" s="7" t="s">
        <v>3770</v>
      </c>
      <c r="D3286" s="7"/>
      <c r="E3286" s="8">
        <v>1.6394075299999999</v>
      </c>
      <c r="F3286" s="8">
        <v>1.89216586</v>
      </c>
      <c r="G3286" s="7" t="str">
        <f t="shared" si="19"/>
        <v>Direct</v>
      </c>
      <c r="H3286" s="7" t="s">
        <v>3771</v>
      </c>
    </row>
    <row r="3287" spans="1:8" x14ac:dyDescent="0.2">
      <c r="A3287" s="5" t="s">
        <v>13</v>
      </c>
      <c r="B3287" s="6" t="s">
        <v>19</v>
      </c>
      <c r="C3287" s="7" t="s">
        <v>690</v>
      </c>
      <c r="D3287" s="7"/>
      <c r="E3287" s="8">
        <v>-5.9037024000000002</v>
      </c>
      <c r="F3287" s="8">
        <v>-9.1628358999999993</v>
      </c>
      <c r="G3287" s="7" t="str">
        <f t="shared" si="19"/>
        <v>Direct</v>
      </c>
      <c r="H3287" s="7" t="s">
        <v>16</v>
      </c>
    </row>
    <row r="3288" spans="1:8" x14ac:dyDescent="0.2">
      <c r="A3288" s="5" t="s">
        <v>13</v>
      </c>
      <c r="B3288" s="6" t="s">
        <v>19</v>
      </c>
      <c r="C3288" s="7" t="s">
        <v>3772</v>
      </c>
      <c r="D3288" s="7"/>
      <c r="E3288" s="8">
        <v>-3.3127464999999998</v>
      </c>
      <c r="F3288" s="8">
        <v>-2.6959466999999999</v>
      </c>
      <c r="G3288" s="7" t="str">
        <f t="shared" si="19"/>
        <v>Direct</v>
      </c>
      <c r="H3288" s="7" t="s">
        <v>3773</v>
      </c>
    </row>
    <row r="3289" spans="1:8" x14ac:dyDescent="0.2">
      <c r="A3289" s="5" t="s">
        <v>13</v>
      </c>
      <c r="B3289" s="6" t="s">
        <v>19</v>
      </c>
      <c r="C3289" s="7" t="s">
        <v>3774</v>
      </c>
      <c r="D3289" s="7"/>
      <c r="E3289" s="8">
        <v>-3.1908310000000002</v>
      </c>
      <c r="F3289" s="8">
        <v>-1.228796</v>
      </c>
      <c r="G3289" s="7" t="str">
        <f t="shared" si="19"/>
        <v>Direct</v>
      </c>
      <c r="H3289" s="7" t="s">
        <v>162</v>
      </c>
    </row>
    <row r="3290" spans="1:8" x14ac:dyDescent="0.2">
      <c r="A3290" s="5" t="s">
        <v>13</v>
      </c>
      <c r="B3290" s="6" t="s">
        <v>19</v>
      </c>
      <c r="C3290" s="7" t="s">
        <v>3775</v>
      </c>
      <c r="D3290" s="7"/>
      <c r="E3290" s="8">
        <v>2.8257446700000002</v>
      </c>
      <c r="F3290" s="8">
        <v>2.4938856399999998</v>
      </c>
      <c r="G3290" s="7" t="str">
        <f t="shared" si="19"/>
        <v>Direct</v>
      </c>
      <c r="H3290" s="7" t="s">
        <v>3776</v>
      </c>
    </row>
    <row r="3291" spans="1:8" x14ac:dyDescent="0.2">
      <c r="A3291" s="5" t="s">
        <v>13</v>
      </c>
      <c r="B3291" s="6" t="s">
        <v>19</v>
      </c>
      <c r="C3291" s="7" t="s">
        <v>3777</v>
      </c>
      <c r="D3291" s="7"/>
      <c r="E3291" s="8">
        <v>-1.5636190000000001</v>
      </c>
      <c r="F3291" s="8">
        <v>-2.0507260999999999</v>
      </c>
      <c r="G3291" s="7" t="str">
        <f t="shared" si="19"/>
        <v>Direct</v>
      </c>
      <c r="H3291" s="7" t="s">
        <v>3715</v>
      </c>
    </row>
    <row r="3292" spans="1:8" x14ac:dyDescent="0.2">
      <c r="A3292" s="5" t="s">
        <v>13</v>
      </c>
      <c r="B3292" s="6" t="s">
        <v>19</v>
      </c>
      <c r="C3292" s="7" t="s">
        <v>3778</v>
      </c>
      <c r="D3292" s="7"/>
      <c r="E3292" s="8">
        <v>3.8721173900000001</v>
      </c>
      <c r="F3292" s="8">
        <v>4.4018031300000002</v>
      </c>
      <c r="G3292" s="7" t="str">
        <f t="shared" si="19"/>
        <v>Direct</v>
      </c>
      <c r="H3292" s="7" t="s">
        <v>3779</v>
      </c>
    </row>
    <row r="3293" spans="1:8" x14ac:dyDescent="0.2">
      <c r="A3293" s="5" t="s">
        <v>13</v>
      </c>
      <c r="B3293" s="6" t="s">
        <v>19</v>
      </c>
      <c r="C3293" s="7" t="s">
        <v>3780</v>
      </c>
      <c r="D3293" s="7"/>
      <c r="E3293" s="8">
        <v>-6.2835482999999996</v>
      </c>
      <c r="F3293" s="8">
        <v>-9.1903717</v>
      </c>
      <c r="G3293" s="7" t="str">
        <f t="shared" si="19"/>
        <v>Direct</v>
      </c>
      <c r="H3293" s="7" t="s">
        <v>3781</v>
      </c>
    </row>
    <row r="3294" spans="1:8" x14ac:dyDescent="0.2">
      <c r="A3294" s="5" t="s">
        <v>13</v>
      </c>
      <c r="B3294" s="6" t="s">
        <v>19</v>
      </c>
      <c r="C3294" s="7" t="s">
        <v>3782</v>
      </c>
      <c r="D3294" s="7"/>
      <c r="E3294" s="8">
        <v>-8.4647074</v>
      </c>
      <c r="F3294" s="8">
        <v>-6.4814352</v>
      </c>
      <c r="G3294" s="7" t="str">
        <f t="shared" si="19"/>
        <v>Direct</v>
      </c>
      <c r="H3294" s="7" t="s">
        <v>16</v>
      </c>
    </row>
    <row r="3295" spans="1:8" x14ac:dyDescent="0.2">
      <c r="A3295" s="5" t="s">
        <v>13</v>
      </c>
      <c r="B3295" s="6" t="s">
        <v>19</v>
      </c>
      <c r="C3295" s="7" t="s">
        <v>3783</v>
      </c>
      <c r="D3295" s="7"/>
      <c r="E3295" s="8">
        <v>2.0050647100000001</v>
      </c>
      <c r="F3295" s="8">
        <v>1.3125338499999999</v>
      </c>
      <c r="G3295" s="7" t="str">
        <f t="shared" si="19"/>
        <v>Direct</v>
      </c>
      <c r="H3295" s="7" t="s">
        <v>16</v>
      </c>
    </row>
    <row r="3296" spans="1:8" x14ac:dyDescent="0.2">
      <c r="A3296" s="5" t="s">
        <v>13</v>
      </c>
      <c r="B3296" s="6" t="s">
        <v>19</v>
      </c>
      <c r="C3296" s="7" t="s">
        <v>3784</v>
      </c>
      <c r="D3296" s="7"/>
      <c r="E3296" s="8">
        <v>3.6284274399999998</v>
      </c>
      <c r="F3296" s="8">
        <v>1.56748135</v>
      </c>
      <c r="G3296" s="7" t="str">
        <f t="shared" si="19"/>
        <v>Direct</v>
      </c>
      <c r="H3296" s="7" t="s">
        <v>3785</v>
      </c>
    </row>
    <row r="3297" spans="1:8" x14ac:dyDescent="0.2">
      <c r="A3297" s="5" t="s">
        <v>13</v>
      </c>
      <c r="B3297" s="6" t="s">
        <v>19</v>
      </c>
      <c r="C3297" s="7" t="s">
        <v>3786</v>
      </c>
      <c r="D3297" s="7"/>
      <c r="E3297" s="8">
        <v>8.04845437</v>
      </c>
      <c r="F3297" s="8">
        <v>5.9383392400000004</v>
      </c>
      <c r="G3297" s="7" t="str">
        <f t="shared" si="19"/>
        <v>Direct</v>
      </c>
      <c r="H3297" s="7" t="s">
        <v>3787</v>
      </c>
    </row>
    <row r="3298" spans="1:8" x14ac:dyDescent="0.2">
      <c r="A3298" s="5" t="s">
        <v>13</v>
      </c>
      <c r="B3298" s="6" t="s">
        <v>19</v>
      </c>
      <c r="C3298" s="7" t="s">
        <v>3788</v>
      </c>
      <c r="D3298" s="7"/>
      <c r="E3298" s="8">
        <v>2.0660853299999999</v>
      </c>
      <c r="F3298" s="8">
        <v>1.88159272</v>
      </c>
      <c r="G3298" s="7" t="str">
        <f t="shared" si="19"/>
        <v>Direct</v>
      </c>
      <c r="H3298" s="7" t="s">
        <v>504</v>
      </c>
    </row>
    <row r="3299" spans="1:8" x14ac:dyDescent="0.2">
      <c r="A3299" s="5" t="s">
        <v>13</v>
      </c>
      <c r="B3299" s="6" t="s">
        <v>19</v>
      </c>
      <c r="C3299" s="7" t="s">
        <v>3789</v>
      </c>
      <c r="D3299" s="7"/>
      <c r="E3299" s="8">
        <v>-10.037022</v>
      </c>
      <c r="F3299" s="8">
        <v>-9.2366831999999999</v>
      </c>
      <c r="G3299" s="7" t="str">
        <f t="shared" si="19"/>
        <v>Direct</v>
      </c>
      <c r="H3299" s="7" t="s">
        <v>16</v>
      </c>
    </row>
    <row r="3300" spans="1:8" x14ac:dyDescent="0.2">
      <c r="A3300" s="5" t="s">
        <v>13</v>
      </c>
      <c r="B3300" s="6" t="s">
        <v>19</v>
      </c>
      <c r="C3300" s="7" t="s">
        <v>3790</v>
      </c>
      <c r="D3300" s="7"/>
      <c r="E3300" s="8">
        <v>-2.0802524999999998</v>
      </c>
      <c r="F3300" s="8">
        <v>-1.6935916</v>
      </c>
      <c r="G3300" s="7" t="str">
        <f t="shared" si="19"/>
        <v>Direct</v>
      </c>
      <c r="H3300" s="7" t="s">
        <v>1897</v>
      </c>
    </row>
    <row r="3301" spans="1:8" x14ac:dyDescent="0.2">
      <c r="A3301" s="5" t="s">
        <v>13</v>
      </c>
      <c r="B3301" s="6" t="s">
        <v>19</v>
      </c>
      <c r="C3301" s="7" t="s">
        <v>3791</v>
      </c>
      <c r="D3301" s="7"/>
      <c r="E3301" s="8">
        <v>2.2627175300000002</v>
      </c>
      <c r="F3301" s="8">
        <v>2.5198629100000001</v>
      </c>
      <c r="G3301" s="7" t="str">
        <f t="shared" si="19"/>
        <v>Direct</v>
      </c>
      <c r="H3301" s="7" t="s">
        <v>16</v>
      </c>
    </row>
    <row r="3302" spans="1:8" x14ac:dyDescent="0.2">
      <c r="A3302" s="5" t="s">
        <v>13</v>
      </c>
      <c r="B3302" s="6" t="s">
        <v>19</v>
      </c>
      <c r="C3302" s="7" t="s">
        <v>3792</v>
      </c>
      <c r="D3302" s="7"/>
      <c r="E3302" s="8">
        <v>1.4688281299999999</v>
      </c>
      <c r="F3302" s="8">
        <v>1.42333585</v>
      </c>
      <c r="G3302" s="7" t="str">
        <f t="shared" si="19"/>
        <v>Direct</v>
      </c>
      <c r="H3302" s="7" t="s">
        <v>1395</v>
      </c>
    </row>
    <row r="3303" spans="1:8" x14ac:dyDescent="0.2">
      <c r="A3303" s="5" t="s">
        <v>13</v>
      </c>
      <c r="B3303" s="6" t="s">
        <v>19</v>
      </c>
      <c r="C3303" s="7" t="s">
        <v>3793</v>
      </c>
      <c r="D3303" s="7"/>
      <c r="E3303" s="8">
        <v>1.56689122</v>
      </c>
      <c r="F3303" s="8">
        <v>1.4424972</v>
      </c>
      <c r="G3303" s="7" t="str">
        <f t="shared" si="19"/>
        <v>Direct</v>
      </c>
      <c r="H3303" s="7" t="s">
        <v>3794</v>
      </c>
    </row>
    <row r="3304" spans="1:8" x14ac:dyDescent="0.2">
      <c r="A3304" s="5" t="s">
        <v>13</v>
      </c>
      <c r="B3304" s="6" t="s">
        <v>19</v>
      </c>
      <c r="C3304" s="7" t="s">
        <v>3795</v>
      </c>
      <c r="D3304" s="7"/>
      <c r="E3304" s="8">
        <v>1.4925040300000001</v>
      </c>
      <c r="F3304" s="8">
        <v>1.5980343299999999</v>
      </c>
      <c r="G3304" s="7" t="str">
        <f t="shared" si="19"/>
        <v>Direct</v>
      </c>
      <c r="H3304" s="7" t="s">
        <v>2781</v>
      </c>
    </row>
    <row r="3305" spans="1:8" x14ac:dyDescent="0.2">
      <c r="A3305" s="5" t="s">
        <v>13</v>
      </c>
      <c r="B3305" s="6" t="s">
        <v>19</v>
      </c>
      <c r="C3305" s="7" t="s">
        <v>3796</v>
      </c>
      <c r="D3305" s="7"/>
      <c r="E3305" s="8">
        <v>1.86766348</v>
      </c>
      <c r="F3305" s="8">
        <v>1.86154771</v>
      </c>
      <c r="G3305" s="7" t="str">
        <f t="shared" si="19"/>
        <v>Direct</v>
      </c>
      <c r="H3305" s="7" t="s">
        <v>3797</v>
      </c>
    </row>
    <row r="3306" spans="1:8" x14ac:dyDescent="0.2">
      <c r="A3306" s="5" t="s">
        <v>13</v>
      </c>
      <c r="B3306" s="6" t="s">
        <v>19</v>
      </c>
      <c r="C3306" s="7" t="s">
        <v>3798</v>
      </c>
      <c r="D3306" s="7"/>
      <c r="E3306" s="8">
        <v>1.5033583800000001</v>
      </c>
      <c r="F3306" s="8">
        <v>1.2139304399999999</v>
      </c>
      <c r="G3306" s="7" t="str">
        <f t="shared" si="19"/>
        <v>Direct</v>
      </c>
      <c r="H3306" s="7" t="s">
        <v>16</v>
      </c>
    </row>
    <row r="3307" spans="1:8" x14ac:dyDescent="0.2">
      <c r="A3307" s="5" t="s">
        <v>13</v>
      </c>
      <c r="B3307" s="6" t="s">
        <v>19</v>
      </c>
      <c r="C3307" s="7" t="s">
        <v>3799</v>
      </c>
      <c r="D3307" s="7"/>
      <c r="E3307" s="8">
        <v>1.0315660200000001</v>
      </c>
      <c r="F3307" s="8">
        <v>3.09370206</v>
      </c>
      <c r="G3307" s="7" t="str">
        <f t="shared" si="19"/>
        <v>Direct</v>
      </c>
      <c r="H3307" s="7" t="s">
        <v>3800</v>
      </c>
    </row>
    <row r="3308" spans="1:8" x14ac:dyDescent="0.2">
      <c r="A3308" s="5" t="s">
        <v>13</v>
      </c>
      <c r="B3308" s="6" t="s">
        <v>19</v>
      </c>
      <c r="C3308" s="7" t="s">
        <v>3801</v>
      </c>
      <c r="D3308" s="7"/>
      <c r="E3308" s="8">
        <v>2.9955752200000001</v>
      </c>
      <c r="F3308" s="8">
        <v>1.2298669099999999</v>
      </c>
      <c r="G3308" s="7" t="str">
        <f t="shared" si="19"/>
        <v>Direct</v>
      </c>
      <c r="H3308" s="7" t="s">
        <v>60</v>
      </c>
    </row>
    <row r="3309" spans="1:8" x14ac:dyDescent="0.2">
      <c r="A3309" s="5" t="s">
        <v>13</v>
      </c>
      <c r="B3309" s="6" t="s">
        <v>19</v>
      </c>
      <c r="C3309" s="7" t="s">
        <v>3802</v>
      </c>
      <c r="D3309" s="7"/>
      <c r="E3309" s="8">
        <v>1.01207402</v>
      </c>
      <c r="F3309" s="8">
        <v>1.2265077</v>
      </c>
      <c r="G3309" s="7" t="str">
        <f t="shared" si="19"/>
        <v>Direct</v>
      </c>
      <c r="H3309" s="7" t="s">
        <v>16</v>
      </c>
    </row>
    <row r="3310" spans="1:8" x14ac:dyDescent="0.2">
      <c r="A3310" s="5" t="s">
        <v>13</v>
      </c>
      <c r="B3310" s="6" t="s">
        <v>19</v>
      </c>
      <c r="C3310" s="7" t="s">
        <v>3803</v>
      </c>
      <c r="D3310" s="7"/>
      <c r="E3310" s="8">
        <v>-2.5087180999999998</v>
      </c>
      <c r="F3310" s="8">
        <v>-3.5666144000000002</v>
      </c>
      <c r="G3310" s="7" t="str">
        <f t="shared" si="19"/>
        <v>Direct</v>
      </c>
      <c r="H3310" s="7" t="s">
        <v>3721</v>
      </c>
    </row>
    <row r="3311" spans="1:8" x14ac:dyDescent="0.2">
      <c r="A3311" s="5" t="s">
        <v>13</v>
      </c>
      <c r="B3311" s="6" t="s">
        <v>19</v>
      </c>
      <c r="C3311" s="7" t="s">
        <v>693</v>
      </c>
      <c r="D3311" s="7"/>
      <c r="E3311" s="8">
        <v>-2.3299634</v>
      </c>
      <c r="F3311" s="8">
        <v>-1.2842884000000001</v>
      </c>
      <c r="G3311" s="7" t="str">
        <f t="shared" si="19"/>
        <v>Direct</v>
      </c>
      <c r="H3311" s="7" t="s">
        <v>16</v>
      </c>
    </row>
    <row r="3312" spans="1:8" x14ac:dyDescent="0.2">
      <c r="A3312" s="5" t="s">
        <v>13</v>
      </c>
      <c r="B3312" s="6" t="s">
        <v>19</v>
      </c>
      <c r="C3312" s="7" t="s">
        <v>3804</v>
      </c>
      <c r="D3312" s="7"/>
      <c r="E3312" s="8">
        <v>-7.8850864999999999</v>
      </c>
      <c r="F3312" s="8">
        <v>-6.4279428999999997</v>
      </c>
      <c r="G3312" s="7" t="str">
        <f t="shared" si="19"/>
        <v>Direct</v>
      </c>
      <c r="H3312" s="7" t="s">
        <v>16</v>
      </c>
    </row>
    <row r="3313" spans="1:8" x14ac:dyDescent="0.2">
      <c r="A3313" s="5" t="s">
        <v>13</v>
      </c>
      <c r="B3313" s="6" t="s">
        <v>19</v>
      </c>
      <c r="C3313" s="7" t="s">
        <v>3805</v>
      </c>
      <c r="D3313" s="7"/>
      <c r="E3313" s="8">
        <v>-1.6357774</v>
      </c>
      <c r="F3313" s="8">
        <v>-1.8457553</v>
      </c>
      <c r="G3313" s="7" t="str">
        <f t="shared" si="19"/>
        <v>Direct</v>
      </c>
      <c r="H3313" s="7" t="s">
        <v>3806</v>
      </c>
    </row>
    <row r="3314" spans="1:8" x14ac:dyDescent="0.2">
      <c r="A3314" s="5" t="s">
        <v>13</v>
      </c>
      <c r="B3314" s="6" t="s">
        <v>19</v>
      </c>
      <c r="C3314" s="7" t="s">
        <v>3807</v>
      </c>
      <c r="D3314" s="7"/>
      <c r="E3314" s="8">
        <v>-2.6306264000000001</v>
      </c>
      <c r="F3314" s="8">
        <v>-1.3344202999999999</v>
      </c>
      <c r="G3314" s="7" t="str">
        <f t="shared" si="19"/>
        <v>Direct</v>
      </c>
      <c r="H3314" s="7" t="s">
        <v>16</v>
      </c>
    </row>
    <row r="3315" spans="1:8" x14ac:dyDescent="0.2">
      <c r="A3315" s="5" t="s">
        <v>13</v>
      </c>
      <c r="B3315" s="6" t="s">
        <v>19</v>
      </c>
      <c r="C3315" s="7" t="s">
        <v>3808</v>
      </c>
      <c r="D3315" s="7"/>
      <c r="E3315" s="8">
        <v>-1.3788221000000001</v>
      </c>
      <c r="F3315" s="8">
        <v>-1.3183910999999999</v>
      </c>
      <c r="G3315" s="7" t="str">
        <f t="shared" si="19"/>
        <v>Direct</v>
      </c>
      <c r="H3315" s="7" t="s">
        <v>16</v>
      </c>
    </row>
    <row r="3316" spans="1:8" x14ac:dyDescent="0.2">
      <c r="A3316" s="5" t="s">
        <v>13</v>
      </c>
      <c r="B3316" s="6" t="s">
        <v>19</v>
      </c>
      <c r="C3316" s="7" t="s">
        <v>3809</v>
      </c>
      <c r="D3316" s="7"/>
      <c r="E3316" s="8">
        <v>-1.7418053</v>
      </c>
      <c r="F3316" s="8">
        <v>-1.0569056999999999</v>
      </c>
      <c r="G3316" s="7" t="str">
        <f t="shared" si="19"/>
        <v>Direct</v>
      </c>
      <c r="H3316" s="7" t="s">
        <v>16</v>
      </c>
    </row>
    <row r="3317" spans="1:8" x14ac:dyDescent="0.2">
      <c r="A3317" s="5" t="s">
        <v>13</v>
      </c>
      <c r="B3317" s="6" t="s">
        <v>19</v>
      </c>
      <c r="C3317" s="7" t="s">
        <v>694</v>
      </c>
      <c r="D3317" s="7"/>
      <c r="E3317" s="8">
        <v>-3.6739025999999999</v>
      </c>
      <c r="F3317" s="8">
        <v>-4.2121724</v>
      </c>
      <c r="G3317" s="7" t="str">
        <f t="shared" si="19"/>
        <v>Direct</v>
      </c>
      <c r="H3317" s="7" t="s">
        <v>16</v>
      </c>
    </row>
    <row r="3318" spans="1:8" x14ac:dyDescent="0.2">
      <c r="A3318" s="5" t="s">
        <v>13</v>
      </c>
      <c r="B3318" s="6" t="s">
        <v>19</v>
      </c>
      <c r="C3318" s="7" t="s">
        <v>3810</v>
      </c>
      <c r="D3318" s="7"/>
      <c r="E3318" s="8">
        <v>-3.5400835000000002</v>
      </c>
      <c r="F3318" s="8">
        <v>-3.3946182</v>
      </c>
      <c r="G3318" s="7" t="str">
        <f t="shared" si="19"/>
        <v>Direct</v>
      </c>
      <c r="H3318" s="7" t="s">
        <v>3811</v>
      </c>
    </row>
    <row r="3319" spans="1:8" x14ac:dyDescent="0.2">
      <c r="A3319" s="5" t="s">
        <v>13</v>
      </c>
      <c r="B3319" s="6" t="s">
        <v>19</v>
      </c>
      <c r="C3319" s="7" t="s">
        <v>3812</v>
      </c>
      <c r="D3319" s="7"/>
      <c r="E3319" s="8">
        <v>-1.0204533</v>
      </c>
      <c r="F3319" s="8">
        <v>-1.7699575000000001</v>
      </c>
      <c r="G3319" s="7" t="str">
        <f t="shared" si="19"/>
        <v>Direct</v>
      </c>
      <c r="H3319" s="7" t="s">
        <v>3813</v>
      </c>
    </row>
    <row r="3320" spans="1:8" x14ac:dyDescent="0.2">
      <c r="A3320" s="5" t="s">
        <v>13</v>
      </c>
      <c r="B3320" s="6" t="s">
        <v>19</v>
      </c>
      <c r="C3320" s="7" t="s">
        <v>695</v>
      </c>
      <c r="D3320" s="7"/>
      <c r="E3320" s="8">
        <v>-8.4721302999999999</v>
      </c>
      <c r="F3320" s="8">
        <v>-4.5633267000000002</v>
      </c>
      <c r="G3320" s="7" t="str">
        <f t="shared" si="19"/>
        <v>Direct</v>
      </c>
      <c r="H3320" s="7" t="s">
        <v>16</v>
      </c>
    </row>
    <row r="3321" spans="1:8" x14ac:dyDescent="0.2">
      <c r="A3321" s="5" t="s">
        <v>13</v>
      </c>
      <c r="B3321" s="6" t="s">
        <v>19</v>
      </c>
      <c r="C3321" s="7" t="s">
        <v>696</v>
      </c>
      <c r="D3321" s="7"/>
      <c r="E3321" s="8">
        <v>-2.6688657999999998</v>
      </c>
      <c r="F3321" s="8">
        <v>-1.7548592000000001</v>
      </c>
      <c r="G3321" s="7" t="str">
        <f t="shared" si="19"/>
        <v>Direct</v>
      </c>
      <c r="H3321" s="7" t="s">
        <v>16</v>
      </c>
    </row>
    <row r="3322" spans="1:8" x14ac:dyDescent="0.2">
      <c r="A3322" s="5" t="s">
        <v>13</v>
      </c>
      <c r="B3322" s="6" t="s">
        <v>19</v>
      </c>
      <c r="C3322" s="7" t="s">
        <v>3814</v>
      </c>
      <c r="D3322" s="7"/>
      <c r="E3322" s="8">
        <v>-3.657521</v>
      </c>
      <c r="F3322" s="8">
        <v>-1.8438148999999999</v>
      </c>
      <c r="G3322" s="7" t="str">
        <f t="shared" si="19"/>
        <v>Direct</v>
      </c>
      <c r="H3322" s="7" t="s">
        <v>16</v>
      </c>
    </row>
    <row r="3323" spans="1:8" x14ac:dyDescent="0.2">
      <c r="A3323" s="5" t="s">
        <v>13</v>
      </c>
      <c r="B3323" s="6" t="s">
        <v>19</v>
      </c>
      <c r="C3323" s="7" t="s">
        <v>3815</v>
      </c>
      <c r="D3323" s="7"/>
      <c r="E3323" s="8">
        <v>2.9564675</v>
      </c>
      <c r="F3323" s="8">
        <v>2.7685712499999999</v>
      </c>
      <c r="G3323" s="7" t="str">
        <f t="shared" si="19"/>
        <v>Direct</v>
      </c>
      <c r="H3323" s="7" t="s">
        <v>16</v>
      </c>
    </row>
    <row r="3324" spans="1:8" x14ac:dyDescent="0.2">
      <c r="A3324" s="5" t="s">
        <v>13</v>
      </c>
      <c r="B3324" s="6" t="s">
        <v>19</v>
      </c>
      <c r="C3324" s="7" t="s">
        <v>3816</v>
      </c>
      <c r="D3324" s="7"/>
      <c r="E3324" s="8">
        <v>1.4807783299999999</v>
      </c>
      <c r="F3324" s="8">
        <v>1.4043321600000001</v>
      </c>
      <c r="G3324" s="7" t="str">
        <f t="shared" si="19"/>
        <v>Direct</v>
      </c>
      <c r="H3324" s="7" t="s">
        <v>3817</v>
      </c>
    </row>
    <row r="3325" spans="1:8" x14ac:dyDescent="0.2">
      <c r="A3325" s="5" t="s">
        <v>13</v>
      </c>
      <c r="B3325" s="6" t="s">
        <v>19</v>
      </c>
      <c r="C3325" s="7" t="s">
        <v>697</v>
      </c>
      <c r="D3325" s="7"/>
      <c r="E3325" s="8">
        <v>-2.5301241999999999</v>
      </c>
      <c r="F3325" s="8">
        <v>-3.8684794</v>
      </c>
      <c r="G3325" s="7" t="str">
        <f t="shared" si="19"/>
        <v>Direct</v>
      </c>
      <c r="H3325" s="7" t="s">
        <v>16</v>
      </c>
    </row>
    <row r="3326" spans="1:8" x14ac:dyDescent="0.2">
      <c r="A3326" s="5" t="s">
        <v>13</v>
      </c>
      <c r="B3326" s="6" t="s">
        <v>19</v>
      </c>
      <c r="C3326" s="7" t="s">
        <v>3818</v>
      </c>
      <c r="D3326" s="7"/>
      <c r="E3326" s="8">
        <v>-1.7218254</v>
      </c>
      <c r="F3326" s="8">
        <v>-1.6802238</v>
      </c>
      <c r="G3326" s="7" t="str">
        <f t="shared" si="19"/>
        <v>Direct</v>
      </c>
      <c r="H3326" s="7" t="s">
        <v>3819</v>
      </c>
    </row>
    <row r="3327" spans="1:8" x14ac:dyDescent="0.2">
      <c r="A3327" s="5" t="s">
        <v>13</v>
      </c>
      <c r="B3327" s="6" t="s">
        <v>19</v>
      </c>
      <c r="C3327" s="7" t="s">
        <v>3820</v>
      </c>
      <c r="D3327" s="7"/>
      <c r="E3327" s="8">
        <v>-8.0762654999999999</v>
      </c>
      <c r="F3327" s="8">
        <v>-4.3588814999999999</v>
      </c>
      <c r="G3327" s="7" t="str">
        <f t="shared" si="19"/>
        <v>Direct</v>
      </c>
      <c r="H3327" s="7" t="s">
        <v>2410</v>
      </c>
    </row>
    <row r="3328" spans="1:8" x14ac:dyDescent="0.2">
      <c r="A3328" s="5" t="s">
        <v>13</v>
      </c>
      <c r="B3328" s="6" t="s">
        <v>19</v>
      </c>
      <c r="C3328" s="7" t="s">
        <v>3821</v>
      </c>
      <c r="D3328" s="7"/>
      <c r="E3328" s="8">
        <v>3.6152099999999998</v>
      </c>
      <c r="F3328" s="8">
        <v>1.8371079400000001</v>
      </c>
      <c r="G3328" s="7" t="str">
        <f t="shared" si="19"/>
        <v>Direct</v>
      </c>
      <c r="H3328" s="7" t="s">
        <v>16</v>
      </c>
    </row>
    <row r="3329" spans="1:8" x14ac:dyDescent="0.2">
      <c r="A3329" s="5" t="s">
        <v>13</v>
      </c>
      <c r="B3329" s="6" t="s">
        <v>19</v>
      </c>
      <c r="C3329" s="7" t="s">
        <v>3822</v>
      </c>
      <c r="D3329" s="7"/>
      <c r="E3329" s="8">
        <v>-2.4736392</v>
      </c>
      <c r="F3329" s="8">
        <v>-1.7143113999999999</v>
      </c>
      <c r="G3329" s="7" t="str">
        <f t="shared" si="19"/>
        <v>Direct</v>
      </c>
      <c r="H3329" s="7" t="s">
        <v>3823</v>
      </c>
    </row>
    <row r="3330" spans="1:8" x14ac:dyDescent="0.2">
      <c r="A3330" s="5" t="s">
        <v>13</v>
      </c>
      <c r="B3330" s="6" t="s">
        <v>19</v>
      </c>
      <c r="C3330" s="7" t="s">
        <v>3824</v>
      </c>
      <c r="D3330" s="7"/>
      <c r="E3330" s="8">
        <v>2.4466241700000002</v>
      </c>
      <c r="F3330" s="8">
        <v>2.64701546</v>
      </c>
      <c r="G3330" s="7" t="str">
        <f t="shared" si="19"/>
        <v>Direct</v>
      </c>
      <c r="H3330" s="7" t="s">
        <v>3825</v>
      </c>
    </row>
    <row r="3331" spans="1:8" x14ac:dyDescent="0.2">
      <c r="A3331" s="5" t="s">
        <v>13</v>
      </c>
      <c r="B3331" s="6" t="s">
        <v>19</v>
      </c>
      <c r="C3331" s="7" t="s">
        <v>3826</v>
      </c>
      <c r="D3331" s="7"/>
      <c r="E3331" s="8">
        <v>3.0781992300000001</v>
      </c>
      <c r="F3331" s="8">
        <v>3.4943908499999998</v>
      </c>
      <c r="G3331" s="7" t="str">
        <f t="shared" si="19"/>
        <v>Direct</v>
      </c>
      <c r="H3331" s="7" t="s">
        <v>16</v>
      </c>
    </row>
    <row r="3332" spans="1:8" x14ac:dyDescent="0.2">
      <c r="A3332" s="5" t="s">
        <v>13</v>
      </c>
      <c r="B3332" s="6" t="s">
        <v>19</v>
      </c>
      <c r="C3332" s="7" t="s">
        <v>700</v>
      </c>
      <c r="D3332" s="7"/>
      <c r="E3332" s="8">
        <v>-1.0210051</v>
      </c>
      <c r="F3332" s="8">
        <v>-1.3954588999999999</v>
      </c>
      <c r="G3332" s="7" t="str">
        <f t="shared" si="19"/>
        <v>Direct</v>
      </c>
      <c r="H3332" s="7" t="s">
        <v>701</v>
      </c>
    </row>
    <row r="3333" spans="1:8" x14ac:dyDescent="0.2">
      <c r="A3333" s="5" t="s">
        <v>13</v>
      </c>
      <c r="B3333" s="6" t="s">
        <v>19</v>
      </c>
      <c r="C3333" s="7" t="s">
        <v>3827</v>
      </c>
      <c r="D3333" s="7"/>
      <c r="E3333" s="8">
        <v>1.4746948799999999</v>
      </c>
      <c r="F3333" s="8">
        <v>1.17515882</v>
      </c>
      <c r="G3333" s="7" t="str">
        <f t="shared" si="19"/>
        <v>Direct</v>
      </c>
      <c r="H3333" s="7" t="s">
        <v>3828</v>
      </c>
    </row>
    <row r="3334" spans="1:8" x14ac:dyDescent="0.2">
      <c r="A3334" s="5" t="s">
        <v>13</v>
      </c>
      <c r="B3334" s="6" t="s">
        <v>19</v>
      </c>
      <c r="C3334" s="7" t="s">
        <v>3829</v>
      </c>
      <c r="D3334" s="7"/>
      <c r="E3334" s="8">
        <v>-1.5976755</v>
      </c>
      <c r="F3334" s="8">
        <v>-1.2906222000000001</v>
      </c>
      <c r="G3334" s="7" t="str">
        <f t="shared" si="19"/>
        <v>Direct</v>
      </c>
      <c r="H3334" s="7" t="s">
        <v>3830</v>
      </c>
    </row>
    <row r="3335" spans="1:8" x14ac:dyDescent="0.2">
      <c r="A3335" s="5" t="s">
        <v>13</v>
      </c>
      <c r="B3335" s="6" t="s">
        <v>19</v>
      </c>
      <c r="C3335" s="7" t="s">
        <v>3831</v>
      </c>
      <c r="D3335" s="7"/>
      <c r="E3335" s="8">
        <v>-1.3874852</v>
      </c>
      <c r="F3335" s="8">
        <v>-1.3187704</v>
      </c>
      <c r="G3335" s="7" t="str">
        <f t="shared" si="19"/>
        <v>Direct</v>
      </c>
      <c r="H3335" s="7" t="s">
        <v>3832</v>
      </c>
    </row>
    <row r="3336" spans="1:8" x14ac:dyDescent="0.2">
      <c r="A3336" s="5" t="s">
        <v>13</v>
      </c>
      <c r="B3336" s="6" t="s">
        <v>19</v>
      </c>
      <c r="C3336" s="7" t="s">
        <v>3833</v>
      </c>
      <c r="D3336" s="7"/>
      <c r="E3336" s="8">
        <v>-3.7475516</v>
      </c>
      <c r="F3336" s="8">
        <v>-2.9421978000000002</v>
      </c>
      <c r="G3336" s="7" t="str">
        <f t="shared" si="19"/>
        <v>Direct</v>
      </c>
      <c r="H3336" s="7" t="s">
        <v>16</v>
      </c>
    </row>
    <row r="3337" spans="1:8" x14ac:dyDescent="0.2">
      <c r="A3337" s="5" t="s">
        <v>13</v>
      </c>
      <c r="B3337" s="6" t="s">
        <v>19</v>
      </c>
      <c r="C3337" s="7" t="s">
        <v>3834</v>
      </c>
      <c r="D3337" s="7"/>
      <c r="E3337" s="8">
        <v>-3.9437809000000001</v>
      </c>
      <c r="F3337" s="8">
        <v>-3.7180453</v>
      </c>
      <c r="G3337" s="7" t="str">
        <f t="shared" si="19"/>
        <v>Direct</v>
      </c>
      <c r="H3337" s="7" t="s">
        <v>3835</v>
      </c>
    </row>
    <row r="3338" spans="1:8" x14ac:dyDescent="0.2">
      <c r="A3338" s="5" t="s">
        <v>13</v>
      </c>
      <c r="B3338" s="6" t="s">
        <v>19</v>
      </c>
      <c r="C3338" s="7" t="s">
        <v>3836</v>
      </c>
      <c r="D3338" s="7"/>
      <c r="E3338" s="8">
        <v>1.2571024200000001</v>
      </c>
      <c r="F3338" s="8">
        <v>1.38397891</v>
      </c>
      <c r="G3338" s="7" t="str">
        <f t="shared" si="19"/>
        <v>Direct</v>
      </c>
      <c r="H3338" s="7" t="s">
        <v>16</v>
      </c>
    </row>
    <row r="3339" spans="1:8" x14ac:dyDescent="0.2">
      <c r="A3339" s="5" t="s">
        <v>13</v>
      </c>
      <c r="B3339" s="6" t="s">
        <v>19</v>
      </c>
      <c r="C3339" s="7" t="s">
        <v>3837</v>
      </c>
      <c r="D3339" s="7"/>
      <c r="E3339" s="8">
        <v>-1.2095387</v>
      </c>
      <c r="F3339" s="8">
        <v>-1.6729012999999999</v>
      </c>
      <c r="G3339" s="7" t="str">
        <f t="shared" si="19"/>
        <v>Direct</v>
      </c>
      <c r="H3339" s="7" t="s">
        <v>16</v>
      </c>
    </row>
    <row r="3340" spans="1:8" x14ac:dyDescent="0.2">
      <c r="A3340" s="5" t="s">
        <v>13</v>
      </c>
      <c r="B3340" s="6" t="s">
        <v>19</v>
      </c>
      <c r="C3340" s="7" t="s">
        <v>3838</v>
      </c>
      <c r="D3340" s="7"/>
      <c r="E3340" s="8">
        <v>-2.1118397</v>
      </c>
      <c r="F3340" s="8">
        <v>-1.1887534</v>
      </c>
      <c r="G3340" s="7" t="str">
        <f t="shared" si="19"/>
        <v>Direct</v>
      </c>
      <c r="H3340" s="7" t="s">
        <v>16</v>
      </c>
    </row>
    <row r="3341" spans="1:8" x14ac:dyDescent="0.2">
      <c r="A3341" s="5" t="s">
        <v>13</v>
      </c>
      <c r="B3341" s="6" t="s">
        <v>19</v>
      </c>
      <c r="C3341" s="7" t="s">
        <v>3839</v>
      </c>
      <c r="D3341" s="7"/>
      <c r="E3341" s="8">
        <v>1.0016533999999999</v>
      </c>
      <c r="F3341" s="8">
        <v>1.4541841</v>
      </c>
      <c r="G3341" s="7" t="str">
        <f t="shared" si="19"/>
        <v>Direct</v>
      </c>
      <c r="H3341" s="7" t="s">
        <v>3840</v>
      </c>
    </row>
    <row r="3342" spans="1:8" x14ac:dyDescent="0.2">
      <c r="A3342" s="5" t="s">
        <v>13</v>
      </c>
      <c r="B3342" s="6" t="s">
        <v>19</v>
      </c>
      <c r="C3342" s="7" t="s">
        <v>702</v>
      </c>
      <c r="D3342" s="7"/>
      <c r="E3342" s="8">
        <v>-2.9160533000000002</v>
      </c>
      <c r="F3342" s="8">
        <v>-3.3430768999999998</v>
      </c>
      <c r="G3342" s="7" t="str">
        <f t="shared" si="19"/>
        <v>Direct</v>
      </c>
      <c r="H3342" s="7" t="s">
        <v>16</v>
      </c>
    </row>
    <row r="3343" spans="1:8" x14ac:dyDescent="0.2">
      <c r="A3343" s="5" t="s">
        <v>13</v>
      </c>
      <c r="B3343" s="6" t="s">
        <v>19</v>
      </c>
      <c r="C3343" s="7" t="s">
        <v>3841</v>
      </c>
      <c r="D3343" s="7"/>
      <c r="E3343" s="8">
        <v>-1.0900947000000001</v>
      </c>
      <c r="F3343" s="8">
        <v>-2.1349743000000001</v>
      </c>
      <c r="G3343" s="7" t="str">
        <f t="shared" si="19"/>
        <v>Direct</v>
      </c>
      <c r="H3343" s="7" t="s">
        <v>3842</v>
      </c>
    </row>
    <row r="3344" spans="1:8" x14ac:dyDescent="0.2">
      <c r="A3344" s="5" t="s">
        <v>13</v>
      </c>
      <c r="B3344" s="6" t="s">
        <v>19</v>
      </c>
      <c r="C3344" s="7" t="s">
        <v>703</v>
      </c>
      <c r="D3344" s="7"/>
      <c r="E3344" s="8">
        <v>-2.6374094000000001</v>
      </c>
      <c r="F3344" s="8">
        <v>-1.5134947000000001</v>
      </c>
      <c r="G3344" s="7" t="str">
        <f t="shared" si="19"/>
        <v>Direct</v>
      </c>
      <c r="H3344" s="7" t="s">
        <v>16</v>
      </c>
    </row>
    <row r="3345" spans="1:8" x14ac:dyDescent="0.2">
      <c r="A3345" s="5" t="s">
        <v>13</v>
      </c>
      <c r="B3345" s="6" t="s">
        <v>19</v>
      </c>
      <c r="C3345" s="7" t="s">
        <v>704</v>
      </c>
      <c r="D3345" s="7"/>
      <c r="E3345" s="8">
        <v>-2.8815219999999999</v>
      </c>
      <c r="F3345" s="8">
        <v>-1.8523472999999999</v>
      </c>
      <c r="G3345" s="7" t="str">
        <f t="shared" si="19"/>
        <v>Direct</v>
      </c>
      <c r="H3345" s="7" t="s">
        <v>16</v>
      </c>
    </row>
    <row r="3346" spans="1:8" x14ac:dyDescent="0.2">
      <c r="A3346" s="5" t="s">
        <v>13</v>
      </c>
      <c r="B3346" s="6" t="s">
        <v>19</v>
      </c>
      <c r="C3346" s="7" t="s">
        <v>3843</v>
      </c>
      <c r="D3346" s="7"/>
      <c r="E3346" s="8">
        <v>-2.8105329000000001</v>
      </c>
      <c r="F3346" s="8">
        <v>-1.2110082</v>
      </c>
      <c r="G3346" s="7" t="str">
        <f t="shared" si="19"/>
        <v>Direct</v>
      </c>
      <c r="H3346" s="7" t="s">
        <v>16</v>
      </c>
    </row>
    <row r="3347" spans="1:8" x14ac:dyDescent="0.2">
      <c r="A3347" s="5" t="s">
        <v>13</v>
      </c>
      <c r="B3347" s="6" t="s">
        <v>19</v>
      </c>
      <c r="C3347" s="7" t="s">
        <v>705</v>
      </c>
      <c r="D3347" s="7"/>
      <c r="E3347" s="8">
        <v>-7.3384612999999996</v>
      </c>
      <c r="F3347" s="8">
        <v>-7.6024593999999999</v>
      </c>
      <c r="G3347" s="7" t="str">
        <f t="shared" si="19"/>
        <v>Direct</v>
      </c>
      <c r="H3347" s="7" t="s">
        <v>16</v>
      </c>
    </row>
    <row r="3348" spans="1:8" x14ac:dyDescent="0.2">
      <c r="A3348" s="5" t="s">
        <v>13</v>
      </c>
      <c r="B3348" s="6" t="s">
        <v>19</v>
      </c>
      <c r="C3348" s="7" t="s">
        <v>3844</v>
      </c>
      <c r="D3348" s="7"/>
      <c r="E3348" s="8">
        <v>1.53868374</v>
      </c>
      <c r="F3348" s="8">
        <v>1.43403846</v>
      </c>
      <c r="G3348" s="7" t="str">
        <f t="shared" si="19"/>
        <v>Direct</v>
      </c>
      <c r="H3348" s="7" t="s">
        <v>16</v>
      </c>
    </row>
    <row r="3349" spans="1:8" x14ac:dyDescent="0.2">
      <c r="A3349" s="5" t="s">
        <v>13</v>
      </c>
      <c r="B3349" s="6" t="s">
        <v>19</v>
      </c>
      <c r="C3349" s="7" t="s">
        <v>3845</v>
      </c>
      <c r="D3349" s="7"/>
      <c r="E3349" s="8">
        <v>3.23325263</v>
      </c>
      <c r="F3349" s="8">
        <v>3.1514753899999999</v>
      </c>
      <c r="G3349" s="7" t="str">
        <f t="shared" si="19"/>
        <v>Direct</v>
      </c>
      <c r="H3349" s="7" t="s">
        <v>1469</v>
      </c>
    </row>
    <row r="3350" spans="1:8" x14ac:dyDescent="0.2">
      <c r="A3350" s="5" t="s">
        <v>13</v>
      </c>
      <c r="B3350" s="6" t="s">
        <v>19</v>
      </c>
      <c r="C3350" s="7" t="s">
        <v>3846</v>
      </c>
      <c r="D3350" s="7"/>
      <c r="E3350" s="8">
        <v>-7.3020952000000001</v>
      </c>
      <c r="F3350" s="8">
        <v>-6.3002044000000001</v>
      </c>
      <c r="G3350" s="7" t="str">
        <f t="shared" si="19"/>
        <v>Direct</v>
      </c>
      <c r="H3350" s="7" t="s">
        <v>3847</v>
      </c>
    </row>
    <row r="3351" spans="1:8" x14ac:dyDescent="0.2">
      <c r="A3351" s="5" t="s">
        <v>13</v>
      </c>
      <c r="B3351" s="6" t="s">
        <v>19</v>
      </c>
      <c r="C3351" s="7" t="s">
        <v>3848</v>
      </c>
      <c r="D3351" s="7"/>
      <c r="E3351" s="8">
        <v>1.2227816300000001</v>
      </c>
      <c r="F3351" s="8">
        <v>1.0468508599999999</v>
      </c>
      <c r="G3351" s="7" t="str">
        <f t="shared" si="19"/>
        <v>Direct</v>
      </c>
      <c r="H3351" s="7" t="s">
        <v>1960</v>
      </c>
    </row>
    <row r="3352" spans="1:8" x14ac:dyDescent="0.2">
      <c r="A3352" s="5" t="s">
        <v>13</v>
      </c>
      <c r="B3352" s="6" t="s">
        <v>19</v>
      </c>
      <c r="C3352" s="7" t="s">
        <v>3849</v>
      </c>
      <c r="D3352" s="7"/>
      <c r="E3352" s="8">
        <v>2.19888035</v>
      </c>
      <c r="F3352" s="8">
        <v>1.74110751</v>
      </c>
      <c r="G3352" s="7" t="str">
        <f t="shared" si="19"/>
        <v>Direct</v>
      </c>
      <c r="H3352" s="7" t="s">
        <v>16</v>
      </c>
    </row>
    <row r="3353" spans="1:8" x14ac:dyDescent="0.2">
      <c r="A3353" s="5" t="s">
        <v>13</v>
      </c>
      <c r="B3353" s="6" t="s">
        <v>19</v>
      </c>
      <c r="C3353" s="7" t="s">
        <v>707</v>
      </c>
      <c r="D3353" s="7"/>
      <c r="E3353" s="8">
        <v>-1.9088181</v>
      </c>
      <c r="F3353" s="8">
        <v>-4.5481502999999996</v>
      </c>
      <c r="G3353" s="7" t="str">
        <f t="shared" si="19"/>
        <v>Direct</v>
      </c>
      <c r="H3353" s="7" t="s">
        <v>708</v>
      </c>
    </row>
    <row r="3354" spans="1:8" x14ac:dyDescent="0.2">
      <c r="A3354" s="5" t="s">
        <v>13</v>
      </c>
      <c r="B3354" s="6" t="s">
        <v>19</v>
      </c>
      <c r="C3354" s="7" t="s">
        <v>3850</v>
      </c>
      <c r="D3354" s="7"/>
      <c r="E3354" s="8">
        <v>-2.2078807999999999</v>
      </c>
      <c r="F3354" s="8">
        <v>-1.6866308999999999</v>
      </c>
      <c r="G3354" s="7" t="str">
        <f t="shared" si="19"/>
        <v>Direct</v>
      </c>
      <c r="H3354" s="7" t="s">
        <v>3851</v>
      </c>
    </row>
    <row r="3355" spans="1:8" x14ac:dyDescent="0.2">
      <c r="A3355" s="5" t="s">
        <v>13</v>
      </c>
      <c r="B3355" s="6" t="s">
        <v>19</v>
      </c>
      <c r="C3355" s="7" t="s">
        <v>3852</v>
      </c>
      <c r="D3355" s="7"/>
      <c r="E3355" s="8">
        <v>-2.0865963999999999</v>
      </c>
      <c r="F3355" s="8">
        <v>-2.2909866000000001</v>
      </c>
      <c r="G3355" s="7" t="str">
        <f t="shared" si="19"/>
        <v>Direct</v>
      </c>
      <c r="H3355" s="7" t="s">
        <v>16</v>
      </c>
    </row>
    <row r="3356" spans="1:8" x14ac:dyDescent="0.2">
      <c r="A3356" s="5" t="s">
        <v>13</v>
      </c>
      <c r="B3356" s="6" t="s">
        <v>19</v>
      </c>
      <c r="C3356" s="7" t="s">
        <v>3853</v>
      </c>
      <c r="D3356" s="7"/>
      <c r="E3356" s="8">
        <v>2.4676921699999999</v>
      </c>
      <c r="F3356" s="8">
        <v>2.1634651800000002</v>
      </c>
      <c r="G3356" s="7" t="str">
        <f t="shared" si="19"/>
        <v>Direct</v>
      </c>
      <c r="H3356" s="7" t="s">
        <v>16</v>
      </c>
    </row>
    <row r="3357" spans="1:8" x14ac:dyDescent="0.2">
      <c r="A3357" s="5" t="s">
        <v>13</v>
      </c>
      <c r="B3357" s="6" t="s">
        <v>19</v>
      </c>
      <c r="C3357" s="7" t="s">
        <v>3854</v>
      </c>
      <c r="D3357" s="7"/>
      <c r="E3357" s="8">
        <v>-1.5554992999999999</v>
      </c>
      <c r="F3357" s="8">
        <v>-2.5352621000000002</v>
      </c>
      <c r="G3357" s="7" t="str">
        <f t="shared" si="19"/>
        <v>Direct</v>
      </c>
      <c r="H3357" s="7" t="s">
        <v>3855</v>
      </c>
    </row>
    <row r="3358" spans="1:8" x14ac:dyDescent="0.2">
      <c r="A3358" s="5" t="s">
        <v>13</v>
      </c>
      <c r="B3358" s="6" t="s">
        <v>19</v>
      </c>
      <c r="C3358" s="7" t="s">
        <v>3856</v>
      </c>
      <c r="D3358" s="7"/>
      <c r="E3358" s="8">
        <v>2.4210727099999998</v>
      </c>
      <c r="F3358" s="8">
        <v>1.1722273400000001</v>
      </c>
      <c r="G3358" s="7" t="str">
        <f t="shared" si="19"/>
        <v>Direct</v>
      </c>
      <c r="H3358" s="7" t="s">
        <v>16</v>
      </c>
    </row>
    <row r="3359" spans="1:8" x14ac:dyDescent="0.2">
      <c r="A3359" s="5" t="s">
        <v>13</v>
      </c>
      <c r="B3359" s="6" t="s">
        <v>19</v>
      </c>
      <c r="C3359" s="7" t="s">
        <v>3857</v>
      </c>
      <c r="D3359" s="7"/>
      <c r="E3359" s="8">
        <v>-1.5947016000000001</v>
      </c>
      <c r="F3359" s="8">
        <v>-2.699408</v>
      </c>
      <c r="G3359" s="7" t="str">
        <f t="shared" si="19"/>
        <v>Direct</v>
      </c>
      <c r="H3359" s="7" t="s">
        <v>16</v>
      </c>
    </row>
    <row r="3360" spans="1:8" x14ac:dyDescent="0.2">
      <c r="A3360" s="5" t="s">
        <v>13</v>
      </c>
      <c r="B3360" s="6" t="s">
        <v>19</v>
      </c>
      <c r="C3360" s="7" t="s">
        <v>3858</v>
      </c>
      <c r="D3360" s="7"/>
      <c r="E3360" s="8">
        <v>-2.2738345</v>
      </c>
      <c r="F3360" s="8">
        <v>-3.9635571999999999</v>
      </c>
      <c r="G3360" s="7" t="str">
        <f t="shared" si="19"/>
        <v>Direct</v>
      </c>
      <c r="H3360" s="7" t="s">
        <v>16</v>
      </c>
    </row>
    <row r="3361" spans="1:8" x14ac:dyDescent="0.2">
      <c r="A3361" s="5" t="s">
        <v>13</v>
      </c>
      <c r="B3361" s="6" t="s">
        <v>19</v>
      </c>
      <c r="C3361" s="7" t="s">
        <v>3859</v>
      </c>
      <c r="D3361" s="7"/>
      <c r="E3361" s="8">
        <v>-2.4036439999999999</v>
      </c>
      <c r="F3361" s="8">
        <v>-1.8790826</v>
      </c>
      <c r="G3361" s="7" t="str">
        <f t="shared" si="19"/>
        <v>Direct</v>
      </c>
      <c r="H3361" s="7" t="s">
        <v>3860</v>
      </c>
    </row>
    <row r="3362" spans="1:8" x14ac:dyDescent="0.2">
      <c r="A3362" s="5" t="s">
        <v>13</v>
      </c>
      <c r="B3362" s="6" t="s">
        <v>19</v>
      </c>
      <c r="C3362" s="7" t="s">
        <v>3861</v>
      </c>
      <c r="D3362" s="7"/>
      <c r="E3362" s="8">
        <v>-3.6950902999999999</v>
      </c>
      <c r="F3362" s="8">
        <v>-5.604501</v>
      </c>
      <c r="G3362" s="7" t="str">
        <f t="shared" si="19"/>
        <v>Direct</v>
      </c>
      <c r="H3362" s="7" t="s">
        <v>3195</v>
      </c>
    </row>
    <row r="3363" spans="1:8" x14ac:dyDescent="0.2">
      <c r="A3363" s="5" t="s">
        <v>13</v>
      </c>
      <c r="B3363" s="6" t="s">
        <v>19</v>
      </c>
      <c r="C3363" s="7" t="s">
        <v>3862</v>
      </c>
      <c r="D3363" s="7"/>
      <c r="E3363" s="8">
        <v>-2.5027686</v>
      </c>
      <c r="F3363" s="8">
        <v>-1.4000334000000001</v>
      </c>
      <c r="G3363" s="7" t="str">
        <f t="shared" si="19"/>
        <v>Direct</v>
      </c>
      <c r="H3363" s="7" t="s">
        <v>3863</v>
      </c>
    </row>
    <row r="3364" spans="1:8" x14ac:dyDescent="0.2">
      <c r="A3364" s="5" t="s">
        <v>13</v>
      </c>
      <c r="B3364" s="6" t="s">
        <v>19</v>
      </c>
      <c r="C3364" s="7" t="s">
        <v>3864</v>
      </c>
      <c r="D3364" s="7"/>
      <c r="E3364" s="8">
        <v>-5.5787579000000003</v>
      </c>
      <c r="F3364" s="8">
        <v>-3.8608321000000001</v>
      </c>
      <c r="G3364" s="7" t="str">
        <f t="shared" si="19"/>
        <v>Direct</v>
      </c>
      <c r="H3364" s="7" t="s">
        <v>1309</v>
      </c>
    </row>
    <row r="3365" spans="1:8" x14ac:dyDescent="0.2">
      <c r="A3365" s="5" t="s">
        <v>13</v>
      </c>
      <c r="B3365" s="6" t="s">
        <v>19</v>
      </c>
      <c r="C3365" s="7" t="s">
        <v>3865</v>
      </c>
      <c r="D3365" s="7"/>
      <c r="E3365" s="8">
        <v>2.4988172400000002</v>
      </c>
      <c r="F3365" s="8">
        <v>2.0720448199999999</v>
      </c>
      <c r="G3365" s="7" t="str">
        <f t="shared" si="19"/>
        <v>Direct</v>
      </c>
      <c r="H3365" s="7" t="s">
        <v>3866</v>
      </c>
    </row>
    <row r="3366" spans="1:8" x14ac:dyDescent="0.2">
      <c r="A3366" s="5" t="s">
        <v>13</v>
      </c>
      <c r="B3366" s="6" t="s">
        <v>19</v>
      </c>
      <c r="C3366" s="7" t="s">
        <v>3867</v>
      </c>
      <c r="D3366" s="7"/>
      <c r="E3366" s="8">
        <v>-2.5218571999999999</v>
      </c>
      <c r="F3366" s="8">
        <v>-2.0730767000000001</v>
      </c>
      <c r="G3366" s="7" t="str">
        <f t="shared" si="19"/>
        <v>Direct</v>
      </c>
      <c r="H3366" s="7" t="s">
        <v>3868</v>
      </c>
    </row>
    <row r="3367" spans="1:8" x14ac:dyDescent="0.2">
      <c r="A3367" s="5" t="s">
        <v>13</v>
      </c>
      <c r="B3367" s="6" t="s">
        <v>19</v>
      </c>
      <c r="C3367" s="7" t="s">
        <v>3869</v>
      </c>
      <c r="D3367" s="7"/>
      <c r="E3367" s="8">
        <v>-11.701999000000001</v>
      </c>
      <c r="F3367" s="8">
        <v>-9.9973877000000009</v>
      </c>
      <c r="G3367" s="7" t="str">
        <f t="shared" si="19"/>
        <v>Direct</v>
      </c>
      <c r="H3367" s="7" t="s">
        <v>349</v>
      </c>
    </row>
    <row r="3368" spans="1:8" x14ac:dyDescent="0.2">
      <c r="A3368" s="5" t="s">
        <v>13</v>
      </c>
      <c r="B3368" s="6" t="s">
        <v>19</v>
      </c>
      <c r="C3368" s="7" t="s">
        <v>3870</v>
      </c>
      <c r="D3368" s="7"/>
      <c r="E3368" s="8">
        <v>-1.681511</v>
      </c>
      <c r="F3368" s="8">
        <v>-1.3842515</v>
      </c>
      <c r="G3368" s="7" t="str">
        <f t="shared" si="19"/>
        <v>Direct</v>
      </c>
      <c r="H3368" s="7" t="s">
        <v>16</v>
      </c>
    </row>
    <row r="3369" spans="1:8" x14ac:dyDescent="0.2">
      <c r="A3369" s="5" t="s">
        <v>13</v>
      </c>
      <c r="B3369" s="6" t="s">
        <v>19</v>
      </c>
      <c r="C3369" s="7" t="s">
        <v>3871</v>
      </c>
      <c r="D3369" s="7"/>
      <c r="E3369" s="8">
        <v>1.2242727</v>
      </c>
      <c r="F3369" s="8">
        <v>1.35624488</v>
      </c>
      <c r="G3369" s="7" t="str">
        <f t="shared" si="19"/>
        <v>Direct</v>
      </c>
      <c r="H3369" s="7" t="s">
        <v>3872</v>
      </c>
    </row>
    <row r="3370" spans="1:8" x14ac:dyDescent="0.2">
      <c r="A3370" s="5" t="s">
        <v>13</v>
      </c>
      <c r="B3370" s="6" t="s">
        <v>19</v>
      </c>
      <c r="C3370" s="7" t="s">
        <v>3873</v>
      </c>
      <c r="D3370" s="7"/>
      <c r="E3370" s="8">
        <v>1.7658727700000001</v>
      </c>
      <c r="F3370" s="8">
        <v>1.3240425499999999</v>
      </c>
      <c r="G3370" s="7" t="str">
        <f t="shared" si="19"/>
        <v>Direct</v>
      </c>
      <c r="H3370" s="7" t="s">
        <v>3874</v>
      </c>
    </row>
    <row r="3371" spans="1:8" x14ac:dyDescent="0.2">
      <c r="A3371" s="5" t="s">
        <v>13</v>
      </c>
      <c r="B3371" s="6" t="s">
        <v>19</v>
      </c>
      <c r="C3371" s="7" t="s">
        <v>3875</v>
      </c>
      <c r="D3371" s="7"/>
      <c r="E3371" s="8">
        <v>-1.7784823999999999</v>
      </c>
      <c r="F3371" s="8">
        <v>-1.5189691000000001</v>
      </c>
      <c r="G3371" s="7" t="str">
        <f t="shared" si="19"/>
        <v>Direct</v>
      </c>
      <c r="H3371" s="7" t="s">
        <v>2605</v>
      </c>
    </row>
    <row r="3372" spans="1:8" x14ac:dyDescent="0.2">
      <c r="A3372" s="5" t="s">
        <v>13</v>
      </c>
      <c r="B3372" s="6" t="s">
        <v>19</v>
      </c>
      <c r="C3372" s="7" t="s">
        <v>3876</v>
      </c>
      <c r="D3372" s="7"/>
      <c r="E3372" s="8">
        <v>-3.90842</v>
      </c>
      <c r="F3372" s="8">
        <v>-3.5659296</v>
      </c>
      <c r="G3372" s="7" t="str">
        <f t="shared" si="19"/>
        <v>Direct</v>
      </c>
      <c r="H3372" s="7" t="s">
        <v>3877</v>
      </c>
    </row>
    <row r="3373" spans="1:8" x14ac:dyDescent="0.2">
      <c r="A3373" s="5" t="s">
        <v>13</v>
      </c>
      <c r="B3373" s="6" t="s">
        <v>19</v>
      </c>
      <c r="C3373" s="7" t="s">
        <v>3878</v>
      </c>
      <c r="D3373" s="7"/>
      <c r="E3373" s="8">
        <v>-3.5507335000000002</v>
      </c>
      <c r="F3373" s="8">
        <v>-3.6978740000000001</v>
      </c>
      <c r="G3373" s="7" t="str">
        <f t="shared" si="19"/>
        <v>Direct</v>
      </c>
      <c r="H3373" s="7" t="s">
        <v>3879</v>
      </c>
    </row>
    <row r="3374" spans="1:8" x14ac:dyDescent="0.2">
      <c r="A3374" s="5" t="s">
        <v>13</v>
      </c>
      <c r="B3374" s="6" t="s">
        <v>19</v>
      </c>
      <c r="C3374" s="7" t="s">
        <v>3880</v>
      </c>
      <c r="D3374" s="7"/>
      <c r="E3374" s="8">
        <v>-2.1678598999999998</v>
      </c>
      <c r="F3374" s="8">
        <v>-1.5932875</v>
      </c>
      <c r="G3374" s="7" t="str">
        <f t="shared" si="19"/>
        <v>Direct</v>
      </c>
      <c r="H3374" s="7" t="s">
        <v>16</v>
      </c>
    </row>
    <row r="3375" spans="1:8" x14ac:dyDescent="0.2">
      <c r="A3375" s="5" t="s">
        <v>13</v>
      </c>
      <c r="B3375" s="6" t="s">
        <v>19</v>
      </c>
      <c r="C3375" s="7" t="s">
        <v>713</v>
      </c>
      <c r="D3375" s="7"/>
      <c r="E3375" s="8">
        <v>-1.6550965</v>
      </c>
      <c r="F3375" s="8">
        <v>-1.0290789</v>
      </c>
      <c r="G3375" s="7" t="str">
        <f t="shared" si="19"/>
        <v>Direct</v>
      </c>
      <c r="H3375" s="7" t="s">
        <v>16</v>
      </c>
    </row>
    <row r="3376" spans="1:8" x14ac:dyDescent="0.2">
      <c r="A3376" s="5" t="s">
        <v>13</v>
      </c>
      <c r="B3376" s="6" t="s">
        <v>19</v>
      </c>
      <c r="C3376" s="7" t="s">
        <v>3881</v>
      </c>
      <c r="D3376" s="7"/>
      <c r="E3376" s="8">
        <v>5.2537681599999999</v>
      </c>
      <c r="F3376" s="8">
        <v>6.94947026</v>
      </c>
      <c r="G3376" s="7" t="str">
        <f t="shared" si="19"/>
        <v>Direct</v>
      </c>
      <c r="H3376" s="7" t="s">
        <v>3767</v>
      </c>
    </row>
    <row r="3377" spans="1:8" x14ac:dyDescent="0.2">
      <c r="A3377" s="5" t="s">
        <v>13</v>
      </c>
      <c r="B3377" s="6" t="s">
        <v>19</v>
      </c>
      <c r="C3377" s="7" t="s">
        <v>3882</v>
      </c>
      <c r="D3377" s="7"/>
      <c r="E3377" s="8">
        <v>1.87869522</v>
      </c>
      <c r="F3377" s="8">
        <v>3.5067168199999998</v>
      </c>
      <c r="G3377" s="7" t="str">
        <f t="shared" si="19"/>
        <v>Direct</v>
      </c>
      <c r="H3377" s="7" t="s">
        <v>3767</v>
      </c>
    </row>
    <row r="3378" spans="1:8" x14ac:dyDescent="0.2">
      <c r="A3378" s="5" t="s">
        <v>13</v>
      </c>
      <c r="B3378" s="6" t="s">
        <v>19</v>
      </c>
      <c r="C3378" s="7" t="s">
        <v>3883</v>
      </c>
      <c r="D3378" s="7"/>
      <c r="E3378" s="8">
        <v>-2.5890539000000001</v>
      </c>
      <c r="F3378" s="8">
        <v>-3.2999315</v>
      </c>
      <c r="G3378" s="7" t="str">
        <f t="shared" si="19"/>
        <v>Direct</v>
      </c>
      <c r="H3378" s="7" t="s">
        <v>3075</v>
      </c>
    </row>
    <row r="3379" spans="1:8" x14ac:dyDescent="0.2">
      <c r="A3379" s="5" t="s">
        <v>13</v>
      </c>
      <c r="B3379" s="6" t="s">
        <v>19</v>
      </c>
      <c r="C3379" s="7" t="s">
        <v>714</v>
      </c>
      <c r="D3379" s="7"/>
      <c r="E3379" s="8">
        <v>-1.0908528</v>
      </c>
      <c r="F3379" s="8">
        <v>-1.1892123999999999</v>
      </c>
      <c r="G3379" s="7" t="str">
        <f t="shared" si="19"/>
        <v>Direct</v>
      </c>
      <c r="H3379" s="7" t="s">
        <v>16</v>
      </c>
    </row>
    <row r="3380" spans="1:8" x14ac:dyDescent="0.2">
      <c r="A3380" s="5" t="s">
        <v>13</v>
      </c>
      <c r="B3380" s="6" t="s">
        <v>19</v>
      </c>
      <c r="C3380" s="7" t="s">
        <v>3884</v>
      </c>
      <c r="D3380" s="7"/>
      <c r="E3380" s="8">
        <v>-3.3898087000000001</v>
      </c>
      <c r="F3380" s="8">
        <v>-1.9603313</v>
      </c>
      <c r="G3380" s="7" t="str">
        <f t="shared" si="19"/>
        <v>Direct</v>
      </c>
      <c r="H3380" s="7" t="s">
        <v>403</v>
      </c>
    </row>
    <row r="3381" spans="1:8" x14ac:dyDescent="0.2">
      <c r="A3381" s="5" t="s">
        <v>13</v>
      </c>
      <c r="B3381" s="6" t="s">
        <v>19</v>
      </c>
      <c r="C3381" s="7" t="s">
        <v>3885</v>
      </c>
      <c r="D3381" s="7"/>
      <c r="E3381" s="8">
        <v>-1.7658727999999999</v>
      </c>
      <c r="F3381" s="8">
        <v>-1.5907292</v>
      </c>
      <c r="G3381" s="7" t="str">
        <f t="shared" si="19"/>
        <v>Direct</v>
      </c>
      <c r="H3381" s="7" t="s">
        <v>1154</v>
      </c>
    </row>
    <row r="3382" spans="1:8" x14ac:dyDescent="0.2">
      <c r="A3382" s="5" t="s">
        <v>13</v>
      </c>
      <c r="B3382" s="6" t="s">
        <v>19</v>
      </c>
      <c r="C3382" s="7" t="s">
        <v>3886</v>
      </c>
      <c r="D3382" s="7"/>
      <c r="E3382" s="8">
        <v>1.7806906499999999</v>
      </c>
      <c r="F3382" s="8">
        <v>2.31299191</v>
      </c>
      <c r="G3382" s="7" t="str">
        <f t="shared" si="19"/>
        <v>Direct</v>
      </c>
      <c r="H3382" s="7" t="s">
        <v>3887</v>
      </c>
    </row>
    <row r="3383" spans="1:8" x14ac:dyDescent="0.2">
      <c r="A3383" s="5" t="s">
        <v>13</v>
      </c>
      <c r="B3383" s="6" t="s">
        <v>19</v>
      </c>
      <c r="C3383" s="7" t="s">
        <v>3888</v>
      </c>
      <c r="D3383" s="7"/>
      <c r="E3383" s="8">
        <v>-1.3673297</v>
      </c>
      <c r="F3383" s="8">
        <v>-1.9384892</v>
      </c>
      <c r="G3383" s="7" t="str">
        <f t="shared" si="19"/>
        <v>Direct</v>
      </c>
      <c r="H3383" s="7" t="s">
        <v>3889</v>
      </c>
    </row>
    <row r="3384" spans="1:8" x14ac:dyDescent="0.2">
      <c r="A3384" s="5" t="s">
        <v>13</v>
      </c>
      <c r="B3384" s="6" t="s">
        <v>19</v>
      </c>
      <c r="C3384" s="7" t="s">
        <v>715</v>
      </c>
      <c r="D3384" s="7"/>
      <c r="E3384" s="8">
        <v>-5.4984925999999996</v>
      </c>
      <c r="F3384" s="8">
        <v>-4.5003406999999997</v>
      </c>
      <c r="G3384" s="7" t="str">
        <f t="shared" si="19"/>
        <v>Direct</v>
      </c>
      <c r="H3384" s="7" t="s">
        <v>716</v>
      </c>
    </row>
    <row r="3385" spans="1:8" x14ac:dyDescent="0.2">
      <c r="A3385" s="5" t="s">
        <v>13</v>
      </c>
      <c r="B3385" s="6" t="s">
        <v>19</v>
      </c>
      <c r="C3385" s="7" t="s">
        <v>3890</v>
      </c>
      <c r="D3385" s="7"/>
      <c r="E3385" s="8">
        <v>3.6262196200000001</v>
      </c>
      <c r="F3385" s="8">
        <v>2.9004387500000002</v>
      </c>
      <c r="G3385" s="7" t="str">
        <f t="shared" si="19"/>
        <v>Direct</v>
      </c>
      <c r="H3385" s="7" t="s">
        <v>16</v>
      </c>
    </row>
    <row r="3386" spans="1:8" x14ac:dyDescent="0.2">
      <c r="A3386" s="5" t="s">
        <v>13</v>
      </c>
      <c r="B3386" s="6" t="s">
        <v>19</v>
      </c>
      <c r="C3386" s="7" t="s">
        <v>3891</v>
      </c>
      <c r="D3386" s="7"/>
      <c r="E3386" s="8">
        <v>-2.6497674</v>
      </c>
      <c r="F3386" s="8">
        <v>-2.1776049999999998</v>
      </c>
      <c r="G3386" s="7" t="str">
        <f t="shared" si="19"/>
        <v>Direct</v>
      </c>
      <c r="H3386" s="7" t="s">
        <v>2075</v>
      </c>
    </row>
    <row r="3387" spans="1:8" x14ac:dyDescent="0.2">
      <c r="A3387" s="5" t="s">
        <v>13</v>
      </c>
      <c r="B3387" s="6" t="s">
        <v>19</v>
      </c>
      <c r="C3387" s="7" t="s">
        <v>3892</v>
      </c>
      <c r="D3387" s="7"/>
      <c r="E3387" s="8">
        <v>-1.8122954</v>
      </c>
      <c r="F3387" s="8">
        <v>-1.2172155</v>
      </c>
      <c r="G3387" s="7" t="str">
        <f t="shared" si="19"/>
        <v>Direct</v>
      </c>
      <c r="H3387" s="7" t="s">
        <v>1143</v>
      </c>
    </row>
    <row r="3388" spans="1:8" x14ac:dyDescent="0.2">
      <c r="A3388" s="5" t="s">
        <v>13</v>
      </c>
      <c r="B3388" s="6" t="s">
        <v>19</v>
      </c>
      <c r="C3388" s="7" t="s">
        <v>3893</v>
      </c>
      <c r="D3388" s="7"/>
      <c r="E3388" s="8">
        <v>4.6606291899999999</v>
      </c>
      <c r="F3388" s="8">
        <v>2.66864093</v>
      </c>
      <c r="G3388" s="7" t="str">
        <f t="shared" si="19"/>
        <v>Direct</v>
      </c>
      <c r="H3388" s="7" t="s">
        <v>16</v>
      </c>
    </row>
    <row r="3389" spans="1:8" x14ac:dyDescent="0.2">
      <c r="A3389" s="5" t="s">
        <v>13</v>
      </c>
      <c r="B3389" s="6" t="s">
        <v>19</v>
      </c>
      <c r="C3389" s="7" t="s">
        <v>3894</v>
      </c>
      <c r="D3389" s="7"/>
      <c r="E3389" s="8">
        <v>1.0406926299999999</v>
      </c>
      <c r="F3389" s="8">
        <v>1.0149331699999999</v>
      </c>
      <c r="G3389" s="7" t="str">
        <f t="shared" si="19"/>
        <v>Direct</v>
      </c>
      <c r="H3389" s="7" t="s">
        <v>16</v>
      </c>
    </row>
    <row r="3390" spans="1:8" x14ac:dyDescent="0.2">
      <c r="A3390" s="5" t="s">
        <v>13</v>
      </c>
      <c r="B3390" s="6" t="s">
        <v>19</v>
      </c>
      <c r="C3390" s="7" t="s">
        <v>3895</v>
      </c>
      <c r="D3390" s="7"/>
      <c r="E3390" s="8">
        <v>-1.5642301000000001</v>
      </c>
      <c r="F3390" s="8">
        <v>-1.5248174000000001</v>
      </c>
      <c r="G3390" s="7" t="str">
        <f t="shared" si="19"/>
        <v>Direct</v>
      </c>
      <c r="H3390" s="7" t="s">
        <v>16</v>
      </c>
    </row>
    <row r="3391" spans="1:8" x14ac:dyDescent="0.2">
      <c r="A3391" s="5" t="s">
        <v>13</v>
      </c>
      <c r="B3391" s="6" t="s">
        <v>19</v>
      </c>
      <c r="C3391" s="7" t="s">
        <v>3896</v>
      </c>
      <c r="D3391" s="7"/>
      <c r="E3391" s="8">
        <v>1.4850921100000001</v>
      </c>
      <c r="F3391" s="8">
        <v>2.2315247399999998</v>
      </c>
      <c r="G3391" s="7" t="str">
        <f t="shared" si="19"/>
        <v>Direct</v>
      </c>
      <c r="H3391" s="7" t="s">
        <v>3897</v>
      </c>
    </row>
    <row r="3392" spans="1:8" x14ac:dyDescent="0.2">
      <c r="A3392" s="5" t="s">
        <v>13</v>
      </c>
      <c r="B3392" s="6" t="s">
        <v>19</v>
      </c>
      <c r="C3392" s="7" t="s">
        <v>3898</v>
      </c>
      <c r="D3392" s="7"/>
      <c r="E3392" s="8">
        <v>1.46940761</v>
      </c>
      <c r="F3392" s="8">
        <v>1.00010186</v>
      </c>
      <c r="G3392" s="7" t="str">
        <f t="shared" si="19"/>
        <v>Direct</v>
      </c>
      <c r="H3392" s="7" t="s">
        <v>16</v>
      </c>
    </row>
    <row r="3393" spans="1:8" x14ac:dyDescent="0.2">
      <c r="A3393" s="5" t="s">
        <v>13</v>
      </c>
      <c r="B3393" s="6" t="s">
        <v>19</v>
      </c>
      <c r="C3393" s="7" t="s">
        <v>3899</v>
      </c>
      <c r="D3393" s="7"/>
      <c r="E3393" s="8">
        <v>-1.0559886000000001</v>
      </c>
      <c r="F3393" s="8">
        <v>-1.6421730999999999</v>
      </c>
      <c r="G3393" s="7" t="str">
        <f t="shared" si="19"/>
        <v>Direct</v>
      </c>
      <c r="H3393" s="7" t="s">
        <v>16</v>
      </c>
    </row>
    <row r="3394" spans="1:8" x14ac:dyDescent="0.2">
      <c r="A3394" s="5" t="s">
        <v>13</v>
      </c>
      <c r="B3394" s="6" t="s">
        <v>19</v>
      </c>
      <c r="C3394" s="7" t="s">
        <v>3900</v>
      </c>
      <c r="D3394" s="7"/>
      <c r="E3394" s="8">
        <v>-2.5002841</v>
      </c>
      <c r="F3394" s="8">
        <v>-2.2811640999999998</v>
      </c>
      <c r="G3394" s="7" t="str">
        <f t="shared" si="19"/>
        <v>Direct</v>
      </c>
      <c r="H3394" s="7" t="s">
        <v>3901</v>
      </c>
    </row>
    <row r="3395" spans="1:8" x14ac:dyDescent="0.2">
      <c r="A3395" s="5" t="s">
        <v>13</v>
      </c>
      <c r="B3395" s="6" t="s">
        <v>19</v>
      </c>
      <c r="C3395" s="7" t="s">
        <v>3902</v>
      </c>
      <c r="D3395" s="7"/>
      <c r="E3395" s="8">
        <v>2.65526274</v>
      </c>
      <c r="F3395" s="8">
        <v>1.3982726400000001</v>
      </c>
      <c r="G3395" s="7" t="str">
        <f t="shared" si="19"/>
        <v>Direct</v>
      </c>
      <c r="H3395" s="7" t="s">
        <v>16</v>
      </c>
    </row>
    <row r="3396" spans="1:8" x14ac:dyDescent="0.2">
      <c r="A3396" s="5" t="s">
        <v>13</v>
      </c>
      <c r="B3396" s="6" t="s">
        <v>19</v>
      </c>
      <c r="C3396" s="7" t="s">
        <v>717</v>
      </c>
      <c r="D3396" s="7"/>
      <c r="E3396" s="8">
        <v>-5.2004900000000003</v>
      </c>
      <c r="F3396" s="8">
        <v>-4.4548053999999997</v>
      </c>
      <c r="G3396" s="7" t="str">
        <f t="shared" si="19"/>
        <v>Direct</v>
      </c>
      <c r="H3396" s="7" t="s">
        <v>718</v>
      </c>
    </row>
    <row r="3397" spans="1:8" x14ac:dyDescent="0.2">
      <c r="A3397" s="5" t="s">
        <v>13</v>
      </c>
      <c r="B3397" s="6" t="s">
        <v>19</v>
      </c>
      <c r="C3397" s="7" t="s">
        <v>3903</v>
      </c>
      <c r="D3397" s="7"/>
      <c r="E3397" s="8">
        <v>-4.3567855</v>
      </c>
      <c r="F3397" s="8">
        <v>-6.4067518000000003</v>
      </c>
      <c r="G3397" s="7" t="str">
        <f t="shared" si="19"/>
        <v>Direct</v>
      </c>
      <c r="H3397" s="7" t="s">
        <v>16</v>
      </c>
    </row>
    <row r="3398" spans="1:8" x14ac:dyDescent="0.2">
      <c r="A3398" s="5" t="s">
        <v>13</v>
      </c>
      <c r="B3398" s="6" t="s">
        <v>19</v>
      </c>
      <c r="C3398" s="7" t="s">
        <v>719</v>
      </c>
      <c r="D3398" s="7"/>
      <c r="E3398" s="8">
        <v>-3.3392195999999998</v>
      </c>
      <c r="F3398" s="8">
        <v>-3.3255335000000001</v>
      </c>
      <c r="G3398" s="7" t="str">
        <f t="shared" si="19"/>
        <v>Direct</v>
      </c>
      <c r="H3398" s="7" t="s">
        <v>720</v>
      </c>
    </row>
    <row r="3399" spans="1:8" x14ac:dyDescent="0.2">
      <c r="A3399" s="5" t="s">
        <v>13</v>
      </c>
      <c r="B3399" s="6" t="s">
        <v>19</v>
      </c>
      <c r="C3399" s="7" t="s">
        <v>3904</v>
      </c>
      <c r="D3399" s="7"/>
      <c r="E3399" s="8">
        <v>3.93845701</v>
      </c>
      <c r="F3399" s="8">
        <v>3.92113705</v>
      </c>
      <c r="G3399" s="7" t="str">
        <f t="shared" si="19"/>
        <v>Direct</v>
      </c>
      <c r="H3399" s="7" t="s">
        <v>16</v>
      </c>
    </row>
    <row r="3400" spans="1:8" x14ac:dyDescent="0.2">
      <c r="A3400" s="5" t="s">
        <v>13</v>
      </c>
      <c r="B3400" s="6" t="s">
        <v>19</v>
      </c>
      <c r="C3400" s="7" t="s">
        <v>3905</v>
      </c>
      <c r="D3400" s="7"/>
      <c r="E3400" s="8">
        <v>-1.862382</v>
      </c>
      <c r="F3400" s="8">
        <v>-1.8026788</v>
      </c>
      <c r="G3400" s="7" t="str">
        <f t="shared" si="19"/>
        <v>Direct</v>
      </c>
      <c r="H3400" s="7" t="s">
        <v>1123</v>
      </c>
    </row>
    <row r="3401" spans="1:8" x14ac:dyDescent="0.2">
      <c r="A3401" s="5" t="s">
        <v>13</v>
      </c>
      <c r="B3401" s="6" t="s">
        <v>19</v>
      </c>
      <c r="C3401" s="7" t="s">
        <v>3906</v>
      </c>
      <c r="D3401" s="7"/>
      <c r="E3401" s="8">
        <v>-3.9405182999999999</v>
      </c>
      <c r="F3401" s="8">
        <v>-4.2521323999999998</v>
      </c>
      <c r="G3401" s="7" t="str">
        <f t="shared" si="19"/>
        <v>Direct</v>
      </c>
      <c r="H3401" s="7" t="s">
        <v>1123</v>
      </c>
    </row>
    <row r="3402" spans="1:8" x14ac:dyDescent="0.2">
      <c r="A3402" s="5" t="s">
        <v>13</v>
      </c>
      <c r="B3402" s="6" t="s">
        <v>19</v>
      </c>
      <c r="C3402" s="7" t="s">
        <v>3907</v>
      </c>
      <c r="D3402" s="7"/>
      <c r="E3402" s="8">
        <v>-1.1894543</v>
      </c>
      <c r="F3402" s="8">
        <v>-1.0835718999999999</v>
      </c>
      <c r="G3402" s="7" t="str">
        <f t="shared" si="19"/>
        <v>Direct</v>
      </c>
      <c r="H3402" s="7" t="s">
        <v>1121</v>
      </c>
    </row>
    <row r="3403" spans="1:8" x14ac:dyDescent="0.2">
      <c r="A3403" s="5" t="s">
        <v>13</v>
      </c>
      <c r="B3403" s="6" t="s">
        <v>19</v>
      </c>
      <c r="C3403" s="7" t="s">
        <v>3908</v>
      </c>
      <c r="D3403" s="7"/>
      <c r="E3403" s="8">
        <v>1.3207864300000001</v>
      </c>
      <c r="F3403" s="8">
        <v>2.4709540400000001</v>
      </c>
      <c r="G3403" s="7" t="str">
        <f t="shared" si="19"/>
        <v>Direct</v>
      </c>
      <c r="H3403" s="7" t="s">
        <v>16</v>
      </c>
    </row>
    <row r="3404" spans="1:8" x14ac:dyDescent="0.2">
      <c r="A3404" s="5" t="s">
        <v>13</v>
      </c>
      <c r="B3404" s="6" t="s">
        <v>19</v>
      </c>
      <c r="C3404" s="7" t="s">
        <v>3909</v>
      </c>
      <c r="D3404" s="7"/>
      <c r="E3404" s="8">
        <v>-1.5668911999999999</v>
      </c>
      <c r="F3404" s="8">
        <v>-1.6336195</v>
      </c>
      <c r="G3404" s="7" t="str">
        <f t="shared" si="19"/>
        <v>Direct</v>
      </c>
      <c r="H3404" s="7" t="s">
        <v>1613</v>
      </c>
    </row>
    <row r="3405" spans="1:8" x14ac:dyDescent="0.2">
      <c r="A3405" s="5" t="s">
        <v>13</v>
      </c>
      <c r="B3405" s="6" t="s">
        <v>19</v>
      </c>
      <c r="C3405" s="7" t="s">
        <v>3910</v>
      </c>
      <c r="D3405" s="7"/>
      <c r="E3405" s="8">
        <v>2.09455452</v>
      </c>
      <c r="F3405" s="8">
        <v>1.47663992</v>
      </c>
      <c r="G3405" s="7" t="str">
        <f t="shared" si="19"/>
        <v>Direct</v>
      </c>
      <c r="H3405" s="7" t="s">
        <v>16</v>
      </c>
    </row>
    <row r="3406" spans="1:8" x14ac:dyDescent="0.2">
      <c r="A3406" s="5" t="s">
        <v>13</v>
      </c>
      <c r="B3406" s="6" t="s">
        <v>19</v>
      </c>
      <c r="C3406" s="7" t="s">
        <v>723</v>
      </c>
      <c r="D3406" s="7"/>
      <c r="E3406" s="8">
        <v>1.6970651400000001</v>
      </c>
      <c r="F3406" s="8">
        <v>1.02898318</v>
      </c>
      <c r="G3406" s="7" t="str">
        <f t="shared" si="19"/>
        <v>Direct</v>
      </c>
      <c r="H3406" s="7" t="s">
        <v>724</v>
      </c>
    </row>
    <row r="3407" spans="1:8" x14ac:dyDescent="0.2">
      <c r="A3407" s="5" t="s">
        <v>13</v>
      </c>
      <c r="B3407" s="6" t="s">
        <v>19</v>
      </c>
      <c r="C3407" s="7" t="s">
        <v>3911</v>
      </c>
      <c r="D3407" s="7"/>
      <c r="E3407" s="8">
        <v>2.0772746299999998</v>
      </c>
      <c r="F3407" s="8">
        <v>2.2683727999999999</v>
      </c>
      <c r="G3407" s="7" t="str">
        <f t="shared" si="19"/>
        <v>Direct</v>
      </c>
      <c r="H3407" s="7" t="s">
        <v>728</v>
      </c>
    </row>
    <row r="3408" spans="1:8" x14ac:dyDescent="0.2">
      <c r="A3408" s="5" t="s">
        <v>13</v>
      </c>
      <c r="B3408" s="6" t="s">
        <v>19</v>
      </c>
      <c r="C3408" s="7" t="s">
        <v>3912</v>
      </c>
      <c r="D3408" s="7"/>
      <c r="E3408" s="8">
        <v>2.2566084599999998</v>
      </c>
      <c r="F3408" s="8">
        <v>1.7549473799999999</v>
      </c>
      <c r="G3408" s="7" t="str">
        <f t="shared" si="19"/>
        <v>Direct</v>
      </c>
      <c r="H3408" s="7" t="s">
        <v>3913</v>
      </c>
    </row>
    <row r="3409" spans="1:8" x14ac:dyDescent="0.2">
      <c r="A3409" s="5" t="s">
        <v>13</v>
      </c>
      <c r="B3409" s="6" t="s">
        <v>19</v>
      </c>
      <c r="C3409" s="7" t="s">
        <v>3914</v>
      </c>
      <c r="D3409" s="7"/>
      <c r="E3409" s="8">
        <v>1.71450573</v>
      </c>
      <c r="F3409" s="8">
        <v>1.0386246100000001</v>
      </c>
      <c r="G3409" s="7" t="str">
        <f t="shared" si="19"/>
        <v>Direct</v>
      </c>
      <c r="H3409" s="7" t="s">
        <v>724</v>
      </c>
    </row>
    <row r="3410" spans="1:8" x14ac:dyDescent="0.2">
      <c r="A3410" s="5" t="s">
        <v>13</v>
      </c>
      <c r="B3410" s="6" t="s">
        <v>19</v>
      </c>
      <c r="C3410" s="7" t="s">
        <v>3915</v>
      </c>
      <c r="D3410" s="7"/>
      <c r="E3410" s="8">
        <v>1.49828293</v>
      </c>
      <c r="F3410" s="8">
        <v>1.46794322</v>
      </c>
      <c r="G3410" s="7" t="str">
        <f t="shared" si="19"/>
        <v>Direct</v>
      </c>
      <c r="H3410" s="7" t="s">
        <v>16</v>
      </c>
    </row>
    <row r="3411" spans="1:8" x14ac:dyDescent="0.2">
      <c r="A3411" s="5" t="s">
        <v>13</v>
      </c>
      <c r="B3411" s="6" t="s">
        <v>19</v>
      </c>
      <c r="C3411" s="7" t="s">
        <v>3916</v>
      </c>
      <c r="D3411" s="7"/>
      <c r="E3411" s="8">
        <v>1.5800142399999999</v>
      </c>
      <c r="F3411" s="8">
        <v>1.08727839</v>
      </c>
      <c r="G3411" s="7" t="str">
        <f t="shared" si="19"/>
        <v>Direct</v>
      </c>
      <c r="H3411" s="7" t="s">
        <v>3913</v>
      </c>
    </row>
    <row r="3412" spans="1:8" x14ac:dyDescent="0.2">
      <c r="A3412" s="5" t="s">
        <v>13</v>
      </c>
      <c r="B3412" s="6" t="s">
        <v>19</v>
      </c>
      <c r="C3412" s="7" t="s">
        <v>3917</v>
      </c>
      <c r="D3412" s="7"/>
      <c r="E3412" s="8">
        <v>-2.6374094000000001</v>
      </c>
      <c r="F3412" s="8">
        <v>-2.1885561</v>
      </c>
      <c r="G3412" s="7" t="str">
        <f t="shared" si="19"/>
        <v>Direct</v>
      </c>
      <c r="H3412" s="7" t="s">
        <v>16</v>
      </c>
    </row>
    <row r="3413" spans="1:8" x14ac:dyDescent="0.2">
      <c r="A3413" s="5" t="s">
        <v>13</v>
      </c>
      <c r="B3413" s="6" t="s">
        <v>19</v>
      </c>
      <c r="C3413" s="7" t="s">
        <v>3918</v>
      </c>
      <c r="D3413" s="7"/>
      <c r="E3413" s="8">
        <v>1.18494535</v>
      </c>
      <c r="F3413" s="8">
        <v>1.1344630899999999</v>
      </c>
      <c r="G3413" s="7" t="str">
        <f t="shared" si="19"/>
        <v>Direct</v>
      </c>
      <c r="H3413" s="7" t="s">
        <v>16</v>
      </c>
    </row>
    <row r="3414" spans="1:8" x14ac:dyDescent="0.2">
      <c r="A3414" s="5" t="s">
        <v>13</v>
      </c>
      <c r="B3414" s="6" t="s">
        <v>19</v>
      </c>
      <c r="C3414" s="7" t="s">
        <v>3919</v>
      </c>
      <c r="D3414" s="7"/>
      <c r="E3414" s="8">
        <v>-1.6033101000000001</v>
      </c>
      <c r="F3414" s="8">
        <v>-1.3086996</v>
      </c>
      <c r="G3414" s="7" t="str">
        <f t="shared" si="19"/>
        <v>Direct</v>
      </c>
      <c r="H3414" s="7" t="s">
        <v>3920</v>
      </c>
    </row>
    <row r="3415" spans="1:8" x14ac:dyDescent="0.2">
      <c r="A3415" s="5" t="s">
        <v>13</v>
      </c>
      <c r="B3415" s="6" t="s">
        <v>19</v>
      </c>
      <c r="C3415" s="7" t="s">
        <v>3921</v>
      </c>
      <c r="D3415" s="7"/>
      <c r="E3415" s="8">
        <v>-3.4946801999999999</v>
      </c>
      <c r="F3415" s="8">
        <v>-2.0173112999999998</v>
      </c>
      <c r="G3415" s="7" t="str">
        <f t="shared" si="19"/>
        <v>Direct</v>
      </c>
      <c r="H3415" s="7" t="s">
        <v>532</v>
      </c>
    </row>
    <row r="3416" spans="1:8" x14ac:dyDescent="0.2">
      <c r="A3416" s="5" t="s">
        <v>13</v>
      </c>
      <c r="B3416" s="6" t="s">
        <v>19</v>
      </c>
      <c r="C3416" s="7" t="s">
        <v>3922</v>
      </c>
      <c r="D3416" s="7"/>
      <c r="E3416" s="8">
        <v>-1.8611613</v>
      </c>
      <c r="F3416" s="8">
        <v>-1.40584</v>
      </c>
      <c r="G3416" s="7" t="str">
        <f t="shared" si="19"/>
        <v>Direct</v>
      </c>
      <c r="H3416" s="7" t="s">
        <v>532</v>
      </c>
    </row>
    <row r="3417" spans="1:8" x14ac:dyDescent="0.2">
      <c r="A3417" s="5" t="s">
        <v>13</v>
      </c>
      <c r="B3417" s="6" t="s">
        <v>19</v>
      </c>
      <c r="C3417" s="7" t="s">
        <v>3923</v>
      </c>
      <c r="D3417" s="7"/>
      <c r="E3417" s="8">
        <v>-1.550934</v>
      </c>
      <c r="F3417" s="8">
        <v>-2.4595020999999999</v>
      </c>
      <c r="G3417" s="7" t="str">
        <f t="shared" si="19"/>
        <v>Direct</v>
      </c>
      <c r="H3417" s="7" t="s">
        <v>16</v>
      </c>
    </row>
    <row r="3418" spans="1:8" x14ac:dyDescent="0.2">
      <c r="A3418" s="5" t="s">
        <v>13</v>
      </c>
      <c r="B3418" s="6" t="s">
        <v>19</v>
      </c>
      <c r="C3418" s="7" t="s">
        <v>3924</v>
      </c>
      <c r="D3418" s="7"/>
      <c r="E3418" s="8">
        <v>2.0893191500000001</v>
      </c>
      <c r="F3418" s="8">
        <v>2.0408776999999998</v>
      </c>
      <c r="G3418" s="7" t="str">
        <f t="shared" si="19"/>
        <v>Direct</v>
      </c>
      <c r="H3418" s="7" t="s">
        <v>16</v>
      </c>
    </row>
    <row r="3419" spans="1:8" x14ac:dyDescent="0.2">
      <c r="A3419" s="5" t="s">
        <v>13</v>
      </c>
      <c r="B3419" s="6" t="s">
        <v>19</v>
      </c>
      <c r="C3419" s="7" t="s">
        <v>725</v>
      </c>
      <c r="D3419" s="7"/>
      <c r="E3419" s="8">
        <v>-8.1493011000000006</v>
      </c>
      <c r="F3419" s="8">
        <v>-6.6839490000000001</v>
      </c>
      <c r="G3419" s="7" t="str">
        <f t="shared" si="19"/>
        <v>Direct</v>
      </c>
      <c r="H3419" s="7" t="s">
        <v>16</v>
      </c>
    </row>
    <row r="3420" spans="1:8" x14ac:dyDescent="0.2">
      <c r="A3420" s="5" t="s">
        <v>13</v>
      </c>
      <c r="B3420" s="6" t="s">
        <v>19</v>
      </c>
      <c r="C3420" s="7" t="s">
        <v>3925</v>
      </c>
      <c r="D3420" s="7"/>
      <c r="E3420" s="8">
        <v>-3.0160593000000002</v>
      </c>
      <c r="F3420" s="8">
        <v>-1.8822901999999999</v>
      </c>
      <c r="G3420" s="7" t="str">
        <f t="shared" si="19"/>
        <v>Direct</v>
      </c>
      <c r="H3420" s="7" t="s">
        <v>16</v>
      </c>
    </row>
    <row r="3421" spans="1:8" x14ac:dyDescent="0.2">
      <c r="A3421" s="5" t="s">
        <v>13</v>
      </c>
      <c r="B3421" s="6" t="s">
        <v>19</v>
      </c>
      <c r="C3421" s="7" t="s">
        <v>3926</v>
      </c>
      <c r="D3421" s="7"/>
      <c r="E3421" s="8">
        <v>1.79051801</v>
      </c>
      <c r="F3421" s="8">
        <v>1.2274437499999999</v>
      </c>
      <c r="G3421" s="7" t="str">
        <f t="shared" si="19"/>
        <v>Direct</v>
      </c>
      <c r="H3421" s="7" t="s">
        <v>16</v>
      </c>
    </row>
    <row r="3422" spans="1:8" x14ac:dyDescent="0.2">
      <c r="A3422" s="5" t="s">
        <v>13</v>
      </c>
      <c r="B3422" s="6" t="s">
        <v>19</v>
      </c>
      <c r="C3422" s="7" t="s">
        <v>3927</v>
      </c>
      <c r="D3422" s="7"/>
      <c r="E3422" s="8">
        <v>1.1206940700000001</v>
      </c>
      <c r="F3422" s="8">
        <v>1.7234409399999999</v>
      </c>
      <c r="G3422" s="7" t="str">
        <f t="shared" si="19"/>
        <v>Direct</v>
      </c>
      <c r="H3422" s="7" t="s">
        <v>728</v>
      </c>
    </row>
    <row r="3423" spans="1:8" x14ac:dyDescent="0.2">
      <c r="A3423" s="5" t="s">
        <v>13</v>
      </c>
      <c r="B3423" s="6" t="s">
        <v>19</v>
      </c>
      <c r="C3423" s="7" t="s">
        <v>3928</v>
      </c>
      <c r="D3423" s="7"/>
      <c r="E3423" s="8">
        <v>2.6145014600000001</v>
      </c>
      <c r="F3423" s="8">
        <v>4.3235361899999996</v>
      </c>
      <c r="G3423" s="7" t="str">
        <f t="shared" si="19"/>
        <v>Direct</v>
      </c>
      <c r="H3423" s="7" t="s">
        <v>16</v>
      </c>
    </row>
    <row r="3424" spans="1:8" x14ac:dyDescent="0.2">
      <c r="A3424" s="5" t="s">
        <v>13</v>
      </c>
      <c r="B3424" s="6" t="s">
        <v>19</v>
      </c>
      <c r="C3424" s="7" t="s">
        <v>3929</v>
      </c>
      <c r="D3424" s="7"/>
      <c r="E3424" s="8">
        <v>3.88444235</v>
      </c>
      <c r="F3424" s="8">
        <v>3.38646892</v>
      </c>
      <c r="G3424" s="7" t="str">
        <f t="shared" si="19"/>
        <v>Direct</v>
      </c>
      <c r="H3424" s="7" t="s">
        <v>16</v>
      </c>
    </row>
    <row r="3425" spans="1:8" x14ac:dyDescent="0.2">
      <c r="A3425" s="5" t="s">
        <v>13</v>
      </c>
      <c r="B3425" s="6" t="s">
        <v>19</v>
      </c>
      <c r="C3425" s="7" t="s">
        <v>726</v>
      </c>
      <c r="D3425" s="7"/>
      <c r="E3425" s="8">
        <v>-9.7235800999999995</v>
      </c>
      <c r="F3425" s="8">
        <v>-6.5020761</v>
      </c>
      <c r="G3425" s="7" t="str">
        <f t="shared" si="19"/>
        <v>Direct</v>
      </c>
      <c r="H3425" s="7" t="s">
        <v>333</v>
      </c>
    </row>
    <row r="3426" spans="1:8" x14ac:dyDescent="0.2">
      <c r="A3426" s="5" t="s">
        <v>13</v>
      </c>
      <c r="B3426" s="6" t="s">
        <v>19</v>
      </c>
      <c r="C3426" s="7" t="s">
        <v>3930</v>
      </c>
      <c r="D3426" s="7"/>
      <c r="E3426" s="8">
        <v>-2.0014368999999999</v>
      </c>
      <c r="F3426" s="8">
        <v>-2.2127219</v>
      </c>
      <c r="G3426" s="7" t="str">
        <f t="shared" si="19"/>
        <v>Direct</v>
      </c>
      <c r="H3426" s="7" t="s">
        <v>16</v>
      </c>
    </row>
    <row r="3427" spans="1:8" x14ac:dyDescent="0.2">
      <c r="A3427" s="5" t="s">
        <v>13</v>
      </c>
      <c r="B3427" s="6" t="s">
        <v>19</v>
      </c>
      <c r="C3427" s="7" t="s">
        <v>3931</v>
      </c>
      <c r="D3427" s="7"/>
      <c r="E3427" s="8">
        <v>4.34586454</v>
      </c>
      <c r="F3427" s="8">
        <v>1.6298914099999999</v>
      </c>
      <c r="G3427" s="7" t="str">
        <f t="shared" si="19"/>
        <v>Direct</v>
      </c>
      <c r="H3427" s="7" t="s">
        <v>16</v>
      </c>
    </row>
    <row r="3428" spans="1:8" x14ac:dyDescent="0.2">
      <c r="A3428" s="5" t="s">
        <v>13</v>
      </c>
      <c r="B3428" s="6" t="s">
        <v>19</v>
      </c>
      <c r="C3428" s="7" t="s">
        <v>3932</v>
      </c>
      <c r="D3428" s="7"/>
      <c r="E3428" s="8">
        <v>1.61451656</v>
      </c>
      <c r="F3428" s="8">
        <v>1.0388153099999999</v>
      </c>
      <c r="G3428" s="7" t="str">
        <f t="shared" si="19"/>
        <v>Direct</v>
      </c>
      <c r="H3428" s="7" t="s">
        <v>728</v>
      </c>
    </row>
    <row r="3429" spans="1:8" x14ac:dyDescent="0.2">
      <c r="A3429" s="5" t="s">
        <v>13</v>
      </c>
      <c r="B3429" s="6" t="s">
        <v>19</v>
      </c>
      <c r="C3429" s="7" t="s">
        <v>3933</v>
      </c>
      <c r="D3429" s="7"/>
      <c r="E3429" s="8">
        <v>1.5141545700000001</v>
      </c>
      <c r="F3429" s="8">
        <v>1.7515202400000001</v>
      </c>
      <c r="G3429" s="7" t="str">
        <f t="shared" si="19"/>
        <v>Direct</v>
      </c>
      <c r="H3429" s="7" t="s">
        <v>16</v>
      </c>
    </row>
    <row r="3430" spans="1:8" x14ac:dyDescent="0.2">
      <c r="A3430" s="5" t="s">
        <v>13</v>
      </c>
      <c r="B3430" s="6" t="s">
        <v>19</v>
      </c>
      <c r="C3430" s="7" t="s">
        <v>729</v>
      </c>
      <c r="D3430" s="7"/>
      <c r="E3430" s="8">
        <v>-1.989554</v>
      </c>
      <c r="F3430" s="8">
        <v>-1.5823273</v>
      </c>
      <c r="G3430" s="7" t="str">
        <f t="shared" si="19"/>
        <v>Direct</v>
      </c>
      <c r="H3430" s="7" t="s">
        <v>730</v>
      </c>
    </row>
    <row r="3431" spans="1:8" x14ac:dyDescent="0.2">
      <c r="A3431" s="5" t="s">
        <v>13</v>
      </c>
      <c r="B3431" s="6" t="s">
        <v>19</v>
      </c>
      <c r="C3431" s="7" t="s">
        <v>3934</v>
      </c>
      <c r="D3431" s="7"/>
      <c r="E3431" s="8">
        <v>2.1225491299999999</v>
      </c>
      <c r="F3431" s="8">
        <v>1.5425196800000001</v>
      </c>
      <c r="G3431" s="7" t="str">
        <f t="shared" si="19"/>
        <v>Direct</v>
      </c>
      <c r="H3431" s="7" t="s">
        <v>16</v>
      </c>
    </row>
    <row r="3432" spans="1:8" x14ac:dyDescent="0.2">
      <c r="A3432" s="5" t="s">
        <v>13</v>
      </c>
      <c r="B3432" s="6" t="s">
        <v>19</v>
      </c>
      <c r="C3432" s="7" t="s">
        <v>3935</v>
      </c>
      <c r="D3432" s="7"/>
      <c r="E3432" s="8">
        <v>7.9422813200000002</v>
      </c>
      <c r="F3432" s="8">
        <v>4.4290616900000002</v>
      </c>
      <c r="G3432" s="7" t="str">
        <f t="shared" si="19"/>
        <v>Direct</v>
      </c>
      <c r="H3432" s="7" t="s">
        <v>16</v>
      </c>
    </row>
    <row r="3433" spans="1:8" x14ac:dyDescent="0.2">
      <c r="A3433" s="5" t="s">
        <v>13</v>
      </c>
      <c r="B3433" s="6" t="s">
        <v>19</v>
      </c>
      <c r="C3433" s="7" t="s">
        <v>3936</v>
      </c>
      <c r="D3433" s="7"/>
      <c r="E3433" s="8">
        <v>-1.9660918000000001</v>
      </c>
      <c r="F3433" s="8">
        <v>-2.2601358999999999</v>
      </c>
      <c r="G3433" s="7" t="str">
        <f t="shared" si="19"/>
        <v>Direct</v>
      </c>
      <c r="H3433" s="7" t="s">
        <v>301</v>
      </c>
    </row>
    <row r="3434" spans="1:8" x14ac:dyDescent="0.2">
      <c r="A3434" s="5" t="s">
        <v>13</v>
      </c>
      <c r="B3434" s="6" t="s">
        <v>19</v>
      </c>
      <c r="C3434" s="7" t="s">
        <v>3937</v>
      </c>
      <c r="D3434" s="7"/>
      <c r="E3434" s="8">
        <v>1.8991071399999999</v>
      </c>
      <c r="F3434" s="8">
        <v>2.2209528700000001</v>
      </c>
      <c r="G3434" s="7" t="str">
        <f t="shared" si="19"/>
        <v>Direct</v>
      </c>
      <c r="H3434" s="7" t="s">
        <v>16</v>
      </c>
    </row>
    <row r="3435" spans="1:8" x14ac:dyDescent="0.2">
      <c r="A3435" s="5" t="s">
        <v>13</v>
      </c>
      <c r="B3435" s="6" t="s">
        <v>19</v>
      </c>
      <c r="C3435" s="7" t="s">
        <v>3938</v>
      </c>
      <c r="D3435" s="7"/>
      <c r="E3435" s="8">
        <v>2.9466980700000001</v>
      </c>
      <c r="F3435" s="8">
        <v>1.4325813599999999</v>
      </c>
      <c r="G3435" s="7" t="str">
        <f t="shared" si="19"/>
        <v>Direct</v>
      </c>
      <c r="H3435" s="7" t="s">
        <v>16</v>
      </c>
    </row>
    <row r="3436" spans="1:8" x14ac:dyDescent="0.2">
      <c r="A3436" s="5" t="s">
        <v>13</v>
      </c>
      <c r="B3436" s="6" t="s">
        <v>19</v>
      </c>
      <c r="C3436" s="7" t="s">
        <v>3939</v>
      </c>
      <c r="D3436" s="7"/>
      <c r="E3436" s="8">
        <v>1.6262039800000001</v>
      </c>
      <c r="F3436" s="8">
        <v>1.61210995</v>
      </c>
      <c r="G3436" s="7" t="str">
        <f t="shared" si="19"/>
        <v>Direct</v>
      </c>
      <c r="H3436" s="7" t="s">
        <v>16</v>
      </c>
    </row>
    <row r="3437" spans="1:8" x14ac:dyDescent="0.2">
      <c r="A3437" s="5" t="s">
        <v>13</v>
      </c>
      <c r="B3437" s="6" t="s">
        <v>19</v>
      </c>
      <c r="C3437" s="7" t="s">
        <v>3940</v>
      </c>
      <c r="D3437" s="7"/>
      <c r="E3437" s="8">
        <v>1.7650507900000001</v>
      </c>
      <c r="F3437" s="8">
        <v>3.2019303200000002</v>
      </c>
      <c r="G3437" s="7" t="str">
        <f t="shared" si="19"/>
        <v>Direct</v>
      </c>
      <c r="H3437" s="7" t="s">
        <v>16</v>
      </c>
    </row>
    <row r="3438" spans="1:8" x14ac:dyDescent="0.2">
      <c r="A3438" s="5" t="s">
        <v>13</v>
      </c>
      <c r="B3438" s="6" t="s">
        <v>19</v>
      </c>
      <c r="C3438" s="7" t="s">
        <v>3941</v>
      </c>
      <c r="D3438" s="7"/>
      <c r="E3438" s="8">
        <v>-1.1671073999999999</v>
      </c>
      <c r="F3438" s="8">
        <v>-1.1906737999999999</v>
      </c>
      <c r="G3438" s="7" t="str">
        <f t="shared" si="19"/>
        <v>Direct</v>
      </c>
      <c r="H3438" s="7" t="s">
        <v>16</v>
      </c>
    </row>
    <row r="3439" spans="1:8" x14ac:dyDescent="0.2">
      <c r="A3439" s="5" t="s">
        <v>13</v>
      </c>
      <c r="B3439" s="6" t="s">
        <v>19</v>
      </c>
      <c r="C3439" s="7" t="s">
        <v>3942</v>
      </c>
      <c r="D3439" s="7"/>
      <c r="E3439" s="8">
        <v>1.4526023699999999</v>
      </c>
      <c r="F3439" s="8">
        <v>1.5980343299999999</v>
      </c>
      <c r="G3439" s="7" t="str">
        <f t="shared" si="19"/>
        <v>Direct</v>
      </c>
      <c r="H3439" s="7" t="s">
        <v>724</v>
      </c>
    </row>
    <row r="3440" spans="1:8" x14ac:dyDescent="0.2">
      <c r="A3440" s="5" t="s">
        <v>13</v>
      </c>
      <c r="B3440" s="6" t="s">
        <v>19</v>
      </c>
      <c r="C3440" s="7" t="s">
        <v>3943</v>
      </c>
      <c r="D3440" s="7"/>
      <c r="E3440" s="8">
        <v>1.61168592</v>
      </c>
      <c r="F3440" s="8">
        <v>1.5381067799999999</v>
      </c>
      <c r="G3440" s="7" t="str">
        <f t="shared" si="19"/>
        <v>Direct</v>
      </c>
      <c r="H3440" s="7" t="s">
        <v>16</v>
      </c>
    </row>
    <row r="3441" spans="1:8" x14ac:dyDescent="0.2">
      <c r="A3441" s="5" t="s">
        <v>13</v>
      </c>
      <c r="B3441" s="6" t="s">
        <v>19</v>
      </c>
      <c r="C3441" s="7" t="s">
        <v>3944</v>
      </c>
      <c r="D3441" s="7"/>
      <c r="E3441" s="8">
        <v>1.5199400000000001</v>
      </c>
      <c r="F3441" s="8">
        <v>1.4425021899999999</v>
      </c>
      <c r="G3441" s="7" t="str">
        <f t="shared" si="19"/>
        <v>Direct</v>
      </c>
      <c r="H3441" s="7" t="s">
        <v>16</v>
      </c>
    </row>
    <row r="3442" spans="1:8" x14ac:dyDescent="0.2">
      <c r="A3442" s="5" t="s">
        <v>13</v>
      </c>
      <c r="B3442" s="6" t="s">
        <v>19</v>
      </c>
      <c r="C3442" s="7" t="s">
        <v>731</v>
      </c>
      <c r="D3442" s="7"/>
      <c r="E3442" s="8">
        <v>-1.4460618999999999</v>
      </c>
      <c r="F3442" s="8">
        <v>-1.2254118000000001</v>
      </c>
      <c r="G3442" s="7" t="str">
        <f t="shared" si="19"/>
        <v>Direct</v>
      </c>
      <c r="H3442" s="7" t="s">
        <v>732</v>
      </c>
    </row>
    <row r="3443" spans="1:8" x14ac:dyDescent="0.2">
      <c r="A3443" s="5" t="s">
        <v>13</v>
      </c>
      <c r="B3443" s="6" t="s">
        <v>19</v>
      </c>
      <c r="C3443" s="7" t="s">
        <v>3945</v>
      </c>
      <c r="D3443" s="7"/>
      <c r="E3443" s="8">
        <v>3.1544156299999999</v>
      </c>
      <c r="F3443" s="8">
        <v>2.20667598</v>
      </c>
      <c r="G3443" s="7" t="str">
        <f t="shared" si="19"/>
        <v>Direct</v>
      </c>
      <c r="H3443" s="7" t="s">
        <v>16</v>
      </c>
    </row>
    <row r="3444" spans="1:8" x14ac:dyDescent="0.2">
      <c r="A3444" s="5" t="s">
        <v>13</v>
      </c>
      <c r="B3444" s="6" t="s">
        <v>19</v>
      </c>
      <c r="C3444" s="7" t="s">
        <v>3946</v>
      </c>
      <c r="D3444" s="7"/>
      <c r="E3444" s="8">
        <v>-5.5160412000000001</v>
      </c>
      <c r="F3444" s="8">
        <v>-1.0822909999999999</v>
      </c>
      <c r="G3444" s="7" t="str">
        <f t="shared" si="19"/>
        <v>Direct</v>
      </c>
      <c r="H3444" s="7" t="s">
        <v>16</v>
      </c>
    </row>
    <row r="3445" spans="1:8" x14ac:dyDescent="0.2">
      <c r="A3445" s="5" t="s">
        <v>13</v>
      </c>
      <c r="B3445" s="6" t="s">
        <v>19</v>
      </c>
      <c r="C3445" s="7" t="s">
        <v>3947</v>
      </c>
      <c r="D3445" s="7"/>
      <c r="E3445" s="8">
        <v>1.7549318599999999</v>
      </c>
      <c r="F3445" s="8">
        <v>1.11580155</v>
      </c>
      <c r="G3445" s="7" t="str">
        <f t="shared" si="19"/>
        <v>Direct</v>
      </c>
      <c r="H3445" s="7" t="s">
        <v>16</v>
      </c>
    </row>
    <row r="3446" spans="1:8" x14ac:dyDescent="0.2">
      <c r="A3446" s="5" t="s">
        <v>13</v>
      </c>
      <c r="B3446" s="6" t="s">
        <v>19</v>
      </c>
      <c r="C3446" s="7" t="s">
        <v>3948</v>
      </c>
      <c r="D3446" s="7"/>
      <c r="E3446" s="8">
        <v>3.21258686</v>
      </c>
      <c r="F3446" s="8">
        <v>1.9802610300000001</v>
      </c>
      <c r="G3446" s="7" t="str">
        <f t="shared" si="19"/>
        <v>Direct</v>
      </c>
      <c r="H3446" s="7" t="s">
        <v>3949</v>
      </c>
    </row>
    <row r="3447" spans="1:8" x14ac:dyDescent="0.2">
      <c r="A3447" s="5" t="s">
        <v>13</v>
      </c>
      <c r="B3447" s="6" t="s">
        <v>19</v>
      </c>
      <c r="C3447" s="7" t="s">
        <v>733</v>
      </c>
      <c r="D3447" s="7"/>
      <c r="E3447" s="8">
        <v>-4.0335339000000001</v>
      </c>
      <c r="F3447" s="8">
        <v>-2.7710477999999998</v>
      </c>
      <c r="G3447" s="7" t="str">
        <f t="shared" si="19"/>
        <v>Direct</v>
      </c>
      <c r="H3447" s="7" t="s">
        <v>139</v>
      </c>
    </row>
    <row r="3448" spans="1:8" x14ac:dyDescent="0.2">
      <c r="A3448" s="5" t="s">
        <v>13</v>
      </c>
      <c r="B3448" s="6" t="s">
        <v>19</v>
      </c>
      <c r="C3448" s="7" t="s">
        <v>737</v>
      </c>
      <c r="D3448" s="7"/>
      <c r="E3448" s="8">
        <v>-14.422558</v>
      </c>
      <c r="F3448" s="8">
        <v>-8.8337398</v>
      </c>
      <c r="G3448" s="7" t="str">
        <f t="shared" si="19"/>
        <v>Direct</v>
      </c>
      <c r="H3448" s="7" t="s">
        <v>139</v>
      </c>
    </row>
    <row r="3449" spans="1:8" x14ac:dyDescent="0.2">
      <c r="A3449" s="5" t="s">
        <v>13</v>
      </c>
      <c r="B3449" s="6" t="s">
        <v>19</v>
      </c>
      <c r="C3449" s="7" t="s">
        <v>3950</v>
      </c>
      <c r="D3449" s="7"/>
      <c r="E3449" s="8">
        <v>1.2568003800000001</v>
      </c>
      <c r="F3449" s="8">
        <v>1.4414051000000001</v>
      </c>
      <c r="G3449" s="7" t="str">
        <f t="shared" si="19"/>
        <v>Direct</v>
      </c>
      <c r="H3449" s="7" t="s">
        <v>16</v>
      </c>
    </row>
    <row r="3450" spans="1:8" x14ac:dyDescent="0.2">
      <c r="A3450" s="5" t="s">
        <v>13</v>
      </c>
      <c r="B3450" s="6" t="s">
        <v>19</v>
      </c>
      <c r="C3450" s="7" t="s">
        <v>3951</v>
      </c>
      <c r="D3450" s="7"/>
      <c r="E3450" s="8">
        <v>-5.1027094000000002</v>
      </c>
      <c r="F3450" s="8">
        <v>-4.0276889999999996</v>
      </c>
      <c r="G3450" s="7" t="str">
        <f t="shared" si="19"/>
        <v>Direct</v>
      </c>
      <c r="H3450" s="7" t="s">
        <v>16</v>
      </c>
    </row>
    <row r="3451" spans="1:8" x14ac:dyDescent="0.2">
      <c r="A3451" s="5" t="s">
        <v>13</v>
      </c>
      <c r="B3451" s="6" t="s">
        <v>19</v>
      </c>
      <c r="C3451" s="7" t="s">
        <v>3952</v>
      </c>
      <c r="D3451" s="7"/>
      <c r="E3451" s="8">
        <v>1.62295013</v>
      </c>
      <c r="F3451" s="8">
        <v>2.2507733000000001</v>
      </c>
      <c r="G3451" s="7" t="str">
        <f t="shared" si="19"/>
        <v>Direct</v>
      </c>
      <c r="H3451" s="7" t="s">
        <v>3953</v>
      </c>
    </row>
    <row r="3452" spans="1:8" x14ac:dyDescent="0.2">
      <c r="A3452" s="5" t="s">
        <v>13</v>
      </c>
      <c r="B3452" s="6" t="s">
        <v>19</v>
      </c>
      <c r="C3452" s="7" t="s">
        <v>738</v>
      </c>
      <c r="D3452" s="7"/>
      <c r="E3452" s="8">
        <v>-2.0171866000000001</v>
      </c>
      <c r="F3452" s="8">
        <v>-2.7227877999999999</v>
      </c>
      <c r="G3452" s="7" t="str">
        <f t="shared" si="19"/>
        <v>Direct</v>
      </c>
      <c r="H3452" s="7" t="s">
        <v>16</v>
      </c>
    </row>
    <row r="3453" spans="1:8" x14ac:dyDescent="0.2">
      <c r="A3453" s="5" t="s">
        <v>13</v>
      </c>
      <c r="B3453" s="6" t="s">
        <v>19</v>
      </c>
      <c r="C3453" s="7" t="s">
        <v>3954</v>
      </c>
      <c r="D3453" s="7"/>
      <c r="E3453" s="8">
        <v>-1.1002190000000001</v>
      </c>
      <c r="F3453" s="8">
        <v>-1.0386245999999999</v>
      </c>
      <c r="G3453" s="7" t="str">
        <f t="shared" si="19"/>
        <v>Direct</v>
      </c>
      <c r="H3453" s="7" t="s">
        <v>16</v>
      </c>
    </row>
    <row r="3454" spans="1:8" x14ac:dyDescent="0.2">
      <c r="A3454" s="5" t="s">
        <v>13</v>
      </c>
      <c r="B3454" s="6" t="s">
        <v>19</v>
      </c>
      <c r="C3454" s="7" t="s">
        <v>3955</v>
      </c>
      <c r="D3454" s="7"/>
      <c r="E3454" s="8">
        <v>-3.6774263999999999</v>
      </c>
      <c r="F3454" s="8">
        <v>-1.874101</v>
      </c>
      <c r="G3454" s="7" t="str">
        <f t="shared" si="19"/>
        <v>Direct</v>
      </c>
      <c r="H3454" s="7" t="s">
        <v>3956</v>
      </c>
    </row>
    <row r="3455" spans="1:8" x14ac:dyDescent="0.2">
      <c r="A3455" s="5" t="s">
        <v>13</v>
      </c>
      <c r="B3455" s="6" t="s">
        <v>19</v>
      </c>
      <c r="C3455" s="7" t="s">
        <v>3957</v>
      </c>
      <c r="D3455" s="7"/>
      <c r="E3455" s="8">
        <v>-1.4113325999999999</v>
      </c>
      <c r="F3455" s="8">
        <v>-1.1820889999999999</v>
      </c>
      <c r="G3455" s="7" t="str">
        <f t="shared" si="19"/>
        <v>Direct</v>
      </c>
      <c r="H3455" s="7" t="s">
        <v>3956</v>
      </c>
    </row>
    <row r="3456" spans="1:8" x14ac:dyDescent="0.2">
      <c r="A3456" s="5" t="s">
        <v>13</v>
      </c>
      <c r="B3456" s="6" t="s">
        <v>19</v>
      </c>
      <c r="C3456" s="7" t="s">
        <v>3958</v>
      </c>
      <c r="D3456" s="7"/>
      <c r="E3456" s="8">
        <v>4.4068334499999997</v>
      </c>
      <c r="F3456" s="8">
        <v>2.3153038100000001</v>
      </c>
      <c r="G3456" s="7" t="str">
        <f t="shared" si="19"/>
        <v>Direct</v>
      </c>
      <c r="H3456" s="7" t="s">
        <v>16</v>
      </c>
    </row>
    <row r="3457" spans="1:8" x14ac:dyDescent="0.2">
      <c r="A3457" s="5" t="s">
        <v>13</v>
      </c>
      <c r="B3457" s="6" t="s">
        <v>19</v>
      </c>
      <c r="C3457" s="7" t="s">
        <v>3959</v>
      </c>
      <c r="D3457" s="7"/>
      <c r="E3457" s="8">
        <v>2.4444598399999999</v>
      </c>
      <c r="F3457" s="8">
        <v>2.35801485</v>
      </c>
      <c r="G3457" s="7" t="str">
        <f t="shared" si="19"/>
        <v>Direct</v>
      </c>
      <c r="H3457" s="7" t="s">
        <v>16</v>
      </c>
    </row>
    <row r="3458" spans="1:8" x14ac:dyDescent="0.2">
      <c r="A3458" s="5" t="s">
        <v>13</v>
      </c>
      <c r="B3458" s="6" t="s">
        <v>19</v>
      </c>
      <c r="C3458" s="7" t="s">
        <v>3960</v>
      </c>
      <c r="D3458" s="7"/>
      <c r="E3458" s="8">
        <v>-1.3846779</v>
      </c>
      <c r="F3458" s="8">
        <v>-1.2650486000000001</v>
      </c>
      <c r="G3458" s="7" t="str">
        <f t="shared" si="19"/>
        <v>Direct</v>
      </c>
      <c r="H3458" s="7" t="s">
        <v>1615</v>
      </c>
    </row>
    <row r="3459" spans="1:8" x14ac:dyDescent="0.2">
      <c r="A3459" s="5" t="s">
        <v>13</v>
      </c>
      <c r="B3459" s="6" t="s">
        <v>19</v>
      </c>
      <c r="C3459" s="7" t="s">
        <v>3961</v>
      </c>
      <c r="D3459" s="7"/>
      <c r="E3459" s="8">
        <v>-3.0770099000000002</v>
      </c>
      <c r="F3459" s="8">
        <v>-2.2346251000000001</v>
      </c>
      <c r="G3459" s="7" t="str">
        <f t="shared" si="19"/>
        <v>Direct</v>
      </c>
      <c r="H3459" s="7" t="s">
        <v>1615</v>
      </c>
    </row>
    <row r="3460" spans="1:8" x14ac:dyDescent="0.2">
      <c r="A3460" s="5" t="s">
        <v>13</v>
      </c>
      <c r="B3460" s="6" t="s">
        <v>19</v>
      </c>
      <c r="C3460" s="7" t="s">
        <v>3962</v>
      </c>
      <c r="D3460" s="7"/>
      <c r="E3460" s="8">
        <v>1.5917177199999999</v>
      </c>
      <c r="F3460" s="8">
        <v>1.4203377500000001</v>
      </c>
      <c r="G3460" s="7" t="str">
        <f t="shared" si="19"/>
        <v>Direct</v>
      </c>
      <c r="H3460" s="7" t="s">
        <v>16</v>
      </c>
    </row>
    <row r="3461" spans="1:8" x14ac:dyDescent="0.2">
      <c r="A3461" s="5" t="s">
        <v>13</v>
      </c>
      <c r="B3461" s="6" t="s">
        <v>19</v>
      </c>
      <c r="C3461" s="7" t="s">
        <v>3963</v>
      </c>
      <c r="D3461" s="7"/>
      <c r="E3461" s="8">
        <v>2.6951270200000002</v>
      </c>
      <c r="F3461" s="8">
        <v>1.10432318</v>
      </c>
      <c r="G3461" s="7" t="str">
        <f t="shared" si="19"/>
        <v>Direct</v>
      </c>
      <c r="H3461" s="7" t="s">
        <v>16</v>
      </c>
    </row>
    <row r="3462" spans="1:8" x14ac:dyDescent="0.2">
      <c r="A3462" s="5" t="s">
        <v>13</v>
      </c>
      <c r="B3462" s="6" t="s">
        <v>19</v>
      </c>
      <c r="C3462" s="7" t="s">
        <v>3964</v>
      </c>
      <c r="D3462" s="7"/>
      <c r="E3462" s="8">
        <v>5.40478565</v>
      </c>
      <c r="F3462" s="8">
        <v>7.53080338</v>
      </c>
      <c r="G3462" s="7" t="str">
        <f t="shared" si="19"/>
        <v>Direct</v>
      </c>
      <c r="H3462" s="7" t="s">
        <v>16</v>
      </c>
    </row>
    <row r="3463" spans="1:8" x14ac:dyDescent="0.2">
      <c r="A3463" s="5" t="s">
        <v>13</v>
      </c>
      <c r="B3463" s="6" t="s">
        <v>19</v>
      </c>
      <c r="C3463" s="7" t="s">
        <v>3965</v>
      </c>
      <c r="D3463" s="7"/>
      <c r="E3463" s="8">
        <v>2.5784941300000002</v>
      </c>
      <c r="F3463" s="8">
        <v>2.4992375600000001</v>
      </c>
      <c r="G3463" s="7" t="str">
        <f t="shared" si="19"/>
        <v>Direct</v>
      </c>
      <c r="H3463" s="7" t="s">
        <v>16</v>
      </c>
    </row>
    <row r="3464" spans="1:8" x14ac:dyDescent="0.2">
      <c r="A3464" s="5" t="s">
        <v>13</v>
      </c>
      <c r="B3464" s="6" t="s">
        <v>19</v>
      </c>
      <c r="C3464" s="7" t="s">
        <v>3966</v>
      </c>
      <c r="D3464" s="7"/>
      <c r="E3464" s="8">
        <v>2.0754229099999999</v>
      </c>
      <c r="F3464" s="8">
        <v>1.40346708</v>
      </c>
      <c r="G3464" s="7" t="str">
        <f t="shared" si="19"/>
        <v>Direct</v>
      </c>
      <c r="H3464" s="7" t="s">
        <v>3967</v>
      </c>
    </row>
    <row r="3465" spans="1:8" x14ac:dyDescent="0.2">
      <c r="A3465" s="5" t="s">
        <v>13</v>
      </c>
      <c r="B3465" s="6" t="s">
        <v>19</v>
      </c>
      <c r="C3465" s="7" t="s">
        <v>3968</v>
      </c>
      <c r="D3465" s="7"/>
      <c r="E3465" s="8">
        <v>1.92710202</v>
      </c>
      <c r="F3465" s="8">
        <v>1.6584925800000001</v>
      </c>
      <c r="G3465" s="7" t="str">
        <f t="shared" si="19"/>
        <v>Direct</v>
      </c>
      <c r="H3465" s="7" t="s">
        <v>16</v>
      </c>
    </row>
    <row r="3466" spans="1:8" x14ac:dyDescent="0.2">
      <c r="A3466" s="5" t="s">
        <v>13</v>
      </c>
      <c r="B3466" s="6" t="s">
        <v>19</v>
      </c>
      <c r="C3466" s="7" t="s">
        <v>3969</v>
      </c>
      <c r="D3466" s="7"/>
      <c r="E3466" s="8">
        <v>1.41208986</v>
      </c>
      <c r="F3466" s="8">
        <v>1.08522907</v>
      </c>
      <c r="G3466" s="7" t="str">
        <f t="shared" si="19"/>
        <v>Direct</v>
      </c>
      <c r="H3466" s="7" t="s">
        <v>3970</v>
      </c>
    </row>
    <row r="3467" spans="1:8" x14ac:dyDescent="0.2">
      <c r="A3467" s="5" t="s">
        <v>13</v>
      </c>
      <c r="B3467" s="6" t="s">
        <v>19</v>
      </c>
      <c r="C3467" s="7" t="s">
        <v>3971</v>
      </c>
      <c r="D3467" s="7"/>
      <c r="E3467" s="8">
        <v>1.6602007599999999</v>
      </c>
      <c r="F3467" s="8">
        <v>1.0225684399999999</v>
      </c>
      <c r="G3467" s="7" t="str">
        <f t="shared" si="19"/>
        <v>Direct</v>
      </c>
      <c r="H3467" s="7" t="s">
        <v>16</v>
      </c>
    </row>
    <row r="3468" spans="1:8" x14ac:dyDescent="0.2">
      <c r="A3468" s="5" t="s">
        <v>13</v>
      </c>
      <c r="B3468" s="6" t="s">
        <v>19</v>
      </c>
      <c r="C3468" s="7" t="s">
        <v>3972</v>
      </c>
      <c r="D3468" s="7"/>
      <c r="E3468" s="8">
        <v>-2.8858594000000002</v>
      </c>
      <c r="F3468" s="8">
        <v>-3.9135599000000001</v>
      </c>
      <c r="G3468" s="7" t="str">
        <f t="shared" si="19"/>
        <v>Direct</v>
      </c>
      <c r="H3468" s="7" t="s">
        <v>16</v>
      </c>
    </row>
    <row r="3469" spans="1:8" x14ac:dyDescent="0.2">
      <c r="A3469" s="5" t="s">
        <v>13</v>
      </c>
      <c r="B3469" s="6" t="s">
        <v>19</v>
      </c>
      <c r="C3469" s="7" t="s">
        <v>3973</v>
      </c>
      <c r="D3469" s="7"/>
      <c r="E3469" s="8">
        <v>-15.329632</v>
      </c>
      <c r="F3469" s="8">
        <v>-11.706538</v>
      </c>
      <c r="G3469" s="7" t="str">
        <f t="shared" si="19"/>
        <v>Direct</v>
      </c>
      <c r="H3469" s="7" t="s">
        <v>16</v>
      </c>
    </row>
    <row r="3470" spans="1:8" x14ac:dyDescent="0.2">
      <c r="A3470" s="5" t="s">
        <v>13</v>
      </c>
      <c r="B3470" s="6" t="s">
        <v>19</v>
      </c>
      <c r="C3470" s="7" t="s">
        <v>3974</v>
      </c>
      <c r="D3470" s="7"/>
      <c r="E3470" s="8">
        <v>-1.2985507999999999</v>
      </c>
      <c r="F3470" s="8">
        <v>-1.3350884000000001</v>
      </c>
      <c r="G3470" s="7" t="str">
        <f t="shared" si="19"/>
        <v>Direct</v>
      </c>
      <c r="H3470" s="7" t="s">
        <v>3975</v>
      </c>
    </row>
    <row r="3471" spans="1:8" x14ac:dyDescent="0.2">
      <c r="A3471" s="5" t="s">
        <v>13</v>
      </c>
      <c r="B3471" s="6" t="s">
        <v>19</v>
      </c>
      <c r="C3471" s="7" t="s">
        <v>3976</v>
      </c>
      <c r="D3471" s="7"/>
      <c r="E3471" s="8">
        <v>-3.0895209000000001</v>
      </c>
      <c r="F3471" s="8">
        <v>-5.8646132</v>
      </c>
      <c r="G3471" s="7" t="str">
        <f t="shared" si="19"/>
        <v>Direct</v>
      </c>
      <c r="H3471" s="7" t="s">
        <v>3977</v>
      </c>
    </row>
    <row r="3472" spans="1:8" x14ac:dyDescent="0.2">
      <c r="A3472" s="5" t="s">
        <v>13</v>
      </c>
      <c r="B3472" s="6" t="s">
        <v>19</v>
      </c>
      <c r="C3472" s="7" t="s">
        <v>3978</v>
      </c>
      <c r="D3472" s="7"/>
      <c r="E3472" s="8">
        <v>-1.4903919999999999</v>
      </c>
      <c r="F3472" s="8">
        <v>-1.19815</v>
      </c>
      <c r="G3472" s="7" t="str">
        <f t="shared" si="19"/>
        <v>Direct</v>
      </c>
      <c r="H3472" s="7" t="s">
        <v>16</v>
      </c>
    </row>
    <row r="3473" spans="1:8" x14ac:dyDescent="0.2">
      <c r="A3473" s="5" t="s">
        <v>13</v>
      </c>
      <c r="B3473" s="6" t="s">
        <v>19</v>
      </c>
      <c r="C3473" s="7" t="s">
        <v>3979</v>
      </c>
      <c r="D3473" s="7"/>
      <c r="E3473" s="8">
        <v>-3.1573229999999999</v>
      </c>
      <c r="F3473" s="8">
        <v>-1.5135898999999999</v>
      </c>
      <c r="G3473" s="7" t="str">
        <f t="shared" si="19"/>
        <v>Direct</v>
      </c>
      <c r="H3473" s="7" t="s">
        <v>3980</v>
      </c>
    </row>
    <row r="3474" spans="1:8" x14ac:dyDescent="0.2">
      <c r="A3474" s="5" t="s">
        <v>13</v>
      </c>
      <c r="B3474" s="6" t="s">
        <v>19</v>
      </c>
      <c r="C3474" s="7" t="s">
        <v>3981</v>
      </c>
      <c r="D3474" s="7"/>
      <c r="E3474" s="8">
        <v>4.7223039199999999</v>
      </c>
      <c r="F3474" s="8">
        <v>3.5969456800000001</v>
      </c>
      <c r="G3474" s="7" t="str">
        <f t="shared" si="19"/>
        <v>Direct</v>
      </c>
      <c r="H3474" s="7" t="s">
        <v>16</v>
      </c>
    </row>
    <row r="3475" spans="1:8" x14ac:dyDescent="0.2">
      <c r="A3475" s="5" t="s">
        <v>13</v>
      </c>
      <c r="B3475" s="6" t="s">
        <v>19</v>
      </c>
      <c r="C3475" s="7" t="s">
        <v>3982</v>
      </c>
      <c r="D3475" s="7"/>
      <c r="E3475" s="8">
        <v>5.3102717999999998</v>
      </c>
      <c r="F3475" s="8">
        <v>4.3338209799999996</v>
      </c>
      <c r="G3475" s="7" t="str">
        <f t="shared" si="19"/>
        <v>Direct</v>
      </c>
      <c r="H3475" s="7" t="s">
        <v>16</v>
      </c>
    </row>
    <row r="3476" spans="1:8" x14ac:dyDescent="0.2">
      <c r="A3476" s="5" t="s">
        <v>13</v>
      </c>
      <c r="B3476" s="6" t="s">
        <v>19</v>
      </c>
      <c r="C3476" s="7" t="s">
        <v>3983</v>
      </c>
      <c r="D3476" s="7"/>
      <c r="E3476" s="8">
        <v>1.3792095200000001</v>
      </c>
      <c r="F3476" s="8">
        <v>2.0967516399999999</v>
      </c>
      <c r="G3476" s="7" t="str">
        <f t="shared" si="19"/>
        <v>Direct</v>
      </c>
      <c r="H3476" s="7" t="s">
        <v>16</v>
      </c>
    </row>
    <row r="3477" spans="1:8" x14ac:dyDescent="0.2">
      <c r="A3477" s="5" t="s">
        <v>13</v>
      </c>
      <c r="B3477" s="6" t="s">
        <v>19</v>
      </c>
      <c r="C3477" s="7" t="s">
        <v>3984</v>
      </c>
      <c r="D3477" s="7"/>
      <c r="E3477" s="8">
        <v>2.0343419599999999</v>
      </c>
      <c r="F3477" s="8">
        <v>1.2194553400000001</v>
      </c>
      <c r="G3477" s="7" t="str">
        <f t="shared" si="19"/>
        <v>Direct</v>
      </c>
      <c r="H3477" s="7" t="s">
        <v>16</v>
      </c>
    </row>
    <row r="3478" spans="1:8" x14ac:dyDescent="0.2">
      <c r="A3478" s="5" t="s">
        <v>13</v>
      </c>
      <c r="B3478" s="6" t="s">
        <v>19</v>
      </c>
      <c r="C3478" s="7" t="s">
        <v>3985</v>
      </c>
      <c r="D3478" s="7"/>
      <c r="E3478" s="8">
        <v>-2.7506292000000001</v>
      </c>
      <c r="F3478" s="8">
        <v>-1.8876081</v>
      </c>
      <c r="G3478" s="7" t="str">
        <f t="shared" si="19"/>
        <v>Direct</v>
      </c>
      <c r="H3478" s="7" t="s">
        <v>16</v>
      </c>
    </row>
    <row r="3479" spans="1:8" x14ac:dyDescent="0.2">
      <c r="A3479" s="5" t="s">
        <v>13</v>
      </c>
      <c r="B3479" s="6" t="s">
        <v>19</v>
      </c>
      <c r="C3479" s="7" t="s">
        <v>3986</v>
      </c>
      <c r="D3479" s="7"/>
      <c r="E3479" s="8">
        <v>-1.9443439</v>
      </c>
      <c r="F3479" s="8">
        <v>-1.0023377</v>
      </c>
      <c r="G3479" s="7" t="str">
        <f t="shared" si="19"/>
        <v>Direct</v>
      </c>
      <c r="H3479" s="7" t="s">
        <v>1416</v>
      </c>
    </row>
    <row r="3480" spans="1:8" x14ac:dyDescent="0.2">
      <c r="A3480" s="5" t="s">
        <v>13</v>
      </c>
      <c r="B3480" s="6" t="s">
        <v>19</v>
      </c>
      <c r="C3480" s="7" t="s">
        <v>3987</v>
      </c>
      <c r="D3480" s="7"/>
      <c r="E3480" s="8">
        <v>-2.6971905999999999</v>
      </c>
      <c r="F3480" s="8">
        <v>-4.8389566999999998</v>
      </c>
      <c r="G3480" s="7" t="str">
        <f t="shared" si="19"/>
        <v>Direct</v>
      </c>
      <c r="H3480" s="7" t="s">
        <v>2435</v>
      </c>
    </row>
    <row r="3481" spans="1:8" x14ac:dyDescent="0.2">
      <c r="A3481" s="5" t="s">
        <v>13</v>
      </c>
      <c r="B3481" s="6" t="s">
        <v>19</v>
      </c>
      <c r="C3481" s="7" t="s">
        <v>3988</v>
      </c>
      <c r="D3481" s="7"/>
      <c r="E3481" s="8">
        <v>-2.5425838000000001</v>
      </c>
      <c r="F3481" s="8">
        <v>-2.2021283</v>
      </c>
      <c r="G3481" s="7" t="str">
        <f t="shared" si="19"/>
        <v>Direct</v>
      </c>
      <c r="H3481" s="7" t="s">
        <v>2435</v>
      </c>
    </row>
    <row r="3482" spans="1:8" x14ac:dyDescent="0.2">
      <c r="A3482" s="5" t="s">
        <v>13</v>
      </c>
      <c r="B3482" s="6" t="s">
        <v>19</v>
      </c>
      <c r="C3482" s="7" t="s">
        <v>3989</v>
      </c>
      <c r="D3482" s="7"/>
      <c r="E3482" s="8">
        <v>1.4694359299999999</v>
      </c>
      <c r="F3482" s="8">
        <v>2.8882400000000001</v>
      </c>
      <c r="G3482" s="7" t="str">
        <f t="shared" si="19"/>
        <v>Direct</v>
      </c>
      <c r="H3482" s="7" t="s">
        <v>16</v>
      </c>
    </row>
    <row r="3483" spans="1:8" x14ac:dyDescent="0.2">
      <c r="A3483" s="5" t="s">
        <v>13</v>
      </c>
      <c r="B3483" s="6" t="s">
        <v>19</v>
      </c>
      <c r="C3483" s="7" t="s">
        <v>3990</v>
      </c>
      <c r="D3483" s="7"/>
      <c r="E3483" s="8">
        <v>2.19888035</v>
      </c>
      <c r="F3483" s="8">
        <v>3.4582710200000002</v>
      </c>
      <c r="G3483" s="7" t="str">
        <f t="shared" si="19"/>
        <v>Direct</v>
      </c>
      <c r="H3483" s="7" t="s">
        <v>3991</v>
      </c>
    </row>
    <row r="3484" spans="1:8" x14ac:dyDescent="0.2">
      <c r="A3484" s="5" t="s">
        <v>13</v>
      </c>
      <c r="B3484" s="6" t="s">
        <v>19</v>
      </c>
      <c r="C3484" s="7" t="s">
        <v>3992</v>
      </c>
      <c r="D3484" s="7"/>
      <c r="E3484" s="8">
        <v>3.04089528</v>
      </c>
      <c r="F3484" s="8">
        <v>3.7886390099999998</v>
      </c>
      <c r="G3484" s="7" t="str">
        <f t="shared" si="19"/>
        <v>Direct</v>
      </c>
      <c r="H3484" s="7" t="s">
        <v>16</v>
      </c>
    </row>
    <row r="3485" spans="1:8" x14ac:dyDescent="0.2">
      <c r="A3485" s="5" t="s">
        <v>13</v>
      </c>
      <c r="B3485" s="6" t="s">
        <v>19</v>
      </c>
      <c r="C3485" s="7" t="s">
        <v>3993</v>
      </c>
      <c r="D3485" s="7"/>
      <c r="E3485" s="8">
        <v>-2.4085062000000002</v>
      </c>
      <c r="F3485" s="8">
        <v>-1.4123272</v>
      </c>
      <c r="G3485" s="7" t="str">
        <f t="shared" si="19"/>
        <v>Direct</v>
      </c>
      <c r="H3485" s="7" t="s">
        <v>560</v>
      </c>
    </row>
    <row r="3486" spans="1:8" x14ac:dyDescent="0.2">
      <c r="A3486" s="5" t="s">
        <v>13</v>
      </c>
      <c r="B3486" s="6" t="s">
        <v>19</v>
      </c>
      <c r="C3486" s="7" t="s">
        <v>3994</v>
      </c>
      <c r="D3486" s="7"/>
      <c r="E3486" s="8">
        <v>1.49393322</v>
      </c>
      <c r="F3486" s="8">
        <v>1.2952946700000001</v>
      </c>
      <c r="G3486" s="7" t="str">
        <f t="shared" si="19"/>
        <v>Direct</v>
      </c>
      <c r="H3486" s="7" t="s">
        <v>16</v>
      </c>
    </row>
    <row r="3487" spans="1:8" x14ac:dyDescent="0.2">
      <c r="A3487" s="5" t="s">
        <v>13</v>
      </c>
      <c r="B3487" s="6" t="s">
        <v>19</v>
      </c>
      <c r="C3487" s="7" t="s">
        <v>3995</v>
      </c>
      <c r="D3487" s="7"/>
      <c r="E3487" s="8">
        <v>2.9814844699999998</v>
      </c>
      <c r="F3487" s="8">
        <v>1.03197132</v>
      </c>
      <c r="G3487" s="7" t="str">
        <f t="shared" si="19"/>
        <v>Direct</v>
      </c>
      <c r="H3487" s="7" t="s">
        <v>16</v>
      </c>
    </row>
    <row r="3488" spans="1:8" x14ac:dyDescent="0.2">
      <c r="A3488" s="5" t="s">
        <v>13</v>
      </c>
      <c r="B3488" s="6" t="s">
        <v>19</v>
      </c>
      <c r="C3488" s="7" t="s">
        <v>3996</v>
      </c>
      <c r="D3488" s="7"/>
      <c r="E3488" s="8">
        <v>2.8422061900000002</v>
      </c>
      <c r="F3488" s="8">
        <v>2.6268767300000002</v>
      </c>
      <c r="G3488" s="7" t="str">
        <f t="shared" si="19"/>
        <v>Direct</v>
      </c>
      <c r="H3488" s="7" t="s">
        <v>3970</v>
      </c>
    </row>
    <row r="3489" spans="1:8" x14ac:dyDescent="0.2">
      <c r="A3489" s="5" t="s">
        <v>13</v>
      </c>
      <c r="B3489" s="6" t="s">
        <v>19</v>
      </c>
      <c r="C3489" s="7" t="s">
        <v>3997</v>
      </c>
      <c r="D3489" s="7"/>
      <c r="E3489" s="8">
        <v>3.9270122700000001</v>
      </c>
      <c r="F3489" s="8">
        <v>1.98653298</v>
      </c>
      <c r="G3489" s="7" t="str">
        <f t="shared" si="19"/>
        <v>Direct</v>
      </c>
      <c r="H3489" s="7" t="s">
        <v>16</v>
      </c>
    </row>
    <row r="3490" spans="1:8" x14ac:dyDescent="0.2">
      <c r="A3490" s="5" t="s">
        <v>13</v>
      </c>
      <c r="B3490" s="6" t="s">
        <v>19</v>
      </c>
      <c r="C3490" s="7" t="s">
        <v>3998</v>
      </c>
      <c r="D3490" s="7"/>
      <c r="E3490" s="8">
        <v>-2.3567605</v>
      </c>
      <c r="F3490" s="8">
        <v>-2.9406466</v>
      </c>
      <c r="G3490" s="7" t="str">
        <f t="shared" si="19"/>
        <v>Direct</v>
      </c>
      <c r="H3490" s="7" t="s">
        <v>3999</v>
      </c>
    </row>
    <row r="3491" spans="1:8" x14ac:dyDescent="0.2">
      <c r="A3491" s="5" t="s">
        <v>13</v>
      </c>
      <c r="B3491" s="6" t="s">
        <v>19</v>
      </c>
      <c r="C3491" s="7" t="s">
        <v>4000</v>
      </c>
      <c r="D3491" s="7"/>
      <c r="E3491" s="8">
        <v>1.6849190700000001</v>
      </c>
      <c r="F3491" s="8">
        <v>1.07590878</v>
      </c>
      <c r="G3491" s="7" t="str">
        <f t="shared" si="19"/>
        <v>Direct</v>
      </c>
      <c r="H3491" s="7" t="s">
        <v>16</v>
      </c>
    </row>
    <row r="3492" spans="1:8" x14ac:dyDescent="0.2">
      <c r="A3492" s="5" t="s">
        <v>13</v>
      </c>
      <c r="B3492" s="6" t="s">
        <v>19</v>
      </c>
      <c r="C3492" s="7" t="s">
        <v>739</v>
      </c>
      <c r="D3492" s="7"/>
      <c r="E3492" s="8">
        <v>-4.8271569999999997</v>
      </c>
      <c r="F3492" s="8">
        <v>-3.7461161000000001</v>
      </c>
      <c r="G3492" s="7" t="str">
        <f t="shared" si="19"/>
        <v>Direct</v>
      </c>
      <c r="H3492" s="7" t="s">
        <v>16</v>
      </c>
    </row>
    <row r="3493" spans="1:8" x14ac:dyDescent="0.2">
      <c r="A3493" s="5" t="s">
        <v>13</v>
      </c>
      <c r="B3493" s="6" t="s">
        <v>19</v>
      </c>
      <c r="C3493" s="7" t="s">
        <v>4001</v>
      </c>
      <c r="D3493" s="7"/>
      <c r="E3493" s="8">
        <v>-4.4043400000000004</v>
      </c>
      <c r="F3493" s="8">
        <v>-2.4313579999999999</v>
      </c>
      <c r="G3493" s="7" t="str">
        <f t="shared" si="19"/>
        <v>Direct</v>
      </c>
      <c r="H3493" s="7" t="s">
        <v>16</v>
      </c>
    </row>
    <row r="3494" spans="1:8" x14ac:dyDescent="0.2">
      <c r="A3494" s="5" t="s">
        <v>13</v>
      </c>
      <c r="B3494" s="6" t="s">
        <v>19</v>
      </c>
      <c r="C3494" s="7" t="s">
        <v>740</v>
      </c>
      <c r="D3494" s="7"/>
      <c r="E3494" s="8">
        <v>-1.7619062000000001</v>
      </c>
      <c r="F3494" s="8">
        <v>-5.8612412999999997</v>
      </c>
      <c r="G3494" s="7" t="str">
        <f t="shared" si="19"/>
        <v>Direct</v>
      </c>
      <c r="H3494" s="7" t="s">
        <v>741</v>
      </c>
    </row>
    <row r="3495" spans="1:8" x14ac:dyDescent="0.2">
      <c r="A3495" s="5" t="s">
        <v>27</v>
      </c>
      <c r="B3495" s="6" t="s">
        <v>14</v>
      </c>
      <c r="C3495" s="7" t="s">
        <v>4002</v>
      </c>
      <c r="D3495" s="8">
        <v>1.7522056699999999</v>
      </c>
      <c r="E3495" s="8">
        <v>4.9836017899999998</v>
      </c>
      <c r="F3495" s="7"/>
      <c r="G3495" s="7" t="str">
        <f t="shared" ref="G3495:G3697" si="20">IF(OR(AND(D3495&gt;0,E3495&gt;0),AND(D3495&lt;0,E3495&lt;0)),"Direct","Inverse")</f>
        <v>Direct</v>
      </c>
      <c r="H3495" s="7" t="s">
        <v>4003</v>
      </c>
    </row>
    <row r="3496" spans="1:8" x14ac:dyDescent="0.2">
      <c r="A3496" s="5" t="s">
        <v>27</v>
      </c>
      <c r="B3496" s="6" t="s">
        <v>14</v>
      </c>
      <c r="C3496" s="7" t="s">
        <v>4004</v>
      </c>
      <c r="D3496" s="8">
        <v>1.2452235300000001</v>
      </c>
      <c r="E3496" s="8">
        <v>2.9117812500000002</v>
      </c>
      <c r="F3496" s="7"/>
      <c r="G3496" s="7" t="str">
        <f t="shared" si="20"/>
        <v>Direct</v>
      </c>
      <c r="H3496" s="7" t="s">
        <v>2060</v>
      </c>
    </row>
    <row r="3497" spans="1:8" x14ac:dyDescent="0.2">
      <c r="A3497" s="5" t="s">
        <v>27</v>
      </c>
      <c r="B3497" s="6" t="s">
        <v>14</v>
      </c>
      <c r="C3497" s="7" t="s">
        <v>4005</v>
      </c>
      <c r="D3497" s="8">
        <v>1.67060835</v>
      </c>
      <c r="E3497" s="8">
        <v>1.39891648</v>
      </c>
      <c r="F3497" s="7"/>
      <c r="G3497" s="7" t="str">
        <f t="shared" si="20"/>
        <v>Direct</v>
      </c>
      <c r="H3497" s="7" t="s">
        <v>16</v>
      </c>
    </row>
    <row r="3498" spans="1:8" x14ac:dyDescent="0.2">
      <c r="A3498" s="5" t="s">
        <v>27</v>
      </c>
      <c r="B3498" s="6" t="s">
        <v>14</v>
      </c>
      <c r="C3498" s="7" t="s">
        <v>4006</v>
      </c>
      <c r="D3498" s="8">
        <v>1.32573356</v>
      </c>
      <c r="E3498" s="8">
        <v>4.54842206</v>
      </c>
      <c r="F3498" s="7"/>
      <c r="G3498" s="7" t="str">
        <f t="shared" si="20"/>
        <v>Direct</v>
      </c>
      <c r="H3498" s="7" t="s">
        <v>4007</v>
      </c>
    </row>
    <row r="3499" spans="1:8" x14ac:dyDescent="0.2">
      <c r="A3499" s="5" t="s">
        <v>27</v>
      </c>
      <c r="B3499" s="6" t="s">
        <v>14</v>
      </c>
      <c r="C3499" s="7" t="s">
        <v>4008</v>
      </c>
      <c r="D3499" s="8">
        <v>1.1112109299999999</v>
      </c>
      <c r="E3499" s="8">
        <v>3.5645628399999998</v>
      </c>
      <c r="F3499" s="7"/>
      <c r="G3499" s="7" t="str">
        <f t="shared" si="20"/>
        <v>Direct</v>
      </c>
      <c r="H3499" s="7" t="s">
        <v>16</v>
      </c>
    </row>
    <row r="3500" spans="1:8" x14ac:dyDescent="0.2">
      <c r="A3500" s="5" t="s">
        <v>27</v>
      </c>
      <c r="B3500" s="6" t="s">
        <v>14</v>
      </c>
      <c r="C3500" s="7" t="s">
        <v>4009</v>
      </c>
      <c r="D3500" s="8">
        <v>-1.9587758</v>
      </c>
      <c r="E3500" s="8">
        <v>-2.1903760999999999</v>
      </c>
      <c r="F3500" s="7"/>
      <c r="G3500" s="7" t="str">
        <f t="shared" si="20"/>
        <v>Direct</v>
      </c>
      <c r="H3500" s="7" t="s">
        <v>16</v>
      </c>
    </row>
    <row r="3501" spans="1:8" x14ac:dyDescent="0.2">
      <c r="A3501" s="5" t="s">
        <v>27</v>
      </c>
      <c r="B3501" s="6" t="s">
        <v>14</v>
      </c>
      <c r="C3501" s="7" t="s">
        <v>4010</v>
      </c>
      <c r="D3501" s="8">
        <v>1.1570445499999999</v>
      </c>
      <c r="E3501" s="8">
        <v>1.11019157</v>
      </c>
      <c r="F3501" s="7"/>
      <c r="G3501" s="7" t="str">
        <f t="shared" si="20"/>
        <v>Direct</v>
      </c>
      <c r="H3501" s="7" t="s">
        <v>4011</v>
      </c>
    </row>
    <row r="3502" spans="1:8" x14ac:dyDescent="0.2">
      <c r="A3502" s="5" t="s">
        <v>27</v>
      </c>
      <c r="B3502" s="6" t="s">
        <v>14</v>
      </c>
      <c r="C3502" s="7" t="s">
        <v>4012</v>
      </c>
      <c r="D3502" s="8">
        <v>1.3069108</v>
      </c>
      <c r="E3502" s="8">
        <v>-1.3179270000000001</v>
      </c>
      <c r="F3502" s="7"/>
      <c r="G3502" s="7" t="str">
        <f t="shared" si="20"/>
        <v>Inverse</v>
      </c>
      <c r="H3502" s="7" t="s">
        <v>16</v>
      </c>
    </row>
    <row r="3503" spans="1:8" x14ac:dyDescent="0.2">
      <c r="A3503" s="5" t="s">
        <v>27</v>
      </c>
      <c r="B3503" s="6" t="s">
        <v>14</v>
      </c>
      <c r="C3503" s="7" t="s">
        <v>4013</v>
      </c>
      <c r="D3503" s="8">
        <v>1.5177126299999999</v>
      </c>
      <c r="E3503" s="8">
        <v>1.4583266500000001</v>
      </c>
      <c r="F3503" s="7"/>
      <c r="G3503" s="7" t="str">
        <f t="shared" si="20"/>
        <v>Direct</v>
      </c>
      <c r="H3503" s="7" t="s">
        <v>60</v>
      </c>
    </row>
    <row r="3504" spans="1:8" x14ac:dyDescent="0.2">
      <c r="A3504" s="5" t="s">
        <v>27</v>
      </c>
      <c r="B3504" s="6" t="s">
        <v>14</v>
      </c>
      <c r="C3504" s="7" t="s">
        <v>4014</v>
      </c>
      <c r="D3504" s="8">
        <v>1.64820465</v>
      </c>
      <c r="E3504" s="8">
        <v>1.6663838900000001</v>
      </c>
      <c r="F3504" s="7"/>
      <c r="G3504" s="7" t="str">
        <f t="shared" si="20"/>
        <v>Direct</v>
      </c>
      <c r="H3504" s="7" t="s">
        <v>4015</v>
      </c>
    </row>
    <row r="3505" spans="1:8" x14ac:dyDescent="0.2">
      <c r="A3505" s="5" t="s">
        <v>27</v>
      </c>
      <c r="B3505" s="6" t="s">
        <v>14</v>
      </c>
      <c r="C3505" s="7" t="s">
        <v>4016</v>
      </c>
      <c r="D3505" s="8">
        <v>1.3888347400000001</v>
      </c>
      <c r="E3505" s="8">
        <v>4.1788427800000001</v>
      </c>
      <c r="F3505" s="7"/>
      <c r="G3505" s="7" t="str">
        <f t="shared" si="20"/>
        <v>Direct</v>
      </c>
      <c r="H3505" s="7" t="s">
        <v>4017</v>
      </c>
    </row>
    <row r="3506" spans="1:8" x14ac:dyDescent="0.2">
      <c r="A3506" s="5" t="s">
        <v>27</v>
      </c>
      <c r="B3506" s="6" t="s">
        <v>14</v>
      </c>
      <c r="C3506" s="7" t="s">
        <v>4018</v>
      </c>
      <c r="D3506" s="8">
        <v>2.8132454299999998</v>
      </c>
      <c r="E3506" s="8">
        <v>1.79746417</v>
      </c>
      <c r="F3506" s="7"/>
      <c r="G3506" s="7" t="str">
        <f t="shared" si="20"/>
        <v>Direct</v>
      </c>
      <c r="H3506" s="7" t="s">
        <v>16</v>
      </c>
    </row>
    <row r="3507" spans="1:8" x14ac:dyDescent="0.2">
      <c r="A3507" s="5" t="s">
        <v>27</v>
      </c>
      <c r="B3507" s="6" t="s">
        <v>14</v>
      </c>
      <c r="C3507" s="7" t="s">
        <v>4019</v>
      </c>
      <c r="D3507" s="8">
        <v>-1.5987704</v>
      </c>
      <c r="E3507" s="8">
        <v>2.87379249</v>
      </c>
      <c r="F3507" s="7"/>
      <c r="G3507" s="7" t="str">
        <f t="shared" si="20"/>
        <v>Inverse</v>
      </c>
      <c r="H3507" s="7" t="s">
        <v>16</v>
      </c>
    </row>
    <row r="3508" spans="1:8" x14ac:dyDescent="0.2">
      <c r="A3508" s="5" t="s">
        <v>27</v>
      </c>
      <c r="B3508" s="6" t="s">
        <v>14</v>
      </c>
      <c r="C3508" s="7" t="s">
        <v>4020</v>
      </c>
      <c r="D3508" s="8">
        <v>1.27892728</v>
      </c>
      <c r="E3508" s="8">
        <v>1.4267743500000001</v>
      </c>
      <c r="F3508" s="7"/>
      <c r="G3508" s="7" t="str">
        <f t="shared" si="20"/>
        <v>Direct</v>
      </c>
      <c r="H3508" s="7" t="s">
        <v>2914</v>
      </c>
    </row>
    <row r="3509" spans="1:8" x14ac:dyDescent="0.2">
      <c r="A3509" s="5" t="s">
        <v>27</v>
      </c>
      <c r="B3509" s="6" t="s">
        <v>14</v>
      </c>
      <c r="C3509" s="7" t="s">
        <v>4021</v>
      </c>
      <c r="D3509" s="8">
        <v>1.0539083199999999</v>
      </c>
      <c r="E3509" s="8">
        <v>1.4741827300000001</v>
      </c>
      <c r="F3509" s="7"/>
      <c r="G3509" s="7" t="str">
        <f t="shared" si="20"/>
        <v>Direct</v>
      </c>
      <c r="H3509" s="7" t="s">
        <v>16</v>
      </c>
    </row>
    <row r="3510" spans="1:8" x14ac:dyDescent="0.2">
      <c r="A3510" s="5" t="s">
        <v>27</v>
      </c>
      <c r="B3510" s="6" t="s">
        <v>14</v>
      </c>
      <c r="C3510" s="7" t="s">
        <v>4022</v>
      </c>
      <c r="D3510" s="8">
        <v>1.1695463800000001</v>
      </c>
      <c r="E3510" s="8">
        <v>7.1339989299999997</v>
      </c>
      <c r="F3510" s="7"/>
      <c r="G3510" s="7" t="str">
        <f t="shared" si="20"/>
        <v>Direct</v>
      </c>
      <c r="H3510" s="7" t="s">
        <v>16</v>
      </c>
    </row>
    <row r="3511" spans="1:8" x14ac:dyDescent="0.2">
      <c r="A3511" s="5" t="s">
        <v>27</v>
      </c>
      <c r="B3511" s="6" t="s">
        <v>14</v>
      </c>
      <c r="C3511" s="7" t="s">
        <v>4023</v>
      </c>
      <c r="D3511" s="8">
        <v>1.2193882199999999</v>
      </c>
      <c r="E3511" s="8">
        <v>11.016871800000001</v>
      </c>
      <c r="F3511" s="7"/>
      <c r="G3511" s="7" t="str">
        <f t="shared" si="20"/>
        <v>Direct</v>
      </c>
      <c r="H3511" s="7" t="s">
        <v>16</v>
      </c>
    </row>
    <row r="3512" spans="1:8" x14ac:dyDescent="0.2">
      <c r="A3512" s="5" t="s">
        <v>27</v>
      </c>
      <c r="B3512" s="6" t="s">
        <v>14</v>
      </c>
      <c r="C3512" s="7" t="s">
        <v>4024</v>
      </c>
      <c r="D3512" s="8">
        <v>1.1155167800000001</v>
      </c>
      <c r="E3512" s="8">
        <v>3.14940636</v>
      </c>
      <c r="F3512" s="7"/>
      <c r="G3512" s="7" t="str">
        <f t="shared" si="20"/>
        <v>Direct</v>
      </c>
      <c r="H3512" s="7" t="s">
        <v>4025</v>
      </c>
    </row>
    <row r="3513" spans="1:8" x14ac:dyDescent="0.2">
      <c r="A3513" s="5" t="s">
        <v>27</v>
      </c>
      <c r="B3513" s="6" t="s">
        <v>14</v>
      </c>
      <c r="C3513" s="7" t="s">
        <v>4026</v>
      </c>
      <c r="D3513" s="8">
        <v>1.08867647</v>
      </c>
      <c r="E3513" s="8">
        <v>1.5879291799999999</v>
      </c>
      <c r="F3513" s="7"/>
      <c r="G3513" s="7" t="str">
        <f t="shared" si="20"/>
        <v>Direct</v>
      </c>
      <c r="H3513" s="7" t="s">
        <v>16</v>
      </c>
    </row>
    <row r="3514" spans="1:8" x14ac:dyDescent="0.2">
      <c r="A3514" s="5" t="s">
        <v>27</v>
      </c>
      <c r="B3514" s="6" t="s">
        <v>14</v>
      </c>
      <c r="C3514" s="7" t="s">
        <v>4027</v>
      </c>
      <c r="D3514" s="8">
        <v>5.7648508400000003</v>
      </c>
      <c r="E3514" s="8">
        <v>1.0833665299999999</v>
      </c>
      <c r="F3514" s="7"/>
      <c r="G3514" s="7" t="str">
        <f t="shared" si="20"/>
        <v>Direct</v>
      </c>
      <c r="H3514" s="7" t="s">
        <v>16</v>
      </c>
    </row>
    <row r="3515" spans="1:8" x14ac:dyDescent="0.2">
      <c r="A3515" s="5" t="s">
        <v>27</v>
      </c>
      <c r="B3515" s="6" t="s">
        <v>14</v>
      </c>
      <c r="C3515" s="7" t="s">
        <v>4028</v>
      </c>
      <c r="D3515" s="8">
        <v>1.2205707100000001</v>
      </c>
      <c r="E3515" s="8">
        <v>-2.4750716000000001</v>
      </c>
      <c r="F3515" s="7"/>
      <c r="G3515" s="7" t="str">
        <f t="shared" si="20"/>
        <v>Inverse</v>
      </c>
      <c r="H3515" s="7" t="s">
        <v>1143</v>
      </c>
    </row>
    <row r="3516" spans="1:8" x14ac:dyDescent="0.2">
      <c r="A3516" s="5" t="s">
        <v>27</v>
      </c>
      <c r="B3516" s="6" t="s">
        <v>14</v>
      </c>
      <c r="C3516" s="7" t="s">
        <v>4029</v>
      </c>
      <c r="D3516" s="8">
        <v>1.1016018400000001</v>
      </c>
      <c r="E3516" s="8">
        <v>1.9592054800000001</v>
      </c>
      <c r="F3516" s="7"/>
      <c r="G3516" s="7" t="str">
        <f t="shared" si="20"/>
        <v>Direct</v>
      </c>
      <c r="H3516" s="7" t="s">
        <v>4030</v>
      </c>
    </row>
    <row r="3517" spans="1:8" x14ac:dyDescent="0.2">
      <c r="A3517" s="5" t="s">
        <v>27</v>
      </c>
      <c r="B3517" s="6" t="s">
        <v>14</v>
      </c>
      <c r="C3517" s="7" t="s">
        <v>4031</v>
      </c>
      <c r="D3517" s="8">
        <v>1.4572205600000001</v>
      </c>
      <c r="E3517" s="8">
        <v>3.3556338499999998</v>
      </c>
      <c r="F3517" s="7"/>
      <c r="G3517" s="7" t="str">
        <f t="shared" si="20"/>
        <v>Direct</v>
      </c>
      <c r="H3517" s="7" t="s">
        <v>4032</v>
      </c>
    </row>
    <row r="3518" spans="1:8" x14ac:dyDescent="0.2">
      <c r="A3518" s="5" t="s">
        <v>27</v>
      </c>
      <c r="B3518" s="6" t="s">
        <v>14</v>
      </c>
      <c r="C3518" s="7" t="s">
        <v>4033</v>
      </c>
      <c r="D3518" s="8">
        <v>1.64053608</v>
      </c>
      <c r="E3518" s="8">
        <v>1.2378308</v>
      </c>
      <c r="F3518" s="7"/>
      <c r="G3518" s="7" t="str">
        <f t="shared" si="20"/>
        <v>Direct</v>
      </c>
      <c r="H3518" s="7" t="s">
        <v>16</v>
      </c>
    </row>
    <row r="3519" spans="1:8" x14ac:dyDescent="0.2">
      <c r="A3519" s="5" t="s">
        <v>27</v>
      </c>
      <c r="B3519" s="6" t="s">
        <v>14</v>
      </c>
      <c r="C3519" s="7" t="s">
        <v>4034</v>
      </c>
      <c r="D3519" s="8">
        <v>1.64053608</v>
      </c>
      <c r="E3519" s="8">
        <v>2.0278952000000001</v>
      </c>
      <c r="F3519" s="7"/>
      <c r="G3519" s="7" t="str">
        <f t="shared" si="20"/>
        <v>Direct</v>
      </c>
      <c r="H3519" s="7" t="s">
        <v>16</v>
      </c>
    </row>
    <row r="3520" spans="1:8" x14ac:dyDescent="0.2">
      <c r="A3520" s="5" t="s">
        <v>27</v>
      </c>
      <c r="B3520" s="6" t="s">
        <v>14</v>
      </c>
      <c r="C3520" s="7" t="s">
        <v>4035</v>
      </c>
      <c r="D3520" s="8">
        <v>1.4832801499999999</v>
      </c>
      <c r="E3520" s="8">
        <v>1.2552334999999999</v>
      </c>
      <c r="F3520" s="7"/>
      <c r="G3520" s="7" t="str">
        <f t="shared" si="20"/>
        <v>Direct</v>
      </c>
      <c r="H3520" s="7" t="s">
        <v>16</v>
      </c>
    </row>
    <row r="3521" spans="1:8" x14ac:dyDescent="0.2">
      <c r="A3521" s="5" t="s">
        <v>27</v>
      </c>
      <c r="B3521" s="6" t="s">
        <v>14</v>
      </c>
      <c r="C3521" s="7" t="s">
        <v>4036</v>
      </c>
      <c r="D3521" s="8">
        <v>-1.1957035</v>
      </c>
      <c r="E3521" s="8">
        <v>-1.8299791000000001</v>
      </c>
      <c r="F3521" s="7"/>
      <c r="G3521" s="7" t="str">
        <f t="shared" si="20"/>
        <v>Direct</v>
      </c>
      <c r="H3521" s="7" t="s">
        <v>4037</v>
      </c>
    </row>
    <row r="3522" spans="1:8" x14ac:dyDescent="0.2">
      <c r="A3522" s="5" t="s">
        <v>27</v>
      </c>
      <c r="B3522" s="6" t="s">
        <v>14</v>
      </c>
      <c r="C3522" s="7" t="s">
        <v>4038</v>
      </c>
      <c r="D3522" s="8">
        <v>1.09386779</v>
      </c>
      <c r="E3522" s="8">
        <v>-1.1569566</v>
      </c>
      <c r="F3522" s="7"/>
      <c r="G3522" s="7" t="str">
        <f t="shared" si="20"/>
        <v>Inverse</v>
      </c>
      <c r="H3522" s="7" t="s">
        <v>1143</v>
      </c>
    </row>
    <row r="3523" spans="1:8" x14ac:dyDescent="0.2">
      <c r="A3523" s="5" t="s">
        <v>27</v>
      </c>
      <c r="B3523" s="6" t="s">
        <v>14</v>
      </c>
      <c r="C3523" s="7" t="s">
        <v>4039</v>
      </c>
      <c r="D3523" s="8">
        <v>1.0744647700000001</v>
      </c>
      <c r="E3523" s="8">
        <v>5.4484435800000002</v>
      </c>
      <c r="F3523" s="7"/>
      <c r="G3523" s="7" t="str">
        <f t="shared" si="20"/>
        <v>Direct</v>
      </c>
      <c r="H3523" s="7" t="s">
        <v>4040</v>
      </c>
    </row>
    <row r="3524" spans="1:8" x14ac:dyDescent="0.2">
      <c r="A3524" s="5" t="s">
        <v>27</v>
      </c>
      <c r="B3524" s="6" t="s">
        <v>14</v>
      </c>
      <c r="C3524" s="7" t="s">
        <v>4041</v>
      </c>
      <c r="D3524" s="8">
        <v>1.0088047899999999</v>
      </c>
      <c r="E3524" s="8">
        <v>6.2537997000000001</v>
      </c>
      <c r="F3524" s="7"/>
      <c r="G3524" s="7" t="str">
        <f t="shared" si="20"/>
        <v>Direct</v>
      </c>
      <c r="H3524" s="7" t="s">
        <v>4042</v>
      </c>
    </row>
    <row r="3525" spans="1:8" x14ac:dyDescent="0.2">
      <c r="A3525" s="5" t="s">
        <v>27</v>
      </c>
      <c r="B3525" s="6" t="s">
        <v>14</v>
      </c>
      <c r="C3525" s="7" t="s">
        <v>4043</v>
      </c>
      <c r="D3525" s="8">
        <v>1.9971376300000001</v>
      </c>
      <c r="E3525" s="8">
        <v>-102.03176000000001</v>
      </c>
      <c r="F3525" s="7"/>
      <c r="G3525" s="7" t="str">
        <f t="shared" si="20"/>
        <v>Inverse</v>
      </c>
      <c r="H3525" s="7" t="s">
        <v>1560</v>
      </c>
    </row>
    <row r="3526" spans="1:8" x14ac:dyDescent="0.2">
      <c r="A3526" s="5" t="s">
        <v>27</v>
      </c>
      <c r="B3526" s="6" t="s">
        <v>14</v>
      </c>
      <c r="C3526" s="7" t="s">
        <v>4044</v>
      </c>
      <c r="D3526" s="8">
        <v>1.0481929400000001</v>
      </c>
      <c r="E3526" s="8">
        <v>5.4812363299999998</v>
      </c>
      <c r="F3526" s="7"/>
      <c r="G3526" s="7" t="str">
        <f t="shared" si="20"/>
        <v>Direct</v>
      </c>
      <c r="H3526" s="7" t="s">
        <v>4045</v>
      </c>
    </row>
    <row r="3527" spans="1:8" x14ac:dyDescent="0.2">
      <c r="A3527" s="5" t="s">
        <v>27</v>
      </c>
      <c r="B3527" s="6" t="s">
        <v>14</v>
      </c>
      <c r="C3527" s="7" t="s">
        <v>4046</v>
      </c>
      <c r="D3527" s="8">
        <v>1.0030707299999999</v>
      </c>
      <c r="E3527" s="8">
        <v>1.60143338</v>
      </c>
      <c r="F3527" s="7"/>
      <c r="G3527" s="7" t="str">
        <f t="shared" si="20"/>
        <v>Direct</v>
      </c>
      <c r="H3527" s="7" t="s">
        <v>4047</v>
      </c>
    </row>
    <row r="3528" spans="1:8" x14ac:dyDescent="0.2">
      <c r="A3528" s="5" t="s">
        <v>27</v>
      </c>
      <c r="B3528" s="6" t="s">
        <v>14</v>
      </c>
      <c r="C3528" s="7" t="s">
        <v>4048</v>
      </c>
      <c r="D3528" s="8">
        <v>1.03931306</v>
      </c>
      <c r="E3528" s="8">
        <v>2.3210654700000002</v>
      </c>
      <c r="F3528" s="7"/>
      <c r="G3528" s="7" t="str">
        <f t="shared" si="20"/>
        <v>Direct</v>
      </c>
      <c r="H3528" s="7" t="s">
        <v>4049</v>
      </c>
    </row>
    <row r="3529" spans="1:8" x14ac:dyDescent="0.2">
      <c r="A3529" s="5" t="s">
        <v>27</v>
      </c>
      <c r="B3529" s="6" t="s">
        <v>14</v>
      </c>
      <c r="C3529" s="7" t="s">
        <v>4050</v>
      </c>
      <c r="D3529" s="8">
        <v>1.24233785</v>
      </c>
      <c r="E3529" s="8">
        <v>1.93817887</v>
      </c>
      <c r="F3529" s="7"/>
      <c r="G3529" s="7" t="str">
        <f t="shared" si="20"/>
        <v>Direct</v>
      </c>
      <c r="H3529" s="7" t="s">
        <v>4051</v>
      </c>
    </row>
    <row r="3530" spans="1:8" x14ac:dyDescent="0.2">
      <c r="A3530" s="5" t="s">
        <v>27</v>
      </c>
      <c r="B3530" s="6" t="s">
        <v>14</v>
      </c>
      <c r="C3530" s="7" t="s">
        <v>4052</v>
      </c>
      <c r="D3530" s="8">
        <v>1.13212132</v>
      </c>
      <c r="E3530" s="8">
        <v>1.1547328100000001</v>
      </c>
      <c r="F3530" s="7"/>
      <c r="G3530" s="7" t="str">
        <f t="shared" si="20"/>
        <v>Direct</v>
      </c>
      <c r="H3530" s="7" t="s">
        <v>4053</v>
      </c>
    </row>
    <row r="3531" spans="1:8" x14ac:dyDescent="0.2">
      <c r="A3531" s="5" t="s">
        <v>27</v>
      </c>
      <c r="B3531" s="6" t="s">
        <v>14</v>
      </c>
      <c r="C3531" s="7" t="s">
        <v>4054</v>
      </c>
      <c r="D3531" s="8">
        <v>3.5357075199999999</v>
      </c>
      <c r="E3531" s="8">
        <v>1.4888713200000001</v>
      </c>
      <c r="F3531" s="7"/>
      <c r="G3531" s="7" t="str">
        <f t="shared" si="20"/>
        <v>Direct</v>
      </c>
      <c r="H3531" s="7" t="s">
        <v>2435</v>
      </c>
    </row>
    <row r="3532" spans="1:8" x14ac:dyDescent="0.2">
      <c r="A3532" s="5" t="s">
        <v>27</v>
      </c>
      <c r="B3532" s="6" t="s">
        <v>14</v>
      </c>
      <c r="C3532" s="7" t="s">
        <v>4055</v>
      </c>
      <c r="D3532" s="8">
        <v>1.03254757</v>
      </c>
      <c r="E3532" s="8">
        <v>10.9031193</v>
      </c>
      <c r="F3532" s="7"/>
      <c r="G3532" s="7" t="str">
        <f t="shared" si="20"/>
        <v>Direct</v>
      </c>
      <c r="H3532" s="7" t="s">
        <v>4056</v>
      </c>
    </row>
    <row r="3533" spans="1:8" x14ac:dyDescent="0.2">
      <c r="A3533" s="5" t="s">
        <v>27</v>
      </c>
      <c r="B3533" s="6" t="s">
        <v>14</v>
      </c>
      <c r="C3533" s="7" t="s">
        <v>4057</v>
      </c>
      <c r="D3533" s="8">
        <v>1.27562229</v>
      </c>
      <c r="E3533" s="8">
        <v>1.5426320899999999</v>
      </c>
      <c r="F3533" s="7"/>
      <c r="G3533" s="7" t="str">
        <f t="shared" si="20"/>
        <v>Direct</v>
      </c>
      <c r="H3533" s="7" t="s">
        <v>4058</v>
      </c>
    </row>
    <row r="3534" spans="1:8" x14ac:dyDescent="0.2">
      <c r="A3534" s="5" t="s">
        <v>27</v>
      </c>
      <c r="B3534" s="6" t="s">
        <v>14</v>
      </c>
      <c r="C3534" s="7" t="s">
        <v>4059</v>
      </c>
      <c r="D3534" s="8">
        <v>3.2722061199999999</v>
      </c>
      <c r="E3534" s="8">
        <v>2.92864097</v>
      </c>
      <c r="F3534" s="7"/>
      <c r="G3534" s="7" t="str">
        <f t="shared" si="20"/>
        <v>Direct</v>
      </c>
      <c r="H3534" s="7" t="s">
        <v>4058</v>
      </c>
    </row>
    <row r="3535" spans="1:8" x14ac:dyDescent="0.2">
      <c r="A3535" s="5" t="s">
        <v>27</v>
      </c>
      <c r="B3535" s="6" t="s">
        <v>14</v>
      </c>
      <c r="C3535" s="7" t="s">
        <v>4060</v>
      </c>
      <c r="D3535" s="8">
        <v>1.33362399</v>
      </c>
      <c r="E3535" s="8">
        <v>4.4870612699999999</v>
      </c>
      <c r="F3535" s="7"/>
      <c r="G3535" s="7" t="str">
        <f t="shared" si="20"/>
        <v>Direct</v>
      </c>
      <c r="H3535" s="7" t="s">
        <v>4061</v>
      </c>
    </row>
    <row r="3536" spans="1:8" x14ac:dyDescent="0.2">
      <c r="A3536" s="5" t="s">
        <v>27</v>
      </c>
      <c r="B3536" s="6" t="s">
        <v>14</v>
      </c>
      <c r="C3536" s="7" t="s">
        <v>4062</v>
      </c>
      <c r="D3536" s="8">
        <v>1.2679007</v>
      </c>
      <c r="E3536" s="8">
        <v>1.6752047999999999</v>
      </c>
      <c r="F3536" s="7"/>
      <c r="G3536" s="7" t="str">
        <f t="shared" si="20"/>
        <v>Direct</v>
      </c>
      <c r="H3536" s="7" t="s">
        <v>1108</v>
      </c>
    </row>
    <row r="3537" spans="1:8" x14ac:dyDescent="0.2">
      <c r="A3537" s="5" t="s">
        <v>27</v>
      </c>
      <c r="B3537" s="6" t="s">
        <v>14</v>
      </c>
      <c r="C3537" s="7" t="s">
        <v>4063</v>
      </c>
      <c r="D3537" s="8">
        <v>1.1517859699999999</v>
      </c>
      <c r="E3537" s="8">
        <v>3.0789868</v>
      </c>
      <c r="F3537" s="7"/>
      <c r="G3537" s="7" t="str">
        <f t="shared" si="20"/>
        <v>Direct</v>
      </c>
      <c r="H3537" s="7" t="s">
        <v>1158</v>
      </c>
    </row>
    <row r="3538" spans="1:8" x14ac:dyDescent="0.2">
      <c r="A3538" s="5" t="s">
        <v>27</v>
      </c>
      <c r="B3538" s="6" t="s">
        <v>14</v>
      </c>
      <c r="C3538" s="7" t="s">
        <v>4064</v>
      </c>
      <c r="D3538" s="8">
        <v>1.08867647</v>
      </c>
      <c r="E3538" s="8">
        <v>2.8111674600000001</v>
      </c>
      <c r="F3538" s="7"/>
      <c r="G3538" s="7" t="str">
        <f t="shared" si="20"/>
        <v>Direct</v>
      </c>
      <c r="H3538" s="7" t="s">
        <v>16</v>
      </c>
    </row>
    <row r="3539" spans="1:8" x14ac:dyDescent="0.2">
      <c r="A3539" s="5" t="s">
        <v>27</v>
      </c>
      <c r="B3539" s="6" t="s">
        <v>14</v>
      </c>
      <c r="C3539" s="7" t="s">
        <v>4065</v>
      </c>
      <c r="D3539" s="8">
        <v>1.2690814800000001</v>
      </c>
      <c r="E3539" s="8">
        <v>4.3258736999999998</v>
      </c>
      <c r="F3539" s="7"/>
      <c r="G3539" s="7" t="str">
        <f t="shared" si="20"/>
        <v>Direct</v>
      </c>
      <c r="H3539" s="7" t="s">
        <v>1171</v>
      </c>
    </row>
    <row r="3540" spans="1:8" x14ac:dyDescent="0.2">
      <c r="A3540" s="5" t="s">
        <v>27</v>
      </c>
      <c r="B3540" s="6" t="s">
        <v>14</v>
      </c>
      <c r="C3540" s="7" t="s">
        <v>4066</v>
      </c>
      <c r="D3540" s="8">
        <v>1.0430862599999999</v>
      </c>
      <c r="E3540" s="8">
        <v>1.78259002</v>
      </c>
      <c r="F3540" s="7"/>
      <c r="G3540" s="7" t="str">
        <f t="shared" si="20"/>
        <v>Direct</v>
      </c>
      <c r="H3540" s="7" t="s">
        <v>4067</v>
      </c>
    </row>
    <row r="3541" spans="1:8" x14ac:dyDescent="0.2">
      <c r="A3541" s="5" t="s">
        <v>27</v>
      </c>
      <c r="B3541" s="6" t="s">
        <v>14</v>
      </c>
      <c r="C3541" s="7" t="s">
        <v>4068</v>
      </c>
      <c r="D3541" s="8">
        <v>1.17323139</v>
      </c>
      <c r="E3541" s="8">
        <v>-5.0927901999999996</v>
      </c>
      <c r="F3541" s="7"/>
      <c r="G3541" s="7" t="str">
        <f t="shared" si="20"/>
        <v>Inverse</v>
      </c>
      <c r="H3541" s="7" t="s">
        <v>4069</v>
      </c>
    </row>
    <row r="3542" spans="1:8" x14ac:dyDescent="0.2">
      <c r="A3542" s="5" t="s">
        <v>27</v>
      </c>
      <c r="B3542" s="6" t="s">
        <v>14</v>
      </c>
      <c r="C3542" s="7" t="s">
        <v>4070</v>
      </c>
      <c r="D3542" s="8">
        <v>-1.9403938000000001</v>
      </c>
      <c r="E3542" s="8">
        <v>-1.8208085000000001</v>
      </c>
      <c r="F3542" s="7"/>
      <c r="G3542" s="7" t="str">
        <f t="shared" si="20"/>
        <v>Direct</v>
      </c>
      <c r="H3542" s="7" t="s">
        <v>3348</v>
      </c>
    </row>
    <row r="3543" spans="1:8" x14ac:dyDescent="0.2">
      <c r="A3543" s="5" t="s">
        <v>27</v>
      </c>
      <c r="B3543" s="6" t="s">
        <v>14</v>
      </c>
      <c r="C3543" s="7" t="s">
        <v>4071</v>
      </c>
      <c r="D3543" s="8">
        <v>1.15682391</v>
      </c>
      <c r="E3543" s="8">
        <v>1.3706138800000001</v>
      </c>
      <c r="F3543" s="7"/>
      <c r="G3543" s="7" t="str">
        <f t="shared" si="20"/>
        <v>Direct</v>
      </c>
      <c r="H3543" s="7" t="s">
        <v>4072</v>
      </c>
    </row>
    <row r="3544" spans="1:8" x14ac:dyDescent="0.2">
      <c r="A3544" s="5" t="s">
        <v>27</v>
      </c>
      <c r="B3544" s="6" t="s">
        <v>14</v>
      </c>
      <c r="C3544" s="7" t="s">
        <v>4073</v>
      </c>
      <c r="D3544" s="8">
        <v>1.2784472099999999</v>
      </c>
      <c r="E3544" s="8">
        <v>16.344738599999999</v>
      </c>
      <c r="F3544" s="7"/>
      <c r="G3544" s="7" t="str">
        <f t="shared" si="20"/>
        <v>Direct</v>
      </c>
      <c r="H3544" s="7" t="s">
        <v>2783</v>
      </c>
    </row>
    <row r="3545" spans="1:8" x14ac:dyDescent="0.2">
      <c r="A3545" s="5" t="s">
        <v>27</v>
      </c>
      <c r="B3545" s="6" t="s">
        <v>14</v>
      </c>
      <c r="C3545" s="7" t="s">
        <v>4074</v>
      </c>
      <c r="D3545" s="8">
        <v>1.03274881</v>
      </c>
      <c r="E3545" s="8">
        <v>1.2823228099999999</v>
      </c>
      <c r="F3545" s="7"/>
      <c r="G3545" s="7" t="str">
        <f t="shared" si="20"/>
        <v>Direct</v>
      </c>
      <c r="H3545" s="7" t="s">
        <v>16</v>
      </c>
    </row>
    <row r="3546" spans="1:8" x14ac:dyDescent="0.2">
      <c r="A3546" s="5" t="s">
        <v>27</v>
      </c>
      <c r="B3546" s="6" t="s">
        <v>14</v>
      </c>
      <c r="C3546" s="7" t="s">
        <v>4075</v>
      </c>
      <c r="D3546" s="8">
        <v>1.1287037799999999</v>
      </c>
      <c r="E3546" s="8">
        <v>-2.3964352999999998</v>
      </c>
      <c r="F3546" s="7"/>
      <c r="G3546" s="7" t="str">
        <f t="shared" si="20"/>
        <v>Inverse</v>
      </c>
      <c r="H3546" s="7" t="s">
        <v>2709</v>
      </c>
    </row>
    <row r="3547" spans="1:8" x14ac:dyDescent="0.2">
      <c r="A3547" s="5" t="s">
        <v>27</v>
      </c>
      <c r="B3547" s="6" t="s">
        <v>14</v>
      </c>
      <c r="C3547" s="7" t="s">
        <v>4076</v>
      </c>
      <c r="D3547" s="8">
        <v>1.46781206</v>
      </c>
      <c r="E3547" s="8">
        <v>-1.0826849000000001</v>
      </c>
      <c r="F3547" s="7"/>
      <c r="G3547" s="7" t="str">
        <f t="shared" si="20"/>
        <v>Inverse</v>
      </c>
      <c r="H3547" s="7" t="s">
        <v>2150</v>
      </c>
    </row>
    <row r="3548" spans="1:8" x14ac:dyDescent="0.2">
      <c r="A3548" s="5" t="s">
        <v>27</v>
      </c>
      <c r="B3548" s="6" t="s">
        <v>14</v>
      </c>
      <c r="C3548" s="7" t="s">
        <v>4077</v>
      </c>
      <c r="D3548" s="8">
        <v>1.0381205099999999</v>
      </c>
      <c r="E3548" s="8">
        <v>1.8461040399999999</v>
      </c>
      <c r="F3548" s="7"/>
      <c r="G3548" s="7" t="str">
        <f t="shared" si="20"/>
        <v>Direct</v>
      </c>
      <c r="H3548" s="7" t="s">
        <v>4078</v>
      </c>
    </row>
    <row r="3549" spans="1:8" x14ac:dyDescent="0.2">
      <c r="A3549" s="5" t="s">
        <v>27</v>
      </c>
      <c r="B3549" s="6" t="s">
        <v>14</v>
      </c>
      <c r="C3549" s="7" t="s">
        <v>4079</v>
      </c>
      <c r="D3549" s="8">
        <v>1.25640576</v>
      </c>
      <c r="E3549" s="8">
        <v>1.13970561</v>
      </c>
      <c r="F3549" s="7"/>
      <c r="G3549" s="7" t="str">
        <f t="shared" si="20"/>
        <v>Direct</v>
      </c>
      <c r="H3549" s="7" t="s">
        <v>147</v>
      </c>
    </row>
    <row r="3550" spans="1:8" x14ac:dyDescent="0.2">
      <c r="A3550" s="5" t="s">
        <v>27</v>
      </c>
      <c r="B3550" s="6" t="s">
        <v>14</v>
      </c>
      <c r="C3550" s="7" t="s">
        <v>4080</v>
      </c>
      <c r="D3550" s="8">
        <v>1.31255294</v>
      </c>
      <c r="E3550" s="8">
        <v>-2.406399</v>
      </c>
      <c r="F3550" s="7"/>
      <c r="G3550" s="7" t="str">
        <f t="shared" si="20"/>
        <v>Inverse</v>
      </c>
      <c r="H3550" s="7" t="s">
        <v>2861</v>
      </c>
    </row>
    <row r="3551" spans="1:8" x14ac:dyDescent="0.2">
      <c r="A3551" s="5" t="s">
        <v>27</v>
      </c>
      <c r="B3551" s="6" t="s">
        <v>14</v>
      </c>
      <c r="C3551" s="7" t="s">
        <v>4081</v>
      </c>
      <c r="D3551" s="8">
        <v>1.0195482199999999</v>
      </c>
      <c r="E3551" s="8">
        <v>1.3422497600000001</v>
      </c>
      <c r="F3551" s="7"/>
      <c r="G3551" s="7" t="str">
        <f t="shared" si="20"/>
        <v>Direct</v>
      </c>
      <c r="H3551" s="7" t="s">
        <v>16</v>
      </c>
    </row>
    <row r="3552" spans="1:8" x14ac:dyDescent="0.2">
      <c r="A3552" s="5" t="s">
        <v>27</v>
      </c>
      <c r="B3552" s="6" t="s">
        <v>14</v>
      </c>
      <c r="C3552" s="7" t="s">
        <v>4082</v>
      </c>
      <c r="D3552" s="8">
        <v>2.0163131500000002</v>
      </c>
      <c r="E3552" s="8">
        <v>2.2957640700000002</v>
      </c>
      <c r="F3552" s="7"/>
      <c r="G3552" s="7" t="str">
        <f t="shared" si="20"/>
        <v>Direct</v>
      </c>
      <c r="H3552" s="7" t="s">
        <v>543</v>
      </c>
    </row>
    <row r="3553" spans="1:8" x14ac:dyDescent="0.2">
      <c r="A3553" s="5" t="s">
        <v>27</v>
      </c>
      <c r="B3553" s="6" t="s">
        <v>14</v>
      </c>
      <c r="C3553" s="7" t="s">
        <v>4083</v>
      </c>
      <c r="D3553" s="8">
        <v>1.33660008</v>
      </c>
      <c r="E3553" s="8">
        <v>1.1343714899999999</v>
      </c>
      <c r="F3553" s="7"/>
      <c r="G3553" s="7" t="str">
        <f t="shared" si="20"/>
        <v>Direct</v>
      </c>
      <c r="H3553" s="7" t="s">
        <v>4084</v>
      </c>
    </row>
    <row r="3554" spans="1:8" x14ac:dyDescent="0.2">
      <c r="A3554" s="5" t="s">
        <v>27</v>
      </c>
      <c r="B3554" s="6" t="s">
        <v>14</v>
      </c>
      <c r="C3554" s="7" t="s">
        <v>4085</v>
      </c>
      <c r="D3554" s="8">
        <v>1.1924639800000001</v>
      </c>
      <c r="E3554" s="8">
        <v>1.81198448</v>
      </c>
      <c r="F3554" s="7"/>
      <c r="G3554" s="7" t="str">
        <f t="shared" si="20"/>
        <v>Direct</v>
      </c>
      <c r="H3554" s="7" t="s">
        <v>16</v>
      </c>
    </row>
    <row r="3555" spans="1:8" x14ac:dyDescent="0.2">
      <c r="A3555" s="5" t="s">
        <v>27</v>
      </c>
      <c r="B3555" s="6" t="s">
        <v>14</v>
      </c>
      <c r="C3555" s="7" t="s">
        <v>4086</v>
      </c>
      <c r="D3555" s="8">
        <v>-1.6061143</v>
      </c>
      <c r="E3555" s="8">
        <v>-2.3761456999999999</v>
      </c>
      <c r="F3555" s="7"/>
      <c r="G3555" s="7" t="str">
        <f t="shared" si="20"/>
        <v>Direct</v>
      </c>
      <c r="H3555" s="7" t="s">
        <v>4087</v>
      </c>
    </row>
    <row r="3556" spans="1:8" x14ac:dyDescent="0.2">
      <c r="A3556" s="5" t="s">
        <v>27</v>
      </c>
      <c r="B3556" s="6" t="s">
        <v>14</v>
      </c>
      <c r="C3556" s="7" t="s">
        <v>4088</v>
      </c>
      <c r="D3556" s="8">
        <v>1.21814289</v>
      </c>
      <c r="E3556" s="8">
        <v>4.3350114800000004</v>
      </c>
      <c r="F3556" s="7"/>
      <c r="G3556" s="7" t="str">
        <f t="shared" si="20"/>
        <v>Direct</v>
      </c>
      <c r="H3556" s="7" t="s">
        <v>287</v>
      </c>
    </row>
    <row r="3557" spans="1:8" x14ac:dyDescent="0.2">
      <c r="A3557" s="5" t="s">
        <v>27</v>
      </c>
      <c r="B3557" s="6" t="s">
        <v>14</v>
      </c>
      <c r="C3557" s="7" t="s">
        <v>4089</v>
      </c>
      <c r="D3557" s="8">
        <v>1.0314647299999999</v>
      </c>
      <c r="E3557" s="8">
        <v>3.0632496100000002</v>
      </c>
      <c r="F3557" s="7"/>
      <c r="G3557" s="7" t="str">
        <f t="shared" si="20"/>
        <v>Direct</v>
      </c>
      <c r="H3557" s="7" t="s">
        <v>16</v>
      </c>
    </row>
    <row r="3558" spans="1:8" x14ac:dyDescent="0.2">
      <c r="A3558" s="5" t="s">
        <v>27</v>
      </c>
      <c r="B3558" s="6" t="s">
        <v>14</v>
      </c>
      <c r="C3558" s="7" t="s">
        <v>4090</v>
      </c>
      <c r="D3558" s="8">
        <v>1.14362403</v>
      </c>
      <c r="E3558" s="8">
        <v>1.5341511400000001</v>
      </c>
      <c r="F3558" s="7"/>
      <c r="G3558" s="7" t="str">
        <f t="shared" si="20"/>
        <v>Direct</v>
      </c>
      <c r="H3558" s="7" t="s">
        <v>4091</v>
      </c>
    </row>
    <row r="3559" spans="1:8" x14ac:dyDescent="0.2">
      <c r="A3559" s="5" t="s">
        <v>27</v>
      </c>
      <c r="B3559" s="6" t="s">
        <v>14</v>
      </c>
      <c r="C3559" s="7" t="s">
        <v>4092</v>
      </c>
      <c r="D3559" s="8">
        <v>2.4106819599999998</v>
      </c>
      <c r="E3559" s="8">
        <v>2.0866047399999998</v>
      </c>
      <c r="F3559" s="7"/>
      <c r="G3559" s="7" t="str">
        <f t="shared" si="20"/>
        <v>Direct</v>
      </c>
      <c r="H3559" s="7" t="s">
        <v>2546</v>
      </c>
    </row>
    <row r="3560" spans="1:8" x14ac:dyDescent="0.2">
      <c r="A3560" s="5" t="s">
        <v>27</v>
      </c>
      <c r="B3560" s="6" t="s">
        <v>14</v>
      </c>
      <c r="C3560" s="7" t="s">
        <v>4093</v>
      </c>
      <c r="D3560" s="8">
        <v>5.4343140600000002</v>
      </c>
      <c r="E3560" s="8">
        <v>3.8645866299999998</v>
      </c>
      <c r="F3560" s="7"/>
      <c r="G3560" s="7" t="str">
        <f t="shared" si="20"/>
        <v>Direct</v>
      </c>
      <c r="H3560" s="7" t="s">
        <v>16</v>
      </c>
    </row>
    <row r="3561" spans="1:8" x14ac:dyDescent="0.2">
      <c r="A3561" s="5" t="s">
        <v>27</v>
      </c>
      <c r="B3561" s="6" t="s">
        <v>14</v>
      </c>
      <c r="C3561" s="7" t="s">
        <v>4094</v>
      </c>
      <c r="D3561" s="8">
        <v>2.6657633399999998</v>
      </c>
      <c r="E3561" s="8">
        <v>1.3260152599999999</v>
      </c>
      <c r="F3561" s="7"/>
      <c r="G3561" s="7" t="str">
        <f t="shared" si="20"/>
        <v>Direct</v>
      </c>
      <c r="H3561" s="7" t="s">
        <v>16</v>
      </c>
    </row>
    <row r="3562" spans="1:8" x14ac:dyDescent="0.2">
      <c r="A3562" s="5" t="s">
        <v>27</v>
      </c>
      <c r="B3562" s="6" t="s">
        <v>14</v>
      </c>
      <c r="C3562" s="7" t="s">
        <v>4095</v>
      </c>
      <c r="D3562" s="8">
        <v>1.5205623500000001</v>
      </c>
      <c r="E3562" s="8">
        <v>10.7956203</v>
      </c>
      <c r="F3562" s="7"/>
      <c r="G3562" s="7" t="str">
        <f t="shared" si="20"/>
        <v>Direct</v>
      </c>
      <c r="H3562" s="7" t="s">
        <v>4096</v>
      </c>
    </row>
    <row r="3563" spans="1:8" x14ac:dyDescent="0.2">
      <c r="A3563" s="5" t="s">
        <v>27</v>
      </c>
      <c r="B3563" s="6" t="s">
        <v>14</v>
      </c>
      <c r="C3563" s="7" t="s">
        <v>4097</v>
      </c>
      <c r="D3563" s="8">
        <v>1.33062294</v>
      </c>
      <c r="E3563" s="8">
        <v>1.94498868</v>
      </c>
      <c r="F3563" s="7"/>
      <c r="G3563" s="7" t="str">
        <f t="shared" si="20"/>
        <v>Direct</v>
      </c>
      <c r="H3563" s="7" t="s">
        <v>4098</v>
      </c>
    </row>
    <row r="3564" spans="1:8" x14ac:dyDescent="0.2">
      <c r="A3564" s="5" t="s">
        <v>27</v>
      </c>
      <c r="B3564" s="6" t="s">
        <v>14</v>
      </c>
      <c r="C3564" s="7" t="s">
        <v>4099</v>
      </c>
      <c r="D3564" s="8">
        <v>1.22743957</v>
      </c>
      <c r="E3564" s="8">
        <v>9.2661251799999995</v>
      </c>
      <c r="F3564" s="7"/>
      <c r="G3564" s="7" t="str">
        <f t="shared" si="20"/>
        <v>Direct</v>
      </c>
      <c r="H3564" s="7" t="s">
        <v>16</v>
      </c>
    </row>
    <row r="3565" spans="1:8" x14ac:dyDescent="0.2">
      <c r="A3565" s="5" t="s">
        <v>27</v>
      </c>
      <c r="B3565" s="6" t="s">
        <v>14</v>
      </c>
      <c r="C3565" s="7" t="s">
        <v>4100</v>
      </c>
      <c r="D3565" s="8">
        <v>1.4031628899999999</v>
      </c>
      <c r="E3565" s="8">
        <v>1.44270649</v>
      </c>
      <c r="F3565" s="7"/>
      <c r="G3565" s="7" t="str">
        <f t="shared" si="20"/>
        <v>Direct</v>
      </c>
      <c r="H3565" s="7" t="s">
        <v>4101</v>
      </c>
    </row>
    <row r="3566" spans="1:8" x14ac:dyDescent="0.2">
      <c r="A3566" s="5" t="s">
        <v>27</v>
      </c>
      <c r="B3566" s="6" t="s">
        <v>14</v>
      </c>
      <c r="C3566" s="7" t="s">
        <v>4102</v>
      </c>
      <c r="D3566" s="8">
        <v>1.30580545</v>
      </c>
      <c r="E3566" s="8">
        <v>1.5248508300000001</v>
      </c>
      <c r="F3566" s="7"/>
      <c r="G3566" s="7" t="str">
        <f t="shared" si="20"/>
        <v>Direct</v>
      </c>
      <c r="H3566" s="7" t="s">
        <v>3970</v>
      </c>
    </row>
    <row r="3567" spans="1:8" x14ac:dyDescent="0.2">
      <c r="A3567" s="5" t="s">
        <v>27</v>
      </c>
      <c r="B3567" s="6" t="s">
        <v>14</v>
      </c>
      <c r="C3567" s="7" t="s">
        <v>4103</v>
      </c>
      <c r="D3567" s="8">
        <v>3.7215504099999999</v>
      </c>
      <c r="E3567" s="8">
        <v>4.7548245700000003</v>
      </c>
      <c r="F3567" s="7"/>
      <c r="G3567" s="7" t="str">
        <f t="shared" si="20"/>
        <v>Direct</v>
      </c>
      <c r="H3567" s="7" t="s">
        <v>1849</v>
      </c>
    </row>
    <row r="3568" spans="1:8" x14ac:dyDescent="0.2">
      <c r="A3568" s="5" t="s">
        <v>27</v>
      </c>
      <c r="B3568" s="6" t="s">
        <v>14</v>
      </c>
      <c r="C3568" s="7" t="s">
        <v>4104</v>
      </c>
      <c r="D3568" s="8">
        <v>-1.2198798</v>
      </c>
      <c r="E3568" s="8">
        <v>-3.7263128999999999</v>
      </c>
      <c r="F3568" s="7"/>
      <c r="G3568" s="7" t="str">
        <f t="shared" si="20"/>
        <v>Direct</v>
      </c>
      <c r="H3568" s="7" t="s">
        <v>24</v>
      </c>
    </row>
    <row r="3569" spans="1:8" x14ac:dyDescent="0.2">
      <c r="A3569" s="5" t="s">
        <v>27</v>
      </c>
      <c r="B3569" s="6" t="s">
        <v>14</v>
      </c>
      <c r="C3569" s="7" t="s">
        <v>4105</v>
      </c>
      <c r="D3569" s="8">
        <v>1.6918055400000001</v>
      </c>
      <c r="E3569" s="8">
        <v>1.39795246</v>
      </c>
      <c r="F3569" s="7"/>
      <c r="G3569" s="7" t="str">
        <f t="shared" si="20"/>
        <v>Direct</v>
      </c>
      <c r="H3569" s="7" t="s">
        <v>16</v>
      </c>
    </row>
    <row r="3570" spans="1:8" x14ac:dyDescent="0.2">
      <c r="A3570" s="5" t="s">
        <v>27</v>
      </c>
      <c r="B3570" s="6" t="s">
        <v>14</v>
      </c>
      <c r="C3570" s="7" t="s">
        <v>4106</v>
      </c>
      <c r="D3570" s="8">
        <v>1.64053608</v>
      </c>
      <c r="E3570" s="8">
        <v>1.9181018700000001</v>
      </c>
      <c r="F3570" s="7"/>
      <c r="G3570" s="7" t="str">
        <f t="shared" si="20"/>
        <v>Direct</v>
      </c>
      <c r="H3570" s="7" t="s">
        <v>162</v>
      </c>
    </row>
    <row r="3571" spans="1:8" x14ac:dyDescent="0.2">
      <c r="A3571" s="5" t="s">
        <v>27</v>
      </c>
      <c r="B3571" s="6" t="s">
        <v>14</v>
      </c>
      <c r="C3571" s="7" t="s">
        <v>4107</v>
      </c>
      <c r="D3571" s="8">
        <v>1.5403856199999999</v>
      </c>
      <c r="E3571" s="8">
        <v>1.4964817399999999</v>
      </c>
      <c r="F3571" s="7"/>
      <c r="G3571" s="7" t="str">
        <f t="shared" si="20"/>
        <v>Direct</v>
      </c>
      <c r="H3571" s="7" t="s">
        <v>16</v>
      </c>
    </row>
    <row r="3572" spans="1:8" x14ac:dyDescent="0.2">
      <c r="A3572" s="5" t="s">
        <v>27</v>
      </c>
      <c r="B3572" s="6" t="s">
        <v>14</v>
      </c>
      <c r="C3572" s="7" t="s">
        <v>4108</v>
      </c>
      <c r="D3572" s="8">
        <v>1.0513215499999999</v>
      </c>
      <c r="E3572" s="8">
        <v>2.7662144299999998</v>
      </c>
      <c r="F3572" s="7"/>
      <c r="G3572" s="7" t="str">
        <f t="shared" si="20"/>
        <v>Direct</v>
      </c>
      <c r="H3572" s="7" t="s">
        <v>1135</v>
      </c>
    </row>
    <row r="3573" spans="1:8" x14ac:dyDescent="0.2">
      <c r="A3573" s="5" t="s">
        <v>27</v>
      </c>
      <c r="B3573" s="6" t="s">
        <v>14</v>
      </c>
      <c r="C3573" s="7" t="s">
        <v>4109</v>
      </c>
      <c r="D3573" s="8">
        <v>-1.7828108</v>
      </c>
      <c r="E3573" s="8">
        <v>-1.3525079</v>
      </c>
      <c r="F3573" s="7"/>
      <c r="G3573" s="7" t="str">
        <f t="shared" si="20"/>
        <v>Direct</v>
      </c>
      <c r="H3573" s="7" t="s">
        <v>16</v>
      </c>
    </row>
    <row r="3574" spans="1:8" x14ac:dyDescent="0.2">
      <c r="A3574" s="5" t="s">
        <v>27</v>
      </c>
      <c r="B3574" s="6" t="s">
        <v>14</v>
      </c>
      <c r="C3574" s="7" t="s">
        <v>4110</v>
      </c>
      <c r="D3574" s="8">
        <v>1.0195482199999999</v>
      </c>
      <c r="E3574" s="8">
        <v>-2.600231</v>
      </c>
      <c r="F3574" s="7"/>
      <c r="G3574" s="7" t="str">
        <f t="shared" si="20"/>
        <v>Inverse</v>
      </c>
      <c r="H3574" s="7" t="s">
        <v>2664</v>
      </c>
    </row>
    <row r="3575" spans="1:8" x14ac:dyDescent="0.2">
      <c r="A3575" s="5" t="s">
        <v>27</v>
      </c>
      <c r="B3575" s="6" t="s">
        <v>14</v>
      </c>
      <c r="C3575" s="7" t="s">
        <v>4111</v>
      </c>
      <c r="D3575" s="8">
        <v>1.45967482</v>
      </c>
      <c r="E3575" s="8">
        <v>-1.8423056</v>
      </c>
      <c r="F3575" s="7"/>
      <c r="G3575" s="7" t="str">
        <f t="shared" si="20"/>
        <v>Inverse</v>
      </c>
      <c r="H3575" s="7" t="s">
        <v>4112</v>
      </c>
    </row>
    <row r="3576" spans="1:8" x14ac:dyDescent="0.2">
      <c r="A3576" s="5" t="s">
        <v>27</v>
      </c>
      <c r="B3576" s="6" t="s">
        <v>14</v>
      </c>
      <c r="C3576" s="7" t="s">
        <v>4113</v>
      </c>
      <c r="D3576" s="8">
        <v>1.3625895800000001</v>
      </c>
      <c r="E3576" s="8">
        <v>1.8392366</v>
      </c>
      <c r="F3576" s="7"/>
      <c r="G3576" s="7" t="str">
        <f t="shared" si="20"/>
        <v>Direct</v>
      </c>
      <c r="H3576" s="7" t="s">
        <v>722</v>
      </c>
    </row>
    <row r="3577" spans="1:8" x14ac:dyDescent="0.2">
      <c r="A3577" s="5" t="s">
        <v>27</v>
      </c>
      <c r="B3577" s="6" t="s">
        <v>14</v>
      </c>
      <c r="C3577" s="7" t="s">
        <v>4114</v>
      </c>
      <c r="D3577" s="8">
        <v>1.2324735600000001</v>
      </c>
      <c r="E3577" s="8">
        <v>1.7765622700000001</v>
      </c>
      <c r="F3577" s="7"/>
      <c r="G3577" s="7" t="str">
        <f t="shared" si="20"/>
        <v>Direct</v>
      </c>
      <c r="H3577" s="7" t="s">
        <v>16</v>
      </c>
    </row>
    <row r="3578" spans="1:8" x14ac:dyDescent="0.2">
      <c r="A3578" s="5" t="s">
        <v>27</v>
      </c>
      <c r="B3578" s="6" t="s">
        <v>14</v>
      </c>
      <c r="C3578" s="7" t="s">
        <v>4115</v>
      </c>
      <c r="D3578" s="8">
        <v>1.31509287</v>
      </c>
      <c r="E3578" s="8">
        <v>2.5277334300000001</v>
      </c>
      <c r="F3578" s="7"/>
      <c r="G3578" s="7" t="str">
        <f t="shared" si="20"/>
        <v>Direct</v>
      </c>
      <c r="H3578" s="7" t="s">
        <v>16</v>
      </c>
    </row>
    <row r="3579" spans="1:8" x14ac:dyDescent="0.2">
      <c r="A3579" s="5" t="s">
        <v>27</v>
      </c>
      <c r="B3579" s="6" t="s">
        <v>14</v>
      </c>
      <c r="C3579" s="7" t="s">
        <v>4116</v>
      </c>
      <c r="D3579" s="8">
        <v>1.0572678900000001</v>
      </c>
      <c r="E3579" s="8">
        <v>-3.9203358000000001</v>
      </c>
      <c r="F3579" s="7"/>
      <c r="G3579" s="7" t="str">
        <f t="shared" si="20"/>
        <v>Inverse</v>
      </c>
      <c r="H3579" s="7" t="s">
        <v>16</v>
      </c>
    </row>
    <row r="3580" spans="1:8" x14ac:dyDescent="0.2">
      <c r="A3580" s="5" t="s">
        <v>27</v>
      </c>
      <c r="B3580" s="6" t="s">
        <v>14</v>
      </c>
      <c r="C3580" s="7" t="s">
        <v>4117</v>
      </c>
      <c r="D3580" s="8">
        <v>1.6842255100000001</v>
      </c>
      <c r="E3580" s="8">
        <v>1.3395321</v>
      </c>
      <c r="F3580" s="7"/>
      <c r="G3580" s="7" t="str">
        <f t="shared" si="20"/>
        <v>Direct</v>
      </c>
      <c r="H3580" s="7" t="s">
        <v>1404</v>
      </c>
    </row>
    <row r="3581" spans="1:8" x14ac:dyDescent="0.2">
      <c r="A3581" s="5" t="s">
        <v>27</v>
      </c>
      <c r="B3581" s="6" t="s">
        <v>14</v>
      </c>
      <c r="C3581" s="7" t="s">
        <v>4118</v>
      </c>
      <c r="D3581" s="8">
        <v>2.4452860799999998</v>
      </c>
      <c r="E3581" s="8">
        <v>2.9962910200000001</v>
      </c>
      <c r="F3581" s="7"/>
      <c r="G3581" s="7" t="str">
        <f t="shared" si="20"/>
        <v>Direct</v>
      </c>
      <c r="H3581" s="7" t="s">
        <v>4119</v>
      </c>
    </row>
    <row r="3582" spans="1:8" x14ac:dyDescent="0.2">
      <c r="A3582" s="5" t="s">
        <v>27</v>
      </c>
      <c r="B3582" s="6" t="s">
        <v>14</v>
      </c>
      <c r="C3582" s="7" t="s">
        <v>4120</v>
      </c>
      <c r="D3582" s="8">
        <v>1.08867647</v>
      </c>
      <c r="E3582" s="8">
        <v>-2.9324389000000002</v>
      </c>
      <c r="F3582" s="7"/>
      <c r="G3582" s="7" t="str">
        <f t="shared" si="20"/>
        <v>Inverse</v>
      </c>
      <c r="H3582" s="7" t="s">
        <v>16</v>
      </c>
    </row>
    <row r="3583" spans="1:8" x14ac:dyDescent="0.2">
      <c r="A3583" s="5" t="s">
        <v>27</v>
      </c>
      <c r="B3583" s="6" t="s">
        <v>14</v>
      </c>
      <c r="C3583" s="7" t="s">
        <v>4121</v>
      </c>
      <c r="D3583" s="8">
        <v>1.23680425</v>
      </c>
      <c r="E3583" s="8">
        <v>-1.4286700999999999</v>
      </c>
      <c r="F3583" s="7"/>
      <c r="G3583" s="7" t="str">
        <f t="shared" si="20"/>
        <v>Inverse</v>
      </c>
      <c r="H3583" s="7" t="s">
        <v>16</v>
      </c>
    </row>
    <row r="3584" spans="1:8" x14ac:dyDescent="0.2">
      <c r="A3584" s="5" t="s">
        <v>27</v>
      </c>
      <c r="B3584" s="6" t="s">
        <v>14</v>
      </c>
      <c r="C3584" s="7" t="s">
        <v>4122</v>
      </c>
      <c r="D3584" s="8">
        <v>1.01702866</v>
      </c>
      <c r="E3584" s="8">
        <v>2.1661296999999999</v>
      </c>
      <c r="F3584" s="7"/>
      <c r="G3584" s="7" t="str">
        <f t="shared" si="20"/>
        <v>Direct</v>
      </c>
      <c r="H3584" s="7" t="s">
        <v>4123</v>
      </c>
    </row>
    <row r="3585" spans="1:8" x14ac:dyDescent="0.2">
      <c r="A3585" s="5" t="s">
        <v>27</v>
      </c>
      <c r="B3585" s="6" t="s">
        <v>14</v>
      </c>
      <c r="C3585" s="7" t="s">
        <v>4124</v>
      </c>
      <c r="D3585" s="8">
        <v>3.3195253500000002</v>
      </c>
      <c r="E3585" s="8">
        <v>3.09164298</v>
      </c>
      <c r="F3585" s="7"/>
      <c r="G3585" s="7" t="str">
        <f t="shared" si="20"/>
        <v>Direct</v>
      </c>
      <c r="H3585" s="7" t="s">
        <v>16</v>
      </c>
    </row>
    <row r="3586" spans="1:8" x14ac:dyDescent="0.2">
      <c r="A3586" s="5" t="s">
        <v>27</v>
      </c>
      <c r="B3586" s="6" t="s">
        <v>14</v>
      </c>
      <c r="C3586" s="7" t="s">
        <v>4125</v>
      </c>
      <c r="D3586" s="8">
        <v>2.3920437099999998</v>
      </c>
      <c r="E3586" s="8">
        <v>1.35651239</v>
      </c>
      <c r="F3586" s="7"/>
      <c r="G3586" s="7" t="str">
        <f t="shared" si="20"/>
        <v>Direct</v>
      </c>
      <c r="H3586" s="7" t="s">
        <v>172</v>
      </c>
    </row>
    <row r="3587" spans="1:8" x14ac:dyDescent="0.2">
      <c r="A3587" s="5" t="s">
        <v>27</v>
      </c>
      <c r="B3587" s="6" t="s">
        <v>14</v>
      </c>
      <c r="C3587" s="7" t="s">
        <v>4126</v>
      </c>
      <c r="D3587" s="8">
        <v>1.00207237</v>
      </c>
      <c r="E3587" s="8">
        <v>1.1609920199999999</v>
      </c>
      <c r="F3587" s="7"/>
      <c r="G3587" s="7" t="str">
        <f t="shared" si="20"/>
        <v>Direct</v>
      </c>
      <c r="H3587" s="7" t="s">
        <v>4127</v>
      </c>
    </row>
    <row r="3588" spans="1:8" x14ac:dyDescent="0.2">
      <c r="A3588" s="5" t="s">
        <v>27</v>
      </c>
      <c r="B3588" s="6" t="s">
        <v>14</v>
      </c>
      <c r="C3588" s="7" t="s">
        <v>4128</v>
      </c>
      <c r="D3588" s="8">
        <v>1.1419424899999999</v>
      </c>
      <c r="E3588" s="8">
        <v>5.4893763399999997</v>
      </c>
      <c r="F3588" s="7"/>
      <c r="G3588" s="7" t="str">
        <f t="shared" si="20"/>
        <v>Direct</v>
      </c>
      <c r="H3588" s="7" t="s">
        <v>4129</v>
      </c>
    </row>
    <row r="3589" spans="1:8" x14ac:dyDescent="0.2">
      <c r="A3589" s="5" t="s">
        <v>27</v>
      </c>
      <c r="B3589" s="6" t="s">
        <v>14</v>
      </c>
      <c r="C3589" s="7" t="s">
        <v>4130</v>
      </c>
      <c r="D3589" s="8">
        <v>1.15682391</v>
      </c>
      <c r="E3589" s="8">
        <v>1.04988755</v>
      </c>
      <c r="F3589" s="7"/>
      <c r="G3589" s="7" t="str">
        <f t="shared" si="20"/>
        <v>Direct</v>
      </c>
      <c r="H3589" s="7" t="s">
        <v>4131</v>
      </c>
    </row>
    <row r="3590" spans="1:8" x14ac:dyDescent="0.2">
      <c r="A3590" s="5" t="s">
        <v>27</v>
      </c>
      <c r="B3590" s="6" t="s">
        <v>14</v>
      </c>
      <c r="C3590" s="7" t="s">
        <v>4132</v>
      </c>
      <c r="D3590" s="8">
        <v>3.12664125</v>
      </c>
      <c r="E3590" s="8">
        <v>5.6044748999999996</v>
      </c>
      <c r="F3590" s="7"/>
      <c r="G3590" s="7" t="str">
        <f t="shared" si="20"/>
        <v>Direct</v>
      </c>
      <c r="H3590" s="7" t="s">
        <v>16</v>
      </c>
    </row>
    <row r="3591" spans="1:8" x14ac:dyDescent="0.2">
      <c r="A3591" s="5" t="s">
        <v>27</v>
      </c>
      <c r="B3591" s="6" t="s">
        <v>14</v>
      </c>
      <c r="C3591" s="7" t="s">
        <v>4133</v>
      </c>
      <c r="D3591" s="8">
        <v>1.02466122</v>
      </c>
      <c r="E3591" s="8">
        <v>2.8178960100000001</v>
      </c>
      <c r="F3591" s="7"/>
      <c r="G3591" s="7" t="str">
        <f t="shared" si="20"/>
        <v>Direct</v>
      </c>
      <c r="H3591" s="7" t="s">
        <v>606</v>
      </c>
    </row>
    <row r="3592" spans="1:8" x14ac:dyDescent="0.2">
      <c r="A3592" s="5" t="s">
        <v>27</v>
      </c>
      <c r="B3592" s="6" t="s">
        <v>14</v>
      </c>
      <c r="C3592" s="7" t="s">
        <v>4134</v>
      </c>
      <c r="D3592" s="8">
        <v>1.0799631700000001</v>
      </c>
      <c r="E3592" s="8">
        <v>-18.977264000000002</v>
      </c>
      <c r="F3592" s="7"/>
      <c r="G3592" s="7" t="str">
        <f t="shared" si="20"/>
        <v>Inverse</v>
      </c>
      <c r="H3592" s="7" t="s">
        <v>4135</v>
      </c>
    </row>
    <row r="3593" spans="1:8" x14ac:dyDescent="0.2">
      <c r="A3593" s="5" t="s">
        <v>27</v>
      </c>
      <c r="B3593" s="6" t="s">
        <v>14</v>
      </c>
      <c r="C3593" s="7" t="s">
        <v>4136</v>
      </c>
      <c r="D3593" s="8">
        <v>1.12697757</v>
      </c>
      <c r="E3593" s="8">
        <v>2.0881954999999999</v>
      </c>
      <c r="F3593" s="7"/>
      <c r="G3593" s="7" t="str">
        <f t="shared" si="20"/>
        <v>Direct</v>
      </c>
      <c r="H3593" s="7" t="s">
        <v>4137</v>
      </c>
    </row>
    <row r="3594" spans="1:8" x14ac:dyDescent="0.2">
      <c r="A3594" s="5" t="s">
        <v>27</v>
      </c>
      <c r="B3594" s="6" t="s">
        <v>14</v>
      </c>
      <c r="C3594" s="7" t="s">
        <v>4138</v>
      </c>
      <c r="D3594" s="8">
        <v>1.09386779</v>
      </c>
      <c r="E3594" s="8">
        <v>-1.0706544</v>
      </c>
      <c r="F3594" s="7"/>
      <c r="G3594" s="7" t="str">
        <f t="shared" si="20"/>
        <v>Inverse</v>
      </c>
      <c r="H3594" s="7" t="s">
        <v>16</v>
      </c>
    </row>
    <row r="3595" spans="1:8" x14ac:dyDescent="0.2">
      <c r="A3595" s="5" t="s">
        <v>27</v>
      </c>
      <c r="B3595" s="6" t="s">
        <v>14</v>
      </c>
      <c r="C3595" s="7" t="s">
        <v>4139</v>
      </c>
      <c r="D3595" s="8">
        <v>-1.6341988000000001</v>
      </c>
      <c r="E3595" s="8">
        <v>-2.8776177000000001</v>
      </c>
      <c r="F3595" s="7"/>
      <c r="G3595" s="7" t="str">
        <f t="shared" si="20"/>
        <v>Direct</v>
      </c>
      <c r="H3595" s="7" t="s">
        <v>16</v>
      </c>
    </row>
    <row r="3596" spans="1:8" x14ac:dyDescent="0.2">
      <c r="A3596" s="5" t="s">
        <v>27</v>
      </c>
      <c r="B3596" s="6" t="s">
        <v>14</v>
      </c>
      <c r="C3596" s="7" t="s">
        <v>4140</v>
      </c>
      <c r="D3596" s="8">
        <v>1.0056645799999999</v>
      </c>
      <c r="E3596" s="8">
        <v>1.7573682399999999</v>
      </c>
      <c r="F3596" s="7"/>
      <c r="G3596" s="7" t="str">
        <f t="shared" si="20"/>
        <v>Direct</v>
      </c>
      <c r="H3596" s="7" t="s">
        <v>4141</v>
      </c>
    </row>
    <row r="3597" spans="1:8" x14ac:dyDescent="0.2">
      <c r="A3597" s="5" t="s">
        <v>27</v>
      </c>
      <c r="B3597" s="6" t="s">
        <v>14</v>
      </c>
      <c r="C3597" s="7" t="s">
        <v>4142</v>
      </c>
      <c r="D3597" s="8">
        <v>4.6398010000000003</v>
      </c>
      <c r="E3597" s="8">
        <v>13.439522800000001</v>
      </c>
      <c r="F3597" s="7"/>
      <c r="G3597" s="7" t="str">
        <f t="shared" si="20"/>
        <v>Direct</v>
      </c>
      <c r="H3597" s="7" t="s">
        <v>712</v>
      </c>
    </row>
    <row r="3598" spans="1:8" x14ac:dyDescent="0.2">
      <c r="A3598" s="5" t="s">
        <v>27</v>
      </c>
      <c r="B3598" s="6" t="s">
        <v>14</v>
      </c>
      <c r="C3598" s="7" t="s">
        <v>4143</v>
      </c>
      <c r="D3598" s="8">
        <v>1.1005289</v>
      </c>
      <c r="E3598" s="8">
        <v>-2.4099151999999999</v>
      </c>
      <c r="F3598" s="7"/>
      <c r="G3598" s="7" t="str">
        <f t="shared" si="20"/>
        <v>Inverse</v>
      </c>
      <c r="H3598" s="7" t="s">
        <v>2164</v>
      </c>
    </row>
    <row r="3599" spans="1:8" x14ac:dyDescent="0.2">
      <c r="A3599" s="5" t="s">
        <v>27</v>
      </c>
      <c r="B3599" s="6" t="s">
        <v>14</v>
      </c>
      <c r="C3599" s="7" t="s">
        <v>4144</v>
      </c>
      <c r="D3599" s="8">
        <v>1.64053608</v>
      </c>
      <c r="E3599" s="8">
        <v>3.4498791199999999</v>
      </c>
      <c r="F3599" s="7"/>
      <c r="G3599" s="7" t="str">
        <f t="shared" si="20"/>
        <v>Direct</v>
      </c>
      <c r="H3599" s="7" t="s">
        <v>16</v>
      </c>
    </row>
    <row r="3600" spans="1:8" x14ac:dyDescent="0.2">
      <c r="A3600" s="5" t="s">
        <v>27</v>
      </c>
      <c r="B3600" s="6" t="s">
        <v>14</v>
      </c>
      <c r="C3600" s="7" t="s">
        <v>4145</v>
      </c>
      <c r="D3600" s="8">
        <v>1.64820465</v>
      </c>
      <c r="E3600" s="8">
        <v>1.16115119</v>
      </c>
      <c r="F3600" s="7"/>
      <c r="G3600" s="7" t="str">
        <f t="shared" si="20"/>
        <v>Direct</v>
      </c>
      <c r="H3600" s="7" t="s">
        <v>16</v>
      </c>
    </row>
    <row r="3601" spans="1:8" x14ac:dyDescent="0.2">
      <c r="A3601" s="5" t="s">
        <v>27</v>
      </c>
      <c r="B3601" s="6" t="s">
        <v>14</v>
      </c>
      <c r="C3601" s="7" t="s">
        <v>4146</v>
      </c>
      <c r="D3601" s="8">
        <v>1.0498551599999999</v>
      </c>
      <c r="E3601" s="8">
        <v>-1.1425372</v>
      </c>
      <c r="F3601" s="7"/>
      <c r="G3601" s="7" t="str">
        <f t="shared" si="20"/>
        <v>Inverse</v>
      </c>
      <c r="H3601" s="7" t="s">
        <v>4147</v>
      </c>
    </row>
    <row r="3602" spans="1:8" x14ac:dyDescent="0.2">
      <c r="A3602" s="5" t="s">
        <v>27</v>
      </c>
      <c r="B3602" s="6" t="s">
        <v>14</v>
      </c>
      <c r="C3602" s="7" t="s">
        <v>4148</v>
      </c>
      <c r="D3602" s="8">
        <v>1.00076079</v>
      </c>
      <c r="E3602" s="8">
        <v>5.2101058800000004</v>
      </c>
      <c r="F3602" s="7"/>
      <c r="G3602" s="7" t="str">
        <f t="shared" si="20"/>
        <v>Direct</v>
      </c>
      <c r="H3602" s="7" t="s">
        <v>16</v>
      </c>
    </row>
    <row r="3603" spans="1:8" x14ac:dyDescent="0.2">
      <c r="A3603" s="5" t="s">
        <v>27</v>
      </c>
      <c r="B3603" s="6" t="s">
        <v>14</v>
      </c>
      <c r="C3603" s="7" t="s">
        <v>4149</v>
      </c>
      <c r="D3603" s="8">
        <v>1.89178622</v>
      </c>
      <c r="E3603" s="8">
        <v>4.2668566400000003</v>
      </c>
      <c r="F3603" s="7"/>
      <c r="G3603" s="7" t="str">
        <f t="shared" si="20"/>
        <v>Direct</v>
      </c>
      <c r="H3603" s="7" t="s">
        <v>16</v>
      </c>
    </row>
    <row r="3604" spans="1:8" x14ac:dyDescent="0.2">
      <c r="A3604" s="5" t="s">
        <v>27</v>
      </c>
      <c r="B3604" s="6" t="s">
        <v>14</v>
      </c>
      <c r="C3604" s="7" t="s">
        <v>4150</v>
      </c>
      <c r="D3604" s="8">
        <v>2.5650978900000001</v>
      </c>
      <c r="E3604" s="8">
        <v>1.9186501899999999</v>
      </c>
      <c r="F3604" s="7"/>
      <c r="G3604" s="7" t="str">
        <f t="shared" si="20"/>
        <v>Direct</v>
      </c>
      <c r="H3604" s="7" t="s">
        <v>16</v>
      </c>
    </row>
    <row r="3605" spans="1:8" x14ac:dyDescent="0.2">
      <c r="A3605" s="5" t="s">
        <v>27</v>
      </c>
      <c r="B3605" s="6" t="s">
        <v>14</v>
      </c>
      <c r="C3605" s="7" t="s">
        <v>4151</v>
      </c>
      <c r="D3605" s="8">
        <v>1.4064598100000001</v>
      </c>
      <c r="E3605" s="8">
        <v>1.4888713200000001</v>
      </c>
      <c r="F3605" s="7"/>
      <c r="G3605" s="7" t="str">
        <f t="shared" si="20"/>
        <v>Direct</v>
      </c>
      <c r="H3605" s="7" t="s">
        <v>16</v>
      </c>
    </row>
    <row r="3606" spans="1:8" x14ac:dyDescent="0.2">
      <c r="A3606" s="5" t="s">
        <v>27</v>
      </c>
      <c r="B3606" s="6" t="s">
        <v>14</v>
      </c>
      <c r="C3606" s="7" t="s">
        <v>4152</v>
      </c>
      <c r="D3606" s="8">
        <v>1.2913954999999999</v>
      </c>
      <c r="E3606" s="8">
        <v>2.2997277399999998</v>
      </c>
      <c r="F3606" s="7"/>
      <c r="G3606" s="7" t="str">
        <f t="shared" si="20"/>
        <v>Direct</v>
      </c>
      <c r="H3606" s="7" t="s">
        <v>16</v>
      </c>
    </row>
    <row r="3607" spans="1:8" x14ac:dyDescent="0.2">
      <c r="A3607" s="5" t="s">
        <v>27</v>
      </c>
      <c r="B3607" s="6" t="s">
        <v>14</v>
      </c>
      <c r="C3607" s="7" t="s">
        <v>4153</v>
      </c>
      <c r="D3607" s="8">
        <v>9.8410977800000001</v>
      </c>
      <c r="E3607" s="8">
        <v>11.228177199999999</v>
      </c>
      <c r="F3607" s="7"/>
      <c r="G3607" s="7" t="str">
        <f t="shared" si="20"/>
        <v>Direct</v>
      </c>
      <c r="H3607" s="7" t="s">
        <v>16</v>
      </c>
    </row>
    <row r="3608" spans="1:8" x14ac:dyDescent="0.2">
      <c r="A3608" s="5" t="s">
        <v>27</v>
      </c>
      <c r="B3608" s="6" t="s">
        <v>14</v>
      </c>
      <c r="C3608" s="7" t="s">
        <v>4154</v>
      </c>
      <c r="D3608" s="8">
        <v>10.9866036</v>
      </c>
      <c r="E3608" s="8">
        <v>12.0092263</v>
      </c>
      <c r="F3608" s="7"/>
      <c r="G3608" s="7" t="str">
        <f t="shared" si="20"/>
        <v>Direct</v>
      </c>
      <c r="H3608" s="7" t="s">
        <v>16</v>
      </c>
    </row>
    <row r="3609" spans="1:8" x14ac:dyDescent="0.2">
      <c r="A3609" s="5" t="s">
        <v>27</v>
      </c>
      <c r="B3609" s="6" t="s">
        <v>14</v>
      </c>
      <c r="C3609" s="7" t="s">
        <v>4155</v>
      </c>
      <c r="D3609" s="8">
        <v>4.5485664400000001</v>
      </c>
      <c r="E3609" s="8">
        <v>2.8322729999999998</v>
      </c>
      <c r="F3609" s="7"/>
      <c r="G3609" s="7" t="str">
        <f t="shared" si="20"/>
        <v>Direct</v>
      </c>
      <c r="H3609" s="7" t="s">
        <v>16</v>
      </c>
    </row>
    <row r="3610" spans="1:8" x14ac:dyDescent="0.2">
      <c r="A3610" s="5" t="s">
        <v>27</v>
      </c>
      <c r="B3610" s="6" t="s">
        <v>14</v>
      </c>
      <c r="C3610" s="7" t="s">
        <v>4156</v>
      </c>
      <c r="D3610" s="8">
        <v>1.6637454</v>
      </c>
      <c r="E3610" s="8">
        <v>1.87102839</v>
      </c>
      <c r="F3610" s="7"/>
      <c r="G3610" s="7" t="str">
        <f t="shared" si="20"/>
        <v>Direct</v>
      </c>
      <c r="H3610" s="7" t="s">
        <v>351</v>
      </c>
    </row>
    <row r="3611" spans="1:8" x14ac:dyDescent="0.2">
      <c r="A3611" s="5" t="s">
        <v>27</v>
      </c>
      <c r="B3611" s="6" t="s">
        <v>14</v>
      </c>
      <c r="C3611" s="7" t="s">
        <v>4157</v>
      </c>
      <c r="D3611" s="8">
        <v>1.7627116300000001</v>
      </c>
      <c r="E3611" s="8">
        <v>3.0216344500000001</v>
      </c>
      <c r="F3611" s="7"/>
      <c r="G3611" s="7" t="str">
        <f t="shared" si="20"/>
        <v>Direct</v>
      </c>
      <c r="H3611" s="7" t="s">
        <v>16</v>
      </c>
    </row>
    <row r="3612" spans="1:8" x14ac:dyDescent="0.2">
      <c r="A3612" s="5" t="s">
        <v>27</v>
      </c>
      <c r="B3612" s="6" t="s">
        <v>14</v>
      </c>
      <c r="C3612" s="7" t="s">
        <v>4158</v>
      </c>
      <c r="D3612" s="8">
        <v>1.0807453300000001</v>
      </c>
      <c r="E3612" s="8">
        <v>1.2042697499999999</v>
      </c>
      <c r="F3612" s="7"/>
      <c r="G3612" s="7" t="str">
        <f t="shared" si="20"/>
        <v>Direct</v>
      </c>
      <c r="H3612" s="7" t="s">
        <v>4011</v>
      </c>
    </row>
    <row r="3613" spans="1:8" x14ac:dyDescent="0.2">
      <c r="A3613" s="5" t="s">
        <v>27</v>
      </c>
      <c r="B3613" s="6" t="s">
        <v>14</v>
      </c>
      <c r="C3613" s="7" t="s">
        <v>4159</v>
      </c>
      <c r="D3613" s="8">
        <v>1.18481645</v>
      </c>
      <c r="E3613" s="8">
        <v>2.8185402399999999</v>
      </c>
      <c r="F3613" s="7"/>
      <c r="G3613" s="7" t="str">
        <f t="shared" si="20"/>
        <v>Direct</v>
      </c>
      <c r="H3613" s="7" t="s">
        <v>3715</v>
      </c>
    </row>
    <row r="3614" spans="1:8" x14ac:dyDescent="0.2">
      <c r="A3614" s="5" t="s">
        <v>27</v>
      </c>
      <c r="B3614" s="6" t="s">
        <v>14</v>
      </c>
      <c r="C3614" s="7" t="s">
        <v>4160</v>
      </c>
      <c r="D3614" s="8">
        <v>-1.2205706999999999</v>
      </c>
      <c r="E3614" s="8">
        <v>-3.0783700999999999</v>
      </c>
      <c r="F3614" s="7"/>
      <c r="G3614" s="7" t="str">
        <f t="shared" si="20"/>
        <v>Direct</v>
      </c>
      <c r="H3614" s="7" t="s">
        <v>4161</v>
      </c>
    </row>
    <row r="3615" spans="1:8" x14ac:dyDescent="0.2">
      <c r="A3615" s="5" t="s">
        <v>27</v>
      </c>
      <c r="B3615" s="6" t="s">
        <v>14</v>
      </c>
      <c r="C3615" s="7" t="s">
        <v>4162</v>
      </c>
      <c r="D3615" s="8">
        <v>1.21388472</v>
      </c>
      <c r="E3615" s="8">
        <v>2.3344818900000002</v>
      </c>
      <c r="F3615" s="7"/>
      <c r="G3615" s="7" t="str">
        <f t="shared" si="20"/>
        <v>Direct</v>
      </c>
      <c r="H3615" s="7" t="s">
        <v>16</v>
      </c>
    </row>
    <row r="3616" spans="1:8" x14ac:dyDescent="0.2">
      <c r="A3616" s="5" t="s">
        <v>27</v>
      </c>
      <c r="B3616" s="6" t="s">
        <v>14</v>
      </c>
      <c r="C3616" s="7" t="s">
        <v>4163</v>
      </c>
      <c r="D3616" s="8">
        <v>1.31509287</v>
      </c>
      <c r="E3616" s="8">
        <v>1.5027451999999999</v>
      </c>
      <c r="F3616" s="7"/>
      <c r="G3616" s="7" t="str">
        <f t="shared" si="20"/>
        <v>Direct</v>
      </c>
      <c r="H3616" s="7" t="s">
        <v>16</v>
      </c>
    </row>
    <row r="3617" spans="1:8" x14ac:dyDescent="0.2">
      <c r="A3617" s="5" t="s">
        <v>27</v>
      </c>
      <c r="B3617" s="6" t="s">
        <v>14</v>
      </c>
      <c r="C3617" s="7" t="s">
        <v>4164</v>
      </c>
      <c r="D3617" s="8">
        <v>3.2728305</v>
      </c>
      <c r="E3617" s="8">
        <v>3.37889018</v>
      </c>
      <c r="F3617" s="7"/>
      <c r="G3617" s="7" t="str">
        <f t="shared" si="20"/>
        <v>Direct</v>
      </c>
      <c r="H3617" s="7" t="s">
        <v>16</v>
      </c>
    </row>
    <row r="3618" spans="1:8" x14ac:dyDescent="0.2">
      <c r="A3618" s="5" t="s">
        <v>27</v>
      </c>
      <c r="B3618" s="6" t="s">
        <v>14</v>
      </c>
      <c r="C3618" s="7" t="s">
        <v>4165</v>
      </c>
      <c r="D3618" s="8">
        <v>1.64820465</v>
      </c>
      <c r="E3618" s="8">
        <v>4.7262262599999998</v>
      </c>
      <c r="F3618" s="7"/>
      <c r="G3618" s="7" t="str">
        <f t="shared" si="20"/>
        <v>Direct</v>
      </c>
      <c r="H3618" s="7" t="s">
        <v>16</v>
      </c>
    </row>
    <row r="3619" spans="1:8" x14ac:dyDescent="0.2">
      <c r="A3619" s="5" t="s">
        <v>27</v>
      </c>
      <c r="B3619" s="6" t="s">
        <v>14</v>
      </c>
      <c r="C3619" s="7" t="s">
        <v>4166</v>
      </c>
      <c r="D3619" s="8">
        <v>3.1439376000000001</v>
      </c>
      <c r="E3619" s="8">
        <v>1.9320198</v>
      </c>
      <c r="F3619" s="7"/>
      <c r="G3619" s="7" t="str">
        <f t="shared" si="20"/>
        <v>Direct</v>
      </c>
      <c r="H3619" s="7" t="s">
        <v>4167</v>
      </c>
    </row>
    <row r="3620" spans="1:8" x14ac:dyDescent="0.2">
      <c r="A3620" s="5" t="s">
        <v>27</v>
      </c>
      <c r="B3620" s="6" t="s">
        <v>14</v>
      </c>
      <c r="C3620" s="7" t="s">
        <v>4168</v>
      </c>
      <c r="D3620" s="8">
        <v>6.1646299500000001</v>
      </c>
      <c r="E3620" s="8">
        <v>2.1975483200000001</v>
      </c>
      <c r="F3620" s="7"/>
      <c r="G3620" s="7" t="str">
        <f t="shared" si="20"/>
        <v>Direct</v>
      </c>
      <c r="H3620" s="7" t="s">
        <v>2435</v>
      </c>
    </row>
    <row r="3621" spans="1:8" x14ac:dyDescent="0.2">
      <c r="A3621" s="5" t="s">
        <v>27</v>
      </c>
      <c r="B3621" s="6" t="s">
        <v>14</v>
      </c>
      <c r="C3621" s="7" t="s">
        <v>4169</v>
      </c>
      <c r="D3621" s="8">
        <v>1.24255951</v>
      </c>
      <c r="E3621" s="8">
        <v>2.7627841200000001</v>
      </c>
      <c r="F3621" s="7"/>
      <c r="G3621" s="7" t="str">
        <f t="shared" si="20"/>
        <v>Direct</v>
      </c>
      <c r="H3621" s="7" t="s">
        <v>2509</v>
      </c>
    </row>
    <row r="3622" spans="1:8" x14ac:dyDescent="0.2">
      <c r="A3622" s="5" t="s">
        <v>27</v>
      </c>
      <c r="B3622" s="6" t="s">
        <v>14</v>
      </c>
      <c r="C3622" s="7" t="s">
        <v>4170</v>
      </c>
      <c r="D3622" s="8">
        <v>1.0149207099999999</v>
      </c>
      <c r="E3622" s="8">
        <v>1.3727483199999999</v>
      </c>
      <c r="F3622" s="7"/>
      <c r="G3622" s="7" t="str">
        <f t="shared" si="20"/>
        <v>Direct</v>
      </c>
      <c r="H3622" s="7" t="s">
        <v>4171</v>
      </c>
    </row>
    <row r="3623" spans="1:8" x14ac:dyDescent="0.2">
      <c r="A3623" s="5" t="s">
        <v>27</v>
      </c>
      <c r="B3623" s="6" t="s">
        <v>14</v>
      </c>
      <c r="C3623" s="7" t="s">
        <v>4172</v>
      </c>
      <c r="D3623" s="8">
        <v>1.92626747</v>
      </c>
      <c r="E3623" s="8">
        <v>1.21653897</v>
      </c>
      <c r="F3623" s="7"/>
      <c r="G3623" s="7" t="str">
        <f t="shared" si="20"/>
        <v>Direct</v>
      </c>
      <c r="H3623" s="7" t="s">
        <v>16</v>
      </c>
    </row>
    <row r="3624" spans="1:8" x14ac:dyDescent="0.2">
      <c r="A3624" s="5" t="s">
        <v>27</v>
      </c>
      <c r="B3624" s="6" t="s">
        <v>14</v>
      </c>
      <c r="C3624" s="7" t="s">
        <v>4173</v>
      </c>
      <c r="D3624" s="8">
        <v>1.10727748</v>
      </c>
      <c r="E3624" s="8">
        <v>1.6771986299999999</v>
      </c>
      <c r="F3624" s="7"/>
      <c r="G3624" s="7" t="str">
        <f t="shared" si="20"/>
        <v>Direct</v>
      </c>
      <c r="H3624" s="7" t="s">
        <v>2247</v>
      </c>
    </row>
    <row r="3625" spans="1:8" x14ac:dyDescent="0.2">
      <c r="A3625" s="5" t="s">
        <v>27</v>
      </c>
      <c r="B3625" s="6" t="s">
        <v>14</v>
      </c>
      <c r="C3625" s="7" t="s">
        <v>4174</v>
      </c>
      <c r="D3625" s="8">
        <v>1.4963589900000001</v>
      </c>
      <c r="E3625" s="8">
        <v>3.12004993</v>
      </c>
      <c r="F3625" s="7"/>
      <c r="G3625" s="7" t="str">
        <f t="shared" si="20"/>
        <v>Direct</v>
      </c>
      <c r="H3625" s="7" t="s">
        <v>3544</v>
      </c>
    </row>
    <row r="3626" spans="1:8" x14ac:dyDescent="0.2">
      <c r="A3626" s="5" t="s">
        <v>27</v>
      </c>
      <c r="B3626" s="6" t="s">
        <v>14</v>
      </c>
      <c r="C3626" s="7" t="s">
        <v>4175</v>
      </c>
      <c r="D3626" s="8">
        <v>1.3625895800000001</v>
      </c>
      <c r="E3626" s="8">
        <v>2.56151748</v>
      </c>
      <c r="F3626" s="7"/>
      <c r="G3626" s="7" t="str">
        <f t="shared" si="20"/>
        <v>Direct</v>
      </c>
      <c r="H3626" s="7" t="s">
        <v>543</v>
      </c>
    </row>
    <row r="3627" spans="1:8" x14ac:dyDescent="0.2">
      <c r="A3627" s="5" t="s">
        <v>27</v>
      </c>
      <c r="B3627" s="6" t="s">
        <v>14</v>
      </c>
      <c r="C3627" s="7" t="s">
        <v>4176</v>
      </c>
      <c r="D3627" s="8">
        <v>1.64820465</v>
      </c>
      <c r="E3627" s="8">
        <v>4.8125358900000004</v>
      </c>
      <c r="F3627" s="7"/>
      <c r="G3627" s="7" t="str">
        <f t="shared" si="20"/>
        <v>Direct</v>
      </c>
      <c r="H3627" s="7" t="s">
        <v>16</v>
      </c>
    </row>
    <row r="3628" spans="1:8" x14ac:dyDescent="0.2">
      <c r="A3628" s="5" t="s">
        <v>27</v>
      </c>
      <c r="B3628" s="6" t="s">
        <v>14</v>
      </c>
      <c r="C3628" s="7" t="s">
        <v>4177</v>
      </c>
      <c r="D3628" s="8">
        <v>3.3708811700000001</v>
      </c>
      <c r="E3628" s="8">
        <v>2.7311530500000001</v>
      </c>
      <c r="F3628" s="7"/>
      <c r="G3628" s="7" t="str">
        <f t="shared" si="20"/>
        <v>Direct</v>
      </c>
      <c r="H3628" s="7" t="s">
        <v>16</v>
      </c>
    </row>
    <row r="3629" spans="1:8" x14ac:dyDescent="0.2">
      <c r="A3629" s="5" t="s">
        <v>27</v>
      </c>
      <c r="B3629" s="6" t="s">
        <v>14</v>
      </c>
      <c r="C3629" s="7" t="s">
        <v>4178</v>
      </c>
      <c r="D3629" s="8">
        <v>1.31509287</v>
      </c>
      <c r="E3629" s="8">
        <v>2.3520538700000002</v>
      </c>
      <c r="F3629" s="7"/>
      <c r="G3629" s="7" t="str">
        <f t="shared" si="20"/>
        <v>Direct</v>
      </c>
      <c r="H3629" s="7" t="s">
        <v>16</v>
      </c>
    </row>
    <row r="3630" spans="1:8" x14ac:dyDescent="0.2">
      <c r="A3630" s="5" t="s">
        <v>27</v>
      </c>
      <c r="B3630" s="6" t="s">
        <v>14</v>
      </c>
      <c r="C3630" s="7" t="s">
        <v>4179</v>
      </c>
      <c r="D3630" s="8">
        <v>1.13529499</v>
      </c>
      <c r="E3630" s="8">
        <v>2.7018541200000001</v>
      </c>
      <c r="F3630" s="7"/>
      <c r="G3630" s="7" t="str">
        <f t="shared" si="20"/>
        <v>Direct</v>
      </c>
      <c r="H3630" s="7" t="s">
        <v>16</v>
      </c>
    </row>
    <row r="3631" spans="1:8" x14ac:dyDescent="0.2">
      <c r="A3631" s="5" t="s">
        <v>27</v>
      </c>
      <c r="B3631" s="6" t="s">
        <v>14</v>
      </c>
      <c r="C3631" s="7" t="s">
        <v>4180</v>
      </c>
      <c r="D3631" s="8">
        <v>-1.9587758</v>
      </c>
      <c r="E3631" s="8">
        <v>-1.7078111</v>
      </c>
      <c r="F3631" s="7"/>
      <c r="G3631" s="7" t="str">
        <f t="shared" si="20"/>
        <v>Direct</v>
      </c>
      <c r="H3631" s="7" t="s">
        <v>4091</v>
      </c>
    </row>
    <row r="3632" spans="1:8" x14ac:dyDescent="0.2">
      <c r="A3632" s="5" t="s">
        <v>27</v>
      </c>
      <c r="B3632" s="6" t="s">
        <v>14</v>
      </c>
      <c r="C3632" s="7" t="s">
        <v>4181</v>
      </c>
      <c r="D3632" s="8">
        <v>1.6593037500000001</v>
      </c>
      <c r="E3632" s="8">
        <v>1.0746188000000001</v>
      </c>
      <c r="F3632" s="7"/>
      <c r="G3632" s="7" t="str">
        <f t="shared" si="20"/>
        <v>Direct</v>
      </c>
      <c r="H3632" s="7" t="s">
        <v>2213</v>
      </c>
    </row>
    <row r="3633" spans="1:8" x14ac:dyDescent="0.2">
      <c r="A3633" s="5" t="s">
        <v>27</v>
      </c>
      <c r="B3633" s="6" t="s">
        <v>14</v>
      </c>
      <c r="C3633" s="7" t="s">
        <v>4182</v>
      </c>
      <c r="D3633" s="8">
        <v>1.8834079100000001</v>
      </c>
      <c r="E3633" s="8">
        <v>-1.2082265000000001</v>
      </c>
      <c r="F3633" s="7"/>
      <c r="G3633" s="7" t="str">
        <f t="shared" si="20"/>
        <v>Inverse</v>
      </c>
      <c r="H3633" s="7" t="s">
        <v>2360</v>
      </c>
    </row>
    <row r="3634" spans="1:8" x14ac:dyDescent="0.2">
      <c r="A3634" s="5" t="s">
        <v>27</v>
      </c>
      <c r="B3634" s="6" t="s">
        <v>14</v>
      </c>
      <c r="C3634" s="7" t="s">
        <v>4183</v>
      </c>
      <c r="D3634" s="8">
        <v>1.68379272</v>
      </c>
      <c r="E3634" s="8">
        <v>3.2867876599999999</v>
      </c>
      <c r="F3634" s="7"/>
      <c r="G3634" s="7" t="str">
        <f t="shared" si="20"/>
        <v>Direct</v>
      </c>
      <c r="H3634" s="7" t="s">
        <v>16</v>
      </c>
    </row>
    <row r="3635" spans="1:8" x14ac:dyDescent="0.2">
      <c r="A3635" s="5" t="s">
        <v>27</v>
      </c>
      <c r="B3635" s="6" t="s">
        <v>14</v>
      </c>
      <c r="C3635" s="7" t="s">
        <v>4184</v>
      </c>
      <c r="D3635" s="8">
        <v>1.00681891</v>
      </c>
      <c r="E3635" s="8">
        <v>-3.3501143999999998</v>
      </c>
      <c r="F3635" s="7"/>
      <c r="G3635" s="7" t="str">
        <f t="shared" si="20"/>
        <v>Inverse</v>
      </c>
      <c r="H3635" s="7" t="s">
        <v>663</v>
      </c>
    </row>
    <row r="3636" spans="1:8" x14ac:dyDescent="0.2">
      <c r="A3636" s="5" t="s">
        <v>27</v>
      </c>
      <c r="B3636" s="6" t="s">
        <v>14</v>
      </c>
      <c r="C3636" s="7" t="s">
        <v>4185</v>
      </c>
      <c r="D3636" s="8">
        <v>-1.0149207</v>
      </c>
      <c r="E3636" s="8">
        <v>-1.7842528</v>
      </c>
      <c r="F3636" s="7"/>
      <c r="G3636" s="7" t="str">
        <f t="shared" si="20"/>
        <v>Direct</v>
      </c>
      <c r="H3636" s="7" t="s">
        <v>1897</v>
      </c>
    </row>
    <row r="3637" spans="1:8" x14ac:dyDescent="0.2">
      <c r="A3637" s="5" t="s">
        <v>27</v>
      </c>
      <c r="B3637" s="6" t="s">
        <v>14</v>
      </c>
      <c r="C3637" s="7" t="s">
        <v>4186</v>
      </c>
      <c r="D3637" s="8">
        <v>1.0242743999999999</v>
      </c>
      <c r="E3637" s="8">
        <v>1.84667099</v>
      </c>
      <c r="F3637" s="7"/>
      <c r="G3637" s="7" t="str">
        <f t="shared" si="20"/>
        <v>Direct</v>
      </c>
      <c r="H3637" s="7" t="s">
        <v>16</v>
      </c>
    </row>
    <row r="3638" spans="1:8" x14ac:dyDescent="0.2">
      <c r="A3638" s="5" t="s">
        <v>27</v>
      </c>
      <c r="B3638" s="6" t="s">
        <v>14</v>
      </c>
      <c r="C3638" s="7" t="s">
        <v>4187</v>
      </c>
      <c r="D3638" s="8">
        <v>-1.2941459</v>
      </c>
      <c r="E3638" s="8">
        <v>-1.8261404000000001</v>
      </c>
      <c r="F3638" s="7"/>
      <c r="G3638" s="7" t="str">
        <f t="shared" si="20"/>
        <v>Direct</v>
      </c>
      <c r="H3638" s="7" t="s">
        <v>4188</v>
      </c>
    </row>
    <row r="3639" spans="1:8" x14ac:dyDescent="0.2">
      <c r="A3639" s="5" t="s">
        <v>27</v>
      </c>
      <c r="B3639" s="6" t="s">
        <v>14</v>
      </c>
      <c r="C3639" s="7" t="s">
        <v>4189</v>
      </c>
      <c r="D3639" s="8">
        <v>1.4068614500000001</v>
      </c>
      <c r="E3639" s="8">
        <v>1.5101600900000001</v>
      </c>
      <c r="F3639" s="7"/>
      <c r="G3639" s="7" t="str">
        <f t="shared" si="20"/>
        <v>Direct</v>
      </c>
      <c r="H3639" s="7" t="s">
        <v>590</v>
      </c>
    </row>
    <row r="3640" spans="1:8" x14ac:dyDescent="0.2">
      <c r="A3640" s="5" t="s">
        <v>27</v>
      </c>
      <c r="B3640" s="6" t="s">
        <v>14</v>
      </c>
      <c r="C3640" s="7" t="s">
        <v>4190</v>
      </c>
      <c r="D3640" s="8">
        <v>1.2913954999999999</v>
      </c>
      <c r="E3640" s="8">
        <v>1.6752047999999999</v>
      </c>
      <c r="F3640" s="7"/>
      <c r="G3640" s="7" t="str">
        <f t="shared" si="20"/>
        <v>Direct</v>
      </c>
      <c r="H3640" s="7" t="s">
        <v>16</v>
      </c>
    </row>
    <row r="3641" spans="1:8" x14ac:dyDescent="0.2">
      <c r="A3641" s="5" t="s">
        <v>27</v>
      </c>
      <c r="B3641" s="6" t="s">
        <v>14</v>
      </c>
      <c r="C3641" s="7" t="s">
        <v>4191</v>
      </c>
      <c r="D3641" s="8">
        <v>-1.0381205</v>
      </c>
      <c r="E3641" s="8">
        <v>-8.7179164</v>
      </c>
      <c r="F3641" s="7"/>
      <c r="G3641" s="7" t="str">
        <f t="shared" si="20"/>
        <v>Direct</v>
      </c>
      <c r="H3641" s="7" t="s">
        <v>3214</v>
      </c>
    </row>
    <row r="3642" spans="1:8" x14ac:dyDescent="0.2">
      <c r="A3642" s="5" t="s">
        <v>27</v>
      </c>
      <c r="B3642" s="6" t="s">
        <v>14</v>
      </c>
      <c r="C3642" s="7" t="s">
        <v>4192</v>
      </c>
      <c r="D3642" s="8">
        <v>1.4595134400000001</v>
      </c>
      <c r="E3642" s="8">
        <v>1.2991021300000001</v>
      </c>
      <c r="F3642" s="7"/>
      <c r="G3642" s="7" t="str">
        <f t="shared" si="20"/>
        <v>Direct</v>
      </c>
      <c r="H3642" s="7" t="s">
        <v>4193</v>
      </c>
    </row>
    <row r="3643" spans="1:8" x14ac:dyDescent="0.2">
      <c r="A3643" s="5" t="s">
        <v>27</v>
      </c>
      <c r="B3643" s="6" t="s">
        <v>14</v>
      </c>
      <c r="C3643" s="7" t="s">
        <v>4194</v>
      </c>
      <c r="D3643" s="8">
        <v>-1.0050384999999999</v>
      </c>
      <c r="E3643" s="8">
        <v>1.0870381899999999</v>
      </c>
      <c r="F3643" s="7"/>
      <c r="G3643" s="7" t="str">
        <f t="shared" si="20"/>
        <v>Inverse</v>
      </c>
      <c r="H3643" s="7" t="s">
        <v>3322</v>
      </c>
    </row>
    <row r="3644" spans="1:8" x14ac:dyDescent="0.2">
      <c r="A3644" s="5" t="s">
        <v>27</v>
      </c>
      <c r="B3644" s="6" t="s">
        <v>14</v>
      </c>
      <c r="C3644" s="7" t="s">
        <v>4195</v>
      </c>
      <c r="D3644" s="8">
        <v>2.0187827500000002</v>
      </c>
      <c r="E3644" s="8">
        <v>3.4049171999999999</v>
      </c>
      <c r="F3644" s="7"/>
      <c r="G3644" s="7" t="str">
        <f t="shared" si="20"/>
        <v>Direct</v>
      </c>
      <c r="H3644" s="7" t="s">
        <v>16</v>
      </c>
    </row>
    <row r="3645" spans="1:8" x14ac:dyDescent="0.2">
      <c r="A3645" s="5" t="s">
        <v>27</v>
      </c>
      <c r="B3645" s="6" t="s">
        <v>14</v>
      </c>
      <c r="C3645" s="7" t="s">
        <v>4196</v>
      </c>
      <c r="D3645" s="8">
        <v>1.6232497400000001</v>
      </c>
      <c r="E3645" s="8">
        <v>1.6577182800000001</v>
      </c>
      <c r="F3645" s="7"/>
      <c r="G3645" s="7" t="str">
        <f t="shared" si="20"/>
        <v>Direct</v>
      </c>
      <c r="H3645" s="7" t="s">
        <v>4197</v>
      </c>
    </row>
    <row r="3646" spans="1:8" x14ac:dyDescent="0.2">
      <c r="A3646" s="5" t="s">
        <v>27</v>
      </c>
      <c r="B3646" s="6" t="s">
        <v>14</v>
      </c>
      <c r="C3646" s="7" t="s">
        <v>4198</v>
      </c>
      <c r="D3646" s="8">
        <v>-2.7201409999999999</v>
      </c>
      <c r="E3646" s="8">
        <v>-7.5484952999999999</v>
      </c>
      <c r="F3646" s="7"/>
      <c r="G3646" s="7" t="str">
        <f t="shared" si="20"/>
        <v>Direct</v>
      </c>
      <c r="H3646" s="7" t="s">
        <v>4199</v>
      </c>
    </row>
    <row r="3647" spans="1:8" x14ac:dyDescent="0.2">
      <c r="A3647" s="5" t="s">
        <v>27</v>
      </c>
      <c r="B3647" s="6" t="s">
        <v>14</v>
      </c>
      <c r="C3647" s="7" t="s">
        <v>4200</v>
      </c>
      <c r="D3647" s="8">
        <v>1.29493049</v>
      </c>
      <c r="E3647" s="8">
        <v>1.31802832</v>
      </c>
      <c r="F3647" s="7"/>
      <c r="G3647" s="7" t="str">
        <f t="shared" si="20"/>
        <v>Direct</v>
      </c>
      <c r="H3647" s="7" t="s">
        <v>4201</v>
      </c>
    </row>
    <row r="3648" spans="1:8" x14ac:dyDescent="0.2">
      <c r="A3648" s="5" t="s">
        <v>27</v>
      </c>
      <c r="B3648" s="6" t="s">
        <v>14</v>
      </c>
      <c r="C3648" s="7" t="s">
        <v>4202</v>
      </c>
      <c r="D3648" s="8">
        <v>2.35266529</v>
      </c>
      <c r="E3648" s="8">
        <v>3.6073185200000002</v>
      </c>
      <c r="F3648" s="7"/>
      <c r="G3648" s="7" t="str">
        <f t="shared" si="20"/>
        <v>Direct</v>
      </c>
      <c r="H3648" s="7" t="s">
        <v>1111</v>
      </c>
    </row>
    <row r="3649" spans="1:8" x14ac:dyDescent="0.2">
      <c r="A3649" s="5" t="s">
        <v>27</v>
      </c>
      <c r="B3649" s="6" t="s">
        <v>14</v>
      </c>
      <c r="C3649" s="7" t="s">
        <v>4203</v>
      </c>
      <c r="D3649" s="8">
        <v>1.57435002</v>
      </c>
      <c r="E3649" s="8">
        <v>2.9308396499999998</v>
      </c>
      <c r="F3649" s="7"/>
      <c r="G3649" s="7" t="str">
        <f t="shared" si="20"/>
        <v>Direct</v>
      </c>
      <c r="H3649" s="7" t="s">
        <v>16</v>
      </c>
    </row>
    <row r="3650" spans="1:8" x14ac:dyDescent="0.2">
      <c r="A3650" s="5" t="s">
        <v>27</v>
      </c>
      <c r="B3650" s="6" t="s">
        <v>14</v>
      </c>
      <c r="C3650" s="7" t="s">
        <v>4204</v>
      </c>
      <c r="D3650" s="8">
        <v>1.0771981900000001</v>
      </c>
      <c r="E3650" s="8">
        <v>1.0643857400000001</v>
      </c>
      <c r="F3650" s="7"/>
      <c r="G3650" s="7" t="str">
        <f t="shared" si="20"/>
        <v>Direct</v>
      </c>
      <c r="H3650" s="7" t="s">
        <v>4205</v>
      </c>
    </row>
    <row r="3651" spans="1:8" x14ac:dyDescent="0.2">
      <c r="A3651" s="5" t="s">
        <v>27</v>
      </c>
      <c r="B3651" s="6" t="s">
        <v>14</v>
      </c>
      <c r="C3651" s="7" t="s">
        <v>4206</v>
      </c>
      <c r="D3651" s="8">
        <v>1.15719891</v>
      </c>
      <c r="E3651" s="8">
        <v>1.1315354900000001</v>
      </c>
      <c r="F3651" s="7"/>
      <c r="G3651" s="7" t="str">
        <f t="shared" si="20"/>
        <v>Direct</v>
      </c>
      <c r="H3651" s="7" t="s">
        <v>4207</v>
      </c>
    </row>
    <row r="3652" spans="1:8" x14ac:dyDescent="0.2">
      <c r="A3652" s="5" t="s">
        <v>27</v>
      </c>
      <c r="B3652" s="6" t="s">
        <v>14</v>
      </c>
      <c r="C3652" s="7" t="s">
        <v>4208</v>
      </c>
      <c r="D3652" s="8">
        <v>1.07879763</v>
      </c>
      <c r="E3652" s="8">
        <v>3.1685894999999999</v>
      </c>
      <c r="F3652" s="7"/>
      <c r="G3652" s="7" t="str">
        <f t="shared" si="20"/>
        <v>Direct</v>
      </c>
      <c r="H3652" s="7" t="s">
        <v>4209</v>
      </c>
    </row>
    <row r="3653" spans="1:8" x14ac:dyDescent="0.2">
      <c r="A3653" s="5" t="s">
        <v>27</v>
      </c>
      <c r="B3653" s="6" t="s">
        <v>14</v>
      </c>
      <c r="C3653" s="7" t="s">
        <v>4210</v>
      </c>
      <c r="D3653" s="8">
        <v>1.40406717</v>
      </c>
      <c r="E3653" s="8">
        <v>-1.1397056000000001</v>
      </c>
      <c r="F3653" s="7"/>
      <c r="G3653" s="7" t="str">
        <f t="shared" si="20"/>
        <v>Inverse</v>
      </c>
      <c r="H3653" s="7" t="s">
        <v>1358</v>
      </c>
    </row>
    <row r="3654" spans="1:8" x14ac:dyDescent="0.2">
      <c r="A3654" s="5" t="s">
        <v>27</v>
      </c>
      <c r="B3654" s="6" t="s">
        <v>14</v>
      </c>
      <c r="C3654" s="7" t="s">
        <v>4211</v>
      </c>
      <c r="D3654" s="8">
        <v>-1.2792271</v>
      </c>
      <c r="E3654" s="8">
        <v>-3.001728</v>
      </c>
      <c r="F3654" s="7"/>
      <c r="G3654" s="7" t="str">
        <f t="shared" si="20"/>
        <v>Direct</v>
      </c>
      <c r="H3654" s="7" t="s">
        <v>142</v>
      </c>
    </row>
    <row r="3655" spans="1:8" x14ac:dyDescent="0.2">
      <c r="A3655" s="5" t="s">
        <v>27</v>
      </c>
      <c r="B3655" s="6" t="s">
        <v>14</v>
      </c>
      <c r="C3655" s="7" t="s">
        <v>4212</v>
      </c>
      <c r="D3655" s="8">
        <v>6.1646299500000001</v>
      </c>
      <c r="E3655" s="8">
        <v>8.4227492399999999</v>
      </c>
      <c r="F3655" s="7"/>
      <c r="G3655" s="7" t="str">
        <f t="shared" si="20"/>
        <v>Direct</v>
      </c>
      <c r="H3655" s="7" t="s">
        <v>4213</v>
      </c>
    </row>
    <row r="3656" spans="1:8" x14ac:dyDescent="0.2">
      <c r="A3656" s="5" t="s">
        <v>27</v>
      </c>
      <c r="B3656" s="6" t="s">
        <v>14</v>
      </c>
      <c r="C3656" s="7" t="s">
        <v>4214</v>
      </c>
      <c r="D3656" s="8">
        <v>1.0347069099999999</v>
      </c>
      <c r="E3656" s="8">
        <v>2.1981066199999999</v>
      </c>
      <c r="F3656" s="7"/>
      <c r="G3656" s="7" t="str">
        <f t="shared" si="20"/>
        <v>Direct</v>
      </c>
      <c r="H3656" s="7" t="s">
        <v>16</v>
      </c>
    </row>
    <row r="3657" spans="1:8" x14ac:dyDescent="0.2">
      <c r="A3657" s="5" t="s">
        <v>27</v>
      </c>
      <c r="B3657" s="6" t="s">
        <v>14</v>
      </c>
      <c r="C3657" s="7" t="s">
        <v>4215</v>
      </c>
      <c r="D3657" s="8">
        <v>1.07879763</v>
      </c>
      <c r="E3657" s="8">
        <v>-1.7186322000000001</v>
      </c>
      <c r="F3657" s="7"/>
      <c r="G3657" s="7" t="str">
        <f t="shared" si="20"/>
        <v>Inverse</v>
      </c>
      <c r="H3657" s="7" t="s">
        <v>1601</v>
      </c>
    </row>
    <row r="3658" spans="1:8" x14ac:dyDescent="0.2">
      <c r="A3658" s="5" t="s">
        <v>27</v>
      </c>
      <c r="B3658" s="6" t="s">
        <v>14</v>
      </c>
      <c r="C3658" s="7" t="s">
        <v>4216</v>
      </c>
      <c r="D3658" s="8">
        <v>4.6163805499999997</v>
      </c>
      <c r="E3658" s="8">
        <v>5.87131267</v>
      </c>
      <c r="F3658" s="7"/>
      <c r="G3658" s="7" t="str">
        <f t="shared" si="20"/>
        <v>Direct</v>
      </c>
      <c r="H3658" s="7" t="s">
        <v>16</v>
      </c>
    </row>
    <row r="3659" spans="1:8" x14ac:dyDescent="0.2">
      <c r="A3659" s="5" t="s">
        <v>27</v>
      </c>
      <c r="B3659" s="6" t="s">
        <v>14</v>
      </c>
      <c r="C3659" s="7" t="s">
        <v>4217</v>
      </c>
      <c r="D3659" s="8">
        <v>1.15682391</v>
      </c>
      <c r="E3659" s="8">
        <v>7.99267124</v>
      </c>
      <c r="F3659" s="7"/>
      <c r="G3659" s="7" t="str">
        <f t="shared" si="20"/>
        <v>Direct</v>
      </c>
      <c r="H3659" s="7" t="s">
        <v>4218</v>
      </c>
    </row>
    <row r="3660" spans="1:8" x14ac:dyDescent="0.2">
      <c r="A3660" s="5" t="s">
        <v>27</v>
      </c>
      <c r="B3660" s="6" t="s">
        <v>14</v>
      </c>
      <c r="C3660" s="7" t="s">
        <v>4219</v>
      </c>
      <c r="D3660" s="8">
        <v>1.58912122</v>
      </c>
      <c r="E3660" s="8">
        <v>1.24656751</v>
      </c>
      <c r="F3660" s="7"/>
      <c r="G3660" s="7" t="str">
        <f t="shared" si="20"/>
        <v>Direct</v>
      </c>
      <c r="H3660" s="7" t="s">
        <v>16</v>
      </c>
    </row>
    <row r="3661" spans="1:8" x14ac:dyDescent="0.2">
      <c r="A3661" s="5" t="s">
        <v>27</v>
      </c>
      <c r="B3661" s="6" t="s">
        <v>14</v>
      </c>
      <c r="C3661" s="7" t="s">
        <v>4220</v>
      </c>
      <c r="D3661" s="8">
        <v>2.8765767000000002</v>
      </c>
      <c r="E3661" s="8">
        <v>6.8848763499999999</v>
      </c>
      <c r="F3661" s="7"/>
      <c r="G3661" s="7" t="str">
        <f t="shared" si="20"/>
        <v>Direct</v>
      </c>
      <c r="H3661" s="7" t="s">
        <v>16</v>
      </c>
    </row>
    <row r="3662" spans="1:8" x14ac:dyDescent="0.2">
      <c r="A3662" s="5" t="s">
        <v>27</v>
      </c>
      <c r="B3662" s="6" t="s">
        <v>14</v>
      </c>
      <c r="C3662" s="7" t="s">
        <v>4221</v>
      </c>
      <c r="D3662" s="8">
        <v>1.70171962</v>
      </c>
      <c r="E3662" s="8">
        <v>1.2066506400000001</v>
      </c>
      <c r="F3662" s="7"/>
      <c r="G3662" s="7" t="str">
        <f t="shared" si="20"/>
        <v>Direct</v>
      </c>
      <c r="H3662" s="7" t="s">
        <v>4222</v>
      </c>
    </row>
    <row r="3663" spans="1:8" x14ac:dyDescent="0.2">
      <c r="A3663" s="5" t="s">
        <v>27</v>
      </c>
      <c r="B3663" s="6" t="s">
        <v>14</v>
      </c>
      <c r="C3663" s="7" t="s">
        <v>4223</v>
      </c>
      <c r="D3663" s="8">
        <v>1.09386779</v>
      </c>
      <c r="E3663" s="8">
        <v>4.1854313300000001</v>
      </c>
      <c r="F3663" s="7"/>
      <c r="G3663" s="7" t="str">
        <f t="shared" si="20"/>
        <v>Direct</v>
      </c>
      <c r="H3663" s="7" t="s">
        <v>4224</v>
      </c>
    </row>
    <row r="3664" spans="1:8" x14ac:dyDescent="0.2">
      <c r="A3664" s="5" t="s">
        <v>27</v>
      </c>
      <c r="B3664" s="6" t="s">
        <v>14</v>
      </c>
      <c r="C3664" s="7" t="s">
        <v>4225</v>
      </c>
      <c r="D3664" s="8">
        <v>2.49302373</v>
      </c>
      <c r="E3664" s="8">
        <v>1.73770578</v>
      </c>
      <c r="F3664" s="7"/>
      <c r="G3664" s="7" t="str">
        <f t="shared" si="20"/>
        <v>Direct</v>
      </c>
      <c r="H3664" s="7" t="s">
        <v>16</v>
      </c>
    </row>
    <row r="3665" spans="1:8" x14ac:dyDescent="0.2">
      <c r="A3665" s="5" t="s">
        <v>27</v>
      </c>
      <c r="B3665" s="6" t="s">
        <v>14</v>
      </c>
      <c r="C3665" s="7" t="s">
        <v>4226</v>
      </c>
      <c r="D3665" s="8">
        <v>1.07205949</v>
      </c>
      <c r="E3665" s="8">
        <v>-1.2198038</v>
      </c>
      <c r="F3665" s="7"/>
      <c r="G3665" s="7" t="str">
        <f t="shared" si="20"/>
        <v>Inverse</v>
      </c>
      <c r="H3665" s="7" t="s">
        <v>1348</v>
      </c>
    </row>
    <row r="3666" spans="1:8" x14ac:dyDescent="0.2">
      <c r="A3666" s="5" t="s">
        <v>27</v>
      </c>
      <c r="B3666" s="6" t="s">
        <v>14</v>
      </c>
      <c r="C3666" s="7" t="s">
        <v>4227</v>
      </c>
      <c r="D3666" s="8">
        <v>1.08209423</v>
      </c>
      <c r="E3666" s="8">
        <v>1.3395321</v>
      </c>
      <c r="F3666" s="7"/>
      <c r="G3666" s="7" t="str">
        <f t="shared" si="20"/>
        <v>Direct</v>
      </c>
      <c r="H3666" s="7" t="s">
        <v>4228</v>
      </c>
    </row>
    <row r="3667" spans="1:8" x14ac:dyDescent="0.2">
      <c r="A3667" s="5" t="s">
        <v>27</v>
      </c>
      <c r="B3667" s="6" t="s">
        <v>14</v>
      </c>
      <c r="C3667" s="7" t="s">
        <v>4229</v>
      </c>
      <c r="D3667" s="8">
        <v>1.27308785</v>
      </c>
      <c r="E3667" s="8">
        <v>2.9916871600000001</v>
      </c>
      <c r="F3667" s="7"/>
      <c r="G3667" s="7" t="str">
        <f t="shared" si="20"/>
        <v>Direct</v>
      </c>
      <c r="H3667" s="7" t="s">
        <v>4230</v>
      </c>
    </row>
    <row r="3668" spans="1:8" x14ac:dyDescent="0.2">
      <c r="A3668" s="5" t="s">
        <v>27</v>
      </c>
      <c r="B3668" s="6" t="s">
        <v>14</v>
      </c>
      <c r="C3668" s="7" t="s">
        <v>4231</v>
      </c>
      <c r="D3668" s="8">
        <v>2.3463181299999998</v>
      </c>
      <c r="E3668" s="8">
        <v>5.6046958800000004</v>
      </c>
      <c r="F3668" s="7"/>
      <c r="G3668" s="7" t="str">
        <f t="shared" si="20"/>
        <v>Direct</v>
      </c>
      <c r="H3668" s="7" t="s">
        <v>4230</v>
      </c>
    </row>
    <row r="3669" spans="1:8" x14ac:dyDescent="0.2">
      <c r="A3669" s="5" t="s">
        <v>27</v>
      </c>
      <c r="B3669" s="6" t="s">
        <v>14</v>
      </c>
      <c r="C3669" s="7" t="s">
        <v>4232</v>
      </c>
      <c r="D3669" s="8">
        <v>-1.8615272</v>
      </c>
      <c r="E3669" s="8">
        <v>-7.1668802999999999</v>
      </c>
      <c r="F3669" s="7"/>
      <c r="G3669" s="7" t="str">
        <f t="shared" si="20"/>
        <v>Direct</v>
      </c>
      <c r="H3669" s="7" t="s">
        <v>16</v>
      </c>
    </row>
    <row r="3670" spans="1:8" x14ac:dyDescent="0.2">
      <c r="A3670" s="5" t="s">
        <v>27</v>
      </c>
      <c r="B3670" s="6" t="s">
        <v>14</v>
      </c>
      <c r="C3670" s="7" t="s">
        <v>4233</v>
      </c>
      <c r="D3670" s="8">
        <v>1.25238893</v>
      </c>
      <c r="E3670" s="8">
        <v>3.1817161999999999</v>
      </c>
      <c r="F3670" s="7"/>
      <c r="G3670" s="7" t="str">
        <f t="shared" si="20"/>
        <v>Direct</v>
      </c>
      <c r="H3670" s="7" t="s">
        <v>4234</v>
      </c>
    </row>
    <row r="3671" spans="1:8" x14ac:dyDescent="0.2">
      <c r="A3671" s="5" t="s">
        <v>27</v>
      </c>
      <c r="B3671" s="6" t="s">
        <v>14</v>
      </c>
      <c r="C3671" s="7" t="s">
        <v>4235</v>
      </c>
      <c r="D3671" s="8">
        <v>1.08867647</v>
      </c>
      <c r="E3671" s="8">
        <v>2.8119184100000001</v>
      </c>
      <c r="F3671" s="7"/>
      <c r="G3671" s="7" t="str">
        <f t="shared" si="20"/>
        <v>Direct</v>
      </c>
      <c r="H3671" s="7" t="s">
        <v>3708</v>
      </c>
    </row>
    <row r="3672" spans="1:8" x14ac:dyDescent="0.2">
      <c r="A3672" s="5" t="s">
        <v>27</v>
      </c>
      <c r="B3672" s="6" t="s">
        <v>14</v>
      </c>
      <c r="C3672" s="7" t="s">
        <v>4236</v>
      </c>
      <c r="D3672" s="8">
        <v>1.0381205099999999</v>
      </c>
      <c r="E3672" s="8">
        <v>2.1766210799999999</v>
      </c>
      <c r="F3672" s="7"/>
      <c r="G3672" s="7" t="str">
        <f t="shared" si="20"/>
        <v>Direct</v>
      </c>
      <c r="H3672" s="7" t="s">
        <v>665</v>
      </c>
    </row>
    <row r="3673" spans="1:8" x14ac:dyDescent="0.2">
      <c r="A3673" s="5" t="s">
        <v>27</v>
      </c>
      <c r="B3673" s="6" t="s">
        <v>14</v>
      </c>
      <c r="C3673" s="7" t="s">
        <v>4237</v>
      </c>
      <c r="D3673" s="8">
        <v>1.40049479</v>
      </c>
      <c r="E3673" s="8">
        <v>8.4163946099999993</v>
      </c>
      <c r="F3673" s="7"/>
      <c r="G3673" s="7" t="str">
        <f t="shared" si="20"/>
        <v>Direct</v>
      </c>
      <c r="H3673" s="7" t="s">
        <v>16</v>
      </c>
    </row>
    <row r="3674" spans="1:8" x14ac:dyDescent="0.2">
      <c r="A3674" s="5" t="s">
        <v>27</v>
      </c>
      <c r="B3674" s="6" t="s">
        <v>14</v>
      </c>
      <c r="C3674" s="7" t="s">
        <v>4238</v>
      </c>
      <c r="D3674" s="8">
        <v>4.4506834900000003</v>
      </c>
      <c r="E3674" s="8">
        <v>2.6335064400000001</v>
      </c>
      <c r="F3674" s="7"/>
      <c r="G3674" s="7" t="str">
        <f t="shared" si="20"/>
        <v>Direct</v>
      </c>
      <c r="H3674" s="7" t="s">
        <v>16</v>
      </c>
    </row>
    <row r="3675" spans="1:8" x14ac:dyDescent="0.2">
      <c r="A3675" s="5" t="s">
        <v>27</v>
      </c>
      <c r="B3675" s="6" t="s">
        <v>14</v>
      </c>
      <c r="C3675" s="7" t="s">
        <v>4239</v>
      </c>
      <c r="D3675" s="8">
        <v>1.2193882199999999</v>
      </c>
      <c r="E3675" s="8">
        <v>5.3595283</v>
      </c>
      <c r="F3675" s="7"/>
      <c r="G3675" s="7" t="str">
        <f t="shared" si="20"/>
        <v>Direct</v>
      </c>
      <c r="H3675" s="7" t="s">
        <v>606</v>
      </c>
    </row>
    <row r="3676" spans="1:8" x14ac:dyDescent="0.2">
      <c r="A3676" s="5" t="s">
        <v>27</v>
      </c>
      <c r="B3676" s="6" t="s">
        <v>14</v>
      </c>
      <c r="C3676" s="7" t="s">
        <v>4240</v>
      </c>
      <c r="D3676" s="8">
        <v>1.0765200699999999</v>
      </c>
      <c r="E3676" s="8">
        <v>2.0588776900000001</v>
      </c>
      <c r="F3676" s="7"/>
      <c r="G3676" s="7" t="str">
        <f t="shared" si="20"/>
        <v>Direct</v>
      </c>
      <c r="H3676" s="7" t="s">
        <v>4241</v>
      </c>
    </row>
    <row r="3677" spans="1:8" x14ac:dyDescent="0.2">
      <c r="A3677" s="5" t="s">
        <v>27</v>
      </c>
      <c r="B3677" s="6" t="s">
        <v>14</v>
      </c>
      <c r="C3677" s="7" t="s">
        <v>4242</v>
      </c>
      <c r="D3677" s="8">
        <v>1.3276384299999999</v>
      </c>
      <c r="E3677" s="8">
        <v>1.68452201</v>
      </c>
      <c r="F3677" s="7"/>
      <c r="G3677" s="7" t="str">
        <f t="shared" si="20"/>
        <v>Direct</v>
      </c>
      <c r="H3677" s="7" t="s">
        <v>4243</v>
      </c>
    </row>
    <row r="3678" spans="1:8" x14ac:dyDescent="0.2">
      <c r="A3678" s="5" t="s">
        <v>27</v>
      </c>
      <c r="B3678" s="6" t="s">
        <v>14</v>
      </c>
      <c r="C3678" s="7" t="s">
        <v>4244</v>
      </c>
      <c r="D3678" s="8">
        <v>1.2660968500000001</v>
      </c>
      <c r="E3678" s="8">
        <v>3.01214147</v>
      </c>
      <c r="F3678" s="7"/>
      <c r="G3678" s="7" t="str">
        <f t="shared" si="20"/>
        <v>Direct</v>
      </c>
      <c r="H3678" s="7" t="s">
        <v>814</v>
      </c>
    </row>
    <row r="3679" spans="1:8" x14ac:dyDescent="0.2">
      <c r="A3679" s="5" t="s">
        <v>27</v>
      </c>
      <c r="B3679" s="6" t="s">
        <v>14</v>
      </c>
      <c r="C3679" s="7" t="s">
        <v>4245</v>
      </c>
      <c r="D3679" s="8">
        <v>1.0047513299999999</v>
      </c>
      <c r="E3679" s="8">
        <v>14.598974399999999</v>
      </c>
      <c r="F3679" s="7"/>
      <c r="G3679" s="7" t="str">
        <f t="shared" si="20"/>
        <v>Direct</v>
      </c>
      <c r="H3679" s="7" t="s">
        <v>16</v>
      </c>
    </row>
    <row r="3680" spans="1:8" x14ac:dyDescent="0.2">
      <c r="A3680" s="5" t="s">
        <v>27</v>
      </c>
      <c r="B3680" s="6" t="s">
        <v>14</v>
      </c>
      <c r="C3680" s="7" t="s">
        <v>4246</v>
      </c>
      <c r="D3680" s="8">
        <v>1.2193882199999999</v>
      </c>
      <c r="E3680" s="8">
        <v>-3.7352626999999998</v>
      </c>
      <c r="F3680" s="7"/>
      <c r="G3680" s="7" t="str">
        <f t="shared" si="20"/>
        <v>Inverse</v>
      </c>
      <c r="H3680" s="7" t="s">
        <v>4247</v>
      </c>
    </row>
    <row r="3681" spans="1:8" x14ac:dyDescent="0.2">
      <c r="A3681" s="5" t="s">
        <v>27</v>
      </c>
      <c r="B3681" s="6" t="s">
        <v>14</v>
      </c>
      <c r="C3681" s="7" t="s">
        <v>4248</v>
      </c>
      <c r="D3681" s="8">
        <v>2.2508727199999998</v>
      </c>
      <c r="E3681" s="8">
        <v>-5.9266889999999997</v>
      </c>
      <c r="F3681" s="7"/>
      <c r="G3681" s="7" t="str">
        <f t="shared" si="20"/>
        <v>Inverse</v>
      </c>
      <c r="H3681" s="7" t="s">
        <v>2367</v>
      </c>
    </row>
    <row r="3682" spans="1:8" x14ac:dyDescent="0.2">
      <c r="A3682" s="5" t="s">
        <v>27</v>
      </c>
      <c r="B3682" s="6" t="s">
        <v>14</v>
      </c>
      <c r="C3682" s="7" t="s">
        <v>4249</v>
      </c>
      <c r="D3682" s="8">
        <v>1.6058093099999999</v>
      </c>
      <c r="E3682" s="8">
        <v>8.7807228100000003</v>
      </c>
      <c r="F3682" s="7"/>
      <c r="G3682" s="7" t="str">
        <f t="shared" si="20"/>
        <v>Direct</v>
      </c>
      <c r="H3682" s="7" t="s">
        <v>287</v>
      </c>
    </row>
    <row r="3683" spans="1:8" x14ac:dyDescent="0.2">
      <c r="A3683" s="5" t="s">
        <v>27</v>
      </c>
      <c r="B3683" s="6" t="s">
        <v>14</v>
      </c>
      <c r="C3683" s="7" t="s">
        <v>4250</v>
      </c>
      <c r="D3683" s="8">
        <v>-1.2784472</v>
      </c>
      <c r="E3683" s="8">
        <v>-8.6213777999999994</v>
      </c>
      <c r="F3683" s="7"/>
      <c r="G3683" s="7" t="str">
        <f t="shared" si="20"/>
        <v>Direct</v>
      </c>
      <c r="H3683" s="7" t="s">
        <v>16</v>
      </c>
    </row>
    <row r="3684" spans="1:8" x14ac:dyDescent="0.2">
      <c r="A3684" s="5" t="s">
        <v>27</v>
      </c>
      <c r="B3684" s="6" t="s">
        <v>14</v>
      </c>
      <c r="C3684" s="7" t="s">
        <v>4251</v>
      </c>
      <c r="D3684" s="8">
        <v>-1.3607354</v>
      </c>
      <c r="E3684" s="8">
        <v>-12.678008999999999</v>
      </c>
      <c r="F3684" s="7"/>
      <c r="G3684" s="7" t="str">
        <f t="shared" si="20"/>
        <v>Direct</v>
      </c>
      <c r="H3684" s="7" t="s">
        <v>16</v>
      </c>
    </row>
    <row r="3685" spans="1:8" x14ac:dyDescent="0.2">
      <c r="A3685" s="5" t="s">
        <v>27</v>
      </c>
      <c r="B3685" s="6" t="s">
        <v>14</v>
      </c>
      <c r="C3685" s="7" t="s">
        <v>4252</v>
      </c>
      <c r="D3685" s="8">
        <v>1.2784472099999999</v>
      </c>
      <c r="E3685" s="8">
        <v>1.66871127</v>
      </c>
      <c r="F3685" s="7"/>
      <c r="G3685" s="7" t="str">
        <f t="shared" si="20"/>
        <v>Direct</v>
      </c>
      <c r="H3685" s="7" t="s">
        <v>429</v>
      </c>
    </row>
    <row r="3686" spans="1:8" x14ac:dyDescent="0.2">
      <c r="A3686" s="5" t="s">
        <v>27</v>
      </c>
      <c r="B3686" s="6" t="s">
        <v>14</v>
      </c>
      <c r="C3686" s="7" t="s">
        <v>4253</v>
      </c>
      <c r="D3686" s="8">
        <v>1.8378983900000001</v>
      </c>
      <c r="E3686" s="8">
        <v>8.3685025</v>
      </c>
      <c r="F3686" s="7"/>
      <c r="G3686" s="7" t="str">
        <f t="shared" si="20"/>
        <v>Direct</v>
      </c>
      <c r="H3686" s="7" t="s">
        <v>429</v>
      </c>
    </row>
    <row r="3687" spans="1:8" x14ac:dyDescent="0.2">
      <c r="A3687" s="5" t="s">
        <v>27</v>
      </c>
      <c r="B3687" s="6" t="s">
        <v>14</v>
      </c>
      <c r="C3687" s="7" t="s">
        <v>4254</v>
      </c>
      <c r="D3687" s="8">
        <v>1.8615271900000001</v>
      </c>
      <c r="E3687" s="8">
        <v>7.25627683</v>
      </c>
      <c r="F3687" s="7"/>
      <c r="G3687" s="7" t="str">
        <f t="shared" si="20"/>
        <v>Direct</v>
      </c>
      <c r="H3687" s="7" t="s">
        <v>16</v>
      </c>
    </row>
    <row r="3688" spans="1:8" x14ac:dyDescent="0.2">
      <c r="A3688" s="5" t="s">
        <v>27</v>
      </c>
      <c r="B3688" s="6" t="s">
        <v>14</v>
      </c>
      <c r="C3688" s="7" t="s">
        <v>4255</v>
      </c>
      <c r="D3688" s="8">
        <v>5.77734682</v>
      </c>
      <c r="E3688" s="8">
        <v>2.6868210600000002</v>
      </c>
      <c r="F3688" s="7"/>
      <c r="G3688" s="7" t="str">
        <f t="shared" si="20"/>
        <v>Direct</v>
      </c>
      <c r="H3688" s="7" t="s">
        <v>16</v>
      </c>
    </row>
    <row r="3689" spans="1:8" x14ac:dyDescent="0.2">
      <c r="A3689" s="5" t="s">
        <v>27</v>
      </c>
      <c r="B3689" s="6" t="s">
        <v>14</v>
      </c>
      <c r="C3689" s="7" t="s">
        <v>4256</v>
      </c>
      <c r="D3689" s="8">
        <v>-1.0704254</v>
      </c>
      <c r="E3689" s="8">
        <v>-1.1362798999999999</v>
      </c>
      <c r="F3689" s="7"/>
      <c r="G3689" s="7" t="str">
        <f t="shared" si="20"/>
        <v>Direct</v>
      </c>
      <c r="H3689" s="7" t="s">
        <v>4257</v>
      </c>
    </row>
    <row r="3690" spans="1:8" x14ac:dyDescent="0.2">
      <c r="A3690" s="5" t="s">
        <v>27</v>
      </c>
      <c r="B3690" s="6" t="s">
        <v>14</v>
      </c>
      <c r="C3690" s="7" t="s">
        <v>4258</v>
      </c>
      <c r="D3690" s="8">
        <v>2.02401213</v>
      </c>
      <c r="E3690" s="8">
        <v>3.6442302400000002</v>
      </c>
      <c r="F3690" s="7"/>
      <c r="G3690" s="7" t="str">
        <f t="shared" si="20"/>
        <v>Direct</v>
      </c>
      <c r="H3690" s="7" t="s">
        <v>139</v>
      </c>
    </row>
    <row r="3691" spans="1:8" x14ac:dyDescent="0.2">
      <c r="A3691" s="5" t="s">
        <v>27</v>
      </c>
      <c r="B3691" s="6" t="s">
        <v>14</v>
      </c>
      <c r="C3691" s="7" t="s">
        <v>4259</v>
      </c>
      <c r="D3691" s="8">
        <v>-1.5108604999999999</v>
      </c>
      <c r="E3691" s="8">
        <v>-1.0427093999999999</v>
      </c>
      <c r="F3691" s="7"/>
      <c r="G3691" s="7" t="str">
        <f t="shared" si="20"/>
        <v>Direct</v>
      </c>
      <c r="H3691" s="7" t="s">
        <v>16</v>
      </c>
    </row>
    <row r="3692" spans="1:8" x14ac:dyDescent="0.2">
      <c r="A3692" s="5" t="s">
        <v>27</v>
      </c>
      <c r="B3692" s="6" t="s">
        <v>14</v>
      </c>
      <c r="C3692" s="7" t="s">
        <v>4260</v>
      </c>
      <c r="D3692" s="8">
        <v>1.15727585</v>
      </c>
      <c r="E3692" s="8">
        <v>1.4888713200000001</v>
      </c>
      <c r="F3692" s="7"/>
      <c r="G3692" s="7" t="str">
        <f t="shared" si="20"/>
        <v>Direct</v>
      </c>
      <c r="H3692" s="7" t="s">
        <v>16</v>
      </c>
    </row>
    <row r="3693" spans="1:8" x14ac:dyDescent="0.2">
      <c r="A3693" s="5" t="s">
        <v>27</v>
      </c>
      <c r="B3693" s="6" t="s">
        <v>14</v>
      </c>
      <c r="C3693" s="7" t="s">
        <v>4261</v>
      </c>
      <c r="D3693" s="8">
        <v>1.29493049</v>
      </c>
      <c r="E3693" s="8">
        <v>1.11019157</v>
      </c>
      <c r="F3693" s="7"/>
      <c r="G3693" s="7" t="str">
        <f t="shared" si="20"/>
        <v>Direct</v>
      </c>
      <c r="H3693" s="7" t="s">
        <v>16</v>
      </c>
    </row>
    <row r="3694" spans="1:8" x14ac:dyDescent="0.2">
      <c r="A3694" s="5" t="s">
        <v>27</v>
      </c>
      <c r="B3694" s="6" t="s">
        <v>14</v>
      </c>
      <c r="C3694" s="7" t="s">
        <v>4262</v>
      </c>
      <c r="D3694" s="8">
        <v>1.33607297</v>
      </c>
      <c r="E3694" s="8">
        <v>4.2065245100000004</v>
      </c>
      <c r="F3694" s="7"/>
      <c r="G3694" s="7" t="str">
        <f t="shared" si="20"/>
        <v>Direct</v>
      </c>
      <c r="H3694" s="7" t="s">
        <v>4263</v>
      </c>
    </row>
    <row r="3695" spans="1:8" x14ac:dyDescent="0.2">
      <c r="A3695" s="5" t="s">
        <v>27</v>
      </c>
      <c r="B3695" s="6" t="s">
        <v>14</v>
      </c>
      <c r="C3695" s="7" t="s">
        <v>4264</v>
      </c>
      <c r="D3695" s="8">
        <v>4.7842951999999999</v>
      </c>
      <c r="E3695" s="8">
        <v>6.4876611899999999</v>
      </c>
      <c r="F3695" s="7"/>
      <c r="G3695" s="7" t="str">
        <f t="shared" si="20"/>
        <v>Direct</v>
      </c>
      <c r="H3695" s="7" t="s">
        <v>16</v>
      </c>
    </row>
    <row r="3696" spans="1:8" x14ac:dyDescent="0.2">
      <c r="A3696" s="5" t="s">
        <v>27</v>
      </c>
      <c r="B3696" s="6" t="s">
        <v>14</v>
      </c>
      <c r="C3696" s="7" t="s">
        <v>4265</v>
      </c>
      <c r="D3696" s="8">
        <v>1.04715443</v>
      </c>
      <c r="E3696" s="8">
        <v>2.4244434899999998</v>
      </c>
      <c r="F3696" s="7"/>
      <c r="G3696" s="7" t="str">
        <f t="shared" si="20"/>
        <v>Direct</v>
      </c>
      <c r="H3696" s="7" t="s">
        <v>182</v>
      </c>
    </row>
    <row r="3697" spans="1:8" x14ac:dyDescent="0.2">
      <c r="A3697" s="5" t="s">
        <v>27</v>
      </c>
      <c r="B3697" s="6" t="s">
        <v>14</v>
      </c>
      <c r="C3697" s="7" t="s">
        <v>4266</v>
      </c>
      <c r="D3697" s="8">
        <v>1.05599881</v>
      </c>
      <c r="E3697" s="8">
        <v>1.02458129</v>
      </c>
      <c r="F3697" s="7"/>
      <c r="G3697" s="7" t="str">
        <f t="shared" si="20"/>
        <v>Direct</v>
      </c>
      <c r="H3697" s="7" t="s">
        <v>16</v>
      </c>
    </row>
    <row r="3698" spans="1:8" x14ac:dyDescent="0.2">
      <c r="A3698" s="5" t="s">
        <v>27</v>
      </c>
      <c r="B3698" s="6" t="s">
        <v>22</v>
      </c>
      <c r="C3698" s="7" t="s">
        <v>4002</v>
      </c>
      <c r="D3698" s="8">
        <v>1.7522056699999999</v>
      </c>
      <c r="E3698" s="7"/>
      <c r="F3698" s="8">
        <v>2.3708370699999999</v>
      </c>
      <c r="G3698" s="7" t="str">
        <f t="shared" ref="G3698:G3952" si="21">IF(OR(AND(D3698&gt;0,F3698&gt;0),AND(D3698&lt;0,F3698&lt;0)),"Direct","Inverse")</f>
        <v>Direct</v>
      </c>
      <c r="H3698" s="7" t="s">
        <v>4003</v>
      </c>
    </row>
    <row r="3699" spans="1:8" x14ac:dyDescent="0.2">
      <c r="A3699" s="5" t="s">
        <v>27</v>
      </c>
      <c r="B3699" s="6" t="s">
        <v>22</v>
      </c>
      <c r="C3699" s="7" t="s">
        <v>4004</v>
      </c>
      <c r="D3699" s="8">
        <v>1.2452235300000001</v>
      </c>
      <c r="E3699" s="7"/>
      <c r="F3699" s="8">
        <v>2.05873982</v>
      </c>
      <c r="G3699" s="7" t="str">
        <f t="shared" si="21"/>
        <v>Direct</v>
      </c>
      <c r="H3699" s="7" t="s">
        <v>2060</v>
      </c>
    </row>
    <row r="3700" spans="1:8" x14ac:dyDescent="0.2">
      <c r="A3700" s="5" t="s">
        <v>27</v>
      </c>
      <c r="B3700" s="6" t="s">
        <v>22</v>
      </c>
      <c r="C3700" s="7" t="s">
        <v>4267</v>
      </c>
      <c r="D3700" s="8">
        <v>1.1859069</v>
      </c>
      <c r="E3700" s="7"/>
      <c r="F3700" s="8">
        <v>-1.0051444</v>
      </c>
      <c r="G3700" s="7" t="str">
        <f t="shared" si="21"/>
        <v>Inverse</v>
      </c>
      <c r="H3700" s="7" t="s">
        <v>1358</v>
      </c>
    </row>
    <row r="3701" spans="1:8" x14ac:dyDescent="0.2">
      <c r="A3701" s="5" t="s">
        <v>27</v>
      </c>
      <c r="B3701" s="6" t="s">
        <v>22</v>
      </c>
      <c r="C3701" s="7" t="s">
        <v>4268</v>
      </c>
      <c r="D3701" s="8">
        <v>1.5397961099999999</v>
      </c>
      <c r="E3701" s="7"/>
      <c r="F3701" s="8">
        <v>4.4972337099999997</v>
      </c>
      <c r="G3701" s="7" t="str">
        <f t="shared" si="21"/>
        <v>Direct</v>
      </c>
      <c r="H3701" s="7" t="s">
        <v>16</v>
      </c>
    </row>
    <row r="3702" spans="1:8" x14ac:dyDescent="0.2">
      <c r="A3702" s="5" t="s">
        <v>27</v>
      </c>
      <c r="B3702" s="6" t="s">
        <v>22</v>
      </c>
      <c r="C3702" s="7" t="s">
        <v>4269</v>
      </c>
      <c r="D3702" s="8">
        <v>6.1646299500000001</v>
      </c>
      <c r="E3702" s="7"/>
      <c r="F3702" s="8">
        <v>1.9749037199999999</v>
      </c>
      <c r="G3702" s="7" t="str">
        <f t="shared" si="21"/>
        <v>Direct</v>
      </c>
      <c r="H3702" s="7" t="s">
        <v>16</v>
      </c>
    </row>
    <row r="3703" spans="1:8" x14ac:dyDescent="0.2">
      <c r="A3703" s="5" t="s">
        <v>27</v>
      </c>
      <c r="B3703" s="6" t="s">
        <v>22</v>
      </c>
      <c r="C3703" s="7" t="s">
        <v>4005</v>
      </c>
      <c r="D3703" s="8">
        <v>1.67060835</v>
      </c>
      <c r="E3703" s="7"/>
      <c r="F3703" s="8">
        <v>2.5265857999999999</v>
      </c>
      <c r="G3703" s="7" t="str">
        <f t="shared" si="21"/>
        <v>Direct</v>
      </c>
      <c r="H3703" s="7" t="s">
        <v>16</v>
      </c>
    </row>
    <row r="3704" spans="1:8" x14ac:dyDescent="0.2">
      <c r="A3704" s="5" t="s">
        <v>27</v>
      </c>
      <c r="B3704" s="6" t="s">
        <v>22</v>
      </c>
      <c r="C3704" s="7" t="s">
        <v>4270</v>
      </c>
      <c r="D3704" s="8">
        <v>1.01286221</v>
      </c>
      <c r="E3704" s="7"/>
      <c r="F3704" s="8">
        <v>-2.5076499000000001</v>
      </c>
      <c r="G3704" s="7" t="str">
        <f t="shared" si="21"/>
        <v>Inverse</v>
      </c>
      <c r="H3704" s="7" t="s">
        <v>4271</v>
      </c>
    </row>
    <row r="3705" spans="1:8" x14ac:dyDescent="0.2">
      <c r="A3705" s="5" t="s">
        <v>27</v>
      </c>
      <c r="B3705" s="6" t="s">
        <v>22</v>
      </c>
      <c r="C3705" s="7" t="s">
        <v>4006</v>
      </c>
      <c r="D3705" s="8">
        <v>1.32573356</v>
      </c>
      <c r="E3705" s="7"/>
      <c r="F3705" s="8">
        <v>5.3829510999999997</v>
      </c>
      <c r="G3705" s="7" t="str">
        <f t="shared" si="21"/>
        <v>Direct</v>
      </c>
      <c r="H3705" s="7" t="s">
        <v>4007</v>
      </c>
    </row>
    <row r="3706" spans="1:8" x14ac:dyDescent="0.2">
      <c r="A3706" s="5" t="s">
        <v>27</v>
      </c>
      <c r="B3706" s="6" t="s">
        <v>22</v>
      </c>
      <c r="C3706" s="7" t="s">
        <v>4272</v>
      </c>
      <c r="D3706" s="8">
        <v>1.0784042700000001</v>
      </c>
      <c r="E3706" s="7"/>
      <c r="F3706" s="8">
        <v>-1.57579</v>
      </c>
      <c r="G3706" s="7" t="str">
        <f t="shared" si="21"/>
        <v>Inverse</v>
      </c>
      <c r="H3706" s="7" t="s">
        <v>1908</v>
      </c>
    </row>
    <row r="3707" spans="1:8" x14ac:dyDescent="0.2">
      <c r="A3707" s="5" t="s">
        <v>27</v>
      </c>
      <c r="B3707" s="6" t="s">
        <v>22</v>
      </c>
      <c r="C3707" s="7" t="s">
        <v>4008</v>
      </c>
      <c r="D3707" s="8">
        <v>1.1112109299999999</v>
      </c>
      <c r="E3707" s="7"/>
      <c r="F3707" s="8">
        <v>3.3947625100000001</v>
      </c>
      <c r="G3707" s="7" t="str">
        <f t="shared" si="21"/>
        <v>Direct</v>
      </c>
      <c r="H3707" s="7" t="s">
        <v>16</v>
      </c>
    </row>
    <row r="3708" spans="1:8" x14ac:dyDescent="0.2">
      <c r="A3708" s="5" t="s">
        <v>27</v>
      </c>
      <c r="B3708" s="6" t="s">
        <v>22</v>
      </c>
      <c r="C3708" s="7" t="s">
        <v>4273</v>
      </c>
      <c r="D3708" s="8">
        <v>-5.6401345999999997</v>
      </c>
      <c r="E3708" s="7"/>
      <c r="F3708" s="8">
        <v>-1.3685020999999999</v>
      </c>
      <c r="G3708" s="7" t="str">
        <f t="shared" si="21"/>
        <v>Direct</v>
      </c>
      <c r="H3708" s="7" t="s">
        <v>1295</v>
      </c>
    </row>
    <row r="3709" spans="1:8" x14ac:dyDescent="0.2">
      <c r="A3709" s="5" t="s">
        <v>27</v>
      </c>
      <c r="B3709" s="6" t="s">
        <v>22</v>
      </c>
      <c r="C3709" s="7" t="s">
        <v>4009</v>
      </c>
      <c r="D3709" s="8">
        <v>-1.9587758</v>
      </c>
      <c r="E3709" s="7"/>
      <c r="F3709" s="8">
        <v>-1.3239483999999999</v>
      </c>
      <c r="G3709" s="7" t="str">
        <f t="shared" si="21"/>
        <v>Direct</v>
      </c>
      <c r="H3709" s="7" t="s">
        <v>16</v>
      </c>
    </row>
    <row r="3710" spans="1:8" x14ac:dyDescent="0.2">
      <c r="A3710" s="5" t="s">
        <v>27</v>
      </c>
      <c r="B3710" s="6" t="s">
        <v>22</v>
      </c>
      <c r="C3710" s="7" t="s">
        <v>4274</v>
      </c>
      <c r="D3710" s="8">
        <v>2.0426789699999999</v>
      </c>
      <c r="E3710" s="7"/>
      <c r="F3710" s="8">
        <v>1.76035443</v>
      </c>
      <c r="G3710" s="7" t="str">
        <f t="shared" si="21"/>
        <v>Direct</v>
      </c>
      <c r="H3710" s="7" t="s">
        <v>16</v>
      </c>
    </row>
    <row r="3711" spans="1:8" x14ac:dyDescent="0.2">
      <c r="A3711" s="5" t="s">
        <v>27</v>
      </c>
      <c r="B3711" s="6" t="s">
        <v>22</v>
      </c>
      <c r="C3711" s="7" t="s">
        <v>4275</v>
      </c>
      <c r="D3711" s="8">
        <v>1.78281076</v>
      </c>
      <c r="E3711" s="7"/>
      <c r="F3711" s="8">
        <v>1.78292155</v>
      </c>
      <c r="G3711" s="7" t="str">
        <f t="shared" si="21"/>
        <v>Direct</v>
      </c>
      <c r="H3711" s="7" t="s">
        <v>4276</v>
      </c>
    </row>
    <row r="3712" spans="1:8" x14ac:dyDescent="0.2">
      <c r="A3712" s="5" t="s">
        <v>27</v>
      </c>
      <c r="B3712" s="6" t="s">
        <v>22</v>
      </c>
      <c r="C3712" s="7" t="s">
        <v>4012</v>
      </c>
      <c r="D3712" s="8">
        <v>1.3069108</v>
      </c>
      <c r="E3712" s="7"/>
      <c r="F3712" s="8">
        <v>-1.0366390000000001</v>
      </c>
      <c r="G3712" s="7" t="str">
        <f t="shared" si="21"/>
        <v>Inverse</v>
      </c>
      <c r="H3712" s="7" t="s">
        <v>16</v>
      </c>
    </row>
    <row r="3713" spans="1:8" x14ac:dyDescent="0.2">
      <c r="A3713" s="5" t="s">
        <v>27</v>
      </c>
      <c r="B3713" s="6" t="s">
        <v>22</v>
      </c>
      <c r="C3713" s="7" t="s">
        <v>4013</v>
      </c>
      <c r="D3713" s="8">
        <v>1.5177126299999999</v>
      </c>
      <c r="E3713" s="7"/>
      <c r="F3713" s="8">
        <v>1.978942</v>
      </c>
      <c r="G3713" s="7" t="str">
        <f t="shared" si="21"/>
        <v>Direct</v>
      </c>
      <c r="H3713" s="7" t="s">
        <v>60</v>
      </c>
    </row>
    <row r="3714" spans="1:8" x14ac:dyDescent="0.2">
      <c r="A3714" s="5" t="s">
        <v>27</v>
      </c>
      <c r="B3714" s="6" t="s">
        <v>22</v>
      </c>
      <c r="C3714" s="7" t="s">
        <v>4014</v>
      </c>
      <c r="D3714" s="8">
        <v>1.64820465</v>
      </c>
      <c r="E3714" s="7"/>
      <c r="F3714" s="8">
        <v>1.80673156</v>
      </c>
      <c r="G3714" s="7" t="str">
        <f t="shared" si="21"/>
        <v>Direct</v>
      </c>
      <c r="H3714" s="7" t="s">
        <v>4015</v>
      </c>
    </row>
    <row r="3715" spans="1:8" x14ac:dyDescent="0.2">
      <c r="A3715" s="5" t="s">
        <v>27</v>
      </c>
      <c r="B3715" s="6" t="s">
        <v>22</v>
      </c>
      <c r="C3715" s="7" t="s">
        <v>4016</v>
      </c>
      <c r="D3715" s="8">
        <v>1.3888347400000001</v>
      </c>
      <c r="E3715" s="7"/>
      <c r="F3715" s="8">
        <v>3.6164189499999999</v>
      </c>
      <c r="G3715" s="7" t="str">
        <f t="shared" si="21"/>
        <v>Direct</v>
      </c>
      <c r="H3715" s="7" t="s">
        <v>4017</v>
      </c>
    </row>
    <row r="3716" spans="1:8" x14ac:dyDescent="0.2">
      <c r="A3716" s="5" t="s">
        <v>27</v>
      </c>
      <c r="B3716" s="6" t="s">
        <v>22</v>
      </c>
      <c r="C3716" s="7" t="s">
        <v>4018</v>
      </c>
      <c r="D3716" s="8">
        <v>2.8132454299999998</v>
      </c>
      <c r="E3716" s="7"/>
      <c r="F3716" s="8">
        <v>1.8890097299999999</v>
      </c>
      <c r="G3716" s="7" t="str">
        <f t="shared" si="21"/>
        <v>Direct</v>
      </c>
      <c r="H3716" s="7" t="s">
        <v>16</v>
      </c>
    </row>
    <row r="3717" spans="1:8" x14ac:dyDescent="0.2">
      <c r="A3717" s="5" t="s">
        <v>27</v>
      </c>
      <c r="B3717" s="6" t="s">
        <v>22</v>
      </c>
      <c r="C3717" s="7" t="s">
        <v>4277</v>
      </c>
      <c r="D3717" s="8">
        <v>1.2692207200000001</v>
      </c>
      <c r="E3717" s="7"/>
      <c r="F3717" s="8">
        <v>1.1082088400000001</v>
      </c>
      <c r="G3717" s="7" t="str">
        <f t="shared" si="21"/>
        <v>Direct</v>
      </c>
      <c r="H3717" s="7" t="s">
        <v>4278</v>
      </c>
    </row>
    <row r="3718" spans="1:8" x14ac:dyDescent="0.2">
      <c r="A3718" s="5" t="s">
        <v>27</v>
      </c>
      <c r="B3718" s="6" t="s">
        <v>22</v>
      </c>
      <c r="C3718" s="7" t="s">
        <v>4279</v>
      </c>
      <c r="D3718" s="8">
        <v>2.5724129499999999</v>
      </c>
      <c r="E3718" s="7"/>
      <c r="F3718" s="8">
        <v>1.6437596299999999</v>
      </c>
      <c r="G3718" s="7" t="str">
        <f t="shared" si="21"/>
        <v>Direct</v>
      </c>
      <c r="H3718" s="7" t="s">
        <v>4280</v>
      </c>
    </row>
    <row r="3719" spans="1:8" x14ac:dyDescent="0.2">
      <c r="A3719" s="5" t="s">
        <v>27</v>
      </c>
      <c r="B3719" s="6" t="s">
        <v>22</v>
      </c>
      <c r="C3719" s="7" t="s">
        <v>4021</v>
      </c>
      <c r="D3719" s="8">
        <v>1.0539083199999999</v>
      </c>
      <c r="E3719" s="7"/>
      <c r="F3719" s="8">
        <v>2.1896956099999998</v>
      </c>
      <c r="G3719" s="7" t="str">
        <f t="shared" si="21"/>
        <v>Direct</v>
      </c>
      <c r="H3719" s="7" t="s">
        <v>16</v>
      </c>
    </row>
    <row r="3720" spans="1:8" x14ac:dyDescent="0.2">
      <c r="A3720" s="5" t="s">
        <v>27</v>
      </c>
      <c r="B3720" s="6" t="s">
        <v>22</v>
      </c>
      <c r="C3720" s="7" t="s">
        <v>4022</v>
      </c>
      <c r="D3720" s="8">
        <v>1.1695463800000001</v>
      </c>
      <c r="E3720" s="7"/>
      <c r="F3720" s="8">
        <v>9.4405262600000004</v>
      </c>
      <c r="G3720" s="7" t="str">
        <f t="shared" si="21"/>
        <v>Direct</v>
      </c>
      <c r="H3720" s="7" t="s">
        <v>16</v>
      </c>
    </row>
    <row r="3721" spans="1:8" x14ac:dyDescent="0.2">
      <c r="A3721" s="5" t="s">
        <v>27</v>
      </c>
      <c r="B3721" s="6" t="s">
        <v>22</v>
      </c>
      <c r="C3721" s="7" t="s">
        <v>4023</v>
      </c>
      <c r="D3721" s="8">
        <v>1.2193882199999999</v>
      </c>
      <c r="E3721" s="7"/>
      <c r="F3721" s="8">
        <v>17.830170800000001</v>
      </c>
      <c r="G3721" s="7" t="str">
        <f t="shared" si="21"/>
        <v>Direct</v>
      </c>
      <c r="H3721" s="7" t="s">
        <v>16</v>
      </c>
    </row>
    <row r="3722" spans="1:8" x14ac:dyDescent="0.2">
      <c r="A3722" s="5" t="s">
        <v>27</v>
      </c>
      <c r="B3722" s="6" t="s">
        <v>22</v>
      </c>
      <c r="C3722" s="7" t="s">
        <v>4281</v>
      </c>
      <c r="D3722" s="8">
        <v>2.3777213800000001</v>
      </c>
      <c r="E3722" s="7"/>
      <c r="F3722" s="8">
        <v>1.6722450600000001</v>
      </c>
      <c r="G3722" s="7" t="str">
        <f t="shared" si="21"/>
        <v>Direct</v>
      </c>
      <c r="H3722" s="7" t="s">
        <v>4282</v>
      </c>
    </row>
    <row r="3723" spans="1:8" x14ac:dyDescent="0.2">
      <c r="A3723" s="5" t="s">
        <v>27</v>
      </c>
      <c r="B3723" s="6" t="s">
        <v>22</v>
      </c>
      <c r="C3723" s="7" t="s">
        <v>4024</v>
      </c>
      <c r="D3723" s="8">
        <v>1.1155167800000001</v>
      </c>
      <c r="E3723" s="7"/>
      <c r="F3723" s="8">
        <v>1.0849184199999999</v>
      </c>
      <c r="G3723" s="7" t="str">
        <f t="shared" si="21"/>
        <v>Direct</v>
      </c>
      <c r="H3723" s="7" t="s">
        <v>4025</v>
      </c>
    </row>
    <row r="3724" spans="1:8" x14ac:dyDescent="0.2">
      <c r="A3724" s="5" t="s">
        <v>27</v>
      </c>
      <c r="B3724" s="6" t="s">
        <v>22</v>
      </c>
      <c r="C3724" s="7" t="s">
        <v>4283</v>
      </c>
      <c r="D3724" s="8">
        <v>1.31255294</v>
      </c>
      <c r="E3724" s="7"/>
      <c r="F3724" s="8">
        <v>1.04601451</v>
      </c>
      <c r="G3724" s="7" t="str">
        <f t="shared" si="21"/>
        <v>Direct</v>
      </c>
      <c r="H3724" s="7" t="s">
        <v>4284</v>
      </c>
    </row>
    <row r="3725" spans="1:8" x14ac:dyDescent="0.2">
      <c r="A3725" s="5" t="s">
        <v>27</v>
      </c>
      <c r="B3725" s="6" t="s">
        <v>22</v>
      </c>
      <c r="C3725" s="7" t="s">
        <v>4027</v>
      </c>
      <c r="D3725" s="8">
        <v>5.7648508400000003</v>
      </c>
      <c r="E3725" s="7"/>
      <c r="F3725" s="8">
        <v>1.0273283900000001</v>
      </c>
      <c r="G3725" s="7" t="str">
        <f t="shared" si="21"/>
        <v>Direct</v>
      </c>
      <c r="H3725" s="7" t="s">
        <v>16</v>
      </c>
    </row>
    <row r="3726" spans="1:8" x14ac:dyDescent="0.2">
      <c r="A3726" s="5" t="s">
        <v>27</v>
      </c>
      <c r="B3726" s="6" t="s">
        <v>22</v>
      </c>
      <c r="C3726" s="7" t="s">
        <v>4028</v>
      </c>
      <c r="D3726" s="8">
        <v>1.2205707100000001</v>
      </c>
      <c r="E3726" s="7"/>
      <c r="F3726" s="8">
        <v>-3.4482434</v>
      </c>
      <c r="G3726" s="7" t="str">
        <f t="shared" si="21"/>
        <v>Inverse</v>
      </c>
      <c r="H3726" s="7" t="s">
        <v>1143</v>
      </c>
    </row>
    <row r="3727" spans="1:8" x14ac:dyDescent="0.2">
      <c r="A3727" s="5" t="s">
        <v>27</v>
      </c>
      <c r="B3727" s="6" t="s">
        <v>22</v>
      </c>
      <c r="C3727" s="7" t="s">
        <v>4029</v>
      </c>
      <c r="D3727" s="8">
        <v>1.1016018400000001</v>
      </c>
      <c r="E3727" s="7"/>
      <c r="F3727" s="8">
        <v>2.8990497300000002</v>
      </c>
      <c r="G3727" s="7" t="str">
        <f t="shared" si="21"/>
        <v>Direct</v>
      </c>
      <c r="H3727" s="7" t="s">
        <v>4030</v>
      </c>
    </row>
    <row r="3728" spans="1:8" x14ac:dyDescent="0.2">
      <c r="A3728" s="5" t="s">
        <v>27</v>
      </c>
      <c r="B3728" s="6" t="s">
        <v>22</v>
      </c>
      <c r="C3728" s="7" t="s">
        <v>4285</v>
      </c>
      <c r="D3728" s="8">
        <v>1.7473904499999999</v>
      </c>
      <c r="E3728" s="7"/>
      <c r="F3728" s="8">
        <v>1.1109686999999999</v>
      </c>
      <c r="G3728" s="7" t="str">
        <f t="shared" si="21"/>
        <v>Direct</v>
      </c>
      <c r="H3728" s="7" t="s">
        <v>663</v>
      </c>
    </row>
    <row r="3729" spans="1:8" x14ac:dyDescent="0.2">
      <c r="A3729" s="5" t="s">
        <v>27</v>
      </c>
      <c r="B3729" s="6" t="s">
        <v>22</v>
      </c>
      <c r="C3729" s="7" t="s">
        <v>4031</v>
      </c>
      <c r="D3729" s="8">
        <v>1.4572205600000001</v>
      </c>
      <c r="E3729" s="7"/>
      <c r="F3729" s="8">
        <v>2.0387504500000002</v>
      </c>
      <c r="G3729" s="7" t="str">
        <f t="shared" si="21"/>
        <v>Direct</v>
      </c>
      <c r="H3729" s="7" t="s">
        <v>4032</v>
      </c>
    </row>
    <row r="3730" spans="1:8" x14ac:dyDescent="0.2">
      <c r="A3730" s="5" t="s">
        <v>27</v>
      </c>
      <c r="B3730" s="6" t="s">
        <v>22</v>
      </c>
      <c r="C3730" s="7" t="s">
        <v>4286</v>
      </c>
      <c r="D3730" s="8">
        <v>1.0904842100000001</v>
      </c>
      <c r="E3730" s="7"/>
      <c r="F3730" s="8">
        <v>1.3455037000000001</v>
      </c>
      <c r="G3730" s="7" t="str">
        <f t="shared" si="21"/>
        <v>Direct</v>
      </c>
      <c r="H3730" s="7" t="s">
        <v>16</v>
      </c>
    </row>
    <row r="3731" spans="1:8" x14ac:dyDescent="0.2">
      <c r="A3731" s="5" t="s">
        <v>27</v>
      </c>
      <c r="B3731" s="6" t="s">
        <v>22</v>
      </c>
      <c r="C3731" s="7" t="s">
        <v>4033</v>
      </c>
      <c r="D3731" s="8">
        <v>1.64053608</v>
      </c>
      <c r="E3731" s="7"/>
      <c r="F3731" s="8">
        <v>1.79534214</v>
      </c>
      <c r="G3731" s="7" t="str">
        <f t="shared" si="21"/>
        <v>Direct</v>
      </c>
      <c r="H3731" s="7" t="s">
        <v>16</v>
      </c>
    </row>
    <row r="3732" spans="1:8" x14ac:dyDescent="0.2">
      <c r="A3732" s="5" t="s">
        <v>27</v>
      </c>
      <c r="B3732" s="6" t="s">
        <v>22</v>
      </c>
      <c r="C3732" s="7" t="s">
        <v>4287</v>
      </c>
      <c r="D3732" s="8">
        <v>1.2480539399999999</v>
      </c>
      <c r="E3732" s="7"/>
      <c r="F3732" s="8">
        <v>1.30093334</v>
      </c>
      <c r="G3732" s="7" t="str">
        <f t="shared" si="21"/>
        <v>Direct</v>
      </c>
      <c r="H3732" s="7" t="s">
        <v>16</v>
      </c>
    </row>
    <row r="3733" spans="1:8" x14ac:dyDescent="0.2">
      <c r="A3733" s="5" t="s">
        <v>27</v>
      </c>
      <c r="B3733" s="6" t="s">
        <v>22</v>
      </c>
      <c r="C3733" s="7" t="s">
        <v>4034</v>
      </c>
      <c r="D3733" s="8">
        <v>1.64053608</v>
      </c>
      <c r="E3733" s="7"/>
      <c r="F3733" s="8">
        <v>1.6835492700000001</v>
      </c>
      <c r="G3733" s="7" t="str">
        <f t="shared" si="21"/>
        <v>Direct</v>
      </c>
      <c r="H3733" s="7" t="s">
        <v>16</v>
      </c>
    </row>
    <row r="3734" spans="1:8" x14ac:dyDescent="0.2">
      <c r="A3734" s="5" t="s">
        <v>27</v>
      </c>
      <c r="B3734" s="6" t="s">
        <v>22</v>
      </c>
      <c r="C3734" s="7" t="s">
        <v>4038</v>
      </c>
      <c r="D3734" s="8">
        <v>1.09386779</v>
      </c>
      <c r="E3734" s="7"/>
      <c r="F3734" s="8">
        <v>-2.3645752999999998</v>
      </c>
      <c r="G3734" s="7" t="str">
        <f t="shared" si="21"/>
        <v>Inverse</v>
      </c>
      <c r="H3734" s="7" t="s">
        <v>1143</v>
      </c>
    </row>
    <row r="3735" spans="1:8" x14ac:dyDescent="0.2">
      <c r="A3735" s="5" t="s">
        <v>27</v>
      </c>
      <c r="B3735" s="6" t="s">
        <v>22</v>
      </c>
      <c r="C3735" s="7" t="s">
        <v>4288</v>
      </c>
      <c r="D3735" s="8">
        <v>1.40406717</v>
      </c>
      <c r="E3735" s="7"/>
      <c r="F3735" s="8">
        <v>1.19476669</v>
      </c>
      <c r="G3735" s="7" t="str">
        <f t="shared" si="21"/>
        <v>Direct</v>
      </c>
      <c r="H3735" s="7" t="s">
        <v>4289</v>
      </c>
    </row>
    <row r="3736" spans="1:8" x14ac:dyDescent="0.2">
      <c r="A3736" s="5" t="s">
        <v>27</v>
      </c>
      <c r="B3736" s="6" t="s">
        <v>22</v>
      </c>
      <c r="C3736" s="7" t="s">
        <v>4039</v>
      </c>
      <c r="D3736" s="8">
        <v>1.0744647700000001</v>
      </c>
      <c r="E3736" s="7"/>
      <c r="F3736" s="8">
        <v>3.56308874</v>
      </c>
      <c r="G3736" s="7" t="str">
        <f t="shared" si="21"/>
        <v>Direct</v>
      </c>
      <c r="H3736" s="7" t="s">
        <v>4040</v>
      </c>
    </row>
    <row r="3737" spans="1:8" x14ac:dyDescent="0.2">
      <c r="A3737" s="5" t="s">
        <v>27</v>
      </c>
      <c r="B3737" s="6" t="s">
        <v>22</v>
      </c>
      <c r="C3737" s="7" t="s">
        <v>4290</v>
      </c>
      <c r="D3737" s="8">
        <v>1.57972051</v>
      </c>
      <c r="E3737" s="7"/>
      <c r="F3737" s="8">
        <v>-1.2842534999999999</v>
      </c>
      <c r="G3737" s="7" t="str">
        <f t="shared" si="21"/>
        <v>Inverse</v>
      </c>
      <c r="H3737" s="7" t="s">
        <v>1690</v>
      </c>
    </row>
    <row r="3738" spans="1:8" x14ac:dyDescent="0.2">
      <c r="A3738" s="5" t="s">
        <v>27</v>
      </c>
      <c r="B3738" s="6" t="s">
        <v>22</v>
      </c>
      <c r="C3738" s="7" t="s">
        <v>4291</v>
      </c>
      <c r="D3738" s="8">
        <v>1.46776376</v>
      </c>
      <c r="E3738" s="7"/>
      <c r="F3738" s="8">
        <v>2.9203749600000002</v>
      </c>
      <c r="G3738" s="7" t="str">
        <f t="shared" si="21"/>
        <v>Direct</v>
      </c>
      <c r="H3738" s="7" t="s">
        <v>4292</v>
      </c>
    </row>
    <row r="3739" spans="1:8" x14ac:dyDescent="0.2">
      <c r="A3739" s="5" t="s">
        <v>27</v>
      </c>
      <c r="B3739" s="6" t="s">
        <v>22</v>
      </c>
      <c r="C3739" s="7" t="s">
        <v>4293</v>
      </c>
      <c r="D3739" s="8">
        <v>1.67484967</v>
      </c>
      <c r="E3739" s="7"/>
      <c r="F3739" s="8">
        <v>-1.8685773000000001</v>
      </c>
      <c r="G3739" s="7" t="str">
        <f t="shared" si="21"/>
        <v>Inverse</v>
      </c>
      <c r="H3739" s="7" t="s">
        <v>4294</v>
      </c>
    </row>
    <row r="3740" spans="1:8" x14ac:dyDescent="0.2">
      <c r="A3740" s="5" t="s">
        <v>27</v>
      </c>
      <c r="B3740" s="6" t="s">
        <v>22</v>
      </c>
      <c r="C3740" s="7" t="s">
        <v>4041</v>
      </c>
      <c r="D3740" s="8">
        <v>1.0088047899999999</v>
      </c>
      <c r="E3740" s="7"/>
      <c r="F3740" s="8">
        <v>4.4916399399999998</v>
      </c>
      <c r="G3740" s="7" t="str">
        <f t="shared" si="21"/>
        <v>Direct</v>
      </c>
      <c r="H3740" s="7" t="s">
        <v>4042</v>
      </c>
    </row>
    <row r="3741" spans="1:8" x14ac:dyDescent="0.2">
      <c r="A3741" s="5" t="s">
        <v>27</v>
      </c>
      <c r="B3741" s="6" t="s">
        <v>22</v>
      </c>
      <c r="C3741" s="7" t="s">
        <v>4295</v>
      </c>
      <c r="D3741" s="8">
        <v>1.08724796</v>
      </c>
      <c r="E3741" s="7"/>
      <c r="F3741" s="8">
        <v>-1.0460400000000001</v>
      </c>
      <c r="G3741" s="7" t="str">
        <f t="shared" si="21"/>
        <v>Inverse</v>
      </c>
      <c r="H3741" s="7" t="s">
        <v>1586</v>
      </c>
    </row>
    <row r="3742" spans="1:8" x14ac:dyDescent="0.2">
      <c r="A3742" s="5" t="s">
        <v>27</v>
      </c>
      <c r="B3742" s="6" t="s">
        <v>22</v>
      </c>
      <c r="C3742" s="7" t="s">
        <v>4043</v>
      </c>
      <c r="D3742" s="8">
        <v>1.9971376300000001</v>
      </c>
      <c r="E3742" s="7"/>
      <c r="F3742" s="8">
        <v>-109.86731</v>
      </c>
      <c r="G3742" s="7" t="str">
        <f t="shared" si="21"/>
        <v>Inverse</v>
      </c>
      <c r="H3742" s="7" t="s">
        <v>1560</v>
      </c>
    </row>
    <row r="3743" spans="1:8" x14ac:dyDescent="0.2">
      <c r="A3743" s="5" t="s">
        <v>27</v>
      </c>
      <c r="B3743" s="6" t="s">
        <v>22</v>
      </c>
      <c r="C3743" s="7" t="s">
        <v>4296</v>
      </c>
      <c r="D3743" s="8">
        <v>1.98756289</v>
      </c>
      <c r="E3743" s="7"/>
      <c r="F3743" s="8">
        <v>1.0274945</v>
      </c>
      <c r="G3743" s="7" t="str">
        <f t="shared" si="21"/>
        <v>Direct</v>
      </c>
      <c r="H3743" s="7" t="s">
        <v>16</v>
      </c>
    </row>
    <row r="3744" spans="1:8" x14ac:dyDescent="0.2">
      <c r="A3744" s="5" t="s">
        <v>27</v>
      </c>
      <c r="B3744" s="6" t="s">
        <v>22</v>
      </c>
      <c r="C3744" s="7" t="s">
        <v>4044</v>
      </c>
      <c r="D3744" s="8">
        <v>1.0481929400000001</v>
      </c>
      <c r="E3744" s="7"/>
      <c r="F3744" s="8">
        <v>6.3243289300000001</v>
      </c>
      <c r="G3744" s="7" t="str">
        <f t="shared" si="21"/>
        <v>Direct</v>
      </c>
      <c r="H3744" s="7" t="s">
        <v>4045</v>
      </c>
    </row>
    <row r="3745" spans="1:8" x14ac:dyDescent="0.2">
      <c r="A3745" s="5" t="s">
        <v>27</v>
      </c>
      <c r="B3745" s="6" t="s">
        <v>22</v>
      </c>
      <c r="C3745" s="7" t="s">
        <v>4046</v>
      </c>
      <c r="D3745" s="8">
        <v>1.0030707299999999</v>
      </c>
      <c r="E3745" s="7"/>
      <c r="F3745" s="8">
        <v>3.67355483</v>
      </c>
      <c r="G3745" s="7" t="str">
        <f t="shared" si="21"/>
        <v>Direct</v>
      </c>
      <c r="H3745" s="7" t="s">
        <v>4047</v>
      </c>
    </row>
    <row r="3746" spans="1:8" x14ac:dyDescent="0.2">
      <c r="A3746" s="5" t="s">
        <v>27</v>
      </c>
      <c r="B3746" s="6" t="s">
        <v>22</v>
      </c>
      <c r="C3746" s="7" t="s">
        <v>4048</v>
      </c>
      <c r="D3746" s="8">
        <v>1.03931306</v>
      </c>
      <c r="E3746" s="7"/>
      <c r="F3746" s="8">
        <v>1.8299234799999999</v>
      </c>
      <c r="G3746" s="7" t="str">
        <f t="shared" si="21"/>
        <v>Direct</v>
      </c>
      <c r="H3746" s="7" t="s">
        <v>4049</v>
      </c>
    </row>
    <row r="3747" spans="1:8" x14ac:dyDescent="0.2">
      <c r="A3747" s="5" t="s">
        <v>27</v>
      </c>
      <c r="B3747" s="6" t="s">
        <v>22</v>
      </c>
      <c r="C3747" s="7" t="s">
        <v>4297</v>
      </c>
      <c r="D3747" s="8">
        <v>1.1929676</v>
      </c>
      <c r="E3747" s="7"/>
      <c r="F3747" s="8">
        <v>-1.606101</v>
      </c>
      <c r="G3747" s="7" t="str">
        <f t="shared" si="21"/>
        <v>Inverse</v>
      </c>
      <c r="H3747" s="7" t="s">
        <v>1358</v>
      </c>
    </row>
    <row r="3748" spans="1:8" x14ac:dyDescent="0.2">
      <c r="A3748" s="5" t="s">
        <v>27</v>
      </c>
      <c r="B3748" s="6" t="s">
        <v>22</v>
      </c>
      <c r="C3748" s="7" t="s">
        <v>4054</v>
      </c>
      <c r="D3748" s="8">
        <v>3.5357075199999999</v>
      </c>
      <c r="E3748" s="7"/>
      <c r="F3748" s="8">
        <v>3.5444852400000002</v>
      </c>
      <c r="G3748" s="7" t="str">
        <f t="shared" si="21"/>
        <v>Direct</v>
      </c>
      <c r="H3748" s="7" t="s">
        <v>2435</v>
      </c>
    </row>
    <row r="3749" spans="1:8" x14ac:dyDescent="0.2">
      <c r="A3749" s="5" t="s">
        <v>27</v>
      </c>
      <c r="B3749" s="6" t="s">
        <v>22</v>
      </c>
      <c r="C3749" s="7" t="s">
        <v>4298</v>
      </c>
      <c r="D3749" s="8">
        <v>1.4888151700000001</v>
      </c>
      <c r="E3749" s="7"/>
      <c r="F3749" s="8">
        <v>1.40909935</v>
      </c>
      <c r="G3749" s="7" t="str">
        <f t="shared" si="21"/>
        <v>Direct</v>
      </c>
      <c r="H3749" s="7" t="s">
        <v>16</v>
      </c>
    </row>
    <row r="3750" spans="1:8" x14ac:dyDescent="0.2">
      <c r="A3750" s="5" t="s">
        <v>27</v>
      </c>
      <c r="B3750" s="6" t="s">
        <v>22</v>
      </c>
      <c r="C3750" s="7" t="s">
        <v>4299</v>
      </c>
      <c r="D3750" s="8">
        <v>1.3145652800000001</v>
      </c>
      <c r="E3750" s="7"/>
      <c r="F3750" s="8">
        <v>1.4897781299999999</v>
      </c>
      <c r="G3750" s="7" t="str">
        <f t="shared" si="21"/>
        <v>Direct</v>
      </c>
      <c r="H3750" s="7" t="s">
        <v>16</v>
      </c>
    </row>
    <row r="3751" spans="1:8" x14ac:dyDescent="0.2">
      <c r="A3751" s="5" t="s">
        <v>27</v>
      </c>
      <c r="B3751" s="6" t="s">
        <v>22</v>
      </c>
      <c r="C3751" s="7" t="s">
        <v>4055</v>
      </c>
      <c r="D3751" s="8">
        <v>1.03254757</v>
      </c>
      <c r="E3751" s="7"/>
      <c r="F3751" s="8">
        <v>11.777503599999999</v>
      </c>
      <c r="G3751" s="7" t="str">
        <f t="shared" si="21"/>
        <v>Direct</v>
      </c>
      <c r="H3751" s="7" t="s">
        <v>4056</v>
      </c>
    </row>
    <row r="3752" spans="1:8" x14ac:dyDescent="0.2">
      <c r="A3752" s="5" t="s">
        <v>27</v>
      </c>
      <c r="B3752" s="6" t="s">
        <v>22</v>
      </c>
      <c r="C3752" s="7" t="s">
        <v>4300</v>
      </c>
      <c r="D3752" s="8">
        <v>-1.2193882</v>
      </c>
      <c r="E3752" s="7"/>
      <c r="F3752" s="8">
        <v>-1.0215752</v>
      </c>
      <c r="G3752" s="7" t="str">
        <f t="shared" si="21"/>
        <v>Direct</v>
      </c>
      <c r="H3752" s="7" t="s">
        <v>3095</v>
      </c>
    </row>
    <row r="3753" spans="1:8" x14ac:dyDescent="0.2">
      <c r="A3753" s="5" t="s">
        <v>27</v>
      </c>
      <c r="B3753" s="6" t="s">
        <v>22</v>
      </c>
      <c r="C3753" s="7" t="s">
        <v>4301</v>
      </c>
      <c r="D3753" s="8">
        <v>3.12664125</v>
      </c>
      <c r="E3753" s="7"/>
      <c r="F3753" s="8">
        <v>1.27206409</v>
      </c>
      <c r="G3753" s="7" t="str">
        <f t="shared" si="21"/>
        <v>Direct</v>
      </c>
      <c r="H3753" s="7" t="s">
        <v>4302</v>
      </c>
    </row>
    <row r="3754" spans="1:8" x14ac:dyDescent="0.2">
      <c r="A3754" s="5" t="s">
        <v>27</v>
      </c>
      <c r="B3754" s="6" t="s">
        <v>22</v>
      </c>
      <c r="C3754" s="7" t="s">
        <v>4057</v>
      </c>
      <c r="D3754" s="8">
        <v>1.27562229</v>
      </c>
      <c r="E3754" s="7"/>
      <c r="F3754" s="8">
        <v>1.8879718599999999</v>
      </c>
      <c r="G3754" s="7" t="str">
        <f t="shared" si="21"/>
        <v>Direct</v>
      </c>
      <c r="H3754" s="7" t="s">
        <v>4058</v>
      </c>
    </row>
    <row r="3755" spans="1:8" x14ac:dyDescent="0.2">
      <c r="A3755" s="5" t="s">
        <v>27</v>
      </c>
      <c r="B3755" s="6" t="s">
        <v>22</v>
      </c>
      <c r="C3755" s="7" t="s">
        <v>4059</v>
      </c>
      <c r="D3755" s="8">
        <v>3.2722061199999999</v>
      </c>
      <c r="E3755" s="7"/>
      <c r="F3755" s="8">
        <v>3.0585851499999999</v>
      </c>
      <c r="G3755" s="7" t="str">
        <f t="shared" si="21"/>
        <v>Direct</v>
      </c>
      <c r="H3755" s="7" t="s">
        <v>4058</v>
      </c>
    </row>
    <row r="3756" spans="1:8" x14ac:dyDescent="0.2">
      <c r="A3756" s="5" t="s">
        <v>27</v>
      </c>
      <c r="B3756" s="6" t="s">
        <v>22</v>
      </c>
      <c r="C3756" s="7" t="s">
        <v>4060</v>
      </c>
      <c r="D3756" s="8">
        <v>1.33362399</v>
      </c>
      <c r="E3756" s="7"/>
      <c r="F3756" s="8">
        <v>3.88025507</v>
      </c>
      <c r="G3756" s="7" t="str">
        <f t="shared" si="21"/>
        <v>Direct</v>
      </c>
      <c r="H3756" s="7" t="s">
        <v>4061</v>
      </c>
    </row>
    <row r="3757" spans="1:8" x14ac:dyDescent="0.2">
      <c r="A3757" s="5" t="s">
        <v>27</v>
      </c>
      <c r="B3757" s="6" t="s">
        <v>22</v>
      </c>
      <c r="C3757" s="7" t="s">
        <v>4062</v>
      </c>
      <c r="D3757" s="8">
        <v>1.2679007</v>
      </c>
      <c r="E3757" s="7"/>
      <c r="F3757" s="8">
        <v>3.1907296399999998</v>
      </c>
      <c r="G3757" s="7" t="str">
        <f t="shared" si="21"/>
        <v>Direct</v>
      </c>
      <c r="H3757" s="7" t="s">
        <v>1108</v>
      </c>
    </row>
    <row r="3758" spans="1:8" x14ac:dyDescent="0.2">
      <c r="A3758" s="5" t="s">
        <v>27</v>
      </c>
      <c r="B3758" s="6" t="s">
        <v>22</v>
      </c>
      <c r="C3758" s="7" t="s">
        <v>4303</v>
      </c>
      <c r="D3758" s="8">
        <v>1.0968898899999999</v>
      </c>
      <c r="E3758" s="7"/>
      <c r="F3758" s="8">
        <v>-1.6522935000000001</v>
      </c>
      <c r="G3758" s="7" t="str">
        <f t="shared" si="21"/>
        <v>Inverse</v>
      </c>
      <c r="H3758" s="7" t="s">
        <v>1080</v>
      </c>
    </row>
    <row r="3759" spans="1:8" x14ac:dyDescent="0.2">
      <c r="A3759" s="5" t="s">
        <v>27</v>
      </c>
      <c r="B3759" s="6" t="s">
        <v>22</v>
      </c>
      <c r="C3759" s="7" t="s">
        <v>4304</v>
      </c>
      <c r="D3759" s="8">
        <v>1.5532327100000001</v>
      </c>
      <c r="E3759" s="7"/>
      <c r="F3759" s="8">
        <v>1.8897039200000001</v>
      </c>
      <c r="G3759" s="7" t="str">
        <f t="shared" si="21"/>
        <v>Direct</v>
      </c>
      <c r="H3759" s="7" t="s">
        <v>722</v>
      </c>
    </row>
    <row r="3760" spans="1:8" x14ac:dyDescent="0.2">
      <c r="A3760" s="5" t="s">
        <v>27</v>
      </c>
      <c r="B3760" s="6" t="s">
        <v>22</v>
      </c>
      <c r="C3760" s="7" t="s">
        <v>4305</v>
      </c>
      <c r="D3760" s="8">
        <v>2.6508131700000002</v>
      </c>
      <c r="E3760" s="7"/>
      <c r="F3760" s="8">
        <v>1.26702117</v>
      </c>
      <c r="G3760" s="7" t="str">
        <f t="shared" si="21"/>
        <v>Direct</v>
      </c>
      <c r="H3760" s="7" t="s">
        <v>139</v>
      </c>
    </row>
    <row r="3761" spans="1:8" x14ac:dyDescent="0.2">
      <c r="A3761" s="5" t="s">
        <v>27</v>
      </c>
      <c r="B3761" s="6" t="s">
        <v>22</v>
      </c>
      <c r="C3761" s="7" t="s">
        <v>4063</v>
      </c>
      <c r="D3761" s="8">
        <v>1.1517859699999999</v>
      </c>
      <c r="E3761" s="7"/>
      <c r="F3761" s="8">
        <v>2.5967800900000002</v>
      </c>
      <c r="G3761" s="7" t="str">
        <f t="shared" si="21"/>
        <v>Direct</v>
      </c>
      <c r="H3761" s="7" t="s">
        <v>1158</v>
      </c>
    </row>
    <row r="3762" spans="1:8" x14ac:dyDescent="0.2">
      <c r="A3762" s="5" t="s">
        <v>27</v>
      </c>
      <c r="B3762" s="6" t="s">
        <v>22</v>
      </c>
      <c r="C3762" s="7" t="s">
        <v>4064</v>
      </c>
      <c r="D3762" s="8">
        <v>1.08867647</v>
      </c>
      <c r="E3762" s="7"/>
      <c r="F3762" s="8">
        <v>3.4066542499999999</v>
      </c>
      <c r="G3762" s="7" t="str">
        <f t="shared" si="21"/>
        <v>Direct</v>
      </c>
      <c r="H3762" s="7" t="s">
        <v>16</v>
      </c>
    </row>
    <row r="3763" spans="1:8" x14ac:dyDescent="0.2">
      <c r="A3763" s="5" t="s">
        <v>27</v>
      </c>
      <c r="B3763" s="6" t="s">
        <v>22</v>
      </c>
      <c r="C3763" s="7" t="s">
        <v>4065</v>
      </c>
      <c r="D3763" s="8">
        <v>1.2690814800000001</v>
      </c>
      <c r="E3763" s="7"/>
      <c r="F3763" s="8">
        <v>3.7331735400000001</v>
      </c>
      <c r="G3763" s="7" t="str">
        <f t="shared" si="21"/>
        <v>Direct</v>
      </c>
      <c r="H3763" s="7" t="s">
        <v>1171</v>
      </c>
    </row>
    <row r="3764" spans="1:8" x14ac:dyDescent="0.2">
      <c r="A3764" s="5" t="s">
        <v>27</v>
      </c>
      <c r="B3764" s="6" t="s">
        <v>22</v>
      </c>
      <c r="C3764" s="7" t="s">
        <v>4066</v>
      </c>
      <c r="D3764" s="8">
        <v>1.0430862599999999</v>
      </c>
      <c r="E3764" s="7"/>
      <c r="F3764" s="8">
        <v>2.8614752999999999</v>
      </c>
      <c r="G3764" s="7" t="str">
        <f t="shared" si="21"/>
        <v>Direct</v>
      </c>
      <c r="H3764" s="7" t="s">
        <v>4067</v>
      </c>
    </row>
    <row r="3765" spans="1:8" x14ac:dyDescent="0.2">
      <c r="A3765" s="5" t="s">
        <v>27</v>
      </c>
      <c r="B3765" s="6" t="s">
        <v>22</v>
      </c>
      <c r="C3765" s="7" t="s">
        <v>4306</v>
      </c>
      <c r="D3765" s="8">
        <v>1.1843860500000001</v>
      </c>
      <c r="E3765" s="7"/>
      <c r="F3765" s="8">
        <v>-1.6325700000000001</v>
      </c>
      <c r="G3765" s="7" t="str">
        <f t="shared" si="21"/>
        <v>Inverse</v>
      </c>
      <c r="H3765" s="7" t="s">
        <v>728</v>
      </c>
    </row>
    <row r="3766" spans="1:8" x14ac:dyDescent="0.2">
      <c r="A3766" s="5" t="s">
        <v>27</v>
      </c>
      <c r="B3766" s="6" t="s">
        <v>22</v>
      </c>
      <c r="C3766" s="7" t="s">
        <v>4307</v>
      </c>
      <c r="D3766" s="8">
        <v>3.2228757799999999</v>
      </c>
      <c r="E3766" s="7"/>
      <c r="F3766" s="8">
        <v>2.2444722100000001</v>
      </c>
      <c r="G3766" s="7" t="str">
        <f t="shared" si="21"/>
        <v>Direct</v>
      </c>
      <c r="H3766" s="7" t="s">
        <v>16</v>
      </c>
    </row>
    <row r="3767" spans="1:8" x14ac:dyDescent="0.2">
      <c r="A3767" s="5" t="s">
        <v>27</v>
      </c>
      <c r="B3767" s="6" t="s">
        <v>22</v>
      </c>
      <c r="C3767" s="7" t="s">
        <v>4068</v>
      </c>
      <c r="D3767" s="8">
        <v>1.17323139</v>
      </c>
      <c r="E3767" s="7"/>
      <c r="F3767" s="8">
        <v>-5.4200745000000001</v>
      </c>
      <c r="G3767" s="7" t="str">
        <f t="shared" si="21"/>
        <v>Inverse</v>
      </c>
      <c r="H3767" s="7" t="s">
        <v>4069</v>
      </c>
    </row>
    <row r="3768" spans="1:8" x14ac:dyDescent="0.2">
      <c r="A3768" s="5" t="s">
        <v>27</v>
      </c>
      <c r="B3768" s="6" t="s">
        <v>22</v>
      </c>
      <c r="C3768" s="7" t="s">
        <v>4308</v>
      </c>
      <c r="D3768" s="8">
        <v>-1.7818559</v>
      </c>
      <c r="E3768" s="7"/>
      <c r="F3768" s="8">
        <v>-2.4189177000000002</v>
      </c>
      <c r="G3768" s="7" t="str">
        <f t="shared" si="21"/>
        <v>Direct</v>
      </c>
      <c r="H3768" s="7" t="s">
        <v>4309</v>
      </c>
    </row>
    <row r="3769" spans="1:8" x14ac:dyDescent="0.2">
      <c r="A3769" s="5" t="s">
        <v>27</v>
      </c>
      <c r="B3769" s="6" t="s">
        <v>22</v>
      </c>
      <c r="C3769" s="7" t="s">
        <v>4071</v>
      </c>
      <c r="D3769" s="8">
        <v>1.15682391</v>
      </c>
      <c r="E3769" s="7"/>
      <c r="F3769" s="8">
        <v>2.23616496</v>
      </c>
      <c r="G3769" s="7" t="str">
        <f t="shared" si="21"/>
        <v>Direct</v>
      </c>
      <c r="H3769" s="7" t="s">
        <v>4072</v>
      </c>
    </row>
    <row r="3770" spans="1:8" x14ac:dyDescent="0.2">
      <c r="A3770" s="5" t="s">
        <v>27</v>
      </c>
      <c r="B3770" s="6" t="s">
        <v>22</v>
      </c>
      <c r="C3770" s="7" t="s">
        <v>4073</v>
      </c>
      <c r="D3770" s="8">
        <v>1.2784472099999999</v>
      </c>
      <c r="E3770" s="7"/>
      <c r="F3770" s="8">
        <v>14.6434598</v>
      </c>
      <c r="G3770" s="7" t="str">
        <f t="shared" si="21"/>
        <v>Direct</v>
      </c>
      <c r="H3770" s="7" t="s">
        <v>2783</v>
      </c>
    </row>
    <row r="3771" spans="1:8" x14ac:dyDescent="0.2">
      <c r="A3771" s="5" t="s">
        <v>27</v>
      </c>
      <c r="B3771" s="6" t="s">
        <v>22</v>
      </c>
      <c r="C3771" s="7" t="s">
        <v>4074</v>
      </c>
      <c r="D3771" s="8">
        <v>1.03274881</v>
      </c>
      <c r="E3771" s="7"/>
      <c r="F3771" s="8">
        <v>3.56308874</v>
      </c>
      <c r="G3771" s="7" t="str">
        <f t="shared" si="21"/>
        <v>Direct</v>
      </c>
      <c r="H3771" s="7" t="s">
        <v>16</v>
      </c>
    </row>
    <row r="3772" spans="1:8" x14ac:dyDescent="0.2">
      <c r="A3772" s="5" t="s">
        <v>27</v>
      </c>
      <c r="B3772" s="6" t="s">
        <v>22</v>
      </c>
      <c r="C3772" s="7" t="s">
        <v>4310</v>
      </c>
      <c r="D3772" s="8">
        <v>-1.3385383</v>
      </c>
      <c r="E3772" s="7"/>
      <c r="F3772" s="8">
        <v>-1.2647656</v>
      </c>
      <c r="G3772" s="7" t="str">
        <f t="shared" si="21"/>
        <v>Direct</v>
      </c>
      <c r="H3772" s="7" t="s">
        <v>42</v>
      </c>
    </row>
    <row r="3773" spans="1:8" x14ac:dyDescent="0.2">
      <c r="A3773" s="5" t="s">
        <v>27</v>
      </c>
      <c r="B3773" s="6" t="s">
        <v>22</v>
      </c>
      <c r="C3773" s="7" t="s">
        <v>4075</v>
      </c>
      <c r="D3773" s="8">
        <v>1.1287037799999999</v>
      </c>
      <c r="E3773" s="7"/>
      <c r="F3773" s="8">
        <v>-2.4545808</v>
      </c>
      <c r="G3773" s="7" t="str">
        <f t="shared" si="21"/>
        <v>Inverse</v>
      </c>
      <c r="H3773" s="7" t="s">
        <v>2709</v>
      </c>
    </row>
    <row r="3774" spans="1:8" x14ac:dyDescent="0.2">
      <c r="A3774" s="5" t="s">
        <v>27</v>
      </c>
      <c r="B3774" s="6" t="s">
        <v>22</v>
      </c>
      <c r="C3774" s="7" t="s">
        <v>4076</v>
      </c>
      <c r="D3774" s="8">
        <v>1.46781206</v>
      </c>
      <c r="E3774" s="7"/>
      <c r="F3774" s="8">
        <v>-2.5925550999999998</v>
      </c>
      <c r="G3774" s="7" t="str">
        <f t="shared" si="21"/>
        <v>Inverse</v>
      </c>
      <c r="H3774" s="7" t="s">
        <v>2150</v>
      </c>
    </row>
    <row r="3775" spans="1:8" x14ac:dyDescent="0.2">
      <c r="A3775" s="5" t="s">
        <v>27</v>
      </c>
      <c r="B3775" s="6" t="s">
        <v>22</v>
      </c>
      <c r="C3775" s="7" t="s">
        <v>4311</v>
      </c>
      <c r="D3775" s="8">
        <v>-1.0938677999999999</v>
      </c>
      <c r="E3775" s="7"/>
      <c r="F3775" s="8">
        <v>-1.0761411000000001</v>
      </c>
      <c r="G3775" s="7" t="str">
        <f t="shared" si="21"/>
        <v>Direct</v>
      </c>
      <c r="H3775" s="7" t="s">
        <v>16</v>
      </c>
    </row>
    <row r="3776" spans="1:8" x14ac:dyDescent="0.2">
      <c r="A3776" s="5" t="s">
        <v>27</v>
      </c>
      <c r="B3776" s="6" t="s">
        <v>22</v>
      </c>
      <c r="C3776" s="7" t="s">
        <v>4080</v>
      </c>
      <c r="D3776" s="8">
        <v>1.31255294</v>
      </c>
      <c r="E3776" s="7"/>
      <c r="F3776" s="8">
        <v>-3.3125594999999999</v>
      </c>
      <c r="G3776" s="7" t="str">
        <f t="shared" si="21"/>
        <v>Inverse</v>
      </c>
      <c r="H3776" s="7" t="s">
        <v>2861</v>
      </c>
    </row>
    <row r="3777" spans="1:8" x14ac:dyDescent="0.2">
      <c r="A3777" s="5" t="s">
        <v>27</v>
      </c>
      <c r="B3777" s="6" t="s">
        <v>22</v>
      </c>
      <c r="C3777" s="7" t="s">
        <v>4082</v>
      </c>
      <c r="D3777" s="8">
        <v>2.0163131500000002</v>
      </c>
      <c r="E3777" s="7"/>
      <c r="F3777" s="8">
        <v>4.6928096300000002</v>
      </c>
      <c r="G3777" s="7" t="str">
        <f t="shared" si="21"/>
        <v>Direct</v>
      </c>
      <c r="H3777" s="7" t="s">
        <v>543</v>
      </c>
    </row>
    <row r="3778" spans="1:8" x14ac:dyDescent="0.2">
      <c r="A3778" s="5" t="s">
        <v>27</v>
      </c>
      <c r="B3778" s="6" t="s">
        <v>22</v>
      </c>
      <c r="C3778" s="7" t="s">
        <v>4312</v>
      </c>
      <c r="D3778" s="8">
        <v>1.0205387100000001</v>
      </c>
      <c r="E3778" s="7"/>
      <c r="F3778" s="8">
        <v>-1.2532114000000001</v>
      </c>
      <c r="G3778" s="7" t="str">
        <f t="shared" si="21"/>
        <v>Inverse</v>
      </c>
      <c r="H3778" s="7" t="s">
        <v>1448</v>
      </c>
    </row>
    <row r="3779" spans="1:8" x14ac:dyDescent="0.2">
      <c r="A3779" s="5" t="s">
        <v>27</v>
      </c>
      <c r="B3779" s="6" t="s">
        <v>22</v>
      </c>
      <c r="C3779" s="7" t="s">
        <v>4313</v>
      </c>
      <c r="D3779" s="8">
        <v>1.1155167800000001</v>
      </c>
      <c r="E3779" s="7"/>
      <c r="F3779" s="8">
        <v>-1.1720195</v>
      </c>
      <c r="G3779" s="7" t="str">
        <f t="shared" si="21"/>
        <v>Inverse</v>
      </c>
      <c r="H3779" s="7" t="s">
        <v>4314</v>
      </c>
    </row>
    <row r="3780" spans="1:8" x14ac:dyDescent="0.2">
      <c r="A3780" s="5" t="s">
        <v>27</v>
      </c>
      <c r="B3780" s="6" t="s">
        <v>22</v>
      </c>
      <c r="C3780" s="7" t="s">
        <v>4083</v>
      </c>
      <c r="D3780" s="8">
        <v>1.33660008</v>
      </c>
      <c r="E3780" s="7"/>
      <c r="F3780" s="8">
        <v>1.7488159000000001</v>
      </c>
      <c r="G3780" s="7" t="str">
        <f t="shared" si="21"/>
        <v>Direct</v>
      </c>
      <c r="H3780" s="7" t="s">
        <v>4084</v>
      </c>
    </row>
    <row r="3781" spans="1:8" x14ac:dyDescent="0.2">
      <c r="A3781" s="5" t="s">
        <v>27</v>
      </c>
      <c r="B3781" s="6" t="s">
        <v>22</v>
      </c>
      <c r="C3781" s="7" t="s">
        <v>4085</v>
      </c>
      <c r="D3781" s="8">
        <v>1.1924639800000001</v>
      </c>
      <c r="E3781" s="7"/>
      <c r="F3781" s="8">
        <v>1.13567201</v>
      </c>
      <c r="G3781" s="7" t="str">
        <f t="shared" si="21"/>
        <v>Direct</v>
      </c>
      <c r="H3781" s="7" t="s">
        <v>16</v>
      </c>
    </row>
    <row r="3782" spans="1:8" x14ac:dyDescent="0.2">
      <c r="A3782" s="5" t="s">
        <v>27</v>
      </c>
      <c r="B3782" s="6" t="s">
        <v>22</v>
      </c>
      <c r="C3782" s="7" t="s">
        <v>4315</v>
      </c>
      <c r="D3782" s="8">
        <v>1.2784472099999999</v>
      </c>
      <c r="E3782" s="7"/>
      <c r="F3782" s="8">
        <v>-1.7603544</v>
      </c>
      <c r="G3782" s="7" t="str">
        <f t="shared" si="21"/>
        <v>Inverse</v>
      </c>
      <c r="H3782" s="7" t="s">
        <v>2482</v>
      </c>
    </row>
    <row r="3783" spans="1:8" x14ac:dyDescent="0.2">
      <c r="A3783" s="5" t="s">
        <v>27</v>
      </c>
      <c r="B3783" s="6" t="s">
        <v>22</v>
      </c>
      <c r="C3783" s="7" t="s">
        <v>4316</v>
      </c>
      <c r="D3783" s="8">
        <v>1.33062294</v>
      </c>
      <c r="E3783" s="7"/>
      <c r="F3783" s="8">
        <v>1.06543619</v>
      </c>
      <c r="G3783" s="7" t="str">
        <f t="shared" si="21"/>
        <v>Direct</v>
      </c>
      <c r="H3783" s="7" t="s">
        <v>4317</v>
      </c>
    </row>
    <row r="3784" spans="1:8" x14ac:dyDescent="0.2">
      <c r="A3784" s="5" t="s">
        <v>27</v>
      </c>
      <c r="B3784" s="6" t="s">
        <v>22</v>
      </c>
      <c r="C3784" s="7" t="s">
        <v>4318</v>
      </c>
      <c r="D3784" s="8">
        <v>1.13638919</v>
      </c>
      <c r="E3784" s="7"/>
      <c r="F3784" s="8">
        <v>1.06115794</v>
      </c>
      <c r="G3784" s="7" t="str">
        <f t="shared" si="21"/>
        <v>Direct</v>
      </c>
      <c r="H3784" s="7" t="s">
        <v>2878</v>
      </c>
    </row>
    <row r="3785" spans="1:8" x14ac:dyDescent="0.2">
      <c r="A3785" s="5" t="s">
        <v>27</v>
      </c>
      <c r="B3785" s="6" t="s">
        <v>22</v>
      </c>
      <c r="C3785" s="7" t="s">
        <v>4086</v>
      </c>
      <c r="D3785" s="8">
        <v>-1.6061143</v>
      </c>
      <c r="E3785" s="7"/>
      <c r="F3785" s="8">
        <v>-2.8233503999999998</v>
      </c>
      <c r="G3785" s="7" t="str">
        <f t="shared" si="21"/>
        <v>Direct</v>
      </c>
      <c r="H3785" s="7" t="s">
        <v>4087</v>
      </c>
    </row>
    <row r="3786" spans="1:8" x14ac:dyDescent="0.2">
      <c r="A3786" s="5" t="s">
        <v>27</v>
      </c>
      <c r="B3786" s="6" t="s">
        <v>22</v>
      </c>
      <c r="C3786" s="7" t="s">
        <v>4319</v>
      </c>
      <c r="D3786" s="8">
        <v>1.0617814299999999</v>
      </c>
      <c r="E3786" s="7"/>
      <c r="F3786" s="8">
        <v>-2.1498884999999999</v>
      </c>
      <c r="G3786" s="7" t="str">
        <f t="shared" si="21"/>
        <v>Inverse</v>
      </c>
      <c r="H3786" s="7" t="s">
        <v>4320</v>
      </c>
    </row>
    <row r="3787" spans="1:8" x14ac:dyDescent="0.2">
      <c r="A3787" s="5" t="s">
        <v>27</v>
      </c>
      <c r="B3787" s="6" t="s">
        <v>22</v>
      </c>
      <c r="C3787" s="7" t="s">
        <v>4088</v>
      </c>
      <c r="D3787" s="8">
        <v>1.21814289</v>
      </c>
      <c r="E3787" s="7"/>
      <c r="F3787" s="8">
        <v>4.9887077599999996</v>
      </c>
      <c r="G3787" s="7" t="str">
        <f t="shared" si="21"/>
        <v>Direct</v>
      </c>
      <c r="H3787" s="7" t="s">
        <v>287</v>
      </c>
    </row>
    <row r="3788" spans="1:8" x14ac:dyDescent="0.2">
      <c r="A3788" s="5" t="s">
        <v>27</v>
      </c>
      <c r="B3788" s="6" t="s">
        <v>22</v>
      </c>
      <c r="C3788" s="7" t="s">
        <v>4089</v>
      </c>
      <c r="D3788" s="8">
        <v>1.0314647299999999</v>
      </c>
      <c r="E3788" s="7"/>
      <c r="F3788" s="8">
        <v>1.28546114</v>
      </c>
      <c r="G3788" s="7" t="str">
        <f t="shared" si="21"/>
        <v>Direct</v>
      </c>
      <c r="H3788" s="7" t="s">
        <v>16</v>
      </c>
    </row>
    <row r="3789" spans="1:8" x14ac:dyDescent="0.2">
      <c r="A3789" s="5" t="s">
        <v>27</v>
      </c>
      <c r="B3789" s="6" t="s">
        <v>22</v>
      </c>
      <c r="C3789" s="7" t="s">
        <v>4321</v>
      </c>
      <c r="D3789" s="8">
        <v>1.0905153700000001</v>
      </c>
      <c r="E3789" s="7"/>
      <c r="F3789" s="8">
        <v>-1.0789074000000001</v>
      </c>
      <c r="G3789" s="7" t="str">
        <f t="shared" si="21"/>
        <v>Inverse</v>
      </c>
      <c r="H3789" s="7" t="s">
        <v>1143</v>
      </c>
    </row>
    <row r="3790" spans="1:8" x14ac:dyDescent="0.2">
      <c r="A3790" s="5" t="s">
        <v>27</v>
      </c>
      <c r="B3790" s="6" t="s">
        <v>22</v>
      </c>
      <c r="C3790" s="7" t="s">
        <v>4090</v>
      </c>
      <c r="D3790" s="8">
        <v>1.14362403</v>
      </c>
      <c r="E3790" s="7"/>
      <c r="F3790" s="8">
        <v>2.95995411</v>
      </c>
      <c r="G3790" s="7" t="str">
        <f t="shared" si="21"/>
        <v>Direct</v>
      </c>
      <c r="H3790" s="7" t="s">
        <v>4091</v>
      </c>
    </row>
    <row r="3791" spans="1:8" x14ac:dyDescent="0.2">
      <c r="A3791" s="5" t="s">
        <v>27</v>
      </c>
      <c r="B3791" s="6" t="s">
        <v>22</v>
      </c>
      <c r="C3791" s="7" t="s">
        <v>4092</v>
      </c>
      <c r="D3791" s="8">
        <v>2.4106819599999998</v>
      </c>
      <c r="E3791" s="7"/>
      <c r="F3791" s="8">
        <v>4.4790012800000003</v>
      </c>
      <c r="G3791" s="7" t="str">
        <f t="shared" si="21"/>
        <v>Direct</v>
      </c>
      <c r="H3791" s="7" t="s">
        <v>2546</v>
      </c>
    </row>
    <row r="3792" spans="1:8" x14ac:dyDescent="0.2">
      <c r="A3792" s="5" t="s">
        <v>27</v>
      </c>
      <c r="B3792" s="6" t="s">
        <v>22</v>
      </c>
      <c r="C3792" s="7" t="s">
        <v>4093</v>
      </c>
      <c r="D3792" s="8">
        <v>5.4343140600000002</v>
      </c>
      <c r="E3792" s="7"/>
      <c r="F3792" s="8">
        <v>6.17320739</v>
      </c>
      <c r="G3792" s="7" t="str">
        <f t="shared" si="21"/>
        <v>Direct</v>
      </c>
      <c r="H3792" s="7" t="s">
        <v>16</v>
      </c>
    </row>
    <row r="3793" spans="1:8" x14ac:dyDescent="0.2">
      <c r="A3793" s="5" t="s">
        <v>27</v>
      </c>
      <c r="B3793" s="6" t="s">
        <v>22</v>
      </c>
      <c r="C3793" s="7" t="s">
        <v>4094</v>
      </c>
      <c r="D3793" s="8">
        <v>2.6657633399999998</v>
      </c>
      <c r="E3793" s="7"/>
      <c r="F3793" s="8">
        <v>1.4756666000000001</v>
      </c>
      <c r="G3793" s="7" t="str">
        <f t="shared" si="21"/>
        <v>Direct</v>
      </c>
      <c r="H3793" s="7" t="s">
        <v>16</v>
      </c>
    </row>
    <row r="3794" spans="1:8" x14ac:dyDescent="0.2">
      <c r="A3794" s="5" t="s">
        <v>27</v>
      </c>
      <c r="B3794" s="6" t="s">
        <v>22</v>
      </c>
      <c r="C3794" s="7" t="s">
        <v>4095</v>
      </c>
      <c r="D3794" s="8">
        <v>1.5205623500000001</v>
      </c>
      <c r="E3794" s="7"/>
      <c r="F3794" s="8">
        <v>10.6697293</v>
      </c>
      <c r="G3794" s="7" t="str">
        <f t="shared" si="21"/>
        <v>Direct</v>
      </c>
      <c r="H3794" s="7" t="s">
        <v>4096</v>
      </c>
    </row>
    <row r="3795" spans="1:8" x14ac:dyDescent="0.2">
      <c r="A3795" s="5" t="s">
        <v>27</v>
      </c>
      <c r="B3795" s="6" t="s">
        <v>22</v>
      </c>
      <c r="C3795" s="7" t="s">
        <v>4097</v>
      </c>
      <c r="D3795" s="8">
        <v>1.33062294</v>
      </c>
      <c r="E3795" s="7"/>
      <c r="F3795" s="8">
        <v>1.00081789</v>
      </c>
      <c r="G3795" s="7" t="str">
        <f t="shared" si="21"/>
        <v>Direct</v>
      </c>
      <c r="H3795" s="7" t="s">
        <v>4098</v>
      </c>
    </row>
    <row r="3796" spans="1:8" x14ac:dyDescent="0.2">
      <c r="A3796" s="5" t="s">
        <v>27</v>
      </c>
      <c r="B3796" s="6" t="s">
        <v>22</v>
      </c>
      <c r="C3796" s="7" t="s">
        <v>4099</v>
      </c>
      <c r="D3796" s="8">
        <v>1.22743957</v>
      </c>
      <c r="E3796" s="7"/>
      <c r="F3796" s="8">
        <v>9.4405262600000004</v>
      </c>
      <c r="G3796" s="7" t="str">
        <f t="shared" si="21"/>
        <v>Direct</v>
      </c>
      <c r="H3796" s="7" t="s">
        <v>16</v>
      </c>
    </row>
    <row r="3797" spans="1:8" x14ac:dyDescent="0.2">
      <c r="A3797" s="5" t="s">
        <v>27</v>
      </c>
      <c r="B3797" s="6" t="s">
        <v>22</v>
      </c>
      <c r="C3797" s="7" t="s">
        <v>4100</v>
      </c>
      <c r="D3797" s="8">
        <v>1.4031628899999999</v>
      </c>
      <c r="E3797" s="7"/>
      <c r="F3797" s="8">
        <v>1.1414898899999999</v>
      </c>
      <c r="G3797" s="7" t="str">
        <f t="shared" si="21"/>
        <v>Direct</v>
      </c>
      <c r="H3797" s="7" t="s">
        <v>4101</v>
      </c>
    </row>
    <row r="3798" spans="1:8" x14ac:dyDescent="0.2">
      <c r="A3798" s="5" t="s">
        <v>27</v>
      </c>
      <c r="B3798" s="6" t="s">
        <v>22</v>
      </c>
      <c r="C3798" s="7" t="s">
        <v>4103</v>
      </c>
      <c r="D3798" s="8">
        <v>3.7215504099999999</v>
      </c>
      <c r="E3798" s="7"/>
      <c r="F3798" s="8">
        <v>2.8233503799999999</v>
      </c>
      <c r="G3798" s="7" t="str">
        <f t="shared" si="21"/>
        <v>Direct</v>
      </c>
      <c r="H3798" s="7" t="s">
        <v>1849</v>
      </c>
    </row>
    <row r="3799" spans="1:8" x14ac:dyDescent="0.2">
      <c r="A3799" s="5" t="s">
        <v>27</v>
      </c>
      <c r="B3799" s="6" t="s">
        <v>22</v>
      </c>
      <c r="C3799" s="7" t="s">
        <v>4104</v>
      </c>
      <c r="D3799" s="8">
        <v>-1.2198798</v>
      </c>
      <c r="E3799" s="7"/>
      <c r="F3799" s="8">
        <v>-2.6435759000000001</v>
      </c>
      <c r="G3799" s="7" t="str">
        <f t="shared" si="21"/>
        <v>Direct</v>
      </c>
      <c r="H3799" s="7" t="s">
        <v>24</v>
      </c>
    </row>
    <row r="3800" spans="1:8" x14ac:dyDescent="0.2">
      <c r="A3800" s="5" t="s">
        <v>27</v>
      </c>
      <c r="B3800" s="6" t="s">
        <v>22</v>
      </c>
      <c r="C3800" s="7" t="s">
        <v>4322</v>
      </c>
      <c r="D3800" s="8">
        <v>1.5130316100000001</v>
      </c>
      <c r="E3800" s="7"/>
      <c r="F3800" s="8">
        <v>1.67784277</v>
      </c>
      <c r="G3800" s="7" t="str">
        <f t="shared" si="21"/>
        <v>Direct</v>
      </c>
      <c r="H3800" s="7" t="s">
        <v>4323</v>
      </c>
    </row>
    <row r="3801" spans="1:8" x14ac:dyDescent="0.2">
      <c r="A3801" s="5" t="s">
        <v>27</v>
      </c>
      <c r="B3801" s="6" t="s">
        <v>22</v>
      </c>
      <c r="C3801" s="7" t="s">
        <v>4324</v>
      </c>
      <c r="D3801" s="8">
        <v>1.4017134</v>
      </c>
      <c r="E3801" s="7"/>
      <c r="F3801" s="8">
        <v>-2.5416680999999999</v>
      </c>
      <c r="G3801" s="7" t="str">
        <f t="shared" si="21"/>
        <v>Inverse</v>
      </c>
      <c r="H3801" s="7" t="s">
        <v>898</v>
      </c>
    </row>
    <row r="3802" spans="1:8" x14ac:dyDescent="0.2">
      <c r="A3802" s="5" t="s">
        <v>27</v>
      </c>
      <c r="B3802" s="6" t="s">
        <v>22</v>
      </c>
      <c r="C3802" s="7" t="s">
        <v>4105</v>
      </c>
      <c r="D3802" s="8">
        <v>1.6918055400000001</v>
      </c>
      <c r="E3802" s="7"/>
      <c r="F3802" s="8">
        <v>1.4260600400000001</v>
      </c>
      <c r="G3802" s="7" t="str">
        <f t="shared" si="21"/>
        <v>Direct</v>
      </c>
      <c r="H3802" s="7" t="s">
        <v>16</v>
      </c>
    </row>
    <row r="3803" spans="1:8" x14ac:dyDescent="0.2">
      <c r="A3803" s="5" t="s">
        <v>27</v>
      </c>
      <c r="B3803" s="6" t="s">
        <v>22</v>
      </c>
      <c r="C3803" s="7" t="s">
        <v>4107</v>
      </c>
      <c r="D3803" s="8">
        <v>1.5403856199999999</v>
      </c>
      <c r="E3803" s="7"/>
      <c r="F3803" s="8">
        <v>1.58624885</v>
      </c>
      <c r="G3803" s="7" t="str">
        <f t="shared" si="21"/>
        <v>Direct</v>
      </c>
      <c r="H3803" s="7" t="s">
        <v>16</v>
      </c>
    </row>
    <row r="3804" spans="1:8" x14ac:dyDescent="0.2">
      <c r="A3804" s="5" t="s">
        <v>27</v>
      </c>
      <c r="B3804" s="6" t="s">
        <v>22</v>
      </c>
      <c r="C3804" s="7" t="s">
        <v>4325</v>
      </c>
      <c r="D3804" s="8">
        <v>-1.1253572999999999</v>
      </c>
      <c r="E3804" s="7"/>
      <c r="F3804" s="8">
        <v>-1.0668876</v>
      </c>
      <c r="G3804" s="7" t="str">
        <f t="shared" si="21"/>
        <v>Direct</v>
      </c>
      <c r="H3804" s="7" t="s">
        <v>2114</v>
      </c>
    </row>
    <row r="3805" spans="1:8" x14ac:dyDescent="0.2">
      <c r="A3805" s="5" t="s">
        <v>27</v>
      </c>
      <c r="B3805" s="6" t="s">
        <v>22</v>
      </c>
      <c r="C3805" s="7" t="s">
        <v>4108</v>
      </c>
      <c r="D3805" s="8">
        <v>1.0513215499999999</v>
      </c>
      <c r="E3805" s="7"/>
      <c r="F3805" s="8">
        <v>1.6337658900000001</v>
      </c>
      <c r="G3805" s="7" t="str">
        <f t="shared" si="21"/>
        <v>Direct</v>
      </c>
      <c r="H3805" s="7" t="s">
        <v>1135</v>
      </c>
    </row>
    <row r="3806" spans="1:8" x14ac:dyDescent="0.2">
      <c r="A3806" s="5" t="s">
        <v>27</v>
      </c>
      <c r="B3806" s="6" t="s">
        <v>22</v>
      </c>
      <c r="C3806" s="7" t="s">
        <v>4109</v>
      </c>
      <c r="D3806" s="8">
        <v>-1.7828108</v>
      </c>
      <c r="E3806" s="7"/>
      <c r="F3806" s="8">
        <v>-1.1492336000000001</v>
      </c>
      <c r="G3806" s="7" t="str">
        <f t="shared" si="21"/>
        <v>Direct</v>
      </c>
      <c r="H3806" s="7" t="s">
        <v>16</v>
      </c>
    </row>
    <row r="3807" spans="1:8" x14ac:dyDescent="0.2">
      <c r="A3807" s="5" t="s">
        <v>27</v>
      </c>
      <c r="B3807" s="6" t="s">
        <v>22</v>
      </c>
      <c r="C3807" s="7" t="s">
        <v>4110</v>
      </c>
      <c r="D3807" s="8">
        <v>1.0195482199999999</v>
      </c>
      <c r="E3807" s="7"/>
      <c r="F3807" s="8">
        <v>-3.1322500999999998</v>
      </c>
      <c r="G3807" s="7" t="str">
        <f t="shared" si="21"/>
        <v>Inverse</v>
      </c>
      <c r="H3807" s="7" t="s">
        <v>2664</v>
      </c>
    </row>
    <row r="3808" spans="1:8" x14ac:dyDescent="0.2">
      <c r="A3808" s="5" t="s">
        <v>27</v>
      </c>
      <c r="B3808" s="6" t="s">
        <v>22</v>
      </c>
      <c r="C3808" s="7" t="s">
        <v>4326</v>
      </c>
      <c r="D3808" s="8">
        <v>1.0381205099999999</v>
      </c>
      <c r="E3808" s="7"/>
      <c r="F3808" s="8">
        <v>-2.7747027000000002</v>
      </c>
      <c r="G3808" s="7" t="str">
        <f t="shared" si="21"/>
        <v>Inverse</v>
      </c>
      <c r="H3808" s="7" t="s">
        <v>2653</v>
      </c>
    </row>
    <row r="3809" spans="1:8" x14ac:dyDescent="0.2">
      <c r="A3809" s="5" t="s">
        <v>27</v>
      </c>
      <c r="B3809" s="6" t="s">
        <v>22</v>
      </c>
      <c r="C3809" s="7" t="s">
        <v>4327</v>
      </c>
      <c r="D3809" s="8">
        <v>1.3276384299999999</v>
      </c>
      <c r="E3809" s="7"/>
      <c r="F3809" s="8">
        <v>1.0091282699999999</v>
      </c>
      <c r="G3809" s="7" t="str">
        <f t="shared" si="21"/>
        <v>Direct</v>
      </c>
      <c r="H3809" s="7" t="s">
        <v>4328</v>
      </c>
    </row>
    <row r="3810" spans="1:8" x14ac:dyDescent="0.2">
      <c r="A3810" s="5" t="s">
        <v>27</v>
      </c>
      <c r="B3810" s="6" t="s">
        <v>22</v>
      </c>
      <c r="C3810" s="7" t="s">
        <v>4329</v>
      </c>
      <c r="D3810" s="8">
        <v>1.25925625</v>
      </c>
      <c r="E3810" s="7"/>
      <c r="F3810" s="8">
        <v>1.46991655</v>
      </c>
      <c r="G3810" s="7" t="str">
        <f t="shared" si="21"/>
        <v>Direct</v>
      </c>
      <c r="H3810" s="7" t="s">
        <v>16</v>
      </c>
    </row>
    <row r="3811" spans="1:8" x14ac:dyDescent="0.2">
      <c r="A3811" s="5" t="s">
        <v>27</v>
      </c>
      <c r="B3811" s="6" t="s">
        <v>22</v>
      </c>
      <c r="C3811" s="7" t="s">
        <v>4113</v>
      </c>
      <c r="D3811" s="8">
        <v>1.3625895800000001</v>
      </c>
      <c r="E3811" s="7"/>
      <c r="F3811" s="8">
        <v>1.80673156</v>
      </c>
      <c r="G3811" s="7" t="str">
        <f t="shared" si="21"/>
        <v>Direct</v>
      </c>
      <c r="H3811" s="7" t="s">
        <v>722</v>
      </c>
    </row>
    <row r="3812" spans="1:8" x14ac:dyDescent="0.2">
      <c r="A3812" s="5" t="s">
        <v>27</v>
      </c>
      <c r="B3812" s="6" t="s">
        <v>22</v>
      </c>
      <c r="C3812" s="7" t="s">
        <v>4330</v>
      </c>
      <c r="D3812" s="8">
        <v>1.0056645799999999</v>
      </c>
      <c r="E3812" s="7"/>
      <c r="F3812" s="8">
        <v>1.4703738399999999</v>
      </c>
      <c r="G3812" s="7" t="str">
        <f t="shared" si="21"/>
        <v>Direct</v>
      </c>
      <c r="H3812" s="7" t="s">
        <v>139</v>
      </c>
    </row>
    <row r="3813" spans="1:8" x14ac:dyDescent="0.2">
      <c r="A3813" s="5" t="s">
        <v>27</v>
      </c>
      <c r="B3813" s="6" t="s">
        <v>22</v>
      </c>
      <c r="C3813" s="7" t="s">
        <v>4114</v>
      </c>
      <c r="D3813" s="8">
        <v>1.2324735600000001</v>
      </c>
      <c r="E3813" s="7"/>
      <c r="F3813" s="8">
        <v>1.1378352</v>
      </c>
      <c r="G3813" s="7" t="str">
        <f t="shared" si="21"/>
        <v>Direct</v>
      </c>
      <c r="H3813" s="7" t="s">
        <v>16</v>
      </c>
    </row>
    <row r="3814" spans="1:8" x14ac:dyDescent="0.2">
      <c r="A3814" s="5" t="s">
        <v>27</v>
      </c>
      <c r="B3814" s="6" t="s">
        <v>22</v>
      </c>
      <c r="C3814" s="7" t="s">
        <v>4115</v>
      </c>
      <c r="D3814" s="8">
        <v>1.31509287</v>
      </c>
      <c r="E3814" s="7"/>
      <c r="F3814" s="8">
        <v>2.11393078</v>
      </c>
      <c r="G3814" s="7" t="str">
        <f t="shared" si="21"/>
        <v>Direct</v>
      </c>
      <c r="H3814" s="7" t="s">
        <v>16</v>
      </c>
    </row>
    <row r="3815" spans="1:8" x14ac:dyDescent="0.2">
      <c r="A3815" s="5" t="s">
        <v>27</v>
      </c>
      <c r="B3815" s="6" t="s">
        <v>22</v>
      </c>
      <c r="C3815" s="7" t="s">
        <v>4116</v>
      </c>
      <c r="D3815" s="8">
        <v>1.0572678900000001</v>
      </c>
      <c r="E3815" s="7"/>
      <c r="F3815" s="8">
        <v>-3.7687214999999998</v>
      </c>
      <c r="G3815" s="7" t="str">
        <f t="shared" si="21"/>
        <v>Inverse</v>
      </c>
      <c r="H3815" s="7" t="s">
        <v>16</v>
      </c>
    </row>
    <row r="3816" spans="1:8" x14ac:dyDescent="0.2">
      <c r="A3816" s="5" t="s">
        <v>27</v>
      </c>
      <c r="B3816" s="6" t="s">
        <v>22</v>
      </c>
      <c r="C3816" s="7" t="s">
        <v>4331</v>
      </c>
      <c r="D3816" s="8">
        <v>1.0617814299999999</v>
      </c>
      <c r="E3816" s="7"/>
      <c r="F3816" s="8">
        <v>1.2221444800000001</v>
      </c>
      <c r="G3816" s="7" t="str">
        <f t="shared" si="21"/>
        <v>Direct</v>
      </c>
      <c r="H3816" s="7" t="s">
        <v>16</v>
      </c>
    </row>
    <row r="3817" spans="1:8" x14ac:dyDescent="0.2">
      <c r="A3817" s="5" t="s">
        <v>27</v>
      </c>
      <c r="B3817" s="6" t="s">
        <v>22</v>
      </c>
      <c r="C3817" s="7" t="s">
        <v>4332</v>
      </c>
      <c r="D3817" s="8">
        <v>1.627883</v>
      </c>
      <c r="E3817" s="7"/>
      <c r="F3817" s="8">
        <v>1.1111757499999999</v>
      </c>
      <c r="G3817" s="7" t="str">
        <f t="shared" si="21"/>
        <v>Direct</v>
      </c>
      <c r="H3817" s="7" t="s">
        <v>16</v>
      </c>
    </row>
    <row r="3818" spans="1:8" x14ac:dyDescent="0.2">
      <c r="A3818" s="5" t="s">
        <v>27</v>
      </c>
      <c r="B3818" s="6" t="s">
        <v>22</v>
      </c>
      <c r="C3818" s="7" t="s">
        <v>4118</v>
      </c>
      <c r="D3818" s="8">
        <v>2.4452860799999998</v>
      </c>
      <c r="E3818" s="7"/>
      <c r="F3818" s="8">
        <v>3.1325977800000002</v>
      </c>
      <c r="G3818" s="7" t="str">
        <f t="shared" si="21"/>
        <v>Direct</v>
      </c>
      <c r="H3818" s="7" t="s">
        <v>4119</v>
      </c>
    </row>
    <row r="3819" spans="1:8" x14ac:dyDescent="0.2">
      <c r="A3819" s="5" t="s">
        <v>27</v>
      </c>
      <c r="B3819" s="6" t="s">
        <v>22</v>
      </c>
      <c r="C3819" s="7" t="s">
        <v>4333</v>
      </c>
      <c r="D3819" s="8">
        <v>1.1005289</v>
      </c>
      <c r="E3819" s="7"/>
      <c r="F3819" s="8">
        <v>-1.8247177999999999</v>
      </c>
      <c r="G3819" s="7" t="str">
        <f t="shared" si="21"/>
        <v>Inverse</v>
      </c>
      <c r="H3819" s="7" t="s">
        <v>4334</v>
      </c>
    </row>
    <row r="3820" spans="1:8" x14ac:dyDescent="0.2">
      <c r="A3820" s="5" t="s">
        <v>27</v>
      </c>
      <c r="B3820" s="6" t="s">
        <v>22</v>
      </c>
      <c r="C3820" s="7" t="s">
        <v>4120</v>
      </c>
      <c r="D3820" s="8">
        <v>1.08867647</v>
      </c>
      <c r="E3820" s="7"/>
      <c r="F3820" s="8">
        <v>-3.9006596</v>
      </c>
      <c r="G3820" s="7" t="str">
        <f t="shared" si="21"/>
        <v>Inverse</v>
      </c>
      <c r="H3820" s="7" t="s">
        <v>16</v>
      </c>
    </row>
    <row r="3821" spans="1:8" x14ac:dyDescent="0.2">
      <c r="A3821" s="5" t="s">
        <v>27</v>
      </c>
      <c r="B3821" s="6" t="s">
        <v>22</v>
      </c>
      <c r="C3821" s="7" t="s">
        <v>4122</v>
      </c>
      <c r="D3821" s="8">
        <v>1.01702866</v>
      </c>
      <c r="E3821" s="7"/>
      <c r="F3821" s="8">
        <v>5.11934281</v>
      </c>
      <c r="G3821" s="7" t="str">
        <f t="shared" si="21"/>
        <v>Direct</v>
      </c>
      <c r="H3821" s="7" t="s">
        <v>4123</v>
      </c>
    </row>
    <row r="3822" spans="1:8" x14ac:dyDescent="0.2">
      <c r="A3822" s="5" t="s">
        <v>27</v>
      </c>
      <c r="B3822" s="6" t="s">
        <v>22</v>
      </c>
      <c r="C3822" s="7" t="s">
        <v>4335</v>
      </c>
      <c r="D3822" s="8">
        <v>-2.2906232000000002</v>
      </c>
      <c r="E3822" s="7"/>
      <c r="F3822" s="8">
        <v>-1.9974278999999999</v>
      </c>
      <c r="G3822" s="7" t="str">
        <f t="shared" si="21"/>
        <v>Direct</v>
      </c>
      <c r="H3822" s="7" t="s">
        <v>643</v>
      </c>
    </row>
    <row r="3823" spans="1:8" x14ac:dyDescent="0.2">
      <c r="A3823" s="5" t="s">
        <v>27</v>
      </c>
      <c r="B3823" s="6" t="s">
        <v>22</v>
      </c>
      <c r="C3823" s="7" t="s">
        <v>4124</v>
      </c>
      <c r="D3823" s="8">
        <v>3.3195253500000002</v>
      </c>
      <c r="E3823" s="7"/>
      <c r="F3823" s="8">
        <v>4.9928076099999998</v>
      </c>
      <c r="G3823" s="7" t="str">
        <f t="shared" si="21"/>
        <v>Direct</v>
      </c>
      <c r="H3823" s="7" t="s">
        <v>16</v>
      </c>
    </row>
    <row r="3824" spans="1:8" x14ac:dyDescent="0.2">
      <c r="A3824" s="5" t="s">
        <v>27</v>
      </c>
      <c r="B3824" s="6" t="s">
        <v>22</v>
      </c>
      <c r="C3824" s="7" t="s">
        <v>4126</v>
      </c>
      <c r="D3824" s="8">
        <v>1.00207237</v>
      </c>
      <c r="E3824" s="7"/>
      <c r="F3824" s="8">
        <v>1.6079279500000001</v>
      </c>
      <c r="G3824" s="7" t="str">
        <f t="shared" si="21"/>
        <v>Direct</v>
      </c>
      <c r="H3824" s="7" t="s">
        <v>4127</v>
      </c>
    </row>
    <row r="3825" spans="1:8" x14ac:dyDescent="0.2">
      <c r="A3825" s="5" t="s">
        <v>27</v>
      </c>
      <c r="B3825" s="6" t="s">
        <v>22</v>
      </c>
      <c r="C3825" s="7" t="s">
        <v>4128</v>
      </c>
      <c r="D3825" s="8">
        <v>1.1419424899999999</v>
      </c>
      <c r="E3825" s="7"/>
      <c r="F3825" s="8">
        <v>7.5922895300000004</v>
      </c>
      <c r="G3825" s="7" t="str">
        <f t="shared" si="21"/>
        <v>Direct</v>
      </c>
      <c r="H3825" s="7" t="s">
        <v>4129</v>
      </c>
    </row>
    <row r="3826" spans="1:8" x14ac:dyDescent="0.2">
      <c r="A3826" s="5" t="s">
        <v>27</v>
      </c>
      <c r="B3826" s="6" t="s">
        <v>22</v>
      </c>
      <c r="C3826" s="7" t="s">
        <v>4132</v>
      </c>
      <c r="D3826" s="8">
        <v>3.12664125</v>
      </c>
      <c r="E3826" s="7"/>
      <c r="F3826" s="8">
        <v>5.1671777499999996</v>
      </c>
      <c r="G3826" s="7" t="str">
        <f t="shared" si="21"/>
        <v>Direct</v>
      </c>
      <c r="H3826" s="7" t="s">
        <v>16</v>
      </c>
    </row>
    <row r="3827" spans="1:8" x14ac:dyDescent="0.2">
      <c r="A3827" s="5" t="s">
        <v>27</v>
      </c>
      <c r="B3827" s="6" t="s">
        <v>22</v>
      </c>
      <c r="C3827" s="7" t="s">
        <v>4336</v>
      </c>
      <c r="D3827" s="8">
        <v>1.9587757699999999</v>
      </c>
      <c r="E3827" s="7"/>
      <c r="F3827" s="8">
        <v>1.05804258</v>
      </c>
      <c r="G3827" s="7" t="str">
        <f t="shared" si="21"/>
        <v>Direct</v>
      </c>
      <c r="H3827" s="7" t="s">
        <v>16</v>
      </c>
    </row>
    <row r="3828" spans="1:8" x14ac:dyDescent="0.2">
      <c r="A3828" s="5" t="s">
        <v>27</v>
      </c>
      <c r="B3828" s="6" t="s">
        <v>22</v>
      </c>
      <c r="C3828" s="7" t="s">
        <v>4133</v>
      </c>
      <c r="D3828" s="8">
        <v>1.02466122</v>
      </c>
      <c r="E3828" s="7"/>
      <c r="F3828" s="8">
        <v>1.9981776899999999</v>
      </c>
      <c r="G3828" s="7" t="str">
        <f t="shared" si="21"/>
        <v>Direct</v>
      </c>
      <c r="H3828" s="7" t="s">
        <v>606</v>
      </c>
    </row>
    <row r="3829" spans="1:8" x14ac:dyDescent="0.2">
      <c r="A3829" s="5" t="s">
        <v>27</v>
      </c>
      <c r="B3829" s="6" t="s">
        <v>22</v>
      </c>
      <c r="C3829" s="7" t="s">
        <v>4134</v>
      </c>
      <c r="D3829" s="8">
        <v>1.0799631700000001</v>
      </c>
      <c r="E3829" s="7"/>
      <c r="F3829" s="8">
        <v>-23.040637</v>
      </c>
      <c r="G3829" s="7" t="str">
        <f t="shared" si="21"/>
        <v>Inverse</v>
      </c>
      <c r="H3829" s="7" t="s">
        <v>4135</v>
      </c>
    </row>
    <row r="3830" spans="1:8" x14ac:dyDescent="0.2">
      <c r="A3830" s="5" t="s">
        <v>27</v>
      </c>
      <c r="B3830" s="6" t="s">
        <v>22</v>
      </c>
      <c r="C3830" s="7" t="s">
        <v>4136</v>
      </c>
      <c r="D3830" s="8">
        <v>1.12697757</v>
      </c>
      <c r="E3830" s="7"/>
      <c r="F3830" s="8">
        <v>2.29179179</v>
      </c>
      <c r="G3830" s="7" t="str">
        <f t="shared" si="21"/>
        <v>Direct</v>
      </c>
      <c r="H3830" s="7" t="s">
        <v>4137</v>
      </c>
    </row>
    <row r="3831" spans="1:8" x14ac:dyDescent="0.2">
      <c r="A3831" s="5" t="s">
        <v>27</v>
      </c>
      <c r="B3831" s="6" t="s">
        <v>22</v>
      </c>
      <c r="C3831" s="7" t="s">
        <v>4139</v>
      </c>
      <c r="D3831" s="8">
        <v>-1.6341988000000001</v>
      </c>
      <c r="E3831" s="7"/>
      <c r="F3831" s="8">
        <v>-5.3829510999999997</v>
      </c>
      <c r="G3831" s="7" t="str">
        <f t="shared" si="21"/>
        <v>Direct</v>
      </c>
      <c r="H3831" s="7" t="s">
        <v>16</v>
      </c>
    </row>
    <row r="3832" spans="1:8" x14ac:dyDescent="0.2">
      <c r="A3832" s="5" t="s">
        <v>27</v>
      </c>
      <c r="B3832" s="6" t="s">
        <v>22</v>
      </c>
      <c r="C3832" s="7" t="s">
        <v>4140</v>
      </c>
      <c r="D3832" s="8">
        <v>1.0056645799999999</v>
      </c>
      <c r="E3832" s="7"/>
      <c r="F3832" s="8">
        <v>1.80673156</v>
      </c>
      <c r="G3832" s="7" t="str">
        <f t="shared" si="21"/>
        <v>Direct</v>
      </c>
      <c r="H3832" s="7" t="s">
        <v>4141</v>
      </c>
    </row>
    <row r="3833" spans="1:8" x14ac:dyDescent="0.2">
      <c r="A3833" s="5" t="s">
        <v>27</v>
      </c>
      <c r="B3833" s="6" t="s">
        <v>22</v>
      </c>
      <c r="C3833" s="7" t="s">
        <v>4142</v>
      </c>
      <c r="D3833" s="8">
        <v>4.6398010000000003</v>
      </c>
      <c r="E3833" s="7"/>
      <c r="F3833" s="8">
        <v>22.007008200000001</v>
      </c>
      <c r="G3833" s="7" t="str">
        <f t="shared" si="21"/>
        <v>Direct</v>
      </c>
      <c r="H3833" s="7" t="s">
        <v>712</v>
      </c>
    </row>
    <row r="3834" spans="1:8" x14ac:dyDescent="0.2">
      <c r="A3834" s="5" t="s">
        <v>27</v>
      </c>
      <c r="B3834" s="6" t="s">
        <v>22</v>
      </c>
      <c r="C3834" s="7" t="s">
        <v>4143</v>
      </c>
      <c r="D3834" s="8">
        <v>1.1005289</v>
      </c>
      <c r="E3834" s="7"/>
      <c r="F3834" s="8">
        <v>-2.2816966999999999</v>
      </c>
      <c r="G3834" s="7" t="str">
        <f t="shared" si="21"/>
        <v>Inverse</v>
      </c>
      <c r="H3834" s="7" t="s">
        <v>2164</v>
      </c>
    </row>
    <row r="3835" spans="1:8" x14ac:dyDescent="0.2">
      <c r="A3835" s="5" t="s">
        <v>27</v>
      </c>
      <c r="B3835" s="6" t="s">
        <v>22</v>
      </c>
      <c r="C3835" s="7" t="s">
        <v>4144</v>
      </c>
      <c r="D3835" s="8">
        <v>1.64053608</v>
      </c>
      <c r="E3835" s="7"/>
      <c r="F3835" s="8">
        <v>2.7286284900000002</v>
      </c>
      <c r="G3835" s="7" t="str">
        <f t="shared" si="21"/>
        <v>Direct</v>
      </c>
      <c r="H3835" s="7" t="s">
        <v>16</v>
      </c>
    </row>
    <row r="3836" spans="1:8" x14ac:dyDescent="0.2">
      <c r="A3836" s="5" t="s">
        <v>27</v>
      </c>
      <c r="B3836" s="6" t="s">
        <v>22</v>
      </c>
      <c r="C3836" s="7" t="s">
        <v>4337</v>
      </c>
      <c r="D3836" s="8">
        <v>1.8615271900000001</v>
      </c>
      <c r="E3836" s="7"/>
      <c r="F3836" s="8">
        <v>3.63432442</v>
      </c>
      <c r="G3836" s="7" t="str">
        <f t="shared" si="21"/>
        <v>Direct</v>
      </c>
      <c r="H3836" s="7" t="s">
        <v>16</v>
      </c>
    </row>
    <row r="3837" spans="1:8" x14ac:dyDescent="0.2">
      <c r="A3837" s="5" t="s">
        <v>27</v>
      </c>
      <c r="B3837" s="6" t="s">
        <v>22</v>
      </c>
      <c r="C3837" s="7" t="s">
        <v>4148</v>
      </c>
      <c r="D3837" s="8">
        <v>1.00076079</v>
      </c>
      <c r="E3837" s="7"/>
      <c r="F3837" s="8">
        <v>6.9046397099999997</v>
      </c>
      <c r="G3837" s="7" t="str">
        <f t="shared" si="21"/>
        <v>Direct</v>
      </c>
      <c r="H3837" s="7" t="s">
        <v>16</v>
      </c>
    </row>
    <row r="3838" spans="1:8" x14ac:dyDescent="0.2">
      <c r="A3838" s="5" t="s">
        <v>27</v>
      </c>
      <c r="B3838" s="6" t="s">
        <v>22</v>
      </c>
      <c r="C3838" s="7" t="s">
        <v>4149</v>
      </c>
      <c r="D3838" s="8">
        <v>1.89178622</v>
      </c>
      <c r="E3838" s="7"/>
      <c r="F3838" s="8">
        <v>6.2735431400000001</v>
      </c>
      <c r="G3838" s="7" t="str">
        <f t="shared" si="21"/>
        <v>Direct</v>
      </c>
      <c r="H3838" s="7" t="s">
        <v>16</v>
      </c>
    </row>
    <row r="3839" spans="1:8" x14ac:dyDescent="0.2">
      <c r="A3839" s="5" t="s">
        <v>27</v>
      </c>
      <c r="B3839" s="6" t="s">
        <v>22</v>
      </c>
      <c r="C3839" s="7" t="s">
        <v>4150</v>
      </c>
      <c r="D3839" s="8">
        <v>2.5650978900000001</v>
      </c>
      <c r="E3839" s="7"/>
      <c r="F3839" s="8">
        <v>3.71699058</v>
      </c>
      <c r="G3839" s="7" t="str">
        <f t="shared" si="21"/>
        <v>Direct</v>
      </c>
      <c r="H3839" s="7" t="s">
        <v>16</v>
      </c>
    </row>
    <row r="3840" spans="1:8" x14ac:dyDescent="0.2">
      <c r="A3840" s="5" t="s">
        <v>27</v>
      </c>
      <c r="B3840" s="6" t="s">
        <v>22</v>
      </c>
      <c r="C3840" s="7" t="s">
        <v>4151</v>
      </c>
      <c r="D3840" s="8">
        <v>1.4064598100000001</v>
      </c>
      <c r="E3840" s="7"/>
      <c r="F3840" s="8">
        <v>1.7543920799999999</v>
      </c>
      <c r="G3840" s="7" t="str">
        <f t="shared" si="21"/>
        <v>Direct</v>
      </c>
      <c r="H3840" s="7" t="s">
        <v>16</v>
      </c>
    </row>
    <row r="3841" spans="1:8" x14ac:dyDescent="0.2">
      <c r="A3841" s="5" t="s">
        <v>27</v>
      </c>
      <c r="B3841" s="6" t="s">
        <v>22</v>
      </c>
      <c r="C3841" s="7" t="s">
        <v>4152</v>
      </c>
      <c r="D3841" s="8">
        <v>1.2913954999999999</v>
      </c>
      <c r="E3841" s="7"/>
      <c r="F3841" s="8">
        <v>2.2617304499999999</v>
      </c>
      <c r="G3841" s="7" t="str">
        <f t="shared" si="21"/>
        <v>Direct</v>
      </c>
      <c r="H3841" s="7" t="s">
        <v>16</v>
      </c>
    </row>
    <row r="3842" spans="1:8" x14ac:dyDescent="0.2">
      <c r="A3842" s="5" t="s">
        <v>27</v>
      </c>
      <c r="B3842" s="6" t="s">
        <v>22</v>
      </c>
      <c r="C3842" s="7" t="s">
        <v>4153</v>
      </c>
      <c r="D3842" s="8">
        <v>9.8410977800000001</v>
      </c>
      <c r="E3842" s="7"/>
      <c r="F3842" s="8">
        <v>11.9160837</v>
      </c>
      <c r="G3842" s="7" t="str">
        <f t="shared" si="21"/>
        <v>Direct</v>
      </c>
      <c r="H3842" s="7" t="s">
        <v>16</v>
      </c>
    </row>
    <row r="3843" spans="1:8" x14ac:dyDescent="0.2">
      <c r="A3843" s="5" t="s">
        <v>27</v>
      </c>
      <c r="B3843" s="6" t="s">
        <v>22</v>
      </c>
      <c r="C3843" s="7" t="s">
        <v>4154</v>
      </c>
      <c r="D3843" s="8">
        <v>10.9866036</v>
      </c>
      <c r="E3843" s="7"/>
      <c r="F3843" s="8">
        <v>14.7553904</v>
      </c>
      <c r="G3843" s="7" t="str">
        <f t="shared" si="21"/>
        <v>Direct</v>
      </c>
      <c r="H3843" s="7" t="s">
        <v>16</v>
      </c>
    </row>
    <row r="3844" spans="1:8" x14ac:dyDescent="0.2">
      <c r="A3844" s="5" t="s">
        <v>27</v>
      </c>
      <c r="B3844" s="6" t="s">
        <v>22</v>
      </c>
      <c r="C3844" s="7" t="s">
        <v>4155</v>
      </c>
      <c r="D3844" s="8">
        <v>4.5485664400000001</v>
      </c>
      <c r="E3844" s="7"/>
      <c r="F3844" s="8">
        <v>3.3182302300000002</v>
      </c>
      <c r="G3844" s="7" t="str">
        <f t="shared" si="21"/>
        <v>Direct</v>
      </c>
      <c r="H3844" s="7" t="s">
        <v>16</v>
      </c>
    </row>
    <row r="3845" spans="1:8" x14ac:dyDescent="0.2">
      <c r="A3845" s="5" t="s">
        <v>27</v>
      </c>
      <c r="B3845" s="6" t="s">
        <v>22</v>
      </c>
      <c r="C3845" s="7" t="s">
        <v>4157</v>
      </c>
      <c r="D3845" s="8">
        <v>1.7627116300000001</v>
      </c>
      <c r="E3845" s="7"/>
      <c r="F3845" s="8">
        <v>2.3642726000000001</v>
      </c>
      <c r="G3845" s="7" t="str">
        <f t="shared" si="21"/>
        <v>Direct</v>
      </c>
      <c r="H3845" s="7" t="s">
        <v>16</v>
      </c>
    </row>
    <row r="3846" spans="1:8" x14ac:dyDescent="0.2">
      <c r="A3846" s="5" t="s">
        <v>27</v>
      </c>
      <c r="B3846" s="6" t="s">
        <v>22</v>
      </c>
      <c r="C3846" s="7" t="s">
        <v>4158</v>
      </c>
      <c r="D3846" s="8">
        <v>1.0807453300000001</v>
      </c>
      <c r="E3846" s="7"/>
      <c r="F3846" s="8">
        <v>1.8390778400000001</v>
      </c>
      <c r="G3846" s="7" t="str">
        <f t="shared" si="21"/>
        <v>Direct</v>
      </c>
      <c r="H3846" s="7" t="s">
        <v>4011</v>
      </c>
    </row>
    <row r="3847" spans="1:8" x14ac:dyDescent="0.2">
      <c r="A3847" s="5" t="s">
        <v>27</v>
      </c>
      <c r="B3847" s="6" t="s">
        <v>22</v>
      </c>
      <c r="C3847" s="7" t="s">
        <v>4338</v>
      </c>
      <c r="D3847" s="8">
        <v>1.03067983</v>
      </c>
      <c r="E3847" s="7"/>
      <c r="F3847" s="8">
        <v>1.4538575600000001</v>
      </c>
      <c r="G3847" s="7" t="str">
        <f t="shared" si="21"/>
        <v>Direct</v>
      </c>
      <c r="H3847" s="7" t="s">
        <v>4339</v>
      </c>
    </row>
    <row r="3848" spans="1:8" x14ac:dyDescent="0.2">
      <c r="A3848" s="5" t="s">
        <v>27</v>
      </c>
      <c r="B3848" s="6" t="s">
        <v>22</v>
      </c>
      <c r="C3848" s="7" t="s">
        <v>4159</v>
      </c>
      <c r="D3848" s="8">
        <v>1.18481645</v>
      </c>
      <c r="E3848" s="7"/>
      <c r="F3848" s="8">
        <v>3.1852265499999999</v>
      </c>
      <c r="G3848" s="7" t="str">
        <f t="shared" si="21"/>
        <v>Direct</v>
      </c>
      <c r="H3848" s="7" t="s">
        <v>3715</v>
      </c>
    </row>
    <row r="3849" spans="1:8" x14ac:dyDescent="0.2">
      <c r="A3849" s="5" t="s">
        <v>27</v>
      </c>
      <c r="B3849" s="6" t="s">
        <v>22</v>
      </c>
      <c r="C3849" s="7" t="s">
        <v>4160</v>
      </c>
      <c r="D3849" s="8">
        <v>-1.2205706999999999</v>
      </c>
      <c r="E3849" s="7"/>
      <c r="F3849" s="8">
        <v>-2.8765548999999999</v>
      </c>
      <c r="G3849" s="7" t="str">
        <f t="shared" si="21"/>
        <v>Direct</v>
      </c>
      <c r="H3849" s="7" t="s">
        <v>4161</v>
      </c>
    </row>
    <row r="3850" spans="1:8" x14ac:dyDescent="0.2">
      <c r="A3850" s="5" t="s">
        <v>27</v>
      </c>
      <c r="B3850" s="6" t="s">
        <v>22</v>
      </c>
      <c r="C3850" s="7" t="s">
        <v>4162</v>
      </c>
      <c r="D3850" s="8">
        <v>1.21388472</v>
      </c>
      <c r="E3850" s="7"/>
      <c r="F3850" s="8">
        <v>4.5100409900000002</v>
      </c>
      <c r="G3850" s="7" t="str">
        <f t="shared" si="21"/>
        <v>Direct</v>
      </c>
      <c r="H3850" s="7" t="s">
        <v>16</v>
      </c>
    </row>
    <row r="3851" spans="1:8" x14ac:dyDescent="0.2">
      <c r="A3851" s="5" t="s">
        <v>27</v>
      </c>
      <c r="B3851" s="6" t="s">
        <v>22</v>
      </c>
      <c r="C3851" s="7" t="s">
        <v>4340</v>
      </c>
      <c r="D3851" s="8">
        <v>1.1049239200000001</v>
      </c>
      <c r="E3851" s="7"/>
      <c r="F3851" s="8">
        <v>1.41306843</v>
      </c>
      <c r="G3851" s="7" t="str">
        <f t="shared" si="21"/>
        <v>Direct</v>
      </c>
      <c r="H3851" s="7" t="s">
        <v>4341</v>
      </c>
    </row>
    <row r="3852" spans="1:8" x14ac:dyDescent="0.2">
      <c r="A3852" s="5" t="s">
        <v>27</v>
      </c>
      <c r="B3852" s="6" t="s">
        <v>22</v>
      </c>
      <c r="C3852" s="7" t="s">
        <v>4163</v>
      </c>
      <c r="D3852" s="8">
        <v>1.31509287</v>
      </c>
      <c r="E3852" s="7"/>
      <c r="F3852" s="8">
        <v>1.4513752799999999</v>
      </c>
      <c r="G3852" s="7" t="str">
        <f t="shared" si="21"/>
        <v>Direct</v>
      </c>
      <c r="H3852" s="7" t="s">
        <v>16</v>
      </c>
    </row>
    <row r="3853" spans="1:8" x14ac:dyDescent="0.2">
      <c r="A3853" s="5" t="s">
        <v>27</v>
      </c>
      <c r="B3853" s="6" t="s">
        <v>22</v>
      </c>
      <c r="C3853" s="7" t="s">
        <v>4342</v>
      </c>
      <c r="D3853" s="8">
        <v>1.32508588</v>
      </c>
      <c r="E3853" s="7"/>
      <c r="F3853" s="8">
        <v>-1.6467624999999999</v>
      </c>
      <c r="G3853" s="7" t="str">
        <f t="shared" si="21"/>
        <v>Inverse</v>
      </c>
      <c r="H3853" s="7" t="s">
        <v>4343</v>
      </c>
    </row>
    <row r="3854" spans="1:8" x14ac:dyDescent="0.2">
      <c r="A3854" s="5" t="s">
        <v>27</v>
      </c>
      <c r="B3854" s="6" t="s">
        <v>22</v>
      </c>
      <c r="C3854" s="7" t="s">
        <v>4164</v>
      </c>
      <c r="D3854" s="8">
        <v>3.2728305</v>
      </c>
      <c r="E3854" s="7"/>
      <c r="F3854" s="8">
        <v>3.2095260699999999</v>
      </c>
      <c r="G3854" s="7" t="str">
        <f t="shared" si="21"/>
        <v>Direct</v>
      </c>
      <c r="H3854" s="7" t="s">
        <v>16</v>
      </c>
    </row>
    <row r="3855" spans="1:8" x14ac:dyDescent="0.2">
      <c r="A3855" s="5" t="s">
        <v>27</v>
      </c>
      <c r="B3855" s="6" t="s">
        <v>22</v>
      </c>
      <c r="C3855" s="7" t="s">
        <v>4165</v>
      </c>
      <c r="D3855" s="8">
        <v>1.64820465</v>
      </c>
      <c r="E3855" s="7"/>
      <c r="F3855" s="8">
        <v>7.2279739300000001</v>
      </c>
      <c r="G3855" s="7" t="str">
        <f t="shared" si="21"/>
        <v>Direct</v>
      </c>
      <c r="H3855" s="7" t="s">
        <v>16</v>
      </c>
    </row>
    <row r="3856" spans="1:8" x14ac:dyDescent="0.2">
      <c r="A3856" s="5" t="s">
        <v>27</v>
      </c>
      <c r="B3856" s="6" t="s">
        <v>22</v>
      </c>
      <c r="C3856" s="7" t="s">
        <v>4166</v>
      </c>
      <c r="D3856" s="8">
        <v>3.1439376000000001</v>
      </c>
      <c r="E3856" s="7"/>
      <c r="F3856" s="8">
        <v>2.9270031599999999</v>
      </c>
      <c r="G3856" s="7" t="str">
        <f t="shared" si="21"/>
        <v>Direct</v>
      </c>
      <c r="H3856" s="7" t="s">
        <v>4167</v>
      </c>
    </row>
    <row r="3857" spans="1:8" x14ac:dyDescent="0.2">
      <c r="A3857" s="5" t="s">
        <v>27</v>
      </c>
      <c r="B3857" s="6" t="s">
        <v>22</v>
      </c>
      <c r="C3857" s="7" t="s">
        <v>4168</v>
      </c>
      <c r="D3857" s="8">
        <v>6.1646299500000001</v>
      </c>
      <c r="E3857" s="7"/>
      <c r="F3857" s="8">
        <v>4.0313604999999999</v>
      </c>
      <c r="G3857" s="7" t="str">
        <f t="shared" si="21"/>
        <v>Direct</v>
      </c>
      <c r="H3857" s="7" t="s">
        <v>2435</v>
      </c>
    </row>
    <row r="3858" spans="1:8" x14ac:dyDescent="0.2">
      <c r="A3858" s="5" t="s">
        <v>27</v>
      </c>
      <c r="B3858" s="6" t="s">
        <v>22</v>
      </c>
      <c r="C3858" s="7" t="s">
        <v>4344</v>
      </c>
      <c r="D3858" s="8">
        <v>1.1695463800000001</v>
      </c>
      <c r="E3858" s="7"/>
      <c r="F3858" s="8">
        <v>1.24745171</v>
      </c>
      <c r="G3858" s="7" t="str">
        <f t="shared" si="21"/>
        <v>Direct</v>
      </c>
      <c r="H3858" s="7" t="s">
        <v>16</v>
      </c>
    </row>
    <row r="3859" spans="1:8" x14ac:dyDescent="0.2">
      <c r="A3859" s="5" t="s">
        <v>27</v>
      </c>
      <c r="B3859" s="6" t="s">
        <v>22</v>
      </c>
      <c r="C3859" s="7" t="s">
        <v>4169</v>
      </c>
      <c r="D3859" s="8">
        <v>1.24255951</v>
      </c>
      <c r="E3859" s="7"/>
      <c r="F3859" s="8">
        <v>1.54358704</v>
      </c>
      <c r="G3859" s="7" t="str">
        <f t="shared" si="21"/>
        <v>Direct</v>
      </c>
      <c r="H3859" s="7" t="s">
        <v>2509</v>
      </c>
    </row>
    <row r="3860" spans="1:8" x14ac:dyDescent="0.2">
      <c r="A3860" s="5" t="s">
        <v>27</v>
      </c>
      <c r="B3860" s="6" t="s">
        <v>22</v>
      </c>
      <c r="C3860" s="7" t="s">
        <v>4172</v>
      </c>
      <c r="D3860" s="8">
        <v>1.92626747</v>
      </c>
      <c r="E3860" s="7"/>
      <c r="F3860" s="8">
        <v>2.3544323500000002</v>
      </c>
      <c r="G3860" s="7" t="str">
        <f t="shared" si="21"/>
        <v>Direct</v>
      </c>
      <c r="H3860" s="7" t="s">
        <v>16</v>
      </c>
    </row>
    <row r="3861" spans="1:8" x14ac:dyDescent="0.2">
      <c r="A3861" s="5" t="s">
        <v>27</v>
      </c>
      <c r="B3861" s="6" t="s">
        <v>22</v>
      </c>
      <c r="C3861" s="7" t="s">
        <v>4174</v>
      </c>
      <c r="D3861" s="8">
        <v>1.4963589900000001</v>
      </c>
      <c r="E3861" s="7"/>
      <c r="F3861" s="8">
        <v>4.3057158600000003</v>
      </c>
      <c r="G3861" s="7" t="str">
        <f t="shared" si="21"/>
        <v>Direct</v>
      </c>
      <c r="H3861" s="7" t="s">
        <v>3544</v>
      </c>
    </row>
    <row r="3862" spans="1:8" x14ac:dyDescent="0.2">
      <c r="A3862" s="5" t="s">
        <v>27</v>
      </c>
      <c r="B3862" s="6" t="s">
        <v>22</v>
      </c>
      <c r="C3862" s="7" t="s">
        <v>4345</v>
      </c>
      <c r="D3862" s="8">
        <v>1.4068614500000001</v>
      </c>
      <c r="E3862" s="7"/>
      <c r="F3862" s="8">
        <v>1.10500485</v>
      </c>
      <c r="G3862" s="7" t="str">
        <f t="shared" si="21"/>
        <v>Direct</v>
      </c>
      <c r="H3862" s="7" t="s">
        <v>543</v>
      </c>
    </row>
    <row r="3863" spans="1:8" x14ac:dyDescent="0.2">
      <c r="A3863" s="5" t="s">
        <v>27</v>
      </c>
      <c r="B3863" s="6" t="s">
        <v>22</v>
      </c>
      <c r="C3863" s="7" t="s">
        <v>4175</v>
      </c>
      <c r="D3863" s="8">
        <v>1.3625895800000001</v>
      </c>
      <c r="E3863" s="7"/>
      <c r="F3863" s="8">
        <v>3.3488748500000001</v>
      </c>
      <c r="G3863" s="7" t="str">
        <f t="shared" si="21"/>
        <v>Direct</v>
      </c>
      <c r="H3863" s="7" t="s">
        <v>543</v>
      </c>
    </row>
    <row r="3864" spans="1:8" x14ac:dyDescent="0.2">
      <c r="A3864" s="5" t="s">
        <v>27</v>
      </c>
      <c r="B3864" s="6" t="s">
        <v>22</v>
      </c>
      <c r="C3864" s="7" t="s">
        <v>4176</v>
      </c>
      <c r="D3864" s="8">
        <v>1.64820465</v>
      </c>
      <c r="E3864" s="7"/>
      <c r="F3864" s="8">
        <v>5.1041723899999996</v>
      </c>
      <c r="G3864" s="7" t="str">
        <f t="shared" si="21"/>
        <v>Direct</v>
      </c>
      <c r="H3864" s="7" t="s">
        <v>16</v>
      </c>
    </row>
    <row r="3865" spans="1:8" x14ac:dyDescent="0.2">
      <c r="A3865" s="5" t="s">
        <v>27</v>
      </c>
      <c r="B3865" s="6" t="s">
        <v>22</v>
      </c>
      <c r="C3865" s="7" t="s">
        <v>4177</v>
      </c>
      <c r="D3865" s="8">
        <v>3.3708811700000001</v>
      </c>
      <c r="E3865" s="7"/>
      <c r="F3865" s="8">
        <v>3.4013148499999999</v>
      </c>
      <c r="G3865" s="7" t="str">
        <f t="shared" si="21"/>
        <v>Direct</v>
      </c>
      <c r="H3865" s="7" t="s">
        <v>16</v>
      </c>
    </row>
    <row r="3866" spans="1:8" x14ac:dyDescent="0.2">
      <c r="A3866" s="5" t="s">
        <v>27</v>
      </c>
      <c r="B3866" s="6" t="s">
        <v>22</v>
      </c>
      <c r="C3866" s="7" t="s">
        <v>4178</v>
      </c>
      <c r="D3866" s="8">
        <v>1.31509287</v>
      </c>
      <c r="E3866" s="7"/>
      <c r="F3866" s="8">
        <v>1.8359055399999999</v>
      </c>
      <c r="G3866" s="7" t="str">
        <f t="shared" si="21"/>
        <v>Direct</v>
      </c>
      <c r="H3866" s="7" t="s">
        <v>16</v>
      </c>
    </row>
    <row r="3867" spans="1:8" x14ac:dyDescent="0.2">
      <c r="A3867" s="5" t="s">
        <v>27</v>
      </c>
      <c r="B3867" s="6" t="s">
        <v>22</v>
      </c>
      <c r="C3867" s="7" t="s">
        <v>4179</v>
      </c>
      <c r="D3867" s="8">
        <v>1.13529499</v>
      </c>
      <c r="E3867" s="7"/>
      <c r="F3867" s="8">
        <v>2.9172311199999998</v>
      </c>
      <c r="G3867" s="7" t="str">
        <f t="shared" si="21"/>
        <v>Direct</v>
      </c>
      <c r="H3867" s="7" t="s">
        <v>16</v>
      </c>
    </row>
    <row r="3868" spans="1:8" x14ac:dyDescent="0.2">
      <c r="A3868" s="5" t="s">
        <v>27</v>
      </c>
      <c r="B3868" s="6" t="s">
        <v>22</v>
      </c>
      <c r="C3868" s="7" t="s">
        <v>4346</v>
      </c>
      <c r="D3868" s="8">
        <v>1.24255951</v>
      </c>
      <c r="E3868" s="7"/>
      <c r="F3868" s="8">
        <v>-2.3166296000000002</v>
      </c>
      <c r="G3868" s="7" t="str">
        <f t="shared" si="21"/>
        <v>Inverse</v>
      </c>
      <c r="H3868" s="7" t="s">
        <v>2381</v>
      </c>
    </row>
    <row r="3869" spans="1:8" x14ac:dyDescent="0.2">
      <c r="A3869" s="5" t="s">
        <v>27</v>
      </c>
      <c r="B3869" s="6" t="s">
        <v>22</v>
      </c>
      <c r="C3869" s="7" t="s">
        <v>4180</v>
      </c>
      <c r="D3869" s="8">
        <v>-1.9587758</v>
      </c>
      <c r="E3869" s="7"/>
      <c r="F3869" s="8">
        <v>-2.2125319999999999</v>
      </c>
      <c r="G3869" s="7" t="str">
        <f t="shared" si="21"/>
        <v>Direct</v>
      </c>
      <c r="H3869" s="7" t="s">
        <v>4091</v>
      </c>
    </row>
    <row r="3870" spans="1:8" x14ac:dyDescent="0.2">
      <c r="A3870" s="5" t="s">
        <v>27</v>
      </c>
      <c r="B3870" s="6" t="s">
        <v>22</v>
      </c>
      <c r="C3870" s="7" t="s">
        <v>4181</v>
      </c>
      <c r="D3870" s="8">
        <v>1.6593037500000001</v>
      </c>
      <c r="E3870" s="7"/>
      <c r="F3870" s="8">
        <v>1.4227927899999999</v>
      </c>
      <c r="G3870" s="7" t="str">
        <f t="shared" si="21"/>
        <v>Direct</v>
      </c>
      <c r="H3870" s="7" t="s">
        <v>2213</v>
      </c>
    </row>
    <row r="3871" spans="1:8" x14ac:dyDescent="0.2">
      <c r="A3871" s="5" t="s">
        <v>27</v>
      </c>
      <c r="B3871" s="6" t="s">
        <v>22</v>
      </c>
      <c r="C3871" s="7" t="s">
        <v>4182</v>
      </c>
      <c r="D3871" s="8">
        <v>1.8834079100000001</v>
      </c>
      <c r="E3871" s="7"/>
      <c r="F3871" s="8">
        <v>-1.9683101999999999</v>
      </c>
      <c r="G3871" s="7" t="str">
        <f t="shared" si="21"/>
        <v>Inverse</v>
      </c>
      <c r="H3871" s="7" t="s">
        <v>2360</v>
      </c>
    </row>
    <row r="3872" spans="1:8" x14ac:dyDescent="0.2">
      <c r="A3872" s="5" t="s">
        <v>27</v>
      </c>
      <c r="B3872" s="6" t="s">
        <v>22</v>
      </c>
      <c r="C3872" s="7" t="s">
        <v>4183</v>
      </c>
      <c r="D3872" s="8">
        <v>1.68379272</v>
      </c>
      <c r="E3872" s="7"/>
      <c r="F3872" s="8">
        <v>3.85912107</v>
      </c>
      <c r="G3872" s="7" t="str">
        <f t="shared" si="21"/>
        <v>Direct</v>
      </c>
      <c r="H3872" s="7" t="s">
        <v>16</v>
      </c>
    </row>
    <row r="3873" spans="1:8" x14ac:dyDescent="0.2">
      <c r="A3873" s="5" t="s">
        <v>27</v>
      </c>
      <c r="B3873" s="6" t="s">
        <v>22</v>
      </c>
      <c r="C3873" s="7" t="s">
        <v>4347</v>
      </c>
      <c r="D3873" s="8">
        <v>1.1905229900000001</v>
      </c>
      <c r="E3873" s="7"/>
      <c r="F3873" s="8">
        <v>-1.1358528000000001</v>
      </c>
      <c r="G3873" s="7" t="str">
        <f t="shared" si="21"/>
        <v>Inverse</v>
      </c>
      <c r="H3873" s="7" t="s">
        <v>4348</v>
      </c>
    </row>
    <row r="3874" spans="1:8" x14ac:dyDescent="0.2">
      <c r="A3874" s="5" t="s">
        <v>27</v>
      </c>
      <c r="B3874" s="6" t="s">
        <v>22</v>
      </c>
      <c r="C3874" s="7" t="s">
        <v>4184</v>
      </c>
      <c r="D3874" s="8">
        <v>1.00681891</v>
      </c>
      <c r="E3874" s="7"/>
      <c r="F3874" s="8">
        <v>-3.7489433999999999</v>
      </c>
      <c r="G3874" s="7" t="str">
        <f t="shared" si="21"/>
        <v>Inverse</v>
      </c>
      <c r="H3874" s="7" t="s">
        <v>663</v>
      </c>
    </row>
    <row r="3875" spans="1:8" x14ac:dyDescent="0.2">
      <c r="A3875" s="5" t="s">
        <v>27</v>
      </c>
      <c r="B3875" s="6" t="s">
        <v>22</v>
      </c>
      <c r="C3875" s="7" t="s">
        <v>4187</v>
      </c>
      <c r="D3875" s="8">
        <v>-1.2941459</v>
      </c>
      <c r="E3875" s="7"/>
      <c r="F3875" s="8">
        <v>-2.423921</v>
      </c>
      <c r="G3875" s="7" t="str">
        <f t="shared" si="21"/>
        <v>Direct</v>
      </c>
      <c r="H3875" s="7" t="s">
        <v>4188</v>
      </c>
    </row>
    <row r="3876" spans="1:8" x14ac:dyDescent="0.2">
      <c r="A3876" s="5" t="s">
        <v>27</v>
      </c>
      <c r="B3876" s="6" t="s">
        <v>22</v>
      </c>
      <c r="C3876" s="7" t="s">
        <v>4190</v>
      </c>
      <c r="D3876" s="8">
        <v>1.2913954999999999</v>
      </c>
      <c r="E3876" s="7"/>
      <c r="F3876" s="8">
        <v>1.18619969</v>
      </c>
      <c r="G3876" s="7" t="str">
        <f t="shared" si="21"/>
        <v>Direct</v>
      </c>
      <c r="H3876" s="7" t="s">
        <v>16</v>
      </c>
    </row>
    <row r="3877" spans="1:8" x14ac:dyDescent="0.2">
      <c r="A3877" s="5" t="s">
        <v>27</v>
      </c>
      <c r="B3877" s="6" t="s">
        <v>22</v>
      </c>
      <c r="C3877" s="7" t="s">
        <v>4349</v>
      </c>
      <c r="D3877" s="8">
        <v>1.04906707</v>
      </c>
      <c r="E3877" s="7"/>
      <c r="F3877" s="8">
        <v>-1.7270705</v>
      </c>
      <c r="G3877" s="7" t="str">
        <f t="shared" si="21"/>
        <v>Inverse</v>
      </c>
      <c r="H3877" s="7" t="s">
        <v>1143</v>
      </c>
    </row>
    <row r="3878" spans="1:8" x14ac:dyDescent="0.2">
      <c r="A3878" s="5" t="s">
        <v>27</v>
      </c>
      <c r="B3878" s="6" t="s">
        <v>22</v>
      </c>
      <c r="C3878" s="7" t="s">
        <v>4350</v>
      </c>
      <c r="D3878" s="8">
        <v>2.1599676099999998</v>
      </c>
      <c r="E3878" s="7"/>
      <c r="F3878" s="8">
        <v>1.5105555399999999</v>
      </c>
      <c r="G3878" s="7" t="str">
        <f t="shared" si="21"/>
        <v>Direct</v>
      </c>
      <c r="H3878" s="7" t="s">
        <v>16</v>
      </c>
    </row>
    <row r="3879" spans="1:8" x14ac:dyDescent="0.2">
      <c r="A3879" s="5" t="s">
        <v>27</v>
      </c>
      <c r="B3879" s="6" t="s">
        <v>22</v>
      </c>
      <c r="C3879" s="7" t="s">
        <v>4191</v>
      </c>
      <c r="D3879" s="8">
        <v>-1.0381205</v>
      </c>
      <c r="E3879" s="7"/>
      <c r="F3879" s="8">
        <v>-8.1037371</v>
      </c>
      <c r="G3879" s="7" t="str">
        <f t="shared" si="21"/>
        <v>Direct</v>
      </c>
      <c r="H3879" s="7" t="s">
        <v>3214</v>
      </c>
    </row>
    <row r="3880" spans="1:8" x14ac:dyDescent="0.2">
      <c r="A3880" s="5" t="s">
        <v>27</v>
      </c>
      <c r="B3880" s="6" t="s">
        <v>22</v>
      </c>
      <c r="C3880" s="7" t="s">
        <v>4195</v>
      </c>
      <c r="D3880" s="8">
        <v>2.0187827500000002</v>
      </c>
      <c r="E3880" s="7"/>
      <c r="F3880" s="8">
        <v>3.3413206400000002</v>
      </c>
      <c r="G3880" s="7" t="str">
        <f t="shared" si="21"/>
        <v>Direct</v>
      </c>
      <c r="H3880" s="7" t="s">
        <v>16</v>
      </c>
    </row>
    <row r="3881" spans="1:8" x14ac:dyDescent="0.2">
      <c r="A3881" s="5" t="s">
        <v>27</v>
      </c>
      <c r="B3881" s="6" t="s">
        <v>22</v>
      </c>
      <c r="C3881" s="7" t="s">
        <v>4351</v>
      </c>
      <c r="D3881" s="8">
        <v>1.0104951499999999</v>
      </c>
      <c r="E3881" s="7"/>
      <c r="F3881" s="8">
        <v>-1.1280762</v>
      </c>
      <c r="G3881" s="7" t="str">
        <f t="shared" si="21"/>
        <v>Inverse</v>
      </c>
      <c r="H3881" s="7" t="s">
        <v>4352</v>
      </c>
    </row>
    <row r="3882" spans="1:8" x14ac:dyDescent="0.2">
      <c r="A3882" s="5" t="s">
        <v>27</v>
      </c>
      <c r="B3882" s="6" t="s">
        <v>22</v>
      </c>
      <c r="C3882" s="7" t="s">
        <v>4353</v>
      </c>
      <c r="D3882" s="8">
        <v>1.4064598100000001</v>
      </c>
      <c r="E3882" s="7"/>
      <c r="F3882" s="8">
        <v>1.4513566200000001</v>
      </c>
      <c r="G3882" s="7" t="str">
        <f t="shared" si="21"/>
        <v>Direct</v>
      </c>
      <c r="H3882" s="7" t="s">
        <v>16</v>
      </c>
    </row>
    <row r="3883" spans="1:8" x14ac:dyDescent="0.2">
      <c r="A3883" s="5" t="s">
        <v>27</v>
      </c>
      <c r="B3883" s="6" t="s">
        <v>22</v>
      </c>
      <c r="C3883" s="7" t="s">
        <v>4196</v>
      </c>
      <c r="D3883" s="8">
        <v>1.6232497400000001</v>
      </c>
      <c r="E3883" s="7"/>
      <c r="F3883" s="8">
        <v>2.0130599899999999</v>
      </c>
      <c r="G3883" s="7" t="str">
        <f t="shared" si="21"/>
        <v>Direct</v>
      </c>
      <c r="H3883" s="7" t="s">
        <v>4197</v>
      </c>
    </row>
    <row r="3884" spans="1:8" x14ac:dyDescent="0.2">
      <c r="A3884" s="5" t="s">
        <v>27</v>
      </c>
      <c r="B3884" s="6" t="s">
        <v>22</v>
      </c>
      <c r="C3884" s="7" t="s">
        <v>4198</v>
      </c>
      <c r="D3884" s="8">
        <v>-2.7201409999999999</v>
      </c>
      <c r="E3884" s="7"/>
      <c r="F3884" s="8">
        <v>-9.9334933999999997</v>
      </c>
      <c r="G3884" s="7" t="str">
        <f t="shared" si="21"/>
        <v>Direct</v>
      </c>
      <c r="H3884" s="7" t="s">
        <v>4199</v>
      </c>
    </row>
    <row r="3885" spans="1:8" x14ac:dyDescent="0.2">
      <c r="A3885" s="5" t="s">
        <v>27</v>
      </c>
      <c r="B3885" s="6" t="s">
        <v>22</v>
      </c>
      <c r="C3885" s="7" t="s">
        <v>4200</v>
      </c>
      <c r="D3885" s="8">
        <v>1.29493049</v>
      </c>
      <c r="E3885" s="7"/>
      <c r="F3885" s="8">
        <v>1.3938386599999999</v>
      </c>
      <c r="G3885" s="7" t="str">
        <f t="shared" si="21"/>
        <v>Direct</v>
      </c>
      <c r="H3885" s="7" t="s">
        <v>4201</v>
      </c>
    </row>
    <row r="3886" spans="1:8" x14ac:dyDescent="0.2">
      <c r="A3886" s="5" t="s">
        <v>27</v>
      </c>
      <c r="B3886" s="6" t="s">
        <v>22</v>
      </c>
      <c r="C3886" s="7" t="s">
        <v>4202</v>
      </c>
      <c r="D3886" s="8">
        <v>2.35266529</v>
      </c>
      <c r="E3886" s="7"/>
      <c r="F3886" s="8">
        <v>2.2854254699999998</v>
      </c>
      <c r="G3886" s="7" t="str">
        <f t="shared" si="21"/>
        <v>Direct</v>
      </c>
      <c r="H3886" s="7" t="s">
        <v>1111</v>
      </c>
    </row>
    <row r="3887" spans="1:8" x14ac:dyDescent="0.2">
      <c r="A3887" s="5" t="s">
        <v>27</v>
      </c>
      <c r="B3887" s="6" t="s">
        <v>22</v>
      </c>
      <c r="C3887" s="7" t="s">
        <v>4203</v>
      </c>
      <c r="D3887" s="8">
        <v>1.57435002</v>
      </c>
      <c r="E3887" s="7"/>
      <c r="F3887" s="8">
        <v>1.9411704000000001</v>
      </c>
      <c r="G3887" s="7" t="str">
        <f t="shared" si="21"/>
        <v>Direct</v>
      </c>
      <c r="H3887" s="7" t="s">
        <v>16</v>
      </c>
    </row>
    <row r="3888" spans="1:8" x14ac:dyDescent="0.2">
      <c r="A3888" s="5" t="s">
        <v>27</v>
      </c>
      <c r="B3888" s="6" t="s">
        <v>22</v>
      </c>
      <c r="C3888" s="7" t="s">
        <v>4354</v>
      </c>
      <c r="D3888" s="8">
        <v>3.15759824</v>
      </c>
      <c r="E3888" s="7"/>
      <c r="F3888" s="8">
        <v>1.2532113600000001</v>
      </c>
      <c r="G3888" s="7" t="str">
        <f t="shared" si="21"/>
        <v>Direct</v>
      </c>
      <c r="H3888" s="7" t="s">
        <v>4355</v>
      </c>
    </row>
    <row r="3889" spans="1:8" x14ac:dyDescent="0.2">
      <c r="A3889" s="5" t="s">
        <v>27</v>
      </c>
      <c r="B3889" s="6" t="s">
        <v>22</v>
      </c>
      <c r="C3889" s="7" t="s">
        <v>4356</v>
      </c>
      <c r="D3889" s="8">
        <v>1.1007774100000001</v>
      </c>
      <c r="E3889" s="7"/>
      <c r="F3889" s="8">
        <v>-1.124457</v>
      </c>
      <c r="G3889" s="7" t="str">
        <f t="shared" si="21"/>
        <v>Inverse</v>
      </c>
      <c r="H3889" s="7" t="s">
        <v>1818</v>
      </c>
    </row>
    <row r="3890" spans="1:8" x14ac:dyDescent="0.2">
      <c r="A3890" s="5" t="s">
        <v>27</v>
      </c>
      <c r="B3890" s="6" t="s">
        <v>22</v>
      </c>
      <c r="C3890" s="7" t="s">
        <v>4204</v>
      </c>
      <c r="D3890" s="8">
        <v>1.0771981900000001</v>
      </c>
      <c r="E3890" s="7"/>
      <c r="F3890" s="8">
        <v>2.3270571699999998</v>
      </c>
      <c r="G3890" s="7" t="str">
        <f t="shared" si="21"/>
        <v>Direct</v>
      </c>
      <c r="H3890" s="7" t="s">
        <v>4205</v>
      </c>
    </row>
    <row r="3891" spans="1:8" x14ac:dyDescent="0.2">
      <c r="A3891" s="5" t="s">
        <v>27</v>
      </c>
      <c r="B3891" s="6" t="s">
        <v>22</v>
      </c>
      <c r="C3891" s="7" t="s">
        <v>4357</v>
      </c>
      <c r="D3891" s="8">
        <v>3.1017544799999999</v>
      </c>
      <c r="E3891" s="7"/>
      <c r="F3891" s="8">
        <v>-2.0992522999999998</v>
      </c>
      <c r="G3891" s="7" t="str">
        <f t="shared" si="21"/>
        <v>Inverse</v>
      </c>
      <c r="H3891" s="7" t="s">
        <v>4358</v>
      </c>
    </row>
    <row r="3892" spans="1:8" x14ac:dyDescent="0.2">
      <c r="A3892" s="5" t="s">
        <v>27</v>
      </c>
      <c r="B3892" s="6" t="s">
        <v>22</v>
      </c>
      <c r="C3892" s="7" t="s">
        <v>4359</v>
      </c>
      <c r="D3892" s="8">
        <v>1.0162445099999999</v>
      </c>
      <c r="E3892" s="7"/>
      <c r="F3892" s="8">
        <v>1.8908160700000001</v>
      </c>
      <c r="G3892" s="7" t="str">
        <f t="shared" si="21"/>
        <v>Direct</v>
      </c>
      <c r="H3892" s="7" t="s">
        <v>4360</v>
      </c>
    </row>
    <row r="3893" spans="1:8" x14ac:dyDescent="0.2">
      <c r="A3893" s="5" t="s">
        <v>27</v>
      </c>
      <c r="B3893" s="6" t="s">
        <v>22</v>
      </c>
      <c r="C3893" s="7" t="s">
        <v>4206</v>
      </c>
      <c r="D3893" s="8">
        <v>1.15719891</v>
      </c>
      <c r="E3893" s="7"/>
      <c r="F3893" s="8">
        <v>4.4272286999999997</v>
      </c>
      <c r="G3893" s="7" t="str">
        <f t="shared" si="21"/>
        <v>Direct</v>
      </c>
      <c r="H3893" s="7" t="s">
        <v>4207</v>
      </c>
    </row>
    <row r="3894" spans="1:8" x14ac:dyDescent="0.2">
      <c r="A3894" s="5" t="s">
        <v>27</v>
      </c>
      <c r="B3894" s="6" t="s">
        <v>22</v>
      </c>
      <c r="C3894" s="7" t="s">
        <v>4361</v>
      </c>
      <c r="D3894" s="8">
        <v>1.17889719</v>
      </c>
      <c r="E3894" s="7"/>
      <c r="F3894" s="8">
        <v>1.7936016299999999</v>
      </c>
      <c r="G3894" s="7" t="str">
        <f t="shared" si="21"/>
        <v>Direct</v>
      </c>
      <c r="H3894" s="7" t="s">
        <v>2416</v>
      </c>
    </row>
    <row r="3895" spans="1:8" x14ac:dyDescent="0.2">
      <c r="A3895" s="5" t="s">
        <v>27</v>
      </c>
      <c r="B3895" s="6" t="s">
        <v>22</v>
      </c>
      <c r="C3895" s="7" t="s">
        <v>4208</v>
      </c>
      <c r="D3895" s="8">
        <v>1.07879763</v>
      </c>
      <c r="E3895" s="7"/>
      <c r="F3895" s="8">
        <v>3.3141016400000001</v>
      </c>
      <c r="G3895" s="7" t="str">
        <f t="shared" si="21"/>
        <v>Direct</v>
      </c>
      <c r="H3895" s="7" t="s">
        <v>4209</v>
      </c>
    </row>
    <row r="3896" spans="1:8" x14ac:dyDescent="0.2">
      <c r="A3896" s="5" t="s">
        <v>27</v>
      </c>
      <c r="B3896" s="6" t="s">
        <v>22</v>
      </c>
      <c r="C3896" s="7" t="s">
        <v>4362</v>
      </c>
      <c r="D3896" s="8">
        <v>1.2193882199999999</v>
      </c>
      <c r="E3896" s="7"/>
      <c r="F3896" s="8">
        <v>-1.5336521999999999</v>
      </c>
      <c r="G3896" s="7" t="str">
        <f t="shared" si="21"/>
        <v>Inverse</v>
      </c>
      <c r="H3896" s="7" t="s">
        <v>4363</v>
      </c>
    </row>
    <row r="3897" spans="1:8" x14ac:dyDescent="0.2">
      <c r="A3897" s="5" t="s">
        <v>27</v>
      </c>
      <c r="B3897" s="6" t="s">
        <v>22</v>
      </c>
      <c r="C3897" s="7" t="s">
        <v>4210</v>
      </c>
      <c r="D3897" s="8">
        <v>1.40406717</v>
      </c>
      <c r="E3897" s="7"/>
      <c r="F3897" s="8">
        <v>-1.3765923</v>
      </c>
      <c r="G3897" s="7" t="str">
        <f t="shared" si="21"/>
        <v>Inverse</v>
      </c>
      <c r="H3897" s="7" t="s">
        <v>1358</v>
      </c>
    </row>
    <row r="3898" spans="1:8" x14ac:dyDescent="0.2">
      <c r="A3898" s="5" t="s">
        <v>27</v>
      </c>
      <c r="B3898" s="6" t="s">
        <v>22</v>
      </c>
      <c r="C3898" s="7" t="s">
        <v>4364</v>
      </c>
      <c r="D3898" s="8">
        <v>1.2684128400000001</v>
      </c>
      <c r="E3898" s="7"/>
      <c r="F3898" s="8">
        <v>-1.1294295999999999</v>
      </c>
      <c r="G3898" s="7" t="str">
        <f t="shared" si="21"/>
        <v>Inverse</v>
      </c>
      <c r="H3898" s="7" t="s">
        <v>1143</v>
      </c>
    </row>
    <row r="3899" spans="1:8" x14ac:dyDescent="0.2">
      <c r="A3899" s="5" t="s">
        <v>27</v>
      </c>
      <c r="B3899" s="6" t="s">
        <v>22</v>
      </c>
      <c r="C3899" s="7" t="s">
        <v>4211</v>
      </c>
      <c r="D3899" s="8">
        <v>-1.2792271</v>
      </c>
      <c r="E3899" s="7"/>
      <c r="F3899" s="8">
        <v>-4.1434898000000002</v>
      </c>
      <c r="G3899" s="7" t="str">
        <f t="shared" si="21"/>
        <v>Direct</v>
      </c>
      <c r="H3899" s="7" t="s">
        <v>142</v>
      </c>
    </row>
    <row r="3900" spans="1:8" x14ac:dyDescent="0.2">
      <c r="A3900" s="5" t="s">
        <v>27</v>
      </c>
      <c r="B3900" s="6" t="s">
        <v>22</v>
      </c>
      <c r="C3900" s="7" t="s">
        <v>4212</v>
      </c>
      <c r="D3900" s="8">
        <v>6.1646299500000001</v>
      </c>
      <c r="E3900" s="7"/>
      <c r="F3900" s="8">
        <v>7.2882224899999999</v>
      </c>
      <c r="G3900" s="7" t="str">
        <f t="shared" si="21"/>
        <v>Direct</v>
      </c>
      <c r="H3900" s="7" t="s">
        <v>4213</v>
      </c>
    </row>
    <row r="3901" spans="1:8" x14ac:dyDescent="0.2">
      <c r="A3901" s="5" t="s">
        <v>27</v>
      </c>
      <c r="B3901" s="6" t="s">
        <v>22</v>
      </c>
      <c r="C3901" s="7" t="s">
        <v>4365</v>
      </c>
      <c r="D3901" s="8">
        <v>1.15682391</v>
      </c>
      <c r="E3901" s="7"/>
      <c r="F3901" s="8">
        <v>-1.5413616000000001</v>
      </c>
      <c r="G3901" s="7" t="str">
        <f t="shared" si="21"/>
        <v>Inverse</v>
      </c>
      <c r="H3901" s="7" t="s">
        <v>4366</v>
      </c>
    </row>
    <row r="3902" spans="1:8" x14ac:dyDescent="0.2">
      <c r="A3902" s="5" t="s">
        <v>27</v>
      </c>
      <c r="B3902" s="6" t="s">
        <v>22</v>
      </c>
      <c r="C3902" s="7" t="s">
        <v>4214</v>
      </c>
      <c r="D3902" s="8">
        <v>1.0347069099999999</v>
      </c>
      <c r="E3902" s="7"/>
      <c r="F3902" s="8">
        <v>2.54166815</v>
      </c>
      <c r="G3902" s="7" t="str">
        <f t="shared" si="21"/>
        <v>Direct</v>
      </c>
      <c r="H3902" s="7" t="s">
        <v>16</v>
      </c>
    </row>
    <row r="3903" spans="1:8" x14ac:dyDescent="0.2">
      <c r="A3903" s="5" t="s">
        <v>27</v>
      </c>
      <c r="B3903" s="6" t="s">
        <v>22</v>
      </c>
      <c r="C3903" s="7" t="s">
        <v>4367</v>
      </c>
      <c r="D3903" s="8">
        <v>1.7408273400000001</v>
      </c>
      <c r="E3903" s="7"/>
      <c r="F3903" s="8">
        <v>1.05547016</v>
      </c>
      <c r="G3903" s="7" t="str">
        <f t="shared" si="21"/>
        <v>Direct</v>
      </c>
      <c r="H3903" s="7" t="s">
        <v>820</v>
      </c>
    </row>
    <row r="3904" spans="1:8" x14ac:dyDescent="0.2">
      <c r="A3904" s="5" t="s">
        <v>27</v>
      </c>
      <c r="B3904" s="6" t="s">
        <v>22</v>
      </c>
      <c r="C3904" s="7" t="s">
        <v>4368</v>
      </c>
      <c r="D3904" s="8">
        <v>2.8042296900000001</v>
      </c>
      <c r="E3904" s="7"/>
      <c r="F3904" s="8">
        <v>1.03450296</v>
      </c>
      <c r="G3904" s="7" t="str">
        <f t="shared" si="21"/>
        <v>Direct</v>
      </c>
      <c r="H3904" s="7" t="s">
        <v>16</v>
      </c>
    </row>
    <row r="3905" spans="1:8" x14ac:dyDescent="0.2">
      <c r="A3905" s="5" t="s">
        <v>27</v>
      </c>
      <c r="B3905" s="6" t="s">
        <v>22</v>
      </c>
      <c r="C3905" s="7" t="s">
        <v>4369</v>
      </c>
      <c r="D3905" s="8">
        <v>1.0137672799999999</v>
      </c>
      <c r="E3905" s="7"/>
      <c r="F3905" s="8">
        <v>1.4260600400000001</v>
      </c>
      <c r="G3905" s="7" t="str">
        <f t="shared" si="21"/>
        <v>Direct</v>
      </c>
      <c r="H3905" s="7" t="s">
        <v>16</v>
      </c>
    </row>
    <row r="3906" spans="1:8" x14ac:dyDescent="0.2">
      <c r="A3906" s="5" t="s">
        <v>27</v>
      </c>
      <c r="B3906" s="6" t="s">
        <v>22</v>
      </c>
      <c r="C3906" s="7" t="s">
        <v>4215</v>
      </c>
      <c r="D3906" s="8">
        <v>1.07879763</v>
      </c>
      <c r="E3906" s="7"/>
      <c r="F3906" s="8">
        <v>-2.5780370000000001</v>
      </c>
      <c r="G3906" s="7" t="str">
        <f t="shared" si="21"/>
        <v>Inverse</v>
      </c>
      <c r="H3906" s="7" t="s">
        <v>1601</v>
      </c>
    </row>
    <row r="3907" spans="1:8" x14ac:dyDescent="0.2">
      <c r="A3907" s="5" t="s">
        <v>27</v>
      </c>
      <c r="B3907" s="6" t="s">
        <v>22</v>
      </c>
      <c r="C3907" s="7" t="s">
        <v>4216</v>
      </c>
      <c r="D3907" s="8">
        <v>4.6163805499999997</v>
      </c>
      <c r="E3907" s="7"/>
      <c r="F3907" s="8">
        <v>7.2919749899999999</v>
      </c>
      <c r="G3907" s="7" t="str">
        <f t="shared" si="21"/>
        <v>Direct</v>
      </c>
      <c r="H3907" s="7" t="s">
        <v>16</v>
      </c>
    </row>
    <row r="3908" spans="1:8" x14ac:dyDescent="0.2">
      <c r="A3908" s="5" t="s">
        <v>27</v>
      </c>
      <c r="B3908" s="6" t="s">
        <v>22</v>
      </c>
      <c r="C3908" s="7" t="s">
        <v>4217</v>
      </c>
      <c r="D3908" s="8">
        <v>1.15682391</v>
      </c>
      <c r="E3908" s="7"/>
      <c r="F3908" s="8">
        <v>7.8052210500000001</v>
      </c>
      <c r="G3908" s="7" t="str">
        <f t="shared" si="21"/>
        <v>Direct</v>
      </c>
      <c r="H3908" s="7" t="s">
        <v>4218</v>
      </c>
    </row>
    <row r="3909" spans="1:8" x14ac:dyDescent="0.2">
      <c r="A3909" s="5" t="s">
        <v>27</v>
      </c>
      <c r="B3909" s="6" t="s">
        <v>22</v>
      </c>
      <c r="C3909" s="7" t="s">
        <v>4219</v>
      </c>
      <c r="D3909" s="8">
        <v>1.58912122</v>
      </c>
      <c r="E3909" s="7"/>
      <c r="F3909" s="8">
        <v>1.08915363</v>
      </c>
      <c r="G3909" s="7" t="str">
        <f t="shared" si="21"/>
        <v>Direct</v>
      </c>
      <c r="H3909" s="7" t="s">
        <v>16</v>
      </c>
    </row>
    <row r="3910" spans="1:8" x14ac:dyDescent="0.2">
      <c r="A3910" s="5" t="s">
        <v>27</v>
      </c>
      <c r="B3910" s="6" t="s">
        <v>22</v>
      </c>
      <c r="C3910" s="7" t="s">
        <v>4220</v>
      </c>
      <c r="D3910" s="8">
        <v>2.8765767000000002</v>
      </c>
      <c r="E3910" s="7"/>
      <c r="F3910" s="8">
        <v>5.6384310600000003</v>
      </c>
      <c r="G3910" s="7" t="str">
        <f t="shared" si="21"/>
        <v>Direct</v>
      </c>
      <c r="H3910" s="7" t="s">
        <v>16</v>
      </c>
    </row>
    <row r="3911" spans="1:8" x14ac:dyDescent="0.2">
      <c r="A3911" s="5" t="s">
        <v>27</v>
      </c>
      <c r="B3911" s="6" t="s">
        <v>22</v>
      </c>
      <c r="C3911" s="7" t="s">
        <v>4221</v>
      </c>
      <c r="D3911" s="8">
        <v>1.70171962</v>
      </c>
      <c r="E3911" s="7"/>
      <c r="F3911" s="8">
        <v>2.0032860299999999</v>
      </c>
      <c r="G3911" s="7" t="str">
        <f t="shared" si="21"/>
        <v>Direct</v>
      </c>
      <c r="H3911" s="7" t="s">
        <v>4222</v>
      </c>
    </row>
    <row r="3912" spans="1:8" x14ac:dyDescent="0.2">
      <c r="A3912" s="5" t="s">
        <v>27</v>
      </c>
      <c r="B3912" s="6" t="s">
        <v>22</v>
      </c>
      <c r="C3912" s="7" t="s">
        <v>4223</v>
      </c>
      <c r="D3912" s="8">
        <v>1.09386779</v>
      </c>
      <c r="E3912" s="7"/>
      <c r="F3912" s="8">
        <v>2.7846240400000002</v>
      </c>
      <c r="G3912" s="7" t="str">
        <f t="shared" si="21"/>
        <v>Direct</v>
      </c>
      <c r="H3912" s="7" t="s">
        <v>4224</v>
      </c>
    </row>
    <row r="3913" spans="1:8" x14ac:dyDescent="0.2">
      <c r="A3913" s="5" t="s">
        <v>27</v>
      </c>
      <c r="B3913" s="6" t="s">
        <v>22</v>
      </c>
      <c r="C3913" s="7" t="s">
        <v>4225</v>
      </c>
      <c r="D3913" s="8">
        <v>2.49302373</v>
      </c>
      <c r="E3913" s="7"/>
      <c r="F3913" s="8">
        <v>2.2795601300000001</v>
      </c>
      <c r="G3913" s="7" t="str">
        <f t="shared" si="21"/>
        <v>Direct</v>
      </c>
      <c r="H3913" s="7" t="s">
        <v>16</v>
      </c>
    </row>
    <row r="3914" spans="1:8" x14ac:dyDescent="0.2">
      <c r="A3914" s="5" t="s">
        <v>27</v>
      </c>
      <c r="B3914" s="6" t="s">
        <v>22</v>
      </c>
      <c r="C3914" s="7" t="s">
        <v>4370</v>
      </c>
      <c r="D3914" s="8">
        <v>1.6187676799999999</v>
      </c>
      <c r="E3914" s="7"/>
      <c r="F3914" s="8">
        <v>1.03161451</v>
      </c>
      <c r="G3914" s="7" t="str">
        <f t="shared" si="21"/>
        <v>Direct</v>
      </c>
      <c r="H3914" s="7" t="s">
        <v>4011</v>
      </c>
    </row>
    <row r="3915" spans="1:8" x14ac:dyDescent="0.2">
      <c r="A3915" s="5" t="s">
        <v>27</v>
      </c>
      <c r="B3915" s="6" t="s">
        <v>22</v>
      </c>
      <c r="C3915" s="7" t="s">
        <v>4226</v>
      </c>
      <c r="D3915" s="8">
        <v>1.07205949</v>
      </c>
      <c r="E3915" s="7"/>
      <c r="F3915" s="8">
        <v>-2.2816966999999999</v>
      </c>
      <c r="G3915" s="7" t="str">
        <f t="shared" si="21"/>
        <v>Inverse</v>
      </c>
      <c r="H3915" s="7" t="s">
        <v>1348</v>
      </c>
    </row>
    <row r="3916" spans="1:8" x14ac:dyDescent="0.2">
      <c r="A3916" s="5" t="s">
        <v>27</v>
      </c>
      <c r="B3916" s="6" t="s">
        <v>22</v>
      </c>
      <c r="C3916" s="7" t="s">
        <v>4227</v>
      </c>
      <c r="D3916" s="8">
        <v>1.08209423</v>
      </c>
      <c r="E3916" s="7"/>
      <c r="F3916" s="8">
        <v>1.69421825</v>
      </c>
      <c r="G3916" s="7" t="str">
        <f t="shared" si="21"/>
        <v>Direct</v>
      </c>
      <c r="H3916" s="7" t="s">
        <v>4228</v>
      </c>
    </row>
    <row r="3917" spans="1:8" x14ac:dyDescent="0.2">
      <c r="A3917" s="5" t="s">
        <v>27</v>
      </c>
      <c r="B3917" s="6" t="s">
        <v>22</v>
      </c>
      <c r="C3917" s="7" t="s">
        <v>4229</v>
      </c>
      <c r="D3917" s="8">
        <v>1.27308785</v>
      </c>
      <c r="E3917" s="7"/>
      <c r="F3917" s="8">
        <v>4.1134751500000002</v>
      </c>
      <c r="G3917" s="7" t="str">
        <f t="shared" si="21"/>
        <v>Direct</v>
      </c>
      <c r="H3917" s="7" t="s">
        <v>4230</v>
      </c>
    </row>
    <row r="3918" spans="1:8" x14ac:dyDescent="0.2">
      <c r="A3918" s="5" t="s">
        <v>27</v>
      </c>
      <c r="B3918" s="6" t="s">
        <v>22</v>
      </c>
      <c r="C3918" s="7" t="s">
        <v>4231</v>
      </c>
      <c r="D3918" s="8">
        <v>2.3463181299999998</v>
      </c>
      <c r="E3918" s="7"/>
      <c r="F3918" s="8">
        <v>6.69262479</v>
      </c>
      <c r="G3918" s="7" t="str">
        <f t="shared" si="21"/>
        <v>Direct</v>
      </c>
      <c r="H3918" s="7" t="s">
        <v>4230</v>
      </c>
    </row>
    <row r="3919" spans="1:8" x14ac:dyDescent="0.2">
      <c r="A3919" s="5" t="s">
        <v>27</v>
      </c>
      <c r="B3919" s="6" t="s">
        <v>22</v>
      </c>
      <c r="C3919" s="7" t="s">
        <v>4232</v>
      </c>
      <c r="D3919" s="8">
        <v>-1.8615272</v>
      </c>
      <c r="E3919" s="7"/>
      <c r="F3919" s="8">
        <v>-8.1402608999999995</v>
      </c>
      <c r="G3919" s="7" t="str">
        <f t="shared" si="21"/>
        <v>Direct</v>
      </c>
      <c r="H3919" s="7" t="s">
        <v>16</v>
      </c>
    </row>
    <row r="3920" spans="1:8" x14ac:dyDescent="0.2">
      <c r="A3920" s="5" t="s">
        <v>27</v>
      </c>
      <c r="B3920" s="6" t="s">
        <v>22</v>
      </c>
      <c r="C3920" s="7" t="s">
        <v>4233</v>
      </c>
      <c r="D3920" s="8">
        <v>1.25238893</v>
      </c>
      <c r="E3920" s="7"/>
      <c r="F3920" s="8">
        <v>2.1044654199999999</v>
      </c>
      <c r="G3920" s="7" t="str">
        <f t="shared" si="21"/>
        <v>Direct</v>
      </c>
      <c r="H3920" s="7" t="s">
        <v>4234</v>
      </c>
    </row>
    <row r="3921" spans="1:8" x14ac:dyDescent="0.2">
      <c r="A3921" s="5" t="s">
        <v>27</v>
      </c>
      <c r="B3921" s="6" t="s">
        <v>22</v>
      </c>
      <c r="C3921" s="7" t="s">
        <v>4235</v>
      </c>
      <c r="D3921" s="8">
        <v>1.08867647</v>
      </c>
      <c r="E3921" s="7"/>
      <c r="F3921" s="8">
        <v>1.6079761299999999</v>
      </c>
      <c r="G3921" s="7" t="str">
        <f t="shared" si="21"/>
        <v>Direct</v>
      </c>
      <c r="H3921" s="7" t="s">
        <v>3708</v>
      </c>
    </row>
    <row r="3922" spans="1:8" x14ac:dyDescent="0.2">
      <c r="A3922" s="5" t="s">
        <v>27</v>
      </c>
      <c r="B3922" s="6" t="s">
        <v>22</v>
      </c>
      <c r="C3922" s="7" t="s">
        <v>4236</v>
      </c>
      <c r="D3922" s="8">
        <v>1.0381205099999999</v>
      </c>
      <c r="E3922" s="7"/>
      <c r="F3922" s="8">
        <v>2.54371977</v>
      </c>
      <c r="G3922" s="7" t="str">
        <f t="shared" si="21"/>
        <v>Direct</v>
      </c>
      <c r="H3922" s="7" t="s">
        <v>665</v>
      </c>
    </row>
    <row r="3923" spans="1:8" x14ac:dyDescent="0.2">
      <c r="A3923" s="5" t="s">
        <v>27</v>
      </c>
      <c r="B3923" s="6" t="s">
        <v>22</v>
      </c>
      <c r="C3923" s="7" t="s">
        <v>4237</v>
      </c>
      <c r="D3923" s="8">
        <v>1.40049479</v>
      </c>
      <c r="E3923" s="7"/>
      <c r="F3923" s="8">
        <v>5.4200744700000003</v>
      </c>
      <c r="G3923" s="7" t="str">
        <f t="shared" si="21"/>
        <v>Direct</v>
      </c>
      <c r="H3923" s="7" t="s">
        <v>16</v>
      </c>
    </row>
    <row r="3924" spans="1:8" x14ac:dyDescent="0.2">
      <c r="A3924" s="5" t="s">
        <v>27</v>
      </c>
      <c r="B3924" s="6" t="s">
        <v>22</v>
      </c>
      <c r="C3924" s="7" t="s">
        <v>4238</v>
      </c>
      <c r="D3924" s="8">
        <v>4.4506834900000003</v>
      </c>
      <c r="E3924" s="7"/>
      <c r="F3924" s="8">
        <v>2.2364829099999999</v>
      </c>
      <c r="G3924" s="7" t="str">
        <f t="shared" si="21"/>
        <v>Direct</v>
      </c>
      <c r="H3924" s="7" t="s">
        <v>16</v>
      </c>
    </row>
    <row r="3925" spans="1:8" x14ac:dyDescent="0.2">
      <c r="A3925" s="5" t="s">
        <v>27</v>
      </c>
      <c r="B3925" s="6" t="s">
        <v>22</v>
      </c>
      <c r="C3925" s="7" t="s">
        <v>4371</v>
      </c>
      <c r="D3925" s="8">
        <v>1.26923488</v>
      </c>
      <c r="E3925" s="7"/>
      <c r="F3925" s="8">
        <v>1.45534447</v>
      </c>
      <c r="G3925" s="7" t="str">
        <f t="shared" si="21"/>
        <v>Direct</v>
      </c>
      <c r="H3925" s="7" t="s">
        <v>4372</v>
      </c>
    </row>
    <row r="3926" spans="1:8" x14ac:dyDescent="0.2">
      <c r="A3926" s="5" t="s">
        <v>27</v>
      </c>
      <c r="B3926" s="6" t="s">
        <v>22</v>
      </c>
      <c r="C3926" s="7" t="s">
        <v>4239</v>
      </c>
      <c r="D3926" s="8">
        <v>1.2193882199999999</v>
      </c>
      <c r="E3926" s="7"/>
      <c r="F3926" s="8">
        <v>4.6365871600000004</v>
      </c>
      <c r="G3926" s="7" t="str">
        <f t="shared" si="21"/>
        <v>Direct</v>
      </c>
      <c r="H3926" s="7" t="s">
        <v>606</v>
      </c>
    </row>
    <row r="3927" spans="1:8" x14ac:dyDescent="0.2">
      <c r="A3927" s="5" t="s">
        <v>27</v>
      </c>
      <c r="B3927" s="6" t="s">
        <v>22</v>
      </c>
      <c r="C3927" s="7" t="s">
        <v>4373</v>
      </c>
      <c r="D3927" s="8">
        <v>1.0905879199999999</v>
      </c>
      <c r="E3927" s="7"/>
      <c r="F3927" s="8">
        <v>-1.1330929000000001</v>
      </c>
      <c r="G3927" s="7" t="str">
        <f t="shared" si="21"/>
        <v>Inverse</v>
      </c>
      <c r="H3927" s="7" t="s">
        <v>3502</v>
      </c>
    </row>
    <row r="3928" spans="1:8" x14ac:dyDescent="0.2">
      <c r="A3928" s="5" t="s">
        <v>27</v>
      </c>
      <c r="B3928" s="6" t="s">
        <v>22</v>
      </c>
      <c r="C3928" s="7" t="s">
        <v>4242</v>
      </c>
      <c r="D3928" s="8">
        <v>1.3276384299999999</v>
      </c>
      <c r="E3928" s="7"/>
      <c r="F3928" s="8">
        <v>1.9691198400000001</v>
      </c>
      <c r="G3928" s="7" t="str">
        <f t="shared" si="21"/>
        <v>Direct</v>
      </c>
      <c r="H3928" s="7" t="s">
        <v>4243</v>
      </c>
    </row>
    <row r="3929" spans="1:8" x14ac:dyDescent="0.2">
      <c r="A3929" s="5" t="s">
        <v>27</v>
      </c>
      <c r="B3929" s="6" t="s">
        <v>22</v>
      </c>
      <c r="C3929" s="7" t="s">
        <v>4374</v>
      </c>
      <c r="D3929" s="8">
        <v>1.4075690000000001</v>
      </c>
      <c r="E3929" s="7"/>
      <c r="F3929" s="8">
        <v>2.9504592600000001</v>
      </c>
      <c r="G3929" s="7" t="str">
        <f t="shared" si="21"/>
        <v>Direct</v>
      </c>
      <c r="H3929" s="7" t="s">
        <v>16</v>
      </c>
    </row>
    <row r="3930" spans="1:8" x14ac:dyDescent="0.2">
      <c r="A3930" s="5" t="s">
        <v>27</v>
      </c>
      <c r="B3930" s="6" t="s">
        <v>22</v>
      </c>
      <c r="C3930" s="7" t="s">
        <v>4244</v>
      </c>
      <c r="D3930" s="8">
        <v>1.2660968500000001</v>
      </c>
      <c r="E3930" s="7"/>
      <c r="F3930" s="8">
        <v>3.2338555200000001</v>
      </c>
      <c r="G3930" s="7" t="str">
        <f t="shared" si="21"/>
        <v>Direct</v>
      </c>
      <c r="H3930" s="7" t="s">
        <v>814</v>
      </c>
    </row>
    <row r="3931" spans="1:8" x14ac:dyDescent="0.2">
      <c r="A3931" s="5" t="s">
        <v>27</v>
      </c>
      <c r="B3931" s="6" t="s">
        <v>22</v>
      </c>
      <c r="C3931" s="7" t="s">
        <v>4245</v>
      </c>
      <c r="D3931" s="8">
        <v>1.0047513299999999</v>
      </c>
      <c r="E3931" s="7"/>
      <c r="F3931" s="8">
        <v>21.278112799999999</v>
      </c>
      <c r="G3931" s="7" t="str">
        <f t="shared" si="21"/>
        <v>Direct</v>
      </c>
      <c r="H3931" s="7" t="s">
        <v>16</v>
      </c>
    </row>
    <row r="3932" spans="1:8" x14ac:dyDescent="0.2">
      <c r="A3932" s="5" t="s">
        <v>27</v>
      </c>
      <c r="B3932" s="6" t="s">
        <v>22</v>
      </c>
      <c r="C3932" s="7" t="s">
        <v>4375</v>
      </c>
      <c r="D3932" s="8">
        <v>1.27892728</v>
      </c>
      <c r="E3932" s="7"/>
      <c r="F3932" s="8">
        <v>1.0445921199999999</v>
      </c>
      <c r="G3932" s="7" t="str">
        <f t="shared" si="21"/>
        <v>Direct</v>
      </c>
      <c r="H3932" s="7" t="s">
        <v>4376</v>
      </c>
    </row>
    <row r="3933" spans="1:8" x14ac:dyDescent="0.2">
      <c r="A3933" s="5" t="s">
        <v>27</v>
      </c>
      <c r="B3933" s="6" t="s">
        <v>22</v>
      </c>
      <c r="C3933" s="7" t="s">
        <v>4377</v>
      </c>
      <c r="D3933" s="8">
        <v>1.5034747900000001</v>
      </c>
      <c r="E3933" s="7"/>
      <c r="F3933" s="8">
        <v>1.38328893</v>
      </c>
      <c r="G3933" s="7" t="str">
        <f t="shared" si="21"/>
        <v>Direct</v>
      </c>
      <c r="H3933" s="7" t="s">
        <v>885</v>
      </c>
    </row>
    <row r="3934" spans="1:8" x14ac:dyDescent="0.2">
      <c r="A3934" s="5" t="s">
        <v>27</v>
      </c>
      <c r="B3934" s="6" t="s">
        <v>22</v>
      </c>
      <c r="C3934" s="7" t="s">
        <v>4246</v>
      </c>
      <c r="D3934" s="8">
        <v>1.2193882199999999</v>
      </c>
      <c r="E3934" s="7"/>
      <c r="F3934" s="8">
        <v>-1.9242699000000001</v>
      </c>
      <c r="G3934" s="7" t="str">
        <f t="shared" si="21"/>
        <v>Inverse</v>
      </c>
      <c r="H3934" s="7" t="s">
        <v>4247</v>
      </c>
    </row>
    <row r="3935" spans="1:8" x14ac:dyDescent="0.2">
      <c r="A3935" s="5" t="s">
        <v>27</v>
      </c>
      <c r="B3935" s="6" t="s">
        <v>22</v>
      </c>
      <c r="C3935" s="7" t="s">
        <v>4248</v>
      </c>
      <c r="D3935" s="8">
        <v>2.2508727199999998</v>
      </c>
      <c r="E3935" s="7"/>
      <c r="F3935" s="8">
        <v>-5.1151681</v>
      </c>
      <c r="G3935" s="7" t="str">
        <f t="shared" si="21"/>
        <v>Inverse</v>
      </c>
      <c r="H3935" s="7" t="s">
        <v>2367</v>
      </c>
    </row>
    <row r="3936" spans="1:8" x14ac:dyDescent="0.2">
      <c r="A3936" s="5" t="s">
        <v>27</v>
      </c>
      <c r="B3936" s="6" t="s">
        <v>22</v>
      </c>
      <c r="C3936" s="7" t="s">
        <v>4249</v>
      </c>
      <c r="D3936" s="8">
        <v>1.6058093099999999</v>
      </c>
      <c r="E3936" s="7"/>
      <c r="F3936" s="8">
        <v>10.794172</v>
      </c>
      <c r="G3936" s="7" t="str">
        <f t="shared" si="21"/>
        <v>Direct</v>
      </c>
      <c r="H3936" s="7" t="s">
        <v>287</v>
      </c>
    </row>
    <row r="3937" spans="1:8" x14ac:dyDescent="0.2">
      <c r="A3937" s="5" t="s">
        <v>27</v>
      </c>
      <c r="B3937" s="6" t="s">
        <v>22</v>
      </c>
      <c r="C3937" s="7" t="s">
        <v>4378</v>
      </c>
      <c r="D3937" s="8">
        <v>1.07879763</v>
      </c>
      <c r="E3937" s="7"/>
      <c r="F3937" s="8">
        <v>-2.0866794999999998</v>
      </c>
      <c r="G3937" s="7" t="str">
        <f t="shared" si="21"/>
        <v>Inverse</v>
      </c>
      <c r="H3937" s="7" t="s">
        <v>2351</v>
      </c>
    </row>
    <row r="3938" spans="1:8" x14ac:dyDescent="0.2">
      <c r="A3938" s="5" t="s">
        <v>27</v>
      </c>
      <c r="B3938" s="6" t="s">
        <v>22</v>
      </c>
      <c r="C3938" s="7" t="s">
        <v>4379</v>
      </c>
      <c r="D3938" s="8">
        <v>-1.2784472</v>
      </c>
      <c r="E3938" s="7"/>
      <c r="F3938" s="8">
        <v>-2.8900453000000002</v>
      </c>
      <c r="G3938" s="7" t="str">
        <f t="shared" si="21"/>
        <v>Direct</v>
      </c>
      <c r="H3938" s="7" t="s">
        <v>16</v>
      </c>
    </row>
    <row r="3939" spans="1:8" x14ac:dyDescent="0.2">
      <c r="A3939" s="5" t="s">
        <v>27</v>
      </c>
      <c r="B3939" s="6" t="s">
        <v>22</v>
      </c>
      <c r="C3939" s="7" t="s">
        <v>4250</v>
      </c>
      <c r="D3939" s="8">
        <v>-1.2784472</v>
      </c>
      <c r="E3939" s="7"/>
      <c r="F3939" s="8">
        <v>-9.1480160000000001</v>
      </c>
      <c r="G3939" s="7" t="str">
        <f t="shared" si="21"/>
        <v>Direct</v>
      </c>
      <c r="H3939" s="7" t="s">
        <v>16</v>
      </c>
    </row>
    <row r="3940" spans="1:8" x14ac:dyDescent="0.2">
      <c r="A3940" s="5" t="s">
        <v>27</v>
      </c>
      <c r="B3940" s="6" t="s">
        <v>22</v>
      </c>
      <c r="C3940" s="7" t="s">
        <v>4251</v>
      </c>
      <c r="D3940" s="8">
        <v>-1.3607354</v>
      </c>
      <c r="E3940" s="7"/>
      <c r="F3940" s="8">
        <v>-11.595077</v>
      </c>
      <c r="G3940" s="7" t="str">
        <f t="shared" si="21"/>
        <v>Direct</v>
      </c>
      <c r="H3940" s="7" t="s">
        <v>16</v>
      </c>
    </row>
    <row r="3941" spans="1:8" x14ac:dyDescent="0.2">
      <c r="A3941" s="5" t="s">
        <v>27</v>
      </c>
      <c r="B3941" s="6" t="s">
        <v>22</v>
      </c>
      <c r="C3941" s="7" t="s">
        <v>4252</v>
      </c>
      <c r="D3941" s="8">
        <v>1.2784472099999999</v>
      </c>
      <c r="E3941" s="7"/>
      <c r="F3941" s="8">
        <v>2.8924873999999998</v>
      </c>
      <c r="G3941" s="7" t="str">
        <f t="shared" si="21"/>
        <v>Direct</v>
      </c>
      <c r="H3941" s="7" t="s">
        <v>429</v>
      </c>
    </row>
    <row r="3942" spans="1:8" x14ac:dyDescent="0.2">
      <c r="A3942" s="5" t="s">
        <v>27</v>
      </c>
      <c r="B3942" s="6" t="s">
        <v>22</v>
      </c>
      <c r="C3942" s="7" t="s">
        <v>4253</v>
      </c>
      <c r="D3942" s="8">
        <v>1.8378983900000001</v>
      </c>
      <c r="E3942" s="7"/>
      <c r="F3942" s="8">
        <v>9.7562971800000007</v>
      </c>
      <c r="G3942" s="7" t="str">
        <f t="shared" si="21"/>
        <v>Direct</v>
      </c>
      <c r="H3942" s="7" t="s">
        <v>429</v>
      </c>
    </row>
    <row r="3943" spans="1:8" x14ac:dyDescent="0.2">
      <c r="A3943" s="5" t="s">
        <v>27</v>
      </c>
      <c r="B3943" s="6" t="s">
        <v>22</v>
      </c>
      <c r="C3943" s="7" t="s">
        <v>4254</v>
      </c>
      <c r="D3943" s="8">
        <v>1.8615271900000001</v>
      </c>
      <c r="E3943" s="7"/>
      <c r="F3943" s="8">
        <v>13.103262900000001</v>
      </c>
      <c r="G3943" s="7" t="str">
        <f t="shared" si="21"/>
        <v>Direct</v>
      </c>
      <c r="H3943" s="7" t="s">
        <v>16</v>
      </c>
    </row>
    <row r="3944" spans="1:8" x14ac:dyDescent="0.2">
      <c r="A3944" s="5" t="s">
        <v>27</v>
      </c>
      <c r="B3944" s="6" t="s">
        <v>22</v>
      </c>
      <c r="C3944" s="7" t="s">
        <v>4380</v>
      </c>
      <c r="D3944" s="8">
        <v>1.87128334</v>
      </c>
      <c r="E3944" s="7"/>
      <c r="F3944" s="8">
        <v>2.40568245</v>
      </c>
      <c r="G3944" s="7" t="str">
        <f t="shared" si="21"/>
        <v>Direct</v>
      </c>
      <c r="H3944" s="7" t="s">
        <v>16</v>
      </c>
    </row>
    <row r="3945" spans="1:8" x14ac:dyDescent="0.2">
      <c r="A3945" s="5" t="s">
        <v>27</v>
      </c>
      <c r="B3945" s="6" t="s">
        <v>22</v>
      </c>
      <c r="C3945" s="7" t="s">
        <v>4381</v>
      </c>
      <c r="D3945" s="8">
        <v>1.4064598100000001</v>
      </c>
      <c r="E3945" s="7"/>
      <c r="F3945" s="8">
        <v>1.8293778300000001</v>
      </c>
      <c r="G3945" s="7" t="str">
        <f t="shared" si="21"/>
        <v>Direct</v>
      </c>
      <c r="H3945" s="7" t="s">
        <v>4382</v>
      </c>
    </row>
    <row r="3946" spans="1:8" x14ac:dyDescent="0.2">
      <c r="A3946" s="5" t="s">
        <v>27</v>
      </c>
      <c r="B3946" s="6" t="s">
        <v>22</v>
      </c>
      <c r="C3946" s="7" t="s">
        <v>4383</v>
      </c>
      <c r="D3946" s="8">
        <v>1.64053608</v>
      </c>
      <c r="E3946" s="7"/>
      <c r="F3946" s="8">
        <v>1.1276771699999999</v>
      </c>
      <c r="G3946" s="7" t="str">
        <f t="shared" si="21"/>
        <v>Direct</v>
      </c>
      <c r="H3946" s="7" t="s">
        <v>3868</v>
      </c>
    </row>
    <row r="3947" spans="1:8" x14ac:dyDescent="0.2">
      <c r="A3947" s="5" t="s">
        <v>27</v>
      </c>
      <c r="B3947" s="6" t="s">
        <v>22</v>
      </c>
      <c r="C3947" s="7" t="s">
        <v>4384</v>
      </c>
      <c r="D3947" s="8">
        <v>1.4683302600000001</v>
      </c>
      <c r="E3947" s="7"/>
      <c r="F3947" s="8">
        <v>-1.3369332</v>
      </c>
      <c r="G3947" s="7" t="str">
        <f t="shared" si="21"/>
        <v>Inverse</v>
      </c>
      <c r="H3947" s="7" t="s">
        <v>4385</v>
      </c>
    </row>
    <row r="3948" spans="1:8" x14ac:dyDescent="0.2">
      <c r="A3948" s="5" t="s">
        <v>27</v>
      </c>
      <c r="B3948" s="6" t="s">
        <v>22</v>
      </c>
      <c r="C3948" s="7" t="s">
        <v>4255</v>
      </c>
      <c r="D3948" s="8">
        <v>5.77734682</v>
      </c>
      <c r="E3948" s="7"/>
      <c r="F3948" s="8">
        <v>5.2309587500000001</v>
      </c>
      <c r="G3948" s="7" t="str">
        <f t="shared" si="21"/>
        <v>Direct</v>
      </c>
      <c r="H3948" s="7" t="s">
        <v>16</v>
      </c>
    </row>
    <row r="3949" spans="1:8" x14ac:dyDescent="0.2">
      <c r="A3949" s="5" t="s">
        <v>27</v>
      </c>
      <c r="B3949" s="6" t="s">
        <v>22</v>
      </c>
      <c r="C3949" s="7" t="s">
        <v>4256</v>
      </c>
      <c r="D3949" s="8">
        <v>-1.0704254</v>
      </c>
      <c r="E3949" s="7"/>
      <c r="F3949" s="8">
        <v>-1.1350289</v>
      </c>
      <c r="G3949" s="7" t="str">
        <f t="shared" si="21"/>
        <v>Direct</v>
      </c>
      <c r="H3949" s="7" t="s">
        <v>4257</v>
      </c>
    </row>
    <row r="3950" spans="1:8" x14ac:dyDescent="0.2">
      <c r="A3950" s="5" t="s">
        <v>27</v>
      </c>
      <c r="B3950" s="6" t="s">
        <v>22</v>
      </c>
      <c r="C3950" s="7" t="s">
        <v>4258</v>
      </c>
      <c r="D3950" s="8">
        <v>2.02401213</v>
      </c>
      <c r="E3950" s="7"/>
      <c r="F3950" s="8">
        <v>4.5784134500000002</v>
      </c>
      <c r="G3950" s="7" t="str">
        <f t="shared" si="21"/>
        <v>Direct</v>
      </c>
      <c r="H3950" s="7" t="s">
        <v>139</v>
      </c>
    </row>
    <row r="3951" spans="1:8" x14ac:dyDescent="0.2">
      <c r="A3951" s="5" t="s">
        <v>27</v>
      </c>
      <c r="B3951" s="6" t="s">
        <v>22</v>
      </c>
      <c r="C3951" s="7" t="s">
        <v>4386</v>
      </c>
      <c r="D3951" s="8">
        <v>1.0572678900000001</v>
      </c>
      <c r="E3951" s="7"/>
      <c r="F3951" s="8">
        <v>1.2952245</v>
      </c>
      <c r="G3951" s="7" t="str">
        <f t="shared" si="21"/>
        <v>Direct</v>
      </c>
      <c r="H3951" s="7" t="s">
        <v>820</v>
      </c>
    </row>
    <row r="3952" spans="1:8" x14ac:dyDescent="0.2">
      <c r="A3952" s="5" t="s">
        <v>27</v>
      </c>
      <c r="B3952" s="6" t="s">
        <v>22</v>
      </c>
      <c r="C3952" s="7" t="s">
        <v>4259</v>
      </c>
      <c r="D3952" s="8">
        <v>-1.5108604999999999</v>
      </c>
      <c r="E3952" s="7"/>
      <c r="F3952" s="8">
        <v>-3.8945180000000001</v>
      </c>
      <c r="G3952" s="7" t="str">
        <f t="shared" si="21"/>
        <v>Direct</v>
      </c>
      <c r="H3952" s="7" t="s">
        <v>16</v>
      </c>
    </row>
    <row r="3953" spans="1:8" x14ac:dyDescent="0.2">
      <c r="A3953" s="5" t="s">
        <v>27</v>
      </c>
      <c r="B3953" s="6" t="s">
        <v>22</v>
      </c>
      <c r="C3953" s="7" t="s">
        <v>4260</v>
      </c>
      <c r="D3953" s="8">
        <v>1.15727585</v>
      </c>
      <c r="E3953" s="7"/>
      <c r="F3953" s="8">
        <v>2.3394773500000001</v>
      </c>
      <c r="G3953" s="7" t="str">
        <f t="shared" ref="G3953:G3956" si="22">IF(OR(AND(D3953&gt;0,F3953&gt;0),AND(D3953&lt;0,F3953&lt;0)),"Direct","Inverse")</f>
        <v>Direct</v>
      </c>
      <c r="H3953" s="7" t="s">
        <v>16</v>
      </c>
    </row>
    <row r="3954" spans="1:8" x14ac:dyDescent="0.2">
      <c r="A3954" s="5" t="s">
        <v>27</v>
      </c>
      <c r="B3954" s="6" t="s">
        <v>22</v>
      </c>
      <c r="C3954" s="7" t="s">
        <v>4261</v>
      </c>
      <c r="D3954" s="8">
        <v>1.29493049</v>
      </c>
      <c r="E3954" s="7"/>
      <c r="F3954" s="8">
        <v>1.3726554099999999</v>
      </c>
      <c r="G3954" s="7" t="str">
        <f t="shared" si="22"/>
        <v>Direct</v>
      </c>
      <c r="H3954" s="7" t="s">
        <v>16</v>
      </c>
    </row>
    <row r="3955" spans="1:8" x14ac:dyDescent="0.2">
      <c r="A3955" s="5" t="s">
        <v>27</v>
      </c>
      <c r="B3955" s="6" t="s">
        <v>22</v>
      </c>
      <c r="C3955" s="7" t="s">
        <v>4262</v>
      </c>
      <c r="D3955" s="8">
        <v>1.33607297</v>
      </c>
      <c r="E3955" s="7"/>
      <c r="F3955" s="8">
        <v>5.7394730799999998</v>
      </c>
      <c r="G3955" s="7" t="str">
        <f t="shared" si="22"/>
        <v>Direct</v>
      </c>
      <c r="H3955" s="7" t="s">
        <v>4263</v>
      </c>
    </row>
    <row r="3956" spans="1:8" x14ac:dyDescent="0.2">
      <c r="A3956" s="5" t="s">
        <v>27</v>
      </c>
      <c r="B3956" s="6" t="s">
        <v>22</v>
      </c>
      <c r="C3956" s="7" t="s">
        <v>4264</v>
      </c>
      <c r="D3956" s="8">
        <v>4.7842951999999999</v>
      </c>
      <c r="E3956" s="7"/>
      <c r="F3956" s="8">
        <v>10.1335009</v>
      </c>
      <c r="G3956" s="7" t="str">
        <f t="shared" si="22"/>
        <v>Direct</v>
      </c>
      <c r="H3956" s="7" t="s">
        <v>16</v>
      </c>
    </row>
    <row r="3957" spans="1:8" x14ac:dyDescent="0.2">
      <c r="A3957" s="5" t="s">
        <v>27</v>
      </c>
      <c r="B3957" s="6" t="s">
        <v>19</v>
      </c>
      <c r="C3957" s="7" t="s">
        <v>4387</v>
      </c>
      <c r="D3957" s="7"/>
      <c r="E3957" s="8">
        <v>-2.5594370999999998</v>
      </c>
      <c r="F3957" s="8">
        <v>-2.1026066000000001</v>
      </c>
      <c r="G3957" s="7" t="str">
        <f t="shared" ref="G3957:G4211" si="23">IF(OR(AND(E3957&gt;0,F3957&gt;0),AND(E3957&lt;0,F3957&lt;0)),"Direct","Inverse")</f>
        <v>Direct</v>
      </c>
      <c r="H3957" s="7" t="s">
        <v>4388</v>
      </c>
    </row>
    <row r="3958" spans="1:8" x14ac:dyDescent="0.2">
      <c r="A3958" s="5" t="s">
        <v>27</v>
      </c>
      <c r="B3958" s="6" t="s">
        <v>19</v>
      </c>
      <c r="C3958" s="7" t="s">
        <v>4389</v>
      </c>
      <c r="D3958" s="7"/>
      <c r="E3958" s="8">
        <v>1.74987958</v>
      </c>
      <c r="F3958" s="8">
        <v>3.3913903900000002</v>
      </c>
      <c r="G3958" s="7" t="str">
        <f t="shared" si="23"/>
        <v>Direct</v>
      </c>
      <c r="H3958" s="7" t="s">
        <v>16</v>
      </c>
    </row>
    <row r="3959" spans="1:8" x14ac:dyDescent="0.2">
      <c r="A3959" s="5" t="s">
        <v>27</v>
      </c>
      <c r="B3959" s="6" t="s">
        <v>19</v>
      </c>
      <c r="C3959" s="7" t="s">
        <v>4390</v>
      </c>
      <c r="D3959" s="7"/>
      <c r="E3959" s="8">
        <v>-2.9073858000000001</v>
      </c>
      <c r="F3959" s="8">
        <v>-4.1824303</v>
      </c>
      <c r="G3959" s="7" t="str">
        <f t="shared" si="23"/>
        <v>Direct</v>
      </c>
      <c r="H3959" s="7" t="s">
        <v>2045</v>
      </c>
    </row>
    <row r="3960" spans="1:8" x14ac:dyDescent="0.2">
      <c r="A3960" s="5" t="s">
        <v>27</v>
      </c>
      <c r="B3960" s="6" t="s">
        <v>19</v>
      </c>
      <c r="C3960" s="7" t="s">
        <v>4391</v>
      </c>
      <c r="D3960" s="7"/>
      <c r="E3960" s="8">
        <v>1.79726477</v>
      </c>
      <c r="F3960" s="8">
        <v>3.46341908</v>
      </c>
      <c r="G3960" s="7" t="str">
        <f t="shared" si="23"/>
        <v>Direct</v>
      </c>
      <c r="H3960" s="7" t="s">
        <v>2058</v>
      </c>
    </row>
    <row r="3961" spans="1:8" x14ac:dyDescent="0.2">
      <c r="A3961" s="5" t="s">
        <v>27</v>
      </c>
      <c r="B3961" s="6" t="s">
        <v>19</v>
      </c>
      <c r="C3961" s="7" t="s">
        <v>4392</v>
      </c>
      <c r="D3961" s="7"/>
      <c r="E3961" s="8">
        <v>2.4887062100000001</v>
      </c>
      <c r="F3961" s="8">
        <v>2.34091819</v>
      </c>
      <c r="G3961" s="7" t="str">
        <f t="shared" si="23"/>
        <v>Direct</v>
      </c>
      <c r="H3961" s="7" t="s">
        <v>16</v>
      </c>
    </row>
    <row r="3962" spans="1:8" x14ac:dyDescent="0.2">
      <c r="A3962" s="5" t="s">
        <v>27</v>
      </c>
      <c r="B3962" s="6" t="s">
        <v>19</v>
      </c>
      <c r="C3962" s="7" t="s">
        <v>4002</v>
      </c>
      <c r="D3962" s="7"/>
      <c r="E3962" s="8">
        <v>4.9836017899999998</v>
      </c>
      <c r="F3962" s="8">
        <v>2.3708370699999999</v>
      </c>
      <c r="G3962" s="7" t="str">
        <f t="shared" si="23"/>
        <v>Direct</v>
      </c>
      <c r="H3962" s="7" t="s">
        <v>4003</v>
      </c>
    </row>
    <row r="3963" spans="1:8" x14ac:dyDescent="0.2">
      <c r="A3963" s="5" t="s">
        <v>27</v>
      </c>
      <c r="B3963" s="6" t="s">
        <v>19</v>
      </c>
      <c r="C3963" s="7" t="s">
        <v>4004</v>
      </c>
      <c r="D3963" s="7"/>
      <c r="E3963" s="8">
        <v>2.9117812500000002</v>
      </c>
      <c r="F3963" s="8">
        <v>2.05873982</v>
      </c>
      <c r="G3963" s="7" t="str">
        <f t="shared" si="23"/>
        <v>Direct</v>
      </c>
      <c r="H3963" s="7" t="s">
        <v>2060</v>
      </c>
    </row>
    <row r="3964" spans="1:8" x14ac:dyDescent="0.2">
      <c r="A3964" s="5" t="s">
        <v>27</v>
      </c>
      <c r="B3964" s="6" t="s">
        <v>19</v>
      </c>
      <c r="C3964" s="7" t="s">
        <v>4393</v>
      </c>
      <c r="D3964" s="7"/>
      <c r="E3964" s="8">
        <v>-1.7209574999999999</v>
      </c>
      <c r="F3964" s="8">
        <v>-2.0671259000000002</v>
      </c>
      <c r="G3964" s="7" t="str">
        <f t="shared" si="23"/>
        <v>Direct</v>
      </c>
      <c r="H3964" s="7" t="s">
        <v>1348</v>
      </c>
    </row>
    <row r="3965" spans="1:8" x14ac:dyDescent="0.2">
      <c r="A3965" s="5" t="s">
        <v>27</v>
      </c>
      <c r="B3965" s="6" t="s">
        <v>19</v>
      </c>
      <c r="C3965" s="7" t="s">
        <v>4394</v>
      </c>
      <c r="D3965" s="7"/>
      <c r="E3965" s="8">
        <v>-1.3016702</v>
      </c>
      <c r="F3965" s="8">
        <v>-2.1403433000000001</v>
      </c>
      <c r="G3965" s="7" t="str">
        <f t="shared" si="23"/>
        <v>Direct</v>
      </c>
      <c r="H3965" s="7" t="s">
        <v>1931</v>
      </c>
    </row>
    <row r="3966" spans="1:8" x14ac:dyDescent="0.2">
      <c r="A3966" s="5" t="s">
        <v>27</v>
      </c>
      <c r="B3966" s="6" t="s">
        <v>19</v>
      </c>
      <c r="C3966" s="7" t="s">
        <v>4395</v>
      </c>
      <c r="D3966" s="7"/>
      <c r="E3966" s="8">
        <v>1.2042697499999999</v>
      </c>
      <c r="F3966" s="8">
        <v>1.11339568</v>
      </c>
      <c r="G3966" s="7" t="str">
        <f t="shared" si="23"/>
        <v>Direct</v>
      </c>
      <c r="H3966" s="7" t="s">
        <v>2022</v>
      </c>
    </row>
    <row r="3967" spans="1:8" x14ac:dyDescent="0.2">
      <c r="A3967" s="5" t="s">
        <v>27</v>
      </c>
      <c r="B3967" s="6" t="s">
        <v>19</v>
      </c>
      <c r="C3967" s="7" t="s">
        <v>4396</v>
      </c>
      <c r="D3967" s="7"/>
      <c r="E3967" s="8">
        <v>3.0225879500000001</v>
      </c>
      <c r="F3967" s="8">
        <v>3.6998841499999999</v>
      </c>
      <c r="G3967" s="7" t="str">
        <f t="shared" si="23"/>
        <v>Direct</v>
      </c>
      <c r="H3967" s="7" t="s">
        <v>16</v>
      </c>
    </row>
    <row r="3968" spans="1:8" x14ac:dyDescent="0.2">
      <c r="A3968" s="5" t="s">
        <v>27</v>
      </c>
      <c r="B3968" s="6" t="s">
        <v>19</v>
      </c>
      <c r="C3968" s="7" t="s">
        <v>4397</v>
      </c>
      <c r="D3968" s="7"/>
      <c r="E3968" s="8">
        <v>-2.7453082000000002</v>
      </c>
      <c r="F3968" s="8">
        <v>-2.9548378999999998</v>
      </c>
      <c r="G3968" s="7" t="str">
        <f t="shared" si="23"/>
        <v>Direct</v>
      </c>
      <c r="H3968" s="7" t="s">
        <v>648</v>
      </c>
    </row>
    <row r="3969" spans="1:8" x14ac:dyDescent="0.2">
      <c r="A3969" s="5" t="s">
        <v>27</v>
      </c>
      <c r="B3969" s="6" t="s">
        <v>19</v>
      </c>
      <c r="C3969" s="7" t="s">
        <v>4398</v>
      </c>
      <c r="D3969" s="7"/>
      <c r="E3969" s="8">
        <v>-14.399245000000001</v>
      </c>
      <c r="F3969" s="8">
        <v>-9.2704845999999996</v>
      </c>
      <c r="G3969" s="7" t="str">
        <f t="shared" si="23"/>
        <v>Direct</v>
      </c>
      <c r="H3969" s="7" t="s">
        <v>1325</v>
      </c>
    </row>
    <row r="3970" spans="1:8" x14ac:dyDescent="0.2">
      <c r="A3970" s="5" t="s">
        <v>27</v>
      </c>
      <c r="B3970" s="6" t="s">
        <v>19</v>
      </c>
      <c r="C3970" s="7" t="s">
        <v>4399</v>
      </c>
      <c r="D3970" s="7"/>
      <c r="E3970" s="8">
        <v>2.5715584800000002</v>
      </c>
      <c r="F3970" s="8">
        <v>3.70659765</v>
      </c>
      <c r="G3970" s="7" t="str">
        <f t="shared" si="23"/>
        <v>Direct</v>
      </c>
      <c r="H3970" s="7" t="s">
        <v>4400</v>
      </c>
    </row>
    <row r="3971" spans="1:8" x14ac:dyDescent="0.2">
      <c r="A3971" s="5" t="s">
        <v>27</v>
      </c>
      <c r="B3971" s="6" t="s">
        <v>19</v>
      </c>
      <c r="C3971" s="7" t="s">
        <v>4401</v>
      </c>
      <c r="D3971" s="7"/>
      <c r="E3971" s="8">
        <v>1.1414479099999999</v>
      </c>
      <c r="F3971" s="8">
        <v>1.3917518200000001</v>
      </c>
      <c r="G3971" s="7" t="str">
        <f t="shared" si="23"/>
        <v>Direct</v>
      </c>
      <c r="H3971" s="7" t="s">
        <v>4402</v>
      </c>
    </row>
    <row r="3972" spans="1:8" x14ac:dyDescent="0.2">
      <c r="A3972" s="5" t="s">
        <v>27</v>
      </c>
      <c r="B3972" s="6" t="s">
        <v>19</v>
      </c>
      <c r="C3972" s="7" t="s">
        <v>4403</v>
      </c>
      <c r="D3972" s="7"/>
      <c r="E3972" s="8">
        <v>-2.2514113</v>
      </c>
      <c r="F3972" s="8">
        <v>-2.0922025999999998</v>
      </c>
      <c r="G3972" s="7" t="str">
        <f t="shared" si="23"/>
        <v>Direct</v>
      </c>
      <c r="H3972" s="7" t="s">
        <v>1849</v>
      </c>
    </row>
    <row r="3973" spans="1:8" x14ac:dyDescent="0.2">
      <c r="A3973" s="5" t="s">
        <v>27</v>
      </c>
      <c r="B3973" s="6" t="s">
        <v>19</v>
      </c>
      <c r="C3973" s="7" t="s">
        <v>4404</v>
      </c>
      <c r="D3973" s="7"/>
      <c r="E3973" s="8">
        <v>7.9289545199999996</v>
      </c>
      <c r="F3973" s="8">
        <v>9.7545456399999999</v>
      </c>
      <c r="G3973" s="7" t="str">
        <f t="shared" si="23"/>
        <v>Direct</v>
      </c>
      <c r="H3973" s="7" t="s">
        <v>4292</v>
      </c>
    </row>
    <row r="3974" spans="1:8" x14ac:dyDescent="0.2">
      <c r="A3974" s="5" t="s">
        <v>27</v>
      </c>
      <c r="B3974" s="6" t="s">
        <v>19</v>
      </c>
      <c r="C3974" s="7" t="s">
        <v>4405</v>
      </c>
      <c r="D3974" s="7"/>
      <c r="E3974" s="8">
        <v>2.3938763600000001</v>
      </c>
      <c r="F3974" s="8">
        <v>1.8508500000000001</v>
      </c>
      <c r="G3974" s="7" t="str">
        <f t="shared" si="23"/>
        <v>Direct</v>
      </c>
      <c r="H3974" s="7" t="s">
        <v>4406</v>
      </c>
    </row>
    <row r="3975" spans="1:8" x14ac:dyDescent="0.2">
      <c r="A3975" s="5" t="s">
        <v>27</v>
      </c>
      <c r="B3975" s="6" t="s">
        <v>19</v>
      </c>
      <c r="C3975" s="7" t="s">
        <v>4407</v>
      </c>
      <c r="D3975" s="7"/>
      <c r="E3975" s="8">
        <v>4.0557365799999996</v>
      </c>
      <c r="F3975" s="8">
        <v>2.6632948600000002</v>
      </c>
      <c r="G3975" s="7" t="str">
        <f t="shared" si="23"/>
        <v>Direct</v>
      </c>
      <c r="H3975" s="7" t="s">
        <v>555</v>
      </c>
    </row>
    <row r="3976" spans="1:8" x14ac:dyDescent="0.2">
      <c r="A3976" s="5" t="s">
        <v>27</v>
      </c>
      <c r="B3976" s="6" t="s">
        <v>19</v>
      </c>
      <c r="C3976" s="7" t="s">
        <v>4408</v>
      </c>
      <c r="D3976" s="7"/>
      <c r="E3976" s="8">
        <v>1.3023741499999999</v>
      </c>
      <c r="F3976" s="8">
        <v>1.2675711999999999</v>
      </c>
      <c r="G3976" s="7" t="str">
        <f t="shared" si="23"/>
        <v>Direct</v>
      </c>
      <c r="H3976" s="7" t="s">
        <v>16</v>
      </c>
    </row>
    <row r="3977" spans="1:8" x14ac:dyDescent="0.2">
      <c r="A3977" s="5" t="s">
        <v>27</v>
      </c>
      <c r="B3977" s="6" t="s">
        <v>19</v>
      </c>
      <c r="C3977" s="7" t="s">
        <v>4409</v>
      </c>
      <c r="D3977" s="7"/>
      <c r="E3977" s="8">
        <v>4.3258736999999998</v>
      </c>
      <c r="F3977" s="8">
        <v>5.2220306299999999</v>
      </c>
      <c r="G3977" s="7" t="str">
        <f t="shared" si="23"/>
        <v>Direct</v>
      </c>
      <c r="H3977" s="7" t="s">
        <v>4410</v>
      </c>
    </row>
    <row r="3978" spans="1:8" x14ac:dyDescent="0.2">
      <c r="A3978" s="5" t="s">
        <v>27</v>
      </c>
      <c r="B3978" s="6" t="s">
        <v>19</v>
      </c>
      <c r="C3978" s="7" t="s">
        <v>4411</v>
      </c>
      <c r="D3978" s="7"/>
      <c r="E3978" s="8">
        <v>1.41559473</v>
      </c>
      <c r="F3978" s="8">
        <v>1.3480654999999999</v>
      </c>
      <c r="G3978" s="7" t="str">
        <f t="shared" si="23"/>
        <v>Direct</v>
      </c>
      <c r="H3978" s="7" t="s">
        <v>4292</v>
      </c>
    </row>
    <row r="3979" spans="1:8" x14ac:dyDescent="0.2">
      <c r="A3979" s="5" t="s">
        <v>27</v>
      </c>
      <c r="B3979" s="6" t="s">
        <v>19</v>
      </c>
      <c r="C3979" s="7" t="s">
        <v>4412</v>
      </c>
      <c r="D3979" s="7"/>
      <c r="E3979" s="8">
        <v>-2.3245282</v>
      </c>
      <c r="F3979" s="8">
        <v>-1.8395044</v>
      </c>
      <c r="G3979" s="7" t="str">
        <f t="shared" si="23"/>
        <v>Direct</v>
      </c>
      <c r="H3979" s="7" t="s">
        <v>4413</v>
      </c>
    </row>
    <row r="3980" spans="1:8" x14ac:dyDescent="0.2">
      <c r="A3980" s="5" t="s">
        <v>27</v>
      </c>
      <c r="B3980" s="6" t="s">
        <v>19</v>
      </c>
      <c r="C3980" s="7" t="s">
        <v>4414</v>
      </c>
      <c r="D3980" s="7"/>
      <c r="E3980" s="8">
        <v>1.2216389599999999</v>
      </c>
      <c r="F3980" s="8">
        <v>2.5282136300000002</v>
      </c>
      <c r="G3980" s="7" t="str">
        <f t="shared" si="23"/>
        <v>Direct</v>
      </c>
      <c r="H3980" s="7" t="s">
        <v>16</v>
      </c>
    </row>
    <row r="3981" spans="1:8" x14ac:dyDescent="0.2">
      <c r="A3981" s="5" t="s">
        <v>27</v>
      </c>
      <c r="B3981" s="6" t="s">
        <v>19</v>
      </c>
      <c r="C3981" s="7" t="s">
        <v>4415</v>
      </c>
      <c r="D3981" s="7"/>
      <c r="E3981" s="8">
        <v>-2.0286024</v>
      </c>
      <c r="F3981" s="8">
        <v>-1.9326000999999999</v>
      </c>
      <c r="G3981" s="7" t="str">
        <f t="shared" si="23"/>
        <v>Direct</v>
      </c>
      <c r="H3981" s="7" t="s">
        <v>248</v>
      </c>
    </row>
    <row r="3982" spans="1:8" x14ac:dyDescent="0.2">
      <c r="A3982" s="5" t="s">
        <v>27</v>
      </c>
      <c r="B3982" s="6" t="s">
        <v>19</v>
      </c>
      <c r="C3982" s="7" t="s">
        <v>4416</v>
      </c>
      <c r="D3982" s="7"/>
      <c r="E3982" s="8">
        <v>-2.4295350999999998</v>
      </c>
      <c r="F3982" s="8">
        <v>-3.2668618</v>
      </c>
      <c r="G3982" s="7" t="str">
        <f t="shared" si="23"/>
        <v>Direct</v>
      </c>
      <c r="H3982" s="7" t="s">
        <v>16</v>
      </c>
    </row>
    <row r="3983" spans="1:8" x14ac:dyDescent="0.2">
      <c r="A3983" s="5" t="s">
        <v>27</v>
      </c>
      <c r="B3983" s="6" t="s">
        <v>19</v>
      </c>
      <c r="C3983" s="7" t="s">
        <v>4417</v>
      </c>
      <c r="D3983" s="7"/>
      <c r="E3983" s="8">
        <v>-1.1744961</v>
      </c>
      <c r="F3983" s="8">
        <v>-1.2612311</v>
      </c>
      <c r="G3983" s="7" t="str">
        <f t="shared" si="23"/>
        <v>Direct</v>
      </c>
      <c r="H3983" s="7" t="s">
        <v>16</v>
      </c>
    </row>
    <row r="3984" spans="1:8" x14ac:dyDescent="0.2">
      <c r="A3984" s="5" t="s">
        <v>27</v>
      </c>
      <c r="B3984" s="6" t="s">
        <v>19</v>
      </c>
      <c r="C3984" s="7" t="s">
        <v>4418</v>
      </c>
      <c r="D3984" s="7"/>
      <c r="E3984" s="8">
        <v>-2.1297405999999999</v>
      </c>
      <c r="F3984" s="8">
        <v>-1.0266925</v>
      </c>
      <c r="G3984" s="7" t="str">
        <f t="shared" si="23"/>
        <v>Direct</v>
      </c>
      <c r="H3984" s="7" t="s">
        <v>4419</v>
      </c>
    </row>
    <row r="3985" spans="1:8" x14ac:dyDescent="0.2">
      <c r="A3985" s="5" t="s">
        <v>27</v>
      </c>
      <c r="B3985" s="6" t="s">
        <v>19</v>
      </c>
      <c r="C3985" s="7" t="s">
        <v>4420</v>
      </c>
      <c r="D3985" s="7"/>
      <c r="E3985" s="8">
        <v>-1.4173028999999999</v>
      </c>
      <c r="F3985" s="8">
        <v>-2.1002116000000002</v>
      </c>
      <c r="G3985" s="7" t="str">
        <f t="shared" si="23"/>
        <v>Direct</v>
      </c>
      <c r="H3985" s="7" t="s">
        <v>16</v>
      </c>
    </row>
    <row r="3986" spans="1:8" x14ac:dyDescent="0.2">
      <c r="A3986" s="5" t="s">
        <v>27</v>
      </c>
      <c r="B3986" s="6" t="s">
        <v>19</v>
      </c>
      <c r="C3986" s="7" t="s">
        <v>4421</v>
      </c>
      <c r="D3986" s="7"/>
      <c r="E3986" s="8">
        <v>6.3690696500000001</v>
      </c>
      <c r="F3986" s="8">
        <v>5.8272161599999999</v>
      </c>
      <c r="G3986" s="7" t="str">
        <f t="shared" si="23"/>
        <v>Direct</v>
      </c>
      <c r="H3986" s="7" t="s">
        <v>172</v>
      </c>
    </row>
    <row r="3987" spans="1:8" x14ac:dyDescent="0.2">
      <c r="A3987" s="5" t="s">
        <v>27</v>
      </c>
      <c r="B3987" s="6" t="s">
        <v>19</v>
      </c>
      <c r="C3987" s="7" t="s">
        <v>4422</v>
      </c>
      <c r="D3987" s="7"/>
      <c r="E3987" s="8">
        <v>39.724664199999999</v>
      </c>
      <c r="F3987" s="8">
        <v>39.2362903</v>
      </c>
      <c r="G3987" s="7" t="str">
        <f t="shared" si="23"/>
        <v>Direct</v>
      </c>
      <c r="H3987" s="7" t="s">
        <v>4423</v>
      </c>
    </row>
    <row r="3988" spans="1:8" x14ac:dyDescent="0.2">
      <c r="A3988" s="5" t="s">
        <v>27</v>
      </c>
      <c r="B3988" s="6" t="s">
        <v>19</v>
      </c>
      <c r="C3988" s="7" t="s">
        <v>4424</v>
      </c>
      <c r="D3988" s="7"/>
      <c r="E3988" s="8">
        <v>-1.4267742999999999</v>
      </c>
      <c r="F3988" s="8">
        <v>-2.1890206000000001</v>
      </c>
      <c r="G3988" s="7" t="str">
        <f t="shared" si="23"/>
        <v>Direct</v>
      </c>
      <c r="H3988" s="7" t="s">
        <v>1990</v>
      </c>
    </row>
    <row r="3989" spans="1:8" x14ac:dyDescent="0.2">
      <c r="A3989" s="5" t="s">
        <v>27</v>
      </c>
      <c r="B3989" s="6" t="s">
        <v>19</v>
      </c>
      <c r="C3989" s="7" t="s">
        <v>4425</v>
      </c>
      <c r="D3989" s="7"/>
      <c r="E3989" s="8">
        <v>-1.1011229</v>
      </c>
      <c r="F3989" s="8">
        <v>-1.0937479999999999</v>
      </c>
      <c r="G3989" s="7" t="str">
        <f t="shared" si="23"/>
        <v>Direct</v>
      </c>
      <c r="H3989" s="7" t="s">
        <v>4426</v>
      </c>
    </row>
    <row r="3990" spans="1:8" x14ac:dyDescent="0.2">
      <c r="A3990" s="5" t="s">
        <v>27</v>
      </c>
      <c r="B3990" s="6" t="s">
        <v>19</v>
      </c>
      <c r="C3990" s="7" t="s">
        <v>4427</v>
      </c>
      <c r="D3990" s="7"/>
      <c r="E3990" s="8">
        <v>-6.9768796999999996</v>
      </c>
      <c r="F3990" s="8">
        <v>-6.8623241000000004</v>
      </c>
      <c r="G3990" s="7" t="str">
        <f t="shared" si="23"/>
        <v>Direct</v>
      </c>
      <c r="H3990" s="7" t="s">
        <v>4428</v>
      </c>
    </row>
    <row r="3991" spans="1:8" x14ac:dyDescent="0.2">
      <c r="A3991" s="5" t="s">
        <v>27</v>
      </c>
      <c r="B3991" s="6" t="s">
        <v>19</v>
      </c>
      <c r="C3991" s="7" t="s">
        <v>4005</v>
      </c>
      <c r="D3991" s="7"/>
      <c r="E3991" s="8">
        <v>1.39891648</v>
      </c>
      <c r="F3991" s="8">
        <v>2.5265857999999999</v>
      </c>
      <c r="G3991" s="7" t="str">
        <f t="shared" si="23"/>
        <v>Direct</v>
      </c>
      <c r="H3991" s="7" t="s">
        <v>16</v>
      </c>
    </row>
    <row r="3992" spans="1:8" x14ac:dyDescent="0.2">
      <c r="A3992" s="5" t="s">
        <v>27</v>
      </c>
      <c r="B3992" s="6" t="s">
        <v>19</v>
      </c>
      <c r="C3992" s="7" t="s">
        <v>4429</v>
      </c>
      <c r="D3992" s="7"/>
      <c r="E3992" s="8">
        <v>-25.630765</v>
      </c>
      <c r="F3992" s="8">
        <v>-23.515083000000001</v>
      </c>
      <c r="G3992" s="7" t="str">
        <f t="shared" si="23"/>
        <v>Direct</v>
      </c>
      <c r="H3992" s="7" t="s">
        <v>1981</v>
      </c>
    </row>
    <row r="3993" spans="1:8" x14ac:dyDescent="0.2">
      <c r="A3993" s="5" t="s">
        <v>27</v>
      </c>
      <c r="B3993" s="6" t="s">
        <v>19</v>
      </c>
      <c r="C3993" s="7" t="s">
        <v>4430</v>
      </c>
      <c r="D3993" s="7"/>
      <c r="E3993" s="8">
        <v>-2.8528424000000001</v>
      </c>
      <c r="F3993" s="8">
        <v>-2.1466428999999998</v>
      </c>
      <c r="G3993" s="7" t="str">
        <f t="shared" si="23"/>
        <v>Direct</v>
      </c>
      <c r="H3993" s="7" t="s">
        <v>4431</v>
      </c>
    </row>
    <row r="3994" spans="1:8" x14ac:dyDescent="0.2">
      <c r="A3994" s="5" t="s">
        <v>27</v>
      </c>
      <c r="B3994" s="6" t="s">
        <v>19</v>
      </c>
      <c r="C3994" s="7" t="s">
        <v>4432</v>
      </c>
      <c r="D3994" s="7"/>
      <c r="E3994" s="8">
        <v>1.6908331999999999</v>
      </c>
      <c r="F3994" s="8">
        <v>1.77084113</v>
      </c>
      <c r="G3994" s="7" t="str">
        <f t="shared" si="23"/>
        <v>Direct</v>
      </c>
      <c r="H3994" s="7" t="s">
        <v>172</v>
      </c>
    </row>
    <row r="3995" spans="1:8" x14ac:dyDescent="0.2">
      <c r="A3995" s="5" t="s">
        <v>27</v>
      </c>
      <c r="B3995" s="6" t="s">
        <v>19</v>
      </c>
      <c r="C3995" s="7" t="s">
        <v>4433</v>
      </c>
      <c r="D3995" s="7"/>
      <c r="E3995" s="8">
        <v>1.49583065</v>
      </c>
      <c r="F3995" s="8">
        <v>1.1027681300000001</v>
      </c>
      <c r="G3995" s="7" t="str">
        <f t="shared" si="23"/>
        <v>Direct</v>
      </c>
      <c r="H3995" s="7" t="s">
        <v>4434</v>
      </c>
    </row>
    <row r="3996" spans="1:8" x14ac:dyDescent="0.2">
      <c r="A3996" s="5" t="s">
        <v>27</v>
      </c>
      <c r="B3996" s="6" t="s">
        <v>19</v>
      </c>
      <c r="C3996" s="7" t="s">
        <v>4435</v>
      </c>
      <c r="D3996" s="7"/>
      <c r="E3996" s="8">
        <v>1.7219343199999999</v>
      </c>
      <c r="F3996" s="8">
        <v>2.0449879700000002</v>
      </c>
      <c r="G3996" s="7" t="str">
        <f t="shared" si="23"/>
        <v>Direct</v>
      </c>
      <c r="H3996" s="7" t="s">
        <v>16</v>
      </c>
    </row>
    <row r="3997" spans="1:8" x14ac:dyDescent="0.2">
      <c r="A3997" s="5" t="s">
        <v>27</v>
      </c>
      <c r="B3997" s="6" t="s">
        <v>19</v>
      </c>
      <c r="C3997" s="7" t="s">
        <v>4436</v>
      </c>
      <c r="D3997" s="7"/>
      <c r="E3997" s="8">
        <v>1.1130258200000001</v>
      </c>
      <c r="F3997" s="8">
        <v>1.7301555200000001</v>
      </c>
      <c r="G3997" s="7" t="str">
        <f t="shared" si="23"/>
        <v>Direct</v>
      </c>
      <c r="H3997" s="7" t="s">
        <v>16</v>
      </c>
    </row>
    <row r="3998" spans="1:8" x14ac:dyDescent="0.2">
      <c r="A3998" s="5" t="s">
        <v>27</v>
      </c>
      <c r="B3998" s="6" t="s">
        <v>19</v>
      </c>
      <c r="C3998" s="7" t="s">
        <v>4437</v>
      </c>
      <c r="D3998" s="7"/>
      <c r="E3998" s="8">
        <v>1.13970561</v>
      </c>
      <c r="F3998" s="8">
        <v>1.94267469</v>
      </c>
      <c r="G3998" s="7" t="str">
        <f t="shared" si="23"/>
        <v>Direct</v>
      </c>
      <c r="H3998" s="7" t="s">
        <v>16</v>
      </c>
    </row>
    <row r="3999" spans="1:8" x14ac:dyDescent="0.2">
      <c r="A3999" s="5" t="s">
        <v>27</v>
      </c>
      <c r="B3999" s="6" t="s">
        <v>19</v>
      </c>
      <c r="C3999" s="7" t="s">
        <v>4438</v>
      </c>
      <c r="D3999" s="7"/>
      <c r="E3999" s="8">
        <v>-3.0362724999999999</v>
      </c>
      <c r="F3999" s="8">
        <v>-3.8177335999999999</v>
      </c>
      <c r="G3999" s="7" t="str">
        <f t="shared" si="23"/>
        <v>Direct</v>
      </c>
      <c r="H3999" s="7" t="s">
        <v>16</v>
      </c>
    </row>
    <row r="4000" spans="1:8" x14ac:dyDescent="0.2">
      <c r="A4000" s="5" t="s">
        <v>27</v>
      </c>
      <c r="B4000" s="6" t="s">
        <v>19</v>
      </c>
      <c r="C4000" s="7" t="s">
        <v>4439</v>
      </c>
      <c r="D4000" s="7"/>
      <c r="E4000" s="8">
        <v>1.4065894299999999</v>
      </c>
      <c r="F4000" s="8">
        <v>1.13836563</v>
      </c>
      <c r="G4000" s="7" t="str">
        <f t="shared" si="23"/>
        <v>Direct</v>
      </c>
      <c r="H4000" s="7" t="s">
        <v>2328</v>
      </c>
    </row>
    <row r="4001" spans="1:8" x14ac:dyDescent="0.2">
      <c r="A4001" s="5" t="s">
        <v>27</v>
      </c>
      <c r="B4001" s="6" t="s">
        <v>19</v>
      </c>
      <c r="C4001" s="7" t="s">
        <v>4440</v>
      </c>
      <c r="D4001" s="7"/>
      <c r="E4001" s="8">
        <v>1.1466803299999999</v>
      </c>
      <c r="F4001" s="8">
        <v>2.5387599000000001</v>
      </c>
      <c r="G4001" s="7" t="str">
        <f t="shared" si="23"/>
        <v>Direct</v>
      </c>
      <c r="H4001" s="7" t="s">
        <v>4441</v>
      </c>
    </row>
    <row r="4002" spans="1:8" x14ac:dyDescent="0.2">
      <c r="A4002" s="5" t="s">
        <v>27</v>
      </c>
      <c r="B4002" s="6" t="s">
        <v>19</v>
      </c>
      <c r="C4002" s="7" t="s">
        <v>4442</v>
      </c>
      <c r="D4002" s="7"/>
      <c r="E4002" s="8">
        <v>-1.1398458</v>
      </c>
      <c r="F4002" s="8">
        <v>-1.5989831000000001</v>
      </c>
      <c r="G4002" s="7" t="str">
        <f t="shared" si="23"/>
        <v>Direct</v>
      </c>
      <c r="H4002" s="7" t="s">
        <v>4443</v>
      </c>
    </row>
    <row r="4003" spans="1:8" x14ac:dyDescent="0.2">
      <c r="A4003" s="5" t="s">
        <v>27</v>
      </c>
      <c r="B4003" s="6" t="s">
        <v>19</v>
      </c>
      <c r="C4003" s="7" t="s">
        <v>4444</v>
      </c>
      <c r="D4003" s="7"/>
      <c r="E4003" s="8">
        <v>-4.1665181999999996</v>
      </c>
      <c r="F4003" s="8">
        <v>-3.7830556</v>
      </c>
      <c r="G4003" s="7" t="str">
        <f t="shared" si="23"/>
        <v>Direct</v>
      </c>
      <c r="H4003" s="7" t="s">
        <v>16</v>
      </c>
    </row>
    <row r="4004" spans="1:8" x14ac:dyDescent="0.2">
      <c r="A4004" s="5" t="s">
        <v>27</v>
      </c>
      <c r="B4004" s="6" t="s">
        <v>19</v>
      </c>
      <c r="C4004" s="7" t="s">
        <v>4445</v>
      </c>
      <c r="D4004" s="7"/>
      <c r="E4004" s="8">
        <v>-1.1917835999999999</v>
      </c>
      <c r="F4004" s="8">
        <v>-3.0050444999999999</v>
      </c>
      <c r="G4004" s="7" t="str">
        <f t="shared" si="23"/>
        <v>Direct</v>
      </c>
      <c r="H4004" s="7" t="s">
        <v>4446</v>
      </c>
    </row>
    <row r="4005" spans="1:8" x14ac:dyDescent="0.2">
      <c r="A4005" s="5" t="s">
        <v>27</v>
      </c>
      <c r="B4005" s="6" t="s">
        <v>19</v>
      </c>
      <c r="C4005" s="7" t="s">
        <v>4447</v>
      </c>
      <c r="D4005" s="7"/>
      <c r="E4005" s="8">
        <v>-2.4214962</v>
      </c>
      <c r="F4005" s="8">
        <v>-4.3026235000000002</v>
      </c>
      <c r="G4005" s="7" t="str">
        <f t="shared" si="23"/>
        <v>Direct</v>
      </c>
      <c r="H4005" s="7" t="s">
        <v>172</v>
      </c>
    </row>
    <row r="4006" spans="1:8" x14ac:dyDescent="0.2">
      <c r="A4006" s="5" t="s">
        <v>27</v>
      </c>
      <c r="B4006" s="6" t="s">
        <v>19</v>
      </c>
      <c r="C4006" s="7" t="s">
        <v>4448</v>
      </c>
      <c r="D4006" s="7"/>
      <c r="E4006" s="8">
        <v>-1.8011752000000001</v>
      </c>
      <c r="F4006" s="8">
        <v>-4.0545663000000003</v>
      </c>
      <c r="G4006" s="7" t="str">
        <f t="shared" si="23"/>
        <v>Direct</v>
      </c>
      <c r="H4006" s="7" t="s">
        <v>206</v>
      </c>
    </row>
    <row r="4007" spans="1:8" x14ac:dyDescent="0.2">
      <c r="A4007" s="5" t="s">
        <v>27</v>
      </c>
      <c r="B4007" s="6" t="s">
        <v>19</v>
      </c>
      <c r="C4007" s="7" t="s">
        <v>4449</v>
      </c>
      <c r="D4007" s="7"/>
      <c r="E4007" s="8">
        <v>-1.0667089999999999</v>
      </c>
      <c r="F4007" s="8">
        <v>-1.1662366</v>
      </c>
      <c r="G4007" s="7" t="str">
        <f t="shared" si="23"/>
        <v>Direct</v>
      </c>
      <c r="H4007" s="7" t="s">
        <v>4450</v>
      </c>
    </row>
    <row r="4008" spans="1:8" x14ac:dyDescent="0.2">
      <c r="A4008" s="5" t="s">
        <v>27</v>
      </c>
      <c r="B4008" s="6" t="s">
        <v>19</v>
      </c>
      <c r="C4008" s="7" t="s">
        <v>4451</v>
      </c>
      <c r="D4008" s="7"/>
      <c r="E4008" s="8">
        <v>-5.6753730999999998</v>
      </c>
      <c r="F4008" s="8">
        <v>-4.4790013000000002</v>
      </c>
      <c r="G4008" s="7" t="str">
        <f t="shared" si="23"/>
        <v>Direct</v>
      </c>
      <c r="H4008" s="7" t="s">
        <v>4452</v>
      </c>
    </row>
    <row r="4009" spans="1:8" x14ac:dyDescent="0.2">
      <c r="A4009" s="5" t="s">
        <v>27</v>
      </c>
      <c r="B4009" s="6" t="s">
        <v>19</v>
      </c>
      <c r="C4009" s="7" t="s">
        <v>4453</v>
      </c>
      <c r="D4009" s="7"/>
      <c r="E4009" s="8">
        <v>-1.0650324</v>
      </c>
      <c r="F4009" s="8">
        <v>-2.6073800999999999</v>
      </c>
      <c r="G4009" s="7" t="str">
        <f t="shared" si="23"/>
        <v>Direct</v>
      </c>
      <c r="H4009" s="7" t="s">
        <v>4454</v>
      </c>
    </row>
    <row r="4010" spans="1:8" x14ac:dyDescent="0.2">
      <c r="A4010" s="5" t="s">
        <v>27</v>
      </c>
      <c r="B4010" s="6" t="s">
        <v>19</v>
      </c>
      <c r="C4010" s="7" t="s">
        <v>4455</v>
      </c>
      <c r="D4010" s="7"/>
      <c r="E4010" s="8">
        <v>1.69927816</v>
      </c>
      <c r="F4010" s="8">
        <v>1.5841046400000001</v>
      </c>
      <c r="G4010" s="7" t="str">
        <f t="shared" si="23"/>
        <v>Direct</v>
      </c>
      <c r="H4010" s="7" t="s">
        <v>16</v>
      </c>
    </row>
    <row r="4011" spans="1:8" x14ac:dyDescent="0.2">
      <c r="A4011" s="5" t="s">
        <v>27</v>
      </c>
      <c r="B4011" s="6" t="s">
        <v>19</v>
      </c>
      <c r="C4011" s="7" t="s">
        <v>4456</v>
      </c>
      <c r="D4011" s="7"/>
      <c r="E4011" s="8">
        <v>1.14038901</v>
      </c>
      <c r="F4011" s="8">
        <v>1.38164891</v>
      </c>
      <c r="G4011" s="7" t="str">
        <f t="shared" si="23"/>
        <v>Direct</v>
      </c>
      <c r="H4011" s="7" t="s">
        <v>16</v>
      </c>
    </row>
    <row r="4012" spans="1:8" x14ac:dyDescent="0.2">
      <c r="A4012" s="5" t="s">
        <v>27</v>
      </c>
      <c r="B4012" s="6" t="s">
        <v>19</v>
      </c>
      <c r="C4012" s="7" t="s">
        <v>4457</v>
      </c>
      <c r="D4012" s="7"/>
      <c r="E4012" s="8">
        <v>2.4107662300000001</v>
      </c>
      <c r="F4012" s="8">
        <v>4.3145968699999999</v>
      </c>
      <c r="G4012" s="7" t="str">
        <f t="shared" si="23"/>
        <v>Direct</v>
      </c>
      <c r="H4012" s="7" t="s">
        <v>16</v>
      </c>
    </row>
    <row r="4013" spans="1:8" x14ac:dyDescent="0.2">
      <c r="A4013" s="5" t="s">
        <v>27</v>
      </c>
      <c r="B4013" s="6" t="s">
        <v>19</v>
      </c>
      <c r="C4013" s="7" t="s">
        <v>4458</v>
      </c>
      <c r="D4013" s="7"/>
      <c r="E4013" s="8">
        <v>-1.1641224999999999</v>
      </c>
      <c r="F4013" s="8">
        <v>-1.6584885</v>
      </c>
      <c r="G4013" s="7" t="str">
        <f t="shared" si="23"/>
        <v>Direct</v>
      </c>
      <c r="H4013" s="7" t="s">
        <v>4459</v>
      </c>
    </row>
    <row r="4014" spans="1:8" x14ac:dyDescent="0.2">
      <c r="A4014" s="5" t="s">
        <v>27</v>
      </c>
      <c r="B4014" s="6" t="s">
        <v>19</v>
      </c>
      <c r="C4014" s="7" t="s">
        <v>4460</v>
      </c>
      <c r="D4014" s="7"/>
      <c r="E4014" s="8">
        <v>-3.0047038000000001</v>
      </c>
      <c r="F4014" s="8">
        <v>-2.4976870999999998</v>
      </c>
      <c r="G4014" s="7" t="str">
        <f t="shared" si="23"/>
        <v>Direct</v>
      </c>
      <c r="H4014" s="7" t="s">
        <v>2328</v>
      </c>
    </row>
    <row r="4015" spans="1:8" x14ac:dyDescent="0.2">
      <c r="A4015" s="5" t="s">
        <v>27</v>
      </c>
      <c r="B4015" s="6" t="s">
        <v>19</v>
      </c>
      <c r="C4015" s="7" t="s">
        <v>4006</v>
      </c>
      <c r="D4015" s="7"/>
      <c r="E4015" s="8">
        <v>4.54842206</v>
      </c>
      <c r="F4015" s="8">
        <v>5.3829510999999997</v>
      </c>
      <c r="G4015" s="7" t="str">
        <f t="shared" si="23"/>
        <v>Direct</v>
      </c>
      <c r="H4015" s="7" t="s">
        <v>4007</v>
      </c>
    </row>
    <row r="4016" spans="1:8" x14ac:dyDescent="0.2">
      <c r="A4016" s="5" t="s">
        <v>27</v>
      </c>
      <c r="B4016" s="6" t="s">
        <v>19</v>
      </c>
      <c r="C4016" s="7" t="s">
        <v>4461</v>
      </c>
      <c r="D4016" s="7"/>
      <c r="E4016" s="8">
        <v>-2.0621325000000001</v>
      </c>
      <c r="F4016" s="8">
        <v>-4.7188454000000002</v>
      </c>
      <c r="G4016" s="7" t="str">
        <f t="shared" si="23"/>
        <v>Direct</v>
      </c>
      <c r="H4016" s="7" t="s">
        <v>2992</v>
      </c>
    </row>
    <row r="4017" spans="1:8" x14ac:dyDescent="0.2">
      <c r="A4017" s="5" t="s">
        <v>27</v>
      </c>
      <c r="B4017" s="6" t="s">
        <v>19</v>
      </c>
      <c r="C4017" s="7" t="s">
        <v>4462</v>
      </c>
      <c r="D4017" s="7"/>
      <c r="E4017" s="8">
        <v>-8.7242674999999998</v>
      </c>
      <c r="F4017" s="8">
        <v>-7.5082963999999999</v>
      </c>
      <c r="G4017" s="7" t="str">
        <f t="shared" si="23"/>
        <v>Direct</v>
      </c>
      <c r="H4017" s="7" t="s">
        <v>4463</v>
      </c>
    </row>
    <row r="4018" spans="1:8" x14ac:dyDescent="0.2">
      <c r="A4018" s="5" t="s">
        <v>27</v>
      </c>
      <c r="B4018" s="6" t="s">
        <v>19</v>
      </c>
      <c r="C4018" s="7" t="s">
        <v>4464</v>
      </c>
      <c r="D4018" s="7"/>
      <c r="E4018" s="8">
        <v>-1.3798523</v>
      </c>
      <c r="F4018" s="8">
        <v>-1.1511159</v>
      </c>
      <c r="G4018" s="7" t="str">
        <f t="shared" si="23"/>
        <v>Direct</v>
      </c>
      <c r="H4018" s="7" t="s">
        <v>4465</v>
      </c>
    </row>
    <row r="4019" spans="1:8" x14ac:dyDescent="0.2">
      <c r="A4019" s="5" t="s">
        <v>27</v>
      </c>
      <c r="B4019" s="6" t="s">
        <v>19</v>
      </c>
      <c r="C4019" s="7" t="s">
        <v>4466</v>
      </c>
      <c r="D4019" s="7"/>
      <c r="E4019" s="8">
        <v>3.83119655</v>
      </c>
      <c r="F4019" s="8">
        <v>2.6452263</v>
      </c>
      <c r="G4019" s="7" t="str">
        <f t="shared" si="23"/>
        <v>Direct</v>
      </c>
      <c r="H4019" s="7" t="s">
        <v>4467</v>
      </c>
    </row>
    <row r="4020" spans="1:8" x14ac:dyDescent="0.2">
      <c r="A4020" s="5" t="s">
        <v>27</v>
      </c>
      <c r="B4020" s="6" t="s">
        <v>19</v>
      </c>
      <c r="C4020" s="7" t="s">
        <v>4468</v>
      </c>
      <c r="D4020" s="7"/>
      <c r="E4020" s="8">
        <v>1.90325403</v>
      </c>
      <c r="F4020" s="8">
        <v>1.5701535200000001</v>
      </c>
      <c r="G4020" s="7" t="str">
        <f t="shared" si="23"/>
        <v>Direct</v>
      </c>
      <c r="H4020" s="7" t="s">
        <v>16</v>
      </c>
    </row>
    <row r="4021" spans="1:8" x14ac:dyDescent="0.2">
      <c r="A4021" s="5" t="s">
        <v>27</v>
      </c>
      <c r="B4021" s="6" t="s">
        <v>19</v>
      </c>
      <c r="C4021" s="7" t="s">
        <v>4469</v>
      </c>
      <c r="D4021" s="7"/>
      <c r="E4021" s="8">
        <v>3.4574809100000001</v>
      </c>
      <c r="F4021" s="8">
        <v>2.3908572100000001</v>
      </c>
      <c r="G4021" s="7" t="str">
        <f t="shared" si="23"/>
        <v>Direct</v>
      </c>
      <c r="H4021" s="7" t="s">
        <v>4470</v>
      </c>
    </row>
    <row r="4022" spans="1:8" x14ac:dyDescent="0.2">
      <c r="A4022" s="5" t="s">
        <v>27</v>
      </c>
      <c r="B4022" s="6" t="s">
        <v>19</v>
      </c>
      <c r="C4022" s="7" t="s">
        <v>4471</v>
      </c>
      <c r="D4022" s="7"/>
      <c r="E4022" s="8">
        <v>-5.8601986000000004</v>
      </c>
      <c r="F4022" s="8">
        <v>-2.7881014999999998</v>
      </c>
      <c r="G4022" s="7" t="str">
        <f t="shared" si="23"/>
        <v>Direct</v>
      </c>
      <c r="H4022" s="7" t="s">
        <v>16</v>
      </c>
    </row>
    <row r="4023" spans="1:8" x14ac:dyDescent="0.2">
      <c r="A4023" s="5" t="s">
        <v>27</v>
      </c>
      <c r="B4023" s="6" t="s">
        <v>19</v>
      </c>
      <c r="C4023" s="7" t="s">
        <v>4472</v>
      </c>
      <c r="D4023" s="7"/>
      <c r="E4023" s="8">
        <v>1.8841333899999999</v>
      </c>
      <c r="F4023" s="8">
        <v>1.55409464</v>
      </c>
      <c r="G4023" s="7" t="str">
        <f t="shared" si="23"/>
        <v>Direct</v>
      </c>
      <c r="H4023" s="7" t="s">
        <v>16</v>
      </c>
    </row>
    <row r="4024" spans="1:8" x14ac:dyDescent="0.2">
      <c r="A4024" s="5" t="s">
        <v>27</v>
      </c>
      <c r="B4024" s="6" t="s">
        <v>19</v>
      </c>
      <c r="C4024" s="7" t="s">
        <v>4473</v>
      </c>
      <c r="D4024" s="7"/>
      <c r="E4024" s="8">
        <v>-1.0982215</v>
      </c>
      <c r="F4024" s="8">
        <v>-1.3154839</v>
      </c>
      <c r="G4024" s="7" t="str">
        <f t="shared" si="23"/>
        <v>Direct</v>
      </c>
      <c r="H4024" s="7" t="s">
        <v>4474</v>
      </c>
    </row>
    <row r="4025" spans="1:8" x14ac:dyDescent="0.2">
      <c r="A4025" s="5" t="s">
        <v>27</v>
      </c>
      <c r="B4025" s="6" t="s">
        <v>19</v>
      </c>
      <c r="C4025" s="7" t="s">
        <v>4008</v>
      </c>
      <c r="D4025" s="7"/>
      <c r="E4025" s="8">
        <v>3.5645628399999998</v>
      </c>
      <c r="F4025" s="8">
        <v>3.3947625100000001</v>
      </c>
      <c r="G4025" s="7" t="str">
        <f t="shared" si="23"/>
        <v>Direct</v>
      </c>
      <c r="H4025" s="7" t="s">
        <v>16</v>
      </c>
    </row>
    <row r="4026" spans="1:8" x14ac:dyDescent="0.2">
      <c r="A4026" s="5" t="s">
        <v>27</v>
      </c>
      <c r="B4026" s="6" t="s">
        <v>19</v>
      </c>
      <c r="C4026" s="7" t="s">
        <v>4475</v>
      </c>
      <c r="D4026" s="7"/>
      <c r="E4026" s="8">
        <v>3.9632330499999999</v>
      </c>
      <c r="F4026" s="8">
        <v>4.6423478999999999</v>
      </c>
      <c r="G4026" s="7" t="str">
        <f t="shared" si="23"/>
        <v>Direct</v>
      </c>
      <c r="H4026" s="7" t="s">
        <v>4476</v>
      </c>
    </row>
    <row r="4027" spans="1:8" x14ac:dyDescent="0.2">
      <c r="A4027" s="5" t="s">
        <v>27</v>
      </c>
      <c r="B4027" s="6" t="s">
        <v>19</v>
      </c>
      <c r="C4027" s="7" t="s">
        <v>4477</v>
      </c>
      <c r="D4027" s="7"/>
      <c r="E4027" s="8">
        <v>-1.2460689</v>
      </c>
      <c r="F4027" s="8">
        <v>-1.8786153999999999</v>
      </c>
      <c r="G4027" s="7" t="str">
        <f t="shared" si="23"/>
        <v>Direct</v>
      </c>
      <c r="H4027" s="7" t="s">
        <v>4478</v>
      </c>
    </row>
    <row r="4028" spans="1:8" x14ac:dyDescent="0.2">
      <c r="A4028" s="5" t="s">
        <v>27</v>
      </c>
      <c r="B4028" s="6" t="s">
        <v>19</v>
      </c>
      <c r="C4028" s="7" t="s">
        <v>4479</v>
      </c>
      <c r="D4028" s="7"/>
      <c r="E4028" s="8">
        <v>-1.0212574000000001</v>
      </c>
      <c r="F4028" s="8">
        <v>-1.5840284</v>
      </c>
      <c r="G4028" s="7" t="str">
        <f t="shared" si="23"/>
        <v>Direct</v>
      </c>
      <c r="H4028" s="7" t="s">
        <v>4480</v>
      </c>
    </row>
    <row r="4029" spans="1:8" x14ac:dyDescent="0.2">
      <c r="A4029" s="5" t="s">
        <v>27</v>
      </c>
      <c r="B4029" s="6" t="s">
        <v>19</v>
      </c>
      <c r="C4029" s="7" t="s">
        <v>4481</v>
      </c>
      <c r="D4029" s="7"/>
      <c r="E4029" s="8">
        <v>1.8917124700000001</v>
      </c>
      <c r="F4029" s="8">
        <v>2.5751911999999999</v>
      </c>
      <c r="G4029" s="7" t="str">
        <f t="shared" si="23"/>
        <v>Direct</v>
      </c>
      <c r="H4029" s="7" t="s">
        <v>4482</v>
      </c>
    </row>
    <row r="4030" spans="1:8" x14ac:dyDescent="0.2">
      <c r="A4030" s="5" t="s">
        <v>27</v>
      </c>
      <c r="B4030" s="6" t="s">
        <v>19</v>
      </c>
      <c r="C4030" s="7" t="s">
        <v>4483</v>
      </c>
      <c r="D4030" s="7"/>
      <c r="E4030" s="8">
        <v>-2.6958828000000001</v>
      </c>
      <c r="F4030" s="8">
        <v>-4.5110723000000004</v>
      </c>
      <c r="G4030" s="7" t="str">
        <f t="shared" si="23"/>
        <v>Direct</v>
      </c>
      <c r="H4030" s="7" t="s">
        <v>16</v>
      </c>
    </row>
    <row r="4031" spans="1:8" x14ac:dyDescent="0.2">
      <c r="A4031" s="5" t="s">
        <v>27</v>
      </c>
      <c r="B4031" s="6" t="s">
        <v>19</v>
      </c>
      <c r="C4031" s="7" t="s">
        <v>4484</v>
      </c>
      <c r="D4031" s="7"/>
      <c r="E4031" s="8">
        <v>1.13689032</v>
      </c>
      <c r="F4031" s="8">
        <v>1.1133892400000001</v>
      </c>
      <c r="G4031" s="7" t="str">
        <f t="shared" si="23"/>
        <v>Direct</v>
      </c>
      <c r="H4031" s="7" t="s">
        <v>248</v>
      </c>
    </row>
    <row r="4032" spans="1:8" x14ac:dyDescent="0.2">
      <c r="A4032" s="5" t="s">
        <v>27</v>
      </c>
      <c r="B4032" s="6" t="s">
        <v>19</v>
      </c>
      <c r="C4032" s="7" t="s">
        <v>4009</v>
      </c>
      <c r="D4032" s="7"/>
      <c r="E4032" s="8">
        <v>-2.1903760999999999</v>
      </c>
      <c r="F4032" s="8">
        <v>-1.3239483999999999</v>
      </c>
      <c r="G4032" s="7" t="str">
        <f t="shared" si="23"/>
        <v>Direct</v>
      </c>
      <c r="H4032" s="7" t="s">
        <v>16</v>
      </c>
    </row>
    <row r="4033" spans="1:8" x14ac:dyDescent="0.2">
      <c r="A4033" s="5" t="s">
        <v>27</v>
      </c>
      <c r="B4033" s="6" t="s">
        <v>19</v>
      </c>
      <c r="C4033" s="7" t="s">
        <v>4485</v>
      </c>
      <c r="D4033" s="7"/>
      <c r="E4033" s="8">
        <v>1.1466803299999999</v>
      </c>
      <c r="F4033" s="8">
        <v>1.0098093100000001</v>
      </c>
      <c r="G4033" s="7" t="str">
        <f t="shared" si="23"/>
        <v>Direct</v>
      </c>
      <c r="H4033" s="7" t="s">
        <v>16</v>
      </c>
    </row>
    <row r="4034" spans="1:8" x14ac:dyDescent="0.2">
      <c r="A4034" s="5" t="s">
        <v>27</v>
      </c>
      <c r="B4034" s="6" t="s">
        <v>19</v>
      </c>
      <c r="C4034" s="7" t="s">
        <v>4486</v>
      </c>
      <c r="D4034" s="7"/>
      <c r="E4034" s="8">
        <v>-2.600231</v>
      </c>
      <c r="F4034" s="8">
        <v>-2.0144844000000002</v>
      </c>
      <c r="G4034" s="7" t="str">
        <f t="shared" si="23"/>
        <v>Direct</v>
      </c>
      <c r="H4034" s="7" t="s">
        <v>4487</v>
      </c>
    </row>
    <row r="4035" spans="1:8" x14ac:dyDescent="0.2">
      <c r="A4035" s="5" t="s">
        <v>27</v>
      </c>
      <c r="B4035" s="6" t="s">
        <v>19</v>
      </c>
      <c r="C4035" s="7" t="s">
        <v>4488</v>
      </c>
      <c r="D4035" s="7"/>
      <c r="E4035" s="8">
        <v>1.09604027</v>
      </c>
      <c r="F4035" s="8">
        <v>2.9073156099999999</v>
      </c>
      <c r="G4035" s="7" t="str">
        <f t="shared" si="23"/>
        <v>Direct</v>
      </c>
      <c r="H4035" s="7" t="s">
        <v>16</v>
      </c>
    </row>
    <row r="4036" spans="1:8" x14ac:dyDescent="0.2">
      <c r="A4036" s="5" t="s">
        <v>27</v>
      </c>
      <c r="B4036" s="6" t="s">
        <v>19</v>
      </c>
      <c r="C4036" s="7" t="s">
        <v>4489</v>
      </c>
      <c r="D4036" s="7"/>
      <c r="E4036" s="8">
        <v>1.4423447300000001</v>
      </c>
      <c r="F4036" s="8">
        <v>3.3100717999999998</v>
      </c>
      <c r="G4036" s="7" t="str">
        <f t="shared" si="23"/>
        <v>Direct</v>
      </c>
      <c r="H4036" s="7" t="s">
        <v>16</v>
      </c>
    </row>
    <row r="4037" spans="1:8" x14ac:dyDescent="0.2">
      <c r="A4037" s="5" t="s">
        <v>27</v>
      </c>
      <c r="B4037" s="6" t="s">
        <v>19</v>
      </c>
      <c r="C4037" s="7" t="s">
        <v>4490</v>
      </c>
      <c r="D4037" s="7"/>
      <c r="E4037" s="8">
        <v>-2.3100811999999999</v>
      </c>
      <c r="F4037" s="8">
        <v>-4.3184671000000003</v>
      </c>
      <c r="G4037" s="7" t="str">
        <f t="shared" si="23"/>
        <v>Direct</v>
      </c>
      <c r="H4037" s="7" t="s">
        <v>349</v>
      </c>
    </row>
    <row r="4038" spans="1:8" x14ac:dyDescent="0.2">
      <c r="A4038" s="5" t="s">
        <v>27</v>
      </c>
      <c r="B4038" s="6" t="s">
        <v>19</v>
      </c>
      <c r="C4038" s="7" t="s">
        <v>4491</v>
      </c>
      <c r="D4038" s="7"/>
      <c r="E4038" s="8">
        <v>-4.1074044000000001</v>
      </c>
      <c r="F4038" s="8">
        <v>-5.2611477000000004</v>
      </c>
      <c r="G4038" s="7" t="str">
        <f t="shared" si="23"/>
        <v>Direct</v>
      </c>
      <c r="H4038" s="7" t="s">
        <v>16</v>
      </c>
    </row>
    <row r="4039" spans="1:8" x14ac:dyDescent="0.2">
      <c r="A4039" s="5" t="s">
        <v>27</v>
      </c>
      <c r="B4039" s="6" t="s">
        <v>19</v>
      </c>
      <c r="C4039" s="7" t="s">
        <v>4492</v>
      </c>
      <c r="D4039" s="7"/>
      <c r="E4039" s="8">
        <v>-3.1315089999999999</v>
      </c>
      <c r="F4039" s="8">
        <v>-1.1131708</v>
      </c>
      <c r="G4039" s="7" t="str">
        <f t="shared" si="23"/>
        <v>Direct</v>
      </c>
      <c r="H4039" s="7" t="s">
        <v>16</v>
      </c>
    </row>
    <row r="4040" spans="1:8" x14ac:dyDescent="0.2">
      <c r="A4040" s="5" t="s">
        <v>27</v>
      </c>
      <c r="B4040" s="6" t="s">
        <v>19</v>
      </c>
      <c r="C4040" s="7" t="s">
        <v>4493</v>
      </c>
      <c r="D4040" s="7"/>
      <c r="E4040" s="8">
        <v>-1.6082358999999999</v>
      </c>
      <c r="F4040" s="8">
        <v>-2.3361782999999998</v>
      </c>
      <c r="G4040" s="7" t="str">
        <f t="shared" si="23"/>
        <v>Direct</v>
      </c>
      <c r="H4040" s="7" t="s">
        <v>4494</v>
      </c>
    </row>
    <row r="4041" spans="1:8" x14ac:dyDescent="0.2">
      <c r="A4041" s="5" t="s">
        <v>27</v>
      </c>
      <c r="B4041" s="6" t="s">
        <v>19</v>
      </c>
      <c r="C4041" s="7" t="s">
        <v>4495</v>
      </c>
      <c r="D4041" s="7"/>
      <c r="E4041" s="8">
        <v>-1.0994846</v>
      </c>
      <c r="F4041" s="8">
        <v>-2.5280450000000001</v>
      </c>
      <c r="G4041" s="7" t="str">
        <f t="shared" si="23"/>
        <v>Direct</v>
      </c>
      <c r="H4041" s="7" t="s">
        <v>4496</v>
      </c>
    </row>
    <row r="4042" spans="1:8" x14ac:dyDescent="0.2">
      <c r="A4042" s="5" t="s">
        <v>27</v>
      </c>
      <c r="B4042" s="6" t="s">
        <v>19</v>
      </c>
      <c r="C4042" s="7" t="s">
        <v>4497</v>
      </c>
      <c r="D4042" s="7"/>
      <c r="E4042" s="8">
        <v>1.8841333899999999</v>
      </c>
      <c r="F4042" s="8">
        <v>1.4600145200000001</v>
      </c>
      <c r="G4042" s="7" t="str">
        <f t="shared" si="23"/>
        <v>Direct</v>
      </c>
      <c r="H4042" s="7" t="s">
        <v>16</v>
      </c>
    </row>
    <row r="4043" spans="1:8" x14ac:dyDescent="0.2">
      <c r="A4043" s="5" t="s">
        <v>27</v>
      </c>
      <c r="B4043" s="6" t="s">
        <v>19</v>
      </c>
      <c r="C4043" s="7" t="s">
        <v>4498</v>
      </c>
      <c r="D4043" s="7"/>
      <c r="E4043" s="8">
        <v>2.49190311</v>
      </c>
      <c r="F4043" s="8">
        <v>3.5182258599999998</v>
      </c>
      <c r="G4043" s="7" t="str">
        <f t="shared" si="23"/>
        <v>Direct</v>
      </c>
      <c r="H4043" s="7" t="s">
        <v>16</v>
      </c>
    </row>
    <row r="4044" spans="1:8" x14ac:dyDescent="0.2">
      <c r="A4044" s="5" t="s">
        <v>27</v>
      </c>
      <c r="B4044" s="6" t="s">
        <v>19</v>
      </c>
      <c r="C4044" s="7" t="s">
        <v>4499</v>
      </c>
      <c r="D4044" s="7"/>
      <c r="E4044" s="8">
        <v>2.2301611299999999</v>
      </c>
      <c r="F4044" s="8">
        <v>2.20135528</v>
      </c>
      <c r="G4044" s="7" t="str">
        <f t="shared" si="23"/>
        <v>Direct</v>
      </c>
      <c r="H4044" s="7" t="s">
        <v>16</v>
      </c>
    </row>
    <row r="4045" spans="1:8" x14ac:dyDescent="0.2">
      <c r="A4045" s="5" t="s">
        <v>27</v>
      </c>
      <c r="B4045" s="6" t="s">
        <v>19</v>
      </c>
      <c r="C4045" s="7" t="s">
        <v>4500</v>
      </c>
      <c r="D4045" s="7"/>
      <c r="E4045" s="8">
        <v>3.56938808</v>
      </c>
      <c r="F4045" s="8">
        <v>2.0116072900000002</v>
      </c>
      <c r="G4045" s="7" t="str">
        <f t="shared" si="23"/>
        <v>Direct</v>
      </c>
      <c r="H4045" s="7" t="s">
        <v>16</v>
      </c>
    </row>
    <row r="4046" spans="1:8" x14ac:dyDescent="0.2">
      <c r="A4046" s="5" t="s">
        <v>27</v>
      </c>
      <c r="B4046" s="6" t="s">
        <v>19</v>
      </c>
      <c r="C4046" s="7" t="s">
        <v>4501</v>
      </c>
      <c r="D4046" s="7"/>
      <c r="E4046" s="8">
        <v>1.5639119800000001</v>
      </c>
      <c r="F4046" s="8">
        <v>1.66867656</v>
      </c>
      <c r="G4046" s="7" t="str">
        <f t="shared" si="23"/>
        <v>Direct</v>
      </c>
      <c r="H4046" s="7" t="s">
        <v>2501</v>
      </c>
    </row>
    <row r="4047" spans="1:8" x14ac:dyDescent="0.2">
      <c r="A4047" s="5" t="s">
        <v>27</v>
      </c>
      <c r="B4047" s="6" t="s">
        <v>19</v>
      </c>
      <c r="C4047" s="7" t="s">
        <v>4502</v>
      </c>
      <c r="D4047" s="7"/>
      <c r="E4047" s="8">
        <v>-1.0467120000000001</v>
      </c>
      <c r="F4047" s="8">
        <v>-1.1378942999999999</v>
      </c>
      <c r="G4047" s="7" t="str">
        <f t="shared" si="23"/>
        <v>Direct</v>
      </c>
      <c r="H4047" s="7" t="s">
        <v>648</v>
      </c>
    </row>
    <row r="4048" spans="1:8" x14ac:dyDescent="0.2">
      <c r="A4048" s="5" t="s">
        <v>27</v>
      </c>
      <c r="B4048" s="6" t="s">
        <v>19</v>
      </c>
      <c r="C4048" s="7" t="s">
        <v>4503</v>
      </c>
      <c r="D4048" s="7"/>
      <c r="E4048" s="8">
        <v>-3.5372094999999999</v>
      </c>
      <c r="F4048" s="8">
        <v>-1.2212505</v>
      </c>
      <c r="G4048" s="7" t="str">
        <f t="shared" si="23"/>
        <v>Direct</v>
      </c>
      <c r="H4048" s="7" t="s">
        <v>4504</v>
      </c>
    </row>
    <row r="4049" spans="1:8" x14ac:dyDescent="0.2">
      <c r="A4049" s="5" t="s">
        <v>27</v>
      </c>
      <c r="B4049" s="6" t="s">
        <v>19</v>
      </c>
      <c r="C4049" s="7" t="s">
        <v>4505</v>
      </c>
      <c r="D4049" s="7"/>
      <c r="E4049" s="8">
        <v>-3.5017556999999999</v>
      </c>
      <c r="F4049" s="8">
        <v>-5.8640964999999996</v>
      </c>
      <c r="G4049" s="7" t="str">
        <f t="shared" si="23"/>
        <v>Direct</v>
      </c>
      <c r="H4049" s="7" t="s">
        <v>16</v>
      </c>
    </row>
    <row r="4050" spans="1:8" x14ac:dyDescent="0.2">
      <c r="A4050" s="5" t="s">
        <v>27</v>
      </c>
      <c r="B4050" s="6" t="s">
        <v>19</v>
      </c>
      <c r="C4050" s="7" t="s">
        <v>4506</v>
      </c>
      <c r="D4050" s="7"/>
      <c r="E4050" s="8">
        <v>1.73770578</v>
      </c>
      <c r="F4050" s="8">
        <v>1.0925122300000001</v>
      </c>
      <c r="G4050" s="7" t="str">
        <f t="shared" si="23"/>
        <v>Direct</v>
      </c>
      <c r="H4050" s="7" t="s">
        <v>3830</v>
      </c>
    </row>
    <row r="4051" spans="1:8" x14ac:dyDescent="0.2">
      <c r="A4051" s="5" t="s">
        <v>27</v>
      </c>
      <c r="B4051" s="6" t="s">
        <v>19</v>
      </c>
      <c r="C4051" s="7" t="s">
        <v>4507</v>
      </c>
      <c r="D4051" s="7"/>
      <c r="E4051" s="8">
        <v>8.0096012699999992</v>
      </c>
      <c r="F4051" s="8">
        <v>8.1819826899999999</v>
      </c>
      <c r="G4051" s="7" t="str">
        <f t="shared" si="23"/>
        <v>Direct</v>
      </c>
      <c r="H4051" s="7" t="s">
        <v>16</v>
      </c>
    </row>
    <row r="4052" spans="1:8" x14ac:dyDescent="0.2">
      <c r="A4052" s="5" t="s">
        <v>27</v>
      </c>
      <c r="B4052" s="6" t="s">
        <v>19</v>
      </c>
      <c r="C4052" s="7" t="s">
        <v>4508</v>
      </c>
      <c r="D4052" s="7"/>
      <c r="E4052" s="8">
        <v>2.0608954800000001</v>
      </c>
      <c r="F4052" s="8">
        <v>4.2691829600000002</v>
      </c>
      <c r="G4052" s="7" t="str">
        <f t="shared" si="23"/>
        <v>Direct</v>
      </c>
      <c r="H4052" s="7" t="s">
        <v>125</v>
      </c>
    </row>
    <row r="4053" spans="1:8" x14ac:dyDescent="0.2">
      <c r="A4053" s="5" t="s">
        <v>27</v>
      </c>
      <c r="B4053" s="6" t="s">
        <v>19</v>
      </c>
      <c r="C4053" s="7" t="s">
        <v>4509</v>
      </c>
      <c r="D4053" s="7"/>
      <c r="E4053" s="8">
        <v>-2.3326530000000001</v>
      </c>
      <c r="F4053" s="8">
        <v>-1.7966766999999999</v>
      </c>
      <c r="G4053" s="7" t="str">
        <f t="shared" si="23"/>
        <v>Direct</v>
      </c>
      <c r="H4053" s="7" t="s">
        <v>4510</v>
      </c>
    </row>
    <row r="4054" spans="1:8" x14ac:dyDescent="0.2">
      <c r="A4054" s="5" t="s">
        <v>27</v>
      </c>
      <c r="B4054" s="6" t="s">
        <v>19</v>
      </c>
      <c r="C4054" s="7" t="s">
        <v>4511</v>
      </c>
      <c r="D4054" s="7"/>
      <c r="E4054" s="8">
        <v>-5.0350843000000003</v>
      </c>
      <c r="F4054" s="8">
        <v>-6.2350108999999998</v>
      </c>
      <c r="G4054" s="7" t="str">
        <f t="shared" si="23"/>
        <v>Direct</v>
      </c>
      <c r="H4054" s="7" t="s">
        <v>2108</v>
      </c>
    </row>
    <row r="4055" spans="1:8" x14ac:dyDescent="0.2">
      <c r="A4055" s="5" t="s">
        <v>27</v>
      </c>
      <c r="B4055" s="6" t="s">
        <v>19</v>
      </c>
      <c r="C4055" s="7" t="s">
        <v>4512</v>
      </c>
      <c r="D4055" s="7"/>
      <c r="E4055" s="8">
        <v>-1.1815627</v>
      </c>
      <c r="F4055" s="8">
        <v>-2.3814427</v>
      </c>
      <c r="G4055" s="7" t="str">
        <f t="shared" si="23"/>
        <v>Direct</v>
      </c>
      <c r="H4055" s="7" t="s">
        <v>4513</v>
      </c>
    </row>
    <row r="4056" spans="1:8" x14ac:dyDescent="0.2">
      <c r="A4056" s="5" t="s">
        <v>27</v>
      </c>
      <c r="B4056" s="6" t="s">
        <v>19</v>
      </c>
      <c r="C4056" s="7" t="s">
        <v>4012</v>
      </c>
      <c r="D4056" s="7"/>
      <c r="E4056" s="8">
        <v>-1.3179270000000001</v>
      </c>
      <c r="F4056" s="8">
        <v>-1.0366390000000001</v>
      </c>
      <c r="G4056" s="7" t="str">
        <f t="shared" si="23"/>
        <v>Direct</v>
      </c>
      <c r="H4056" s="7" t="s">
        <v>16</v>
      </c>
    </row>
    <row r="4057" spans="1:8" x14ac:dyDescent="0.2">
      <c r="A4057" s="5" t="s">
        <v>27</v>
      </c>
      <c r="B4057" s="6" t="s">
        <v>19</v>
      </c>
      <c r="C4057" s="7" t="s">
        <v>4514</v>
      </c>
      <c r="D4057" s="7"/>
      <c r="E4057" s="8">
        <v>14.9271841</v>
      </c>
      <c r="F4057" s="8">
        <v>13.514062600000001</v>
      </c>
      <c r="G4057" s="7" t="str">
        <f t="shared" si="23"/>
        <v>Direct</v>
      </c>
      <c r="H4057" s="7" t="s">
        <v>16</v>
      </c>
    </row>
    <row r="4058" spans="1:8" x14ac:dyDescent="0.2">
      <c r="A4058" s="5" t="s">
        <v>27</v>
      </c>
      <c r="B4058" s="6" t="s">
        <v>19</v>
      </c>
      <c r="C4058" s="7" t="s">
        <v>4515</v>
      </c>
      <c r="D4058" s="7"/>
      <c r="E4058" s="8">
        <v>3.1887722900000002</v>
      </c>
      <c r="F4058" s="8">
        <v>2.3533850599999999</v>
      </c>
      <c r="G4058" s="7" t="str">
        <f t="shared" si="23"/>
        <v>Direct</v>
      </c>
      <c r="H4058" s="7" t="s">
        <v>16</v>
      </c>
    </row>
    <row r="4059" spans="1:8" x14ac:dyDescent="0.2">
      <c r="A4059" s="5" t="s">
        <v>27</v>
      </c>
      <c r="B4059" s="6" t="s">
        <v>19</v>
      </c>
      <c r="C4059" s="7" t="s">
        <v>4516</v>
      </c>
      <c r="D4059" s="7"/>
      <c r="E4059" s="8">
        <v>-1.7825899999999999</v>
      </c>
      <c r="F4059" s="8">
        <v>-2.6266729999999998</v>
      </c>
      <c r="G4059" s="7" t="str">
        <f t="shared" si="23"/>
        <v>Direct</v>
      </c>
      <c r="H4059" s="7" t="s">
        <v>4517</v>
      </c>
    </row>
    <row r="4060" spans="1:8" x14ac:dyDescent="0.2">
      <c r="A4060" s="5" t="s">
        <v>27</v>
      </c>
      <c r="B4060" s="6" t="s">
        <v>19</v>
      </c>
      <c r="C4060" s="7" t="s">
        <v>4518</v>
      </c>
      <c r="D4060" s="7"/>
      <c r="E4060" s="8">
        <v>1.90228288</v>
      </c>
      <c r="F4060" s="8">
        <v>4.58679404</v>
      </c>
      <c r="G4060" s="7" t="str">
        <f t="shared" si="23"/>
        <v>Direct</v>
      </c>
      <c r="H4060" s="7" t="s">
        <v>16</v>
      </c>
    </row>
    <row r="4061" spans="1:8" x14ac:dyDescent="0.2">
      <c r="A4061" s="5" t="s">
        <v>27</v>
      </c>
      <c r="B4061" s="6" t="s">
        <v>19</v>
      </c>
      <c r="C4061" s="7" t="s">
        <v>4519</v>
      </c>
      <c r="D4061" s="7"/>
      <c r="E4061" s="8">
        <v>-1.7798646</v>
      </c>
      <c r="F4061" s="8">
        <v>-1.2881459</v>
      </c>
      <c r="G4061" s="7" t="str">
        <f t="shared" si="23"/>
        <v>Direct</v>
      </c>
      <c r="H4061" s="7" t="s">
        <v>4520</v>
      </c>
    </row>
    <row r="4062" spans="1:8" x14ac:dyDescent="0.2">
      <c r="A4062" s="5" t="s">
        <v>27</v>
      </c>
      <c r="B4062" s="6" t="s">
        <v>19</v>
      </c>
      <c r="C4062" s="7" t="s">
        <v>4521</v>
      </c>
      <c r="D4062" s="7"/>
      <c r="E4062" s="8">
        <v>1.28450011</v>
      </c>
      <c r="F4062" s="8">
        <v>1.4315937700000001</v>
      </c>
      <c r="G4062" s="7" t="str">
        <f t="shared" si="23"/>
        <v>Direct</v>
      </c>
      <c r="H4062" s="7" t="s">
        <v>16</v>
      </c>
    </row>
    <row r="4063" spans="1:8" x14ac:dyDescent="0.2">
      <c r="A4063" s="5" t="s">
        <v>27</v>
      </c>
      <c r="B4063" s="6" t="s">
        <v>19</v>
      </c>
      <c r="C4063" s="7" t="s">
        <v>4522</v>
      </c>
      <c r="D4063" s="7"/>
      <c r="E4063" s="8">
        <v>4.3879392700000004</v>
      </c>
      <c r="F4063" s="8">
        <v>6.8515645999999997</v>
      </c>
      <c r="G4063" s="7" t="str">
        <f t="shared" si="23"/>
        <v>Direct</v>
      </c>
      <c r="H4063" s="7" t="s">
        <v>4523</v>
      </c>
    </row>
    <row r="4064" spans="1:8" x14ac:dyDescent="0.2">
      <c r="A4064" s="5" t="s">
        <v>27</v>
      </c>
      <c r="B4064" s="6" t="s">
        <v>19</v>
      </c>
      <c r="C4064" s="7" t="s">
        <v>4524</v>
      </c>
      <c r="D4064" s="7"/>
      <c r="E4064" s="8">
        <v>2.42561238</v>
      </c>
      <c r="F4064" s="8">
        <v>2.0678594800000001</v>
      </c>
      <c r="G4064" s="7" t="str">
        <f t="shared" si="23"/>
        <v>Direct</v>
      </c>
      <c r="H4064" s="7" t="s">
        <v>16</v>
      </c>
    </row>
    <row r="4065" spans="1:8" x14ac:dyDescent="0.2">
      <c r="A4065" s="5" t="s">
        <v>27</v>
      </c>
      <c r="B4065" s="6" t="s">
        <v>19</v>
      </c>
      <c r="C4065" s="7" t="s">
        <v>4525</v>
      </c>
      <c r="D4065" s="7"/>
      <c r="E4065" s="8">
        <v>5.2994567699999999</v>
      </c>
      <c r="F4065" s="8">
        <v>2.6872736800000001</v>
      </c>
      <c r="G4065" s="7" t="str">
        <f t="shared" si="23"/>
        <v>Direct</v>
      </c>
      <c r="H4065" s="7" t="s">
        <v>16</v>
      </c>
    </row>
    <row r="4066" spans="1:8" x14ac:dyDescent="0.2">
      <c r="A4066" s="5" t="s">
        <v>27</v>
      </c>
      <c r="B4066" s="6" t="s">
        <v>19</v>
      </c>
      <c r="C4066" s="7" t="s">
        <v>4526</v>
      </c>
      <c r="D4066" s="7"/>
      <c r="E4066" s="8">
        <v>1.3395321</v>
      </c>
      <c r="F4066" s="8">
        <v>1.5495918500000001</v>
      </c>
      <c r="G4066" s="7" t="str">
        <f t="shared" si="23"/>
        <v>Direct</v>
      </c>
      <c r="H4066" s="7" t="s">
        <v>16</v>
      </c>
    </row>
    <row r="4067" spans="1:8" x14ac:dyDescent="0.2">
      <c r="A4067" s="5" t="s">
        <v>27</v>
      </c>
      <c r="B4067" s="6" t="s">
        <v>19</v>
      </c>
      <c r="C4067" s="7" t="s">
        <v>4013</v>
      </c>
      <c r="D4067" s="7"/>
      <c r="E4067" s="8">
        <v>1.4583266500000001</v>
      </c>
      <c r="F4067" s="8">
        <v>1.978942</v>
      </c>
      <c r="G4067" s="7" t="str">
        <f t="shared" si="23"/>
        <v>Direct</v>
      </c>
      <c r="H4067" s="7" t="s">
        <v>60</v>
      </c>
    </row>
    <row r="4068" spans="1:8" x14ac:dyDescent="0.2">
      <c r="A4068" s="5" t="s">
        <v>27</v>
      </c>
      <c r="B4068" s="6" t="s">
        <v>19</v>
      </c>
      <c r="C4068" s="7" t="s">
        <v>4527</v>
      </c>
      <c r="D4068" s="7"/>
      <c r="E4068" s="8">
        <v>-1.2373046999999999</v>
      </c>
      <c r="F4068" s="8">
        <v>-2.7444432000000001</v>
      </c>
      <c r="G4068" s="7" t="str">
        <f t="shared" si="23"/>
        <v>Direct</v>
      </c>
      <c r="H4068" s="7" t="s">
        <v>4528</v>
      </c>
    </row>
    <row r="4069" spans="1:8" x14ac:dyDescent="0.2">
      <c r="A4069" s="5" t="s">
        <v>27</v>
      </c>
      <c r="B4069" s="6" t="s">
        <v>19</v>
      </c>
      <c r="C4069" s="7" t="s">
        <v>4529</v>
      </c>
      <c r="D4069" s="7"/>
      <c r="E4069" s="8">
        <v>1.54968846</v>
      </c>
      <c r="F4069" s="8">
        <v>2.5120508500000001</v>
      </c>
      <c r="G4069" s="7" t="str">
        <f t="shared" si="23"/>
        <v>Direct</v>
      </c>
      <c r="H4069" s="7" t="s">
        <v>492</v>
      </c>
    </row>
    <row r="4070" spans="1:8" x14ac:dyDescent="0.2">
      <c r="A4070" s="5" t="s">
        <v>27</v>
      </c>
      <c r="B4070" s="6" t="s">
        <v>19</v>
      </c>
      <c r="C4070" s="7" t="s">
        <v>4530</v>
      </c>
      <c r="D4070" s="7"/>
      <c r="E4070" s="8">
        <v>1.1113346900000001</v>
      </c>
      <c r="F4070" s="8">
        <v>1.7905651300000001</v>
      </c>
      <c r="G4070" s="7" t="str">
        <f t="shared" si="23"/>
        <v>Direct</v>
      </c>
      <c r="H4070" s="7" t="s">
        <v>4531</v>
      </c>
    </row>
    <row r="4071" spans="1:8" x14ac:dyDescent="0.2">
      <c r="A4071" s="5" t="s">
        <v>27</v>
      </c>
      <c r="B4071" s="6" t="s">
        <v>19</v>
      </c>
      <c r="C4071" s="7" t="s">
        <v>4532</v>
      </c>
      <c r="D4071" s="7"/>
      <c r="E4071" s="8">
        <v>1.99417917</v>
      </c>
      <c r="F4071" s="8">
        <v>2.3340710100000002</v>
      </c>
      <c r="G4071" s="7" t="str">
        <f t="shared" si="23"/>
        <v>Direct</v>
      </c>
      <c r="H4071" s="7" t="s">
        <v>16</v>
      </c>
    </row>
    <row r="4072" spans="1:8" x14ac:dyDescent="0.2">
      <c r="A4072" s="5" t="s">
        <v>27</v>
      </c>
      <c r="B4072" s="6" t="s">
        <v>19</v>
      </c>
      <c r="C4072" s="7" t="s">
        <v>4533</v>
      </c>
      <c r="D4072" s="7"/>
      <c r="E4072" s="8">
        <v>-1.5886439999999999</v>
      </c>
      <c r="F4072" s="8">
        <v>-1.8597243000000001</v>
      </c>
      <c r="G4072" s="7" t="str">
        <f t="shared" si="23"/>
        <v>Direct</v>
      </c>
      <c r="H4072" s="7" t="s">
        <v>16</v>
      </c>
    </row>
    <row r="4073" spans="1:8" x14ac:dyDescent="0.2">
      <c r="A4073" s="5" t="s">
        <v>27</v>
      </c>
      <c r="B4073" s="6" t="s">
        <v>19</v>
      </c>
      <c r="C4073" s="7" t="s">
        <v>4534</v>
      </c>
      <c r="D4073" s="7"/>
      <c r="E4073" s="8">
        <v>-6.8433422000000004</v>
      </c>
      <c r="F4073" s="8">
        <v>-4.1185824999999996</v>
      </c>
      <c r="G4073" s="7" t="str">
        <f t="shared" si="23"/>
        <v>Direct</v>
      </c>
      <c r="H4073" s="7" t="s">
        <v>16</v>
      </c>
    </row>
    <row r="4074" spans="1:8" x14ac:dyDescent="0.2">
      <c r="A4074" s="5" t="s">
        <v>27</v>
      </c>
      <c r="B4074" s="6" t="s">
        <v>19</v>
      </c>
      <c r="C4074" s="7" t="s">
        <v>4014</v>
      </c>
      <c r="D4074" s="7"/>
      <c r="E4074" s="8">
        <v>1.6663838900000001</v>
      </c>
      <c r="F4074" s="8">
        <v>1.80673156</v>
      </c>
      <c r="G4074" s="7" t="str">
        <f t="shared" si="23"/>
        <v>Direct</v>
      </c>
      <c r="H4074" s="7" t="s">
        <v>4015</v>
      </c>
    </row>
    <row r="4075" spans="1:8" x14ac:dyDescent="0.2">
      <c r="A4075" s="5" t="s">
        <v>27</v>
      </c>
      <c r="B4075" s="6" t="s">
        <v>19</v>
      </c>
      <c r="C4075" s="7" t="s">
        <v>4535</v>
      </c>
      <c r="D4075" s="7"/>
      <c r="E4075" s="8">
        <v>1.5017233299999999</v>
      </c>
      <c r="F4075" s="8">
        <v>2.2240479500000001</v>
      </c>
      <c r="G4075" s="7" t="str">
        <f t="shared" si="23"/>
        <v>Direct</v>
      </c>
      <c r="H4075" s="7" t="s">
        <v>178</v>
      </c>
    </row>
    <row r="4076" spans="1:8" x14ac:dyDescent="0.2">
      <c r="A4076" s="5" t="s">
        <v>27</v>
      </c>
      <c r="B4076" s="6" t="s">
        <v>19</v>
      </c>
      <c r="C4076" s="7" t="s">
        <v>4016</v>
      </c>
      <c r="D4076" s="7"/>
      <c r="E4076" s="8">
        <v>4.1788427800000001</v>
      </c>
      <c r="F4076" s="8">
        <v>3.6164189499999999</v>
      </c>
      <c r="G4076" s="7" t="str">
        <f t="shared" si="23"/>
        <v>Direct</v>
      </c>
      <c r="H4076" s="7" t="s">
        <v>4017</v>
      </c>
    </row>
    <row r="4077" spans="1:8" x14ac:dyDescent="0.2">
      <c r="A4077" s="5" t="s">
        <v>27</v>
      </c>
      <c r="B4077" s="6" t="s">
        <v>19</v>
      </c>
      <c r="C4077" s="7" t="s">
        <v>4018</v>
      </c>
      <c r="D4077" s="7"/>
      <c r="E4077" s="8">
        <v>1.79746417</v>
      </c>
      <c r="F4077" s="8">
        <v>1.8890097299999999</v>
      </c>
      <c r="G4077" s="7" t="str">
        <f t="shared" si="23"/>
        <v>Direct</v>
      </c>
      <c r="H4077" s="7" t="s">
        <v>16</v>
      </c>
    </row>
    <row r="4078" spans="1:8" x14ac:dyDescent="0.2">
      <c r="A4078" s="5" t="s">
        <v>27</v>
      </c>
      <c r="B4078" s="6" t="s">
        <v>19</v>
      </c>
      <c r="C4078" s="7" t="s">
        <v>4536</v>
      </c>
      <c r="D4078" s="7"/>
      <c r="E4078" s="8">
        <v>-1.3458045000000001</v>
      </c>
      <c r="F4078" s="8">
        <v>-3.31758</v>
      </c>
      <c r="G4078" s="7" t="str">
        <f t="shared" si="23"/>
        <v>Direct</v>
      </c>
      <c r="H4078" s="7" t="s">
        <v>333</v>
      </c>
    </row>
    <row r="4079" spans="1:8" x14ac:dyDescent="0.2">
      <c r="A4079" s="5" t="s">
        <v>27</v>
      </c>
      <c r="B4079" s="6" t="s">
        <v>19</v>
      </c>
      <c r="C4079" s="7" t="s">
        <v>4537</v>
      </c>
      <c r="D4079" s="7"/>
      <c r="E4079" s="8">
        <v>4.9854804000000001</v>
      </c>
      <c r="F4079" s="8">
        <v>9.6919534899999995</v>
      </c>
      <c r="G4079" s="7" t="str">
        <f t="shared" si="23"/>
        <v>Direct</v>
      </c>
      <c r="H4079" s="7" t="s">
        <v>450</v>
      </c>
    </row>
    <row r="4080" spans="1:8" x14ac:dyDescent="0.2">
      <c r="A4080" s="5" t="s">
        <v>27</v>
      </c>
      <c r="B4080" s="6" t="s">
        <v>19</v>
      </c>
      <c r="C4080" s="7" t="s">
        <v>4538</v>
      </c>
      <c r="D4080" s="7"/>
      <c r="E4080" s="8">
        <v>1.47364472</v>
      </c>
      <c r="F4080" s="8">
        <v>1.0267815600000001</v>
      </c>
      <c r="G4080" s="7" t="str">
        <f t="shared" si="23"/>
        <v>Direct</v>
      </c>
      <c r="H4080" s="7" t="s">
        <v>4539</v>
      </c>
    </row>
    <row r="4081" spans="1:8" x14ac:dyDescent="0.2">
      <c r="A4081" s="5" t="s">
        <v>27</v>
      </c>
      <c r="B4081" s="6" t="s">
        <v>19</v>
      </c>
      <c r="C4081" s="7" t="s">
        <v>4540</v>
      </c>
      <c r="D4081" s="7"/>
      <c r="E4081" s="8">
        <v>-1.3071807</v>
      </c>
      <c r="F4081" s="8">
        <v>-2.2341418000000002</v>
      </c>
      <c r="G4081" s="7" t="str">
        <f t="shared" si="23"/>
        <v>Direct</v>
      </c>
      <c r="H4081" s="7" t="s">
        <v>2148</v>
      </c>
    </row>
    <row r="4082" spans="1:8" x14ac:dyDescent="0.2">
      <c r="A4082" s="5" t="s">
        <v>27</v>
      </c>
      <c r="B4082" s="6" t="s">
        <v>19</v>
      </c>
      <c r="C4082" s="7" t="s">
        <v>4541</v>
      </c>
      <c r="D4082" s="7"/>
      <c r="E4082" s="8">
        <v>1.35703095</v>
      </c>
      <c r="F4082" s="8">
        <v>1.33501874</v>
      </c>
      <c r="G4082" s="7" t="str">
        <f t="shared" si="23"/>
        <v>Direct</v>
      </c>
      <c r="H4082" s="7" t="s">
        <v>335</v>
      </c>
    </row>
    <row r="4083" spans="1:8" x14ac:dyDescent="0.2">
      <c r="A4083" s="5" t="s">
        <v>27</v>
      </c>
      <c r="B4083" s="6" t="s">
        <v>19</v>
      </c>
      <c r="C4083" s="7" t="s">
        <v>4542</v>
      </c>
      <c r="D4083" s="7"/>
      <c r="E4083" s="8">
        <v>-1.9670110000000001</v>
      </c>
      <c r="F4083" s="8">
        <v>-1.1184871999999999</v>
      </c>
      <c r="G4083" s="7" t="str">
        <f t="shared" si="23"/>
        <v>Direct</v>
      </c>
      <c r="H4083" s="7" t="s">
        <v>328</v>
      </c>
    </row>
    <row r="4084" spans="1:8" x14ac:dyDescent="0.2">
      <c r="A4084" s="5" t="s">
        <v>27</v>
      </c>
      <c r="B4084" s="6" t="s">
        <v>19</v>
      </c>
      <c r="C4084" s="7" t="s">
        <v>4543</v>
      </c>
      <c r="D4084" s="7"/>
      <c r="E4084" s="8">
        <v>-1.3626651000000001</v>
      </c>
      <c r="F4084" s="8">
        <v>-1.7420230999999999</v>
      </c>
      <c r="G4084" s="7" t="str">
        <f t="shared" si="23"/>
        <v>Direct</v>
      </c>
      <c r="H4084" s="7" t="s">
        <v>2170</v>
      </c>
    </row>
    <row r="4085" spans="1:8" x14ac:dyDescent="0.2">
      <c r="A4085" s="5" t="s">
        <v>27</v>
      </c>
      <c r="B4085" s="6" t="s">
        <v>19</v>
      </c>
      <c r="C4085" s="7" t="s">
        <v>4544</v>
      </c>
      <c r="D4085" s="7"/>
      <c r="E4085" s="8">
        <v>1.37676643</v>
      </c>
      <c r="F4085" s="8">
        <v>1.7235596900000001</v>
      </c>
      <c r="G4085" s="7" t="str">
        <f t="shared" si="23"/>
        <v>Direct</v>
      </c>
      <c r="H4085" s="7" t="s">
        <v>1609</v>
      </c>
    </row>
    <row r="4086" spans="1:8" x14ac:dyDescent="0.2">
      <c r="A4086" s="5" t="s">
        <v>27</v>
      </c>
      <c r="B4086" s="6" t="s">
        <v>19</v>
      </c>
      <c r="C4086" s="7" t="s">
        <v>4545</v>
      </c>
      <c r="D4086" s="7"/>
      <c r="E4086" s="8">
        <v>-3.0808559999999998</v>
      </c>
      <c r="F4086" s="8">
        <v>-8.7206226000000004</v>
      </c>
      <c r="G4086" s="7" t="str">
        <f t="shared" si="23"/>
        <v>Direct</v>
      </c>
      <c r="H4086" s="7" t="s">
        <v>4546</v>
      </c>
    </row>
    <row r="4087" spans="1:8" x14ac:dyDescent="0.2">
      <c r="A4087" s="5" t="s">
        <v>27</v>
      </c>
      <c r="B4087" s="6" t="s">
        <v>19</v>
      </c>
      <c r="C4087" s="7" t="s">
        <v>4547</v>
      </c>
      <c r="D4087" s="7"/>
      <c r="E4087" s="8">
        <v>-3.7859433</v>
      </c>
      <c r="F4087" s="8">
        <v>-4.7435581000000004</v>
      </c>
      <c r="G4087" s="7" t="str">
        <f t="shared" si="23"/>
        <v>Direct</v>
      </c>
      <c r="H4087" s="7" t="s">
        <v>4548</v>
      </c>
    </row>
    <row r="4088" spans="1:8" x14ac:dyDescent="0.2">
      <c r="A4088" s="5" t="s">
        <v>27</v>
      </c>
      <c r="B4088" s="6" t="s">
        <v>19</v>
      </c>
      <c r="C4088" s="7" t="s">
        <v>4549</v>
      </c>
      <c r="D4088" s="7"/>
      <c r="E4088" s="8">
        <v>-3.2626759000000001</v>
      </c>
      <c r="F4088" s="8">
        <v>-6.1368935000000002</v>
      </c>
      <c r="G4088" s="7" t="str">
        <f t="shared" si="23"/>
        <v>Direct</v>
      </c>
      <c r="H4088" s="7" t="s">
        <v>2123</v>
      </c>
    </row>
    <row r="4089" spans="1:8" x14ac:dyDescent="0.2">
      <c r="A4089" s="5" t="s">
        <v>27</v>
      </c>
      <c r="B4089" s="6" t="s">
        <v>19</v>
      </c>
      <c r="C4089" s="7" t="s">
        <v>4550</v>
      </c>
      <c r="D4089" s="7"/>
      <c r="E4089" s="8">
        <v>-1.7842528</v>
      </c>
      <c r="F4089" s="8">
        <v>-5.8129698999999997</v>
      </c>
      <c r="G4089" s="7" t="str">
        <f t="shared" si="23"/>
        <v>Direct</v>
      </c>
      <c r="H4089" s="7" t="s">
        <v>4551</v>
      </c>
    </row>
    <row r="4090" spans="1:8" x14ac:dyDescent="0.2">
      <c r="A4090" s="5" t="s">
        <v>27</v>
      </c>
      <c r="B4090" s="6" t="s">
        <v>19</v>
      </c>
      <c r="C4090" s="7" t="s">
        <v>4552</v>
      </c>
      <c r="D4090" s="7"/>
      <c r="E4090" s="8">
        <v>2.6253722800000001</v>
      </c>
      <c r="F4090" s="8">
        <v>1.7788367899999999</v>
      </c>
      <c r="G4090" s="7" t="str">
        <f t="shared" si="23"/>
        <v>Direct</v>
      </c>
      <c r="H4090" s="7" t="s">
        <v>4553</v>
      </c>
    </row>
    <row r="4091" spans="1:8" x14ac:dyDescent="0.2">
      <c r="A4091" s="5" t="s">
        <v>27</v>
      </c>
      <c r="B4091" s="6" t="s">
        <v>19</v>
      </c>
      <c r="C4091" s="7" t="s">
        <v>4554</v>
      </c>
      <c r="D4091" s="7"/>
      <c r="E4091" s="8">
        <v>-2.0637731000000001</v>
      </c>
      <c r="F4091" s="8">
        <v>-1.5832586</v>
      </c>
      <c r="G4091" s="7" t="str">
        <f t="shared" si="23"/>
        <v>Direct</v>
      </c>
      <c r="H4091" s="7" t="s">
        <v>4555</v>
      </c>
    </row>
    <row r="4092" spans="1:8" x14ac:dyDescent="0.2">
      <c r="A4092" s="5" t="s">
        <v>27</v>
      </c>
      <c r="B4092" s="6" t="s">
        <v>19</v>
      </c>
      <c r="C4092" s="7" t="s">
        <v>4556</v>
      </c>
      <c r="D4092" s="7"/>
      <c r="E4092" s="8">
        <v>-2.4314743000000001</v>
      </c>
      <c r="F4092" s="8">
        <v>-3.6656548999999998</v>
      </c>
      <c r="G4092" s="7" t="str">
        <f t="shared" si="23"/>
        <v>Direct</v>
      </c>
      <c r="H4092" s="7" t="s">
        <v>4557</v>
      </c>
    </row>
    <row r="4093" spans="1:8" x14ac:dyDescent="0.2">
      <c r="A4093" s="5" t="s">
        <v>27</v>
      </c>
      <c r="B4093" s="6" t="s">
        <v>19</v>
      </c>
      <c r="C4093" s="7" t="s">
        <v>4558</v>
      </c>
      <c r="D4093" s="7"/>
      <c r="E4093" s="8">
        <v>-1.5577456999999999</v>
      </c>
      <c r="F4093" s="8">
        <v>-1.24759</v>
      </c>
      <c r="G4093" s="7" t="str">
        <f t="shared" si="23"/>
        <v>Direct</v>
      </c>
      <c r="H4093" s="7" t="s">
        <v>16</v>
      </c>
    </row>
    <row r="4094" spans="1:8" x14ac:dyDescent="0.2">
      <c r="A4094" s="5" t="s">
        <v>27</v>
      </c>
      <c r="B4094" s="6" t="s">
        <v>19</v>
      </c>
      <c r="C4094" s="7" t="s">
        <v>4559</v>
      </c>
      <c r="D4094" s="7"/>
      <c r="E4094" s="8">
        <v>-22.165310000000002</v>
      </c>
      <c r="F4094" s="8">
        <v>-23.515083000000001</v>
      </c>
      <c r="G4094" s="7" t="str">
        <f t="shared" si="23"/>
        <v>Direct</v>
      </c>
      <c r="H4094" s="7" t="s">
        <v>16</v>
      </c>
    </row>
    <row r="4095" spans="1:8" x14ac:dyDescent="0.2">
      <c r="A4095" s="5" t="s">
        <v>27</v>
      </c>
      <c r="B4095" s="6" t="s">
        <v>19</v>
      </c>
      <c r="C4095" s="7" t="s">
        <v>4560</v>
      </c>
      <c r="D4095" s="7"/>
      <c r="E4095" s="8">
        <v>3.6372386699999999</v>
      </c>
      <c r="F4095" s="8">
        <v>2.2083443200000001</v>
      </c>
      <c r="G4095" s="7" t="str">
        <f t="shared" si="23"/>
        <v>Direct</v>
      </c>
      <c r="H4095" s="7" t="s">
        <v>2832</v>
      </c>
    </row>
    <row r="4096" spans="1:8" x14ac:dyDescent="0.2">
      <c r="A4096" s="5" t="s">
        <v>27</v>
      </c>
      <c r="B4096" s="6" t="s">
        <v>19</v>
      </c>
      <c r="C4096" s="7" t="s">
        <v>4561</v>
      </c>
      <c r="D4096" s="7"/>
      <c r="E4096" s="8">
        <v>3.0024289099999999</v>
      </c>
      <c r="F4096" s="8">
        <v>1.8390778400000001</v>
      </c>
      <c r="G4096" s="7" t="str">
        <f t="shared" si="23"/>
        <v>Direct</v>
      </c>
      <c r="H4096" s="7" t="s">
        <v>4562</v>
      </c>
    </row>
    <row r="4097" spans="1:8" x14ac:dyDescent="0.2">
      <c r="A4097" s="5" t="s">
        <v>27</v>
      </c>
      <c r="B4097" s="6" t="s">
        <v>19</v>
      </c>
      <c r="C4097" s="7" t="s">
        <v>4021</v>
      </c>
      <c r="D4097" s="7"/>
      <c r="E4097" s="8">
        <v>1.4741827300000001</v>
      </c>
      <c r="F4097" s="8">
        <v>2.1896956099999998</v>
      </c>
      <c r="G4097" s="7" t="str">
        <f t="shared" si="23"/>
        <v>Direct</v>
      </c>
      <c r="H4097" s="7" t="s">
        <v>16</v>
      </c>
    </row>
    <row r="4098" spans="1:8" x14ac:dyDescent="0.2">
      <c r="A4098" s="5" t="s">
        <v>27</v>
      </c>
      <c r="B4098" s="6" t="s">
        <v>19</v>
      </c>
      <c r="C4098" s="7" t="s">
        <v>4022</v>
      </c>
      <c r="D4098" s="7"/>
      <c r="E4098" s="8">
        <v>7.1339989299999997</v>
      </c>
      <c r="F4098" s="8">
        <v>9.4405262600000004</v>
      </c>
      <c r="G4098" s="7" t="str">
        <f t="shared" si="23"/>
        <v>Direct</v>
      </c>
      <c r="H4098" s="7" t="s">
        <v>16</v>
      </c>
    </row>
    <row r="4099" spans="1:8" x14ac:dyDescent="0.2">
      <c r="A4099" s="5" t="s">
        <v>27</v>
      </c>
      <c r="B4099" s="6" t="s">
        <v>19</v>
      </c>
      <c r="C4099" s="7" t="s">
        <v>4023</v>
      </c>
      <c r="D4099" s="7"/>
      <c r="E4099" s="8">
        <v>11.016871800000001</v>
      </c>
      <c r="F4099" s="8">
        <v>17.830170800000001</v>
      </c>
      <c r="G4099" s="7" t="str">
        <f t="shared" si="23"/>
        <v>Direct</v>
      </c>
      <c r="H4099" s="7" t="s">
        <v>16</v>
      </c>
    </row>
    <row r="4100" spans="1:8" x14ac:dyDescent="0.2">
      <c r="A4100" s="5" t="s">
        <v>27</v>
      </c>
      <c r="B4100" s="6" t="s">
        <v>19</v>
      </c>
      <c r="C4100" s="7" t="s">
        <v>4563</v>
      </c>
      <c r="D4100" s="7"/>
      <c r="E4100" s="8">
        <v>-1.0072804</v>
      </c>
      <c r="F4100" s="8">
        <v>-2.1126876999999999</v>
      </c>
      <c r="G4100" s="7" t="str">
        <f t="shared" si="23"/>
        <v>Direct</v>
      </c>
      <c r="H4100" s="7" t="s">
        <v>4564</v>
      </c>
    </row>
    <row r="4101" spans="1:8" x14ac:dyDescent="0.2">
      <c r="A4101" s="5" t="s">
        <v>27</v>
      </c>
      <c r="B4101" s="6" t="s">
        <v>19</v>
      </c>
      <c r="C4101" s="7" t="s">
        <v>4565</v>
      </c>
      <c r="D4101" s="7"/>
      <c r="E4101" s="8">
        <v>-4.1854313000000003</v>
      </c>
      <c r="F4101" s="8">
        <v>-8.6824537999999993</v>
      </c>
      <c r="G4101" s="7" t="str">
        <f t="shared" si="23"/>
        <v>Direct</v>
      </c>
      <c r="H4101" s="7" t="s">
        <v>2328</v>
      </c>
    </row>
    <row r="4102" spans="1:8" x14ac:dyDescent="0.2">
      <c r="A4102" s="5" t="s">
        <v>27</v>
      </c>
      <c r="B4102" s="6" t="s">
        <v>19</v>
      </c>
      <c r="C4102" s="7" t="s">
        <v>4566</v>
      </c>
      <c r="D4102" s="7"/>
      <c r="E4102" s="8">
        <v>2.2598733599999998</v>
      </c>
      <c r="F4102" s="8">
        <v>1.3300271400000001</v>
      </c>
      <c r="G4102" s="7" t="str">
        <f t="shared" si="23"/>
        <v>Direct</v>
      </c>
      <c r="H4102" s="7" t="s">
        <v>16</v>
      </c>
    </row>
    <row r="4103" spans="1:8" x14ac:dyDescent="0.2">
      <c r="A4103" s="5" t="s">
        <v>27</v>
      </c>
      <c r="B4103" s="6" t="s">
        <v>19</v>
      </c>
      <c r="C4103" s="7" t="s">
        <v>4567</v>
      </c>
      <c r="D4103" s="7"/>
      <c r="E4103" s="8">
        <v>1.4962974</v>
      </c>
      <c r="F4103" s="8">
        <v>1.24024661</v>
      </c>
      <c r="G4103" s="7" t="str">
        <f t="shared" si="23"/>
        <v>Direct</v>
      </c>
      <c r="H4103" s="7" t="s">
        <v>16</v>
      </c>
    </row>
    <row r="4104" spans="1:8" x14ac:dyDescent="0.2">
      <c r="A4104" s="5" t="s">
        <v>27</v>
      </c>
      <c r="B4104" s="6" t="s">
        <v>19</v>
      </c>
      <c r="C4104" s="7" t="s">
        <v>4568</v>
      </c>
      <c r="D4104" s="7"/>
      <c r="E4104" s="8">
        <v>-1.2872241</v>
      </c>
      <c r="F4104" s="8">
        <v>-2.1527921999999999</v>
      </c>
      <c r="G4104" s="7" t="str">
        <f t="shared" si="23"/>
        <v>Direct</v>
      </c>
      <c r="H4104" s="7" t="s">
        <v>4569</v>
      </c>
    </row>
    <row r="4105" spans="1:8" x14ac:dyDescent="0.2">
      <c r="A4105" s="5" t="s">
        <v>27</v>
      </c>
      <c r="B4105" s="6" t="s">
        <v>19</v>
      </c>
      <c r="C4105" s="7" t="s">
        <v>4570</v>
      </c>
      <c r="D4105" s="7"/>
      <c r="E4105" s="8">
        <v>-1.0121829</v>
      </c>
      <c r="F4105" s="8">
        <v>-2.2341418000000002</v>
      </c>
      <c r="G4105" s="7" t="str">
        <f t="shared" si="23"/>
        <v>Direct</v>
      </c>
      <c r="H4105" s="7" t="s">
        <v>2972</v>
      </c>
    </row>
    <row r="4106" spans="1:8" x14ac:dyDescent="0.2">
      <c r="A4106" s="5" t="s">
        <v>27</v>
      </c>
      <c r="B4106" s="6" t="s">
        <v>19</v>
      </c>
      <c r="C4106" s="7" t="s">
        <v>4571</v>
      </c>
      <c r="D4106" s="7"/>
      <c r="E4106" s="8">
        <v>-1.2589463000000001</v>
      </c>
      <c r="F4106" s="8">
        <v>-1.7470569</v>
      </c>
      <c r="G4106" s="7" t="str">
        <f t="shared" si="23"/>
        <v>Direct</v>
      </c>
      <c r="H4106" s="7" t="s">
        <v>16</v>
      </c>
    </row>
    <row r="4107" spans="1:8" x14ac:dyDescent="0.2">
      <c r="A4107" s="5" t="s">
        <v>27</v>
      </c>
      <c r="B4107" s="6" t="s">
        <v>19</v>
      </c>
      <c r="C4107" s="7" t="s">
        <v>4572</v>
      </c>
      <c r="D4107" s="7"/>
      <c r="E4107" s="8">
        <v>3.4225761800000001</v>
      </c>
      <c r="F4107" s="8">
        <v>1.94029162</v>
      </c>
      <c r="G4107" s="7" t="str">
        <f t="shared" si="23"/>
        <v>Direct</v>
      </c>
      <c r="H4107" s="7" t="s">
        <v>16</v>
      </c>
    </row>
    <row r="4108" spans="1:8" x14ac:dyDescent="0.2">
      <c r="A4108" s="5" t="s">
        <v>27</v>
      </c>
      <c r="B4108" s="6" t="s">
        <v>19</v>
      </c>
      <c r="C4108" s="7" t="s">
        <v>4573</v>
      </c>
      <c r="D4108" s="7"/>
      <c r="E4108" s="8">
        <v>-1.0400474</v>
      </c>
      <c r="F4108" s="8">
        <v>-2.2110219</v>
      </c>
      <c r="G4108" s="7" t="str">
        <f t="shared" si="23"/>
        <v>Direct</v>
      </c>
      <c r="H4108" s="7" t="s">
        <v>4574</v>
      </c>
    </row>
    <row r="4109" spans="1:8" x14ac:dyDescent="0.2">
      <c r="A4109" s="5" t="s">
        <v>27</v>
      </c>
      <c r="B4109" s="6" t="s">
        <v>19</v>
      </c>
      <c r="C4109" s="7" t="s">
        <v>4575</v>
      </c>
      <c r="D4109" s="7"/>
      <c r="E4109" s="8">
        <v>1.7798646199999999</v>
      </c>
      <c r="F4109" s="8">
        <v>2.3059641399999999</v>
      </c>
      <c r="G4109" s="7" t="str">
        <f t="shared" si="23"/>
        <v>Direct</v>
      </c>
      <c r="H4109" s="7" t="s">
        <v>2979</v>
      </c>
    </row>
    <row r="4110" spans="1:8" x14ac:dyDescent="0.2">
      <c r="A4110" s="5" t="s">
        <v>27</v>
      </c>
      <c r="B4110" s="6" t="s">
        <v>19</v>
      </c>
      <c r="C4110" s="7" t="s">
        <v>4024</v>
      </c>
      <c r="D4110" s="7"/>
      <c r="E4110" s="8">
        <v>3.14940636</v>
      </c>
      <c r="F4110" s="8">
        <v>1.0849184199999999</v>
      </c>
      <c r="G4110" s="7" t="str">
        <f t="shared" si="23"/>
        <v>Direct</v>
      </c>
      <c r="H4110" s="7" t="s">
        <v>4025</v>
      </c>
    </row>
    <row r="4111" spans="1:8" x14ac:dyDescent="0.2">
      <c r="A4111" s="5" t="s">
        <v>27</v>
      </c>
      <c r="B4111" s="6" t="s">
        <v>19</v>
      </c>
      <c r="C4111" s="7" t="s">
        <v>4576</v>
      </c>
      <c r="D4111" s="7"/>
      <c r="E4111" s="8">
        <v>1.39462698</v>
      </c>
      <c r="F4111" s="8">
        <v>1.27190107</v>
      </c>
      <c r="G4111" s="7" t="str">
        <f t="shared" si="23"/>
        <v>Direct</v>
      </c>
      <c r="H4111" s="7" t="s">
        <v>4323</v>
      </c>
    </row>
    <row r="4112" spans="1:8" x14ac:dyDescent="0.2">
      <c r="A4112" s="5" t="s">
        <v>27</v>
      </c>
      <c r="B4112" s="6" t="s">
        <v>19</v>
      </c>
      <c r="C4112" s="7" t="s">
        <v>4577</v>
      </c>
      <c r="D4112" s="7"/>
      <c r="E4112" s="8">
        <v>2.3634828099999998</v>
      </c>
      <c r="F4112" s="8">
        <v>1.46516311</v>
      </c>
      <c r="G4112" s="7" t="str">
        <f t="shared" si="23"/>
        <v>Direct</v>
      </c>
      <c r="H4112" s="7" t="s">
        <v>4578</v>
      </c>
    </row>
    <row r="4113" spans="1:8" x14ac:dyDescent="0.2">
      <c r="A4113" s="5" t="s">
        <v>27</v>
      </c>
      <c r="B4113" s="6" t="s">
        <v>19</v>
      </c>
      <c r="C4113" s="7" t="s">
        <v>4579</v>
      </c>
      <c r="D4113" s="7"/>
      <c r="E4113" s="8">
        <v>-2.8305864000000001</v>
      </c>
      <c r="F4113" s="8">
        <v>-1.9386436</v>
      </c>
      <c r="G4113" s="7" t="str">
        <f t="shared" si="23"/>
        <v>Direct</v>
      </c>
      <c r="H4113" s="7" t="s">
        <v>4580</v>
      </c>
    </row>
    <row r="4114" spans="1:8" x14ac:dyDescent="0.2">
      <c r="A4114" s="5" t="s">
        <v>27</v>
      </c>
      <c r="B4114" s="6" t="s">
        <v>19</v>
      </c>
      <c r="C4114" s="7" t="s">
        <v>4581</v>
      </c>
      <c r="D4114" s="7"/>
      <c r="E4114" s="8">
        <v>1.94116975</v>
      </c>
      <c r="F4114" s="8">
        <v>1.89610762</v>
      </c>
      <c r="G4114" s="7" t="str">
        <f t="shared" si="23"/>
        <v>Direct</v>
      </c>
      <c r="H4114" s="7" t="s">
        <v>4582</v>
      </c>
    </row>
    <row r="4115" spans="1:8" x14ac:dyDescent="0.2">
      <c r="A4115" s="5" t="s">
        <v>27</v>
      </c>
      <c r="B4115" s="6" t="s">
        <v>19</v>
      </c>
      <c r="C4115" s="7" t="s">
        <v>4583</v>
      </c>
      <c r="D4115" s="7"/>
      <c r="E4115" s="8">
        <v>-3.6131310999999999</v>
      </c>
      <c r="F4115" s="8">
        <v>-4.7926004000000004</v>
      </c>
      <c r="G4115" s="7" t="str">
        <f t="shared" si="23"/>
        <v>Direct</v>
      </c>
      <c r="H4115" s="7" t="s">
        <v>4584</v>
      </c>
    </row>
    <row r="4116" spans="1:8" x14ac:dyDescent="0.2">
      <c r="A4116" s="5" t="s">
        <v>27</v>
      </c>
      <c r="B4116" s="6" t="s">
        <v>19</v>
      </c>
      <c r="C4116" s="7" t="s">
        <v>4585</v>
      </c>
      <c r="D4116" s="7"/>
      <c r="E4116" s="8">
        <v>-8.4411097999999996</v>
      </c>
      <c r="F4116" s="8">
        <v>-7.5591219000000001</v>
      </c>
      <c r="G4116" s="7" t="str">
        <f t="shared" si="23"/>
        <v>Direct</v>
      </c>
      <c r="H4116" s="7" t="s">
        <v>241</v>
      </c>
    </row>
    <row r="4117" spans="1:8" x14ac:dyDescent="0.2">
      <c r="A4117" s="5" t="s">
        <v>27</v>
      </c>
      <c r="B4117" s="6" t="s">
        <v>19</v>
      </c>
      <c r="C4117" s="7" t="s">
        <v>4586</v>
      </c>
      <c r="D4117" s="7"/>
      <c r="E4117" s="8">
        <v>-1.9976369</v>
      </c>
      <c r="F4117" s="8">
        <v>-2.2736581</v>
      </c>
      <c r="G4117" s="7" t="str">
        <f t="shared" si="23"/>
        <v>Direct</v>
      </c>
      <c r="H4117" s="7" t="s">
        <v>4587</v>
      </c>
    </row>
    <row r="4118" spans="1:8" x14ac:dyDescent="0.2">
      <c r="A4118" s="5" t="s">
        <v>27</v>
      </c>
      <c r="B4118" s="6" t="s">
        <v>19</v>
      </c>
      <c r="C4118" s="7" t="s">
        <v>4588</v>
      </c>
      <c r="D4118" s="7"/>
      <c r="E4118" s="8">
        <v>-3.2334049</v>
      </c>
      <c r="F4118" s="8">
        <v>-3.1863024000000002</v>
      </c>
      <c r="G4118" s="7" t="str">
        <f t="shared" si="23"/>
        <v>Direct</v>
      </c>
      <c r="H4118" s="7" t="s">
        <v>16</v>
      </c>
    </row>
    <row r="4119" spans="1:8" x14ac:dyDescent="0.2">
      <c r="A4119" s="5" t="s">
        <v>27</v>
      </c>
      <c r="B4119" s="6" t="s">
        <v>19</v>
      </c>
      <c r="C4119" s="7" t="s">
        <v>4027</v>
      </c>
      <c r="D4119" s="7"/>
      <c r="E4119" s="8">
        <v>1.0833665299999999</v>
      </c>
      <c r="F4119" s="8">
        <v>1.0273283900000001</v>
      </c>
      <c r="G4119" s="7" t="str">
        <f t="shared" si="23"/>
        <v>Direct</v>
      </c>
      <c r="H4119" s="7" t="s">
        <v>16</v>
      </c>
    </row>
    <row r="4120" spans="1:8" x14ac:dyDescent="0.2">
      <c r="A4120" s="5" t="s">
        <v>27</v>
      </c>
      <c r="B4120" s="6" t="s">
        <v>19</v>
      </c>
      <c r="C4120" s="7" t="s">
        <v>4589</v>
      </c>
      <c r="D4120" s="7"/>
      <c r="E4120" s="8">
        <v>1.86049241</v>
      </c>
      <c r="F4120" s="8">
        <v>2.6424031100000001</v>
      </c>
      <c r="G4120" s="7" t="str">
        <f t="shared" si="23"/>
        <v>Direct</v>
      </c>
      <c r="H4120" s="7" t="s">
        <v>4590</v>
      </c>
    </row>
    <row r="4121" spans="1:8" x14ac:dyDescent="0.2">
      <c r="A4121" s="5" t="s">
        <v>27</v>
      </c>
      <c r="B4121" s="6" t="s">
        <v>19</v>
      </c>
      <c r="C4121" s="7" t="s">
        <v>4028</v>
      </c>
      <c r="D4121" s="7"/>
      <c r="E4121" s="8">
        <v>-2.4750716000000001</v>
      </c>
      <c r="F4121" s="8">
        <v>-3.4482434</v>
      </c>
      <c r="G4121" s="7" t="str">
        <f t="shared" si="23"/>
        <v>Direct</v>
      </c>
      <c r="H4121" s="7" t="s">
        <v>1143</v>
      </c>
    </row>
    <row r="4122" spans="1:8" x14ac:dyDescent="0.2">
      <c r="A4122" s="5" t="s">
        <v>27</v>
      </c>
      <c r="B4122" s="6" t="s">
        <v>19</v>
      </c>
      <c r="C4122" s="7" t="s">
        <v>4591</v>
      </c>
      <c r="D4122" s="7"/>
      <c r="E4122" s="8">
        <v>-5.2446726000000004</v>
      </c>
      <c r="F4122" s="8">
        <v>-6.0392089000000002</v>
      </c>
      <c r="G4122" s="7" t="str">
        <f t="shared" si="23"/>
        <v>Direct</v>
      </c>
      <c r="H4122" s="7" t="s">
        <v>4592</v>
      </c>
    </row>
    <row r="4123" spans="1:8" x14ac:dyDescent="0.2">
      <c r="A4123" s="5" t="s">
        <v>27</v>
      </c>
      <c r="B4123" s="6" t="s">
        <v>19</v>
      </c>
      <c r="C4123" s="7" t="s">
        <v>4029</v>
      </c>
      <c r="D4123" s="7"/>
      <c r="E4123" s="8">
        <v>1.9592054800000001</v>
      </c>
      <c r="F4123" s="8">
        <v>2.8990497300000002</v>
      </c>
      <c r="G4123" s="7" t="str">
        <f t="shared" si="23"/>
        <v>Direct</v>
      </c>
      <c r="H4123" s="7" t="s">
        <v>4030</v>
      </c>
    </row>
    <row r="4124" spans="1:8" x14ac:dyDescent="0.2">
      <c r="A4124" s="5" t="s">
        <v>27</v>
      </c>
      <c r="B4124" s="6" t="s">
        <v>19</v>
      </c>
      <c r="C4124" s="7" t="s">
        <v>4593</v>
      </c>
      <c r="D4124" s="7"/>
      <c r="E4124" s="8">
        <v>-1.2662321999999999</v>
      </c>
      <c r="F4124" s="8">
        <v>-2.1407137999999999</v>
      </c>
      <c r="G4124" s="7" t="str">
        <f t="shared" si="23"/>
        <v>Direct</v>
      </c>
      <c r="H4124" s="7" t="s">
        <v>16</v>
      </c>
    </row>
    <row r="4125" spans="1:8" x14ac:dyDescent="0.2">
      <c r="A4125" s="5" t="s">
        <v>27</v>
      </c>
      <c r="B4125" s="6" t="s">
        <v>19</v>
      </c>
      <c r="C4125" s="7" t="s">
        <v>4594</v>
      </c>
      <c r="D4125" s="7"/>
      <c r="E4125" s="8">
        <v>2.1017389199999998</v>
      </c>
      <c r="F4125" s="8">
        <v>2.66744184</v>
      </c>
      <c r="G4125" s="7" t="str">
        <f t="shared" si="23"/>
        <v>Direct</v>
      </c>
      <c r="H4125" s="7" t="s">
        <v>2435</v>
      </c>
    </row>
    <row r="4126" spans="1:8" x14ac:dyDescent="0.2">
      <c r="A4126" s="5" t="s">
        <v>27</v>
      </c>
      <c r="B4126" s="6" t="s">
        <v>19</v>
      </c>
      <c r="C4126" s="7" t="s">
        <v>4595</v>
      </c>
      <c r="D4126" s="7"/>
      <c r="E4126" s="8">
        <v>-8.6442052</v>
      </c>
      <c r="F4126" s="8">
        <v>-14.498951</v>
      </c>
      <c r="G4126" s="7" t="str">
        <f t="shared" si="23"/>
        <v>Direct</v>
      </c>
      <c r="H4126" s="7" t="s">
        <v>4596</v>
      </c>
    </row>
    <row r="4127" spans="1:8" x14ac:dyDescent="0.2">
      <c r="A4127" s="5" t="s">
        <v>27</v>
      </c>
      <c r="B4127" s="6" t="s">
        <v>19</v>
      </c>
      <c r="C4127" s="7" t="s">
        <v>4597</v>
      </c>
      <c r="D4127" s="7"/>
      <c r="E4127" s="8">
        <v>2.0094198900000002</v>
      </c>
      <c r="F4127" s="8">
        <v>2.3732365400000002</v>
      </c>
      <c r="G4127" s="7" t="str">
        <f t="shared" si="23"/>
        <v>Direct</v>
      </c>
      <c r="H4127" s="7" t="s">
        <v>3588</v>
      </c>
    </row>
    <row r="4128" spans="1:8" x14ac:dyDescent="0.2">
      <c r="A4128" s="5" t="s">
        <v>27</v>
      </c>
      <c r="B4128" s="6" t="s">
        <v>19</v>
      </c>
      <c r="C4128" s="7" t="s">
        <v>4598</v>
      </c>
      <c r="D4128" s="7"/>
      <c r="E4128" s="8">
        <v>2.49190311</v>
      </c>
      <c r="F4128" s="8">
        <v>2.1666745199999999</v>
      </c>
      <c r="G4128" s="7" t="str">
        <f t="shared" si="23"/>
        <v>Direct</v>
      </c>
      <c r="H4128" s="7" t="s">
        <v>88</v>
      </c>
    </row>
    <row r="4129" spans="1:8" x14ac:dyDescent="0.2">
      <c r="A4129" s="5" t="s">
        <v>27</v>
      </c>
      <c r="B4129" s="6" t="s">
        <v>19</v>
      </c>
      <c r="C4129" s="7" t="s">
        <v>4599</v>
      </c>
      <c r="D4129" s="7"/>
      <c r="E4129" s="8">
        <v>-1.7008037</v>
      </c>
      <c r="F4129" s="8">
        <v>-1.3578952</v>
      </c>
      <c r="G4129" s="7" t="str">
        <f t="shared" si="23"/>
        <v>Direct</v>
      </c>
      <c r="H4129" s="7" t="s">
        <v>2637</v>
      </c>
    </row>
    <row r="4130" spans="1:8" x14ac:dyDescent="0.2">
      <c r="A4130" s="5" t="s">
        <v>27</v>
      </c>
      <c r="B4130" s="6" t="s">
        <v>19</v>
      </c>
      <c r="C4130" s="7" t="s">
        <v>4600</v>
      </c>
      <c r="D4130" s="7"/>
      <c r="E4130" s="8">
        <v>-4.2192347999999997</v>
      </c>
      <c r="F4130" s="8">
        <v>-2.3152637</v>
      </c>
      <c r="G4130" s="7" t="str">
        <f t="shared" si="23"/>
        <v>Direct</v>
      </c>
      <c r="H4130" s="7" t="s">
        <v>728</v>
      </c>
    </row>
    <row r="4131" spans="1:8" x14ac:dyDescent="0.2">
      <c r="A4131" s="5" t="s">
        <v>27</v>
      </c>
      <c r="B4131" s="6" t="s">
        <v>19</v>
      </c>
      <c r="C4131" s="7" t="s">
        <v>4601</v>
      </c>
      <c r="D4131" s="7"/>
      <c r="E4131" s="8">
        <v>1.76773293</v>
      </c>
      <c r="F4131" s="8">
        <v>1.7808452800000001</v>
      </c>
      <c r="G4131" s="7" t="str">
        <f t="shared" si="23"/>
        <v>Direct</v>
      </c>
      <c r="H4131" s="7" t="s">
        <v>16</v>
      </c>
    </row>
    <row r="4132" spans="1:8" x14ac:dyDescent="0.2">
      <c r="A4132" s="5" t="s">
        <v>27</v>
      </c>
      <c r="B4132" s="6" t="s">
        <v>19</v>
      </c>
      <c r="C4132" s="7" t="s">
        <v>4602</v>
      </c>
      <c r="D4132" s="7"/>
      <c r="E4132" s="8">
        <v>-4.4600609999999996</v>
      </c>
      <c r="F4132" s="8">
        <v>-3.1237648999999998</v>
      </c>
      <c r="G4132" s="7" t="str">
        <f t="shared" si="23"/>
        <v>Direct</v>
      </c>
      <c r="H4132" s="7" t="s">
        <v>1621</v>
      </c>
    </row>
    <row r="4133" spans="1:8" x14ac:dyDescent="0.2">
      <c r="A4133" s="5" t="s">
        <v>27</v>
      </c>
      <c r="B4133" s="6" t="s">
        <v>19</v>
      </c>
      <c r="C4133" s="7" t="s">
        <v>4031</v>
      </c>
      <c r="D4133" s="7"/>
      <c r="E4133" s="8">
        <v>3.3556338499999998</v>
      </c>
      <c r="F4133" s="8">
        <v>2.0387504500000002</v>
      </c>
      <c r="G4133" s="7" t="str">
        <f t="shared" si="23"/>
        <v>Direct</v>
      </c>
      <c r="H4133" s="7" t="s">
        <v>4032</v>
      </c>
    </row>
    <row r="4134" spans="1:8" x14ac:dyDescent="0.2">
      <c r="A4134" s="5" t="s">
        <v>27</v>
      </c>
      <c r="B4134" s="6" t="s">
        <v>19</v>
      </c>
      <c r="C4134" s="7" t="s">
        <v>4603</v>
      </c>
      <c r="D4134" s="7"/>
      <c r="E4134" s="8">
        <v>-2.7064064000000001</v>
      </c>
      <c r="F4134" s="8">
        <v>-1.8155851000000001</v>
      </c>
      <c r="G4134" s="7" t="str">
        <f t="shared" si="23"/>
        <v>Direct</v>
      </c>
      <c r="H4134" s="7" t="s">
        <v>4604</v>
      </c>
    </row>
    <row r="4135" spans="1:8" x14ac:dyDescent="0.2">
      <c r="A4135" s="5" t="s">
        <v>27</v>
      </c>
      <c r="B4135" s="6" t="s">
        <v>19</v>
      </c>
      <c r="C4135" s="7" t="s">
        <v>4605</v>
      </c>
      <c r="D4135" s="7"/>
      <c r="E4135" s="8">
        <v>-1.7798646</v>
      </c>
      <c r="F4135" s="8">
        <v>-2.4090264000000001</v>
      </c>
      <c r="G4135" s="7" t="str">
        <f t="shared" si="23"/>
        <v>Direct</v>
      </c>
      <c r="H4135" s="7" t="s">
        <v>3615</v>
      </c>
    </row>
    <row r="4136" spans="1:8" x14ac:dyDescent="0.2">
      <c r="A4136" s="5" t="s">
        <v>27</v>
      </c>
      <c r="B4136" s="6" t="s">
        <v>19</v>
      </c>
      <c r="C4136" s="7" t="s">
        <v>4606</v>
      </c>
      <c r="D4136" s="7"/>
      <c r="E4136" s="8">
        <v>2.1999507399999998</v>
      </c>
      <c r="F4136" s="8">
        <v>2.66408098</v>
      </c>
      <c r="G4136" s="7" t="str">
        <f t="shared" si="23"/>
        <v>Direct</v>
      </c>
      <c r="H4136" s="7" t="s">
        <v>16</v>
      </c>
    </row>
    <row r="4137" spans="1:8" x14ac:dyDescent="0.2">
      <c r="A4137" s="5" t="s">
        <v>27</v>
      </c>
      <c r="B4137" s="6" t="s">
        <v>19</v>
      </c>
      <c r="C4137" s="7" t="s">
        <v>4033</v>
      </c>
      <c r="D4137" s="7"/>
      <c r="E4137" s="8">
        <v>1.2378308</v>
      </c>
      <c r="F4137" s="8">
        <v>1.79534214</v>
      </c>
      <c r="G4137" s="7" t="str">
        <f t="shared" si="23"/>
        <v>Direct</v>
      </c>
      <c r="H4137" s="7" t="s">
        <v>16</v>
      </c>
    </row>
    <row r="4138" spans="1:8" x14ac:dyDescent="0.2">
      <c r="A4138" s="5" t="s">
        <v>27</v>
      </c>
      <c r="B4138" s="6" t="s">
        <v>19</v>
      </c>
      <c r="C4138" s="7" t="s">
        <v>4034</v>
      </c>
      <c r="D4138" s="7"/>
      <c r="E4138" s="8">
        <v>2.0278952000000001</v>
      </c>
      <c r="F4138" s="8">
        <v>1.6835492700000001</v>
      </c>
      <c r="G4138" s="7" t="str">
        <f t="shared" si="23"/>
        <v>Direct</v>
      </c>
      <c r="H4138" s="7" t="s">
        <v>16</v>
      </c>
    </row>
    <row r="4139" spans="1:8" x14ac:dyDescent="0.2">
      <c r="A4139" s="5" t="s">
        <v>27</v>
      </c>
      <c r="B4139" s="6" t="s">
        <v>19</v>
      </c>
      <c r="C4139" s="7" t="s">
        <v>4607</v>
      </c>
      <c r="D4139" s="7"/>
      <c r="E4139" s="8">
        <v>2.25485837</v>
      </c>
      <c r="F4139" s="8">
        <v>2.7385604899999998</v>
      </c>
      <c r="G4139" s="7" t="str">
        <f t="shared" si="23"/>
        <v>Direct</v>
      </c>
      <c r="H4139" s="7" t="s">
        <v>3830</v>
      </c>
    </row>
    <row r="4140" spans="1:8" x14ac:dyDescent="0.2">
      <c r="A4140" s="5" t="s">
        <v>27</v>
      </c>
      <c r="B4140" s="6" t="s">
        <v>19</v>
      </c>
      <c r="C4140" s="7" t="s">
        <v>4608</v>
      </c>
      <c r="D4140" s="7"/>
      <c r="E4140" s="8">
        <v>1.5289630299999999</v>
      </c>
      <c r="F4140" s="8">
        <v>1.68119116</v>
      </c>
      <c r="G4140" s="7" t="str">
        <f t="shared" si="23"/>
        <v>Direct</v>
      </c>
      <c r="H4140" s="7" t="s">
        <v>16</v>
      </c>
    </row>
    <row r="4141" spans="1:8" x14ac:dyDescent="0.2">
      <c r="A4141" s="5" t="s">
        <v>27</v>
      </c>
      <c r="B4141" s="6" t="s">
        <v>19</v>
      </c>
      <c r="C4141" s="7" t="s">
        <v>4609</v>
      </c>
      <c r="D4141" s="7"/>
      <c r="E4141" s="8">
        <v>-1.7534036</v>
      </c>
      <c r="F4141" s="8">
        <v>-3.1800845999999998</v>
      </c>
      <c r="G4141" s="7" t="str">
        <f t="shared" si="23"/>
        <v>Direct</v>
      </c>
      <c r="H4141" s="7" t="s">
        <v>3855</v>
      </c>
    </row>
    <row r="4142" spans="1:8" x14ac:dyDescent="0.2">
      <c r="A4142" s="5" t="s">
        <v>27</v>
      </c>
      <c r="B4142" s="6" t="s">
        <v>19</v>
      </c>
      <c r="C4142" s="7" t="s">
        <v>4610</v>
      </c>
      <c r="D4142" s="7"/>
      <c r="E4142" s="8">
        <v>-1.7074174</v>
      </c>
      <c r="F4142" s="8">
        <v>-2.0130599999999998</v>
      </c>
      <c r="G4142" s="7" t="str">
        <f t="shared" si="23"/>
        <v>Direct</v>
      </c>
      <c r="H4142" s="7" t="s">
        <v>16</v>
      </c>
    </row>
    <row r="4143" spans="1:8" x14ac:dyDescent="0.2">
      <c r="A4143" s="5" t="s">
        <v>27</v>
      </c>
      <c r="B4143" s="6" t="s">
        <v>19</v>
      </c>
      <c r="C4143" s="7" t="s">
        <v>4611</v>
      </c>
      <c r="D4143" s="7"/>
      <c r="E4143" s="8">
        <v>-3.0233827999999998</v>
      </c>
      <c r="F4143" s="8">
        <v>-1.7967968999999999</v>
      </c>
      <c r="G4143" s="7" t="str">
        <f t="shared" si="23"/>
        <v>Direct</v>
      </c>
      <c r="H4143" s="7" t="s">
        <v>4612</v>
      </c>
    </row>
    <row r="4144" spans="1:8" x14ac:dyDescent="0.2">
      <c r="A4144" s="5" t="s">
        <v>27</v>
      </c>
      <c r="B4144" s="6" t="s">
        <v>19</v>
      </c>
      <c r="C4144" s="7" t="s">
        <v>4613</v>
      </c>
      <c r="D4144" s="7"/>
      <c r="E4144" s="8">
        <v>-2.3064186000000002</v>
      </c>
      <c r="F4144" s="8">
        <v>-2.5855324</v>
      </c>
      <c r="G4144" s="7" t="str">
        <f t="shared" si="23"/>
        <v>Direct</v>
      </c>
      <c r="H4144" s="7" t="s">
        <v>16</v>
      </c>
    </row>
    <row r="4145" spans="1:8" x14ac:dyDescent="0.2">
      <c r="A4145" s="5" t="s">
        <v>27</v>
      </c>
      <c r="B4145" s="6" t="s">
        <v>19</v>
      </c>
      <c r="C4145" s="7" t="s">
        <v>4614</v>
      </c>
      <c r="D4145" s="7"/>
      <c r="E4145" s="8">
        <v>-5.9661723999999996</v>
      </c>
      <c r="F4145" s="8">
        <v>-5.5863581</v>
      </c>
      <c r="G4145" s="7" t="str">
        <f t="shared" si="23"/>
        <v>Direct</v>
      </c>
      <c r="H4145" s="7" t="s">
        <v>16</v>
      </c>
    </row>
    <row r="4146" spans="1:8" x14ac:dyDescent="0.2">
      <c r="A4146" s="5" t="s">
        <v>27</v>
      </c>
      <c r="B4146" s="6" t="s">
        <v>19</v>
      </c>
      <c r="C4146" s="7" t="s">
        <v>4615</v>
      </c>
      <c r="D4146" s="7"/>
      <c r="E4146" s="8">
        <v>-4.3954484000000003</v>
      </c>
      <c r="F4146" s="8">
        <v>-2.3635530999999999</v>
      </c>
      <c r="G4146" s="7" t="str">
        <f t="shared" si="23"/>
        <v>Direct</v>
      </c>
      <c r="H4146" s="7" t="s">
        <v>16</v>
      </c>
    </row>
    <row r="4147" spans="1:8" x14ac:dyDescent="0.2">
      <c r="A4147" s="5" t="s">
        <v>27</v>
      </c>
      <c r="B4147" s="6" t="s">
        <v>19</v>
      </c>
      <c r="C4147" s="7" t="s">
        <v>4616</v>
      </c>
      <c r="D4147" s="7"/>
      <c r="E4147" s="8">
        <v>-3.8610769</v>
      </c>
      <c r="F4147" s="8">
        <v>-5.1481580999999998</v>
      </c>
      <c r="G4147" s="7" t="str">
        <f t="shared" si="23"/>
        <v>Direct</v>
      </c>
      <c r="H4147" s="7" t="s">
        <v>3640</v>
      </c>
    </row>
    <row r="4148" spans="1:8" x14ac:dyDescent="0.2">
      <c r="A4148" s="5" t="s">
        <v>27</v>
      </c>
      <c r="B4148" s="6" t="s">
        <v>19</v>
      </c>
      <c r="C4148" s="7" t="s">
        <v>4617</v>
      </c>
      <c r="D4148" s="7"/>
      <c r="E4148" s="8">
        <v>2.0881954999999999</v>
      </c>
      <c r="F4148" s="8">
        <v>2.8654206900000001</v>
      </c>
      <c r="G4148" s="7" t="str">
        <f t="shared" si="23"/>
        <v>Direct</v>
      </c>
      <c r="H4148" s="7" t="s">
        <v>16</v>
      </c>
    </row>
    <row r="4149" spans="1:8" x14ac:dyDescent="0.2">
      <c r="A4149" s="5" t="s">
        <v>27</v>
      </c>
      <c r="B4149" s="6" t="s">
        <v>19</v>
      </c>
      <c r="C4149" s="7" t="s">
        <v>4618</v>
      </c>
      <c r="D4149" s="7"/>
      <c r="E4149" s="8">
        <v>2.2997277399999998</v>
      </c>
      <c r="F4149" s="8">
        <v>1.7148783599999999</v>
      </c>
      <c r="G4149" s="7" t="str">
        <f t="shared" si="23"/>
        <v>Direct</v>
      </c>
      <c r="H4149" s="7" t="s">
        <v>16</v>
      </c>
    </row>
    <row r="4150" spans="1:8" x14ac:dyDescent="0.2">
      <c r="A4150" s="5" t="s">
        <v>27</v>
      </c>
      <c r="B4150" s="6" t="s">
        <v>19</v>
      </c>
      <c r="C4150" s="7" t="s">
        <v>4619</v>
      </c>
      <c r="D4150" s="7"/>
      <c r="E4150" s="8">
        <v>1.00187743</v>
      </c>
      <c r="F4150" s="8">
        <v>1.6584884799999999</v>
      </c>
      <c r="G4150" s="7" t="str">
        <f t="shared" si="23"/>
        <v>Direct</v>
      </c>
      <c r="H4150" s="7" t="s">
        <v>172</v>
      </c>
    </row>
    <row r="4151" spans="1:8" x14ac:dyDescent="0.2">
      <c r="A4151" s="5" t="s">
        <v>27</v>
      </c>
      <c r="B4151" s="6" t="s">
        <v>19</v>
      </c>
      <c r="C4151" s="7" t="s">
        <v>4620</v>
      </c>
      <c r="D4151" s="7"/>
      <c r="E4151" s="8">
        <v>-1.0999804</v>
      </c>
      <c r="F4151" s="8">
        <v>-1.3305925000000001</v>
      </c>
      <c r="G4151" s="7" t="str">
        <f t="shared" si="23"/>
        <v>Direct</v>
      </c>
      <c r="H4151" s="7" t="s">
        <v>16</v>
      </c>
    </row>
    <row r="4152" spans="1:8" x14ac:dyDescent="0.2">
      <c r="A4152" s="5" t="s">
        <v>27</v>
      </c>
      <c r="B4152" s="6" t="s">
        <v>19</v>
      </c>
      <c r="C4152" s="7" t="s">
        <v>4621</v>
      </c>
      <c r="D4152" s="7"/>
      <c r="E4152" s="8">
        <v>1.7314576399999999</v>
      </c>
      <c r="F4152" s="8">
        <v>2.6660565200000002</v>
      </c>
      <c r="G4152" s="7" t="str">
        <f t="shared" si="23"/>
        <v>Direct</v>
      </c>
      <c r="H4152" s="7" t="s">
        <v>16</v>
      </c>
    </row>
    <row r="4153" spans="1:8" x14ac:dyDescent="0.2">
      <c r="A4153" s="5" t="s">
        <v>27</v>
      </c>
      <c r="B4153" s="6" t="s">
        <v>19</v>
      </c>
      <c r="C4153" s="7" t="s">
        <v>4622</v>
      </c>
      <c r="D4153" s="7"/>
      <c r="E4153" s="8">
        <v>7.0586124000000003</v>
      </c>
      <c r="F4153" s="8">
        <v>9.2194339200000002</v>
      </c>
      <c r="G4153" s="7" t="str">
        <f t="shared" si="23"/>
        <v>Direct</v>
      </c>
      <c r="H4153" s="7" t="s">
        <v>4623</v>
      </c>
    </row>
    <row r="4154" spans="1:8" x14ac:dyDescent="0.2">
      <c r="A4154" s="5" t="s">
        <v>27</v>
      </c>
      <c r="B4154" s="6" t="s">
        <v>19</v>
      </c>
      <c r="C4154" s="7" t="s">
        <v>4624</v>
      </c>
      <c r="D4154" s="7"/>
      <c r="E4154" s="8">
        <v>2.0650233299999998</v>
      </c>
      <c r="F4154" s="8">
        <v>1.0838919</v>
      </c>
      <c r="G4154" s="7" t="str">
        <f t="shared" si="23"/>
        <v>Direct</v>
      </c>
      <c r="H4154" s="7" t="s">
        <v>16</v>
      </c>
    </row>
    <row r="4155" spans="1:8" x14ac:dyDescent="0.2">
      <c r="A4155" s="5" t="s">
        <v>27</v>
      </c>
      <c r="B4155" s="6" t="s">
        <v>19</v>
      </c>
      <c r="C4155" s="7" t="s">
        <v>4038</v>
      </c>
      <c r="D4155" s="7"/>
      <c r="E4155" s="8">
        <v>-1.1569566</v>
      </c>
      <c r="F4155" s="8">
        <v>-2.3645752999999998</v>
      </c>
      <c r="G4155" s="7" t="str">
        <f t="shared" si="23"/>
        <v>Direct</v>
      </c>
      <c r="H4155" s="7" t="s">
        <v>1143</v>
      </c>
    </row>
    <row r="4156" spans="1:8" x14ac:dyDescent="0.2">
      <c r="A4156" s="5" t="s">
        <v>27</v>
      </c>
      <c r="B4156" s="6" t="s">
        <v>19</v>
      </c>
      <c r="C4156" s="7" t="s">
        <v>4625</v>
      </c>
      <c r="D4156" s="7"/>
      <c r="E4156" s="8">
        <v>-2.5282748000000002</v>
      </c>
      <c r="F4156" s="8">
        <v>-6.4319566999999997</v>
      </c>
      <c r="G4156" s="7" t="str">
        <f t="shared" si="23"/>
        <v>Direct</v>
      </c>
      <c r="H4156" s="7" t="s">
        <v>4626</v>
      </c>
    </row>
    <row r="4157" spans="1:8" x14ac:dyDescent="0.2">
      <c r="A4157" s="5" t="s">
        <v>27</v>
      </c>
      <c r="B4157" s="6" t="s">
        <v>19</v>
      </c>
      <c r="C4157" s="7" t="s">
        <v>4039</v>
      </c>
      <c r="D4157" s="7"/>
      <c r="E4157" s="8">
        <v>5.4484435800000002</v>
      </c>
      <c r="F4157" s="8">
        <v>3.56308874</v>
      </c>
      <c r="G4157" s="7" t="str">
        <f t="shared" si="23"/>
        <v>Direct</v>
      </c>
      <c r="H4157" s="7" t="s">
        <v>4040</v>
      </c>
    </row>
    <row r="4158" spans="1:8" x14ac:dyDescent="0.2">
      <c r="A4158" s="5" t="s">
        <v>27</v>
      </c>
      <c r="B4158" s="6" t="s">
        <v>19</v>
      </c>
      <c r="C4158" s="7" t="s">
        <v>4627</v>
      </c>
      <c r="D4158" s="7"/>
      <c r="E4158" s="8">
        <v>1.12792764</v>
      </c>
      <c r="F4158" s="8">
        <v>1.15586667</v>
      </c>
      <c r="G4158" s="7" t="str">
        <f t="shared" si="23"/>
        <v>Direct</v>
      </c>
      <c r="H4158" s="7" t="s">
        <v>16</v>
      </c>
    </row>
    <row r="4159" spans="1:8" x14ac:dyDescent="0.2">
      <c r="A4159" s="5" t="s">
        <v>27</v>
      </c>
      <c r="B4159" s="6" t="s">
        <v>19</v>
      </c>
      <c r="C4159" s="7" t="s">
        <v>4628</v>
      </c>
      <c r="D4159" s="7"/>
      <c r="E4159" s="8">
        <v>1.0101595699999999</v>
      </c>
      <c r="F4159" s="8">
        <v>1.1841008500000001</v>
      </c>
      <c r="G4159" s="7" t="str">
        <f t="shared" si="23"/>
        <v>Direct</v>
      </c>
      <c r="H4159" s="7" t="s">
        <v>16</v>
      </c>
    </row>
    <row r="4160" spans="1:8" x14ac:dyDescent="0.2">
      <c r="A4160" s="5" t="s">
        <v>27</v>
      </c>
      <c r="B4160" s="6" t="s">
        <v>19</v>
      </c>
      <c r="C4160" s="7" t="s">
        <v>4629</v>
      </c>
      <c r="D4160" s="7"/>
      <c r="E4160" s="8">
        <v>-3.7822285999999998</v>
      </c>
      <c r="F4160" s="8">
        <v>-5.6350344000000003</v>
      </c>
      <c r="G4160" s="7" t="str">
        <f t="shared" si="23"/>
        <v>Direct</v>
      </c>
      <c r="H4160" s="7" t="s">
        <v>16</v>
      </c>
    </row>
    <row r="4161" spans="1:8" x14ac:dyDescent="0.2">
      <c r="A4161" s="5" t="s">
        <v>27</v>
      </c>
      <c r="B4161" s="6" t="s">
        <v>19</v>
      </c>
      <c r="C4161" s="7" t="s">
        <v>4630</v>
      </c>
      <c r="D4161" s="7"/>
      <c r="E4161" s="8">
        <v>2.7101561900000002</v>
      </c>
      <c r="F4161" s="8">
        <v>3.5249703800000001</v>
      </c>
      <c r="G4161" s="7" t="str">
        <f t="shared" si="23"/>
        <v>Direct</v>
      </c>
      <c r="H4161" s="7" t="s">
        <v>16</v>
      </c>
    </row>
    <row r="4162" spans="1:8" x14ac:dyDescent="0.2">
      <c r="A4162" s="5" t="s">
        <v>27</v>
      </c>
      <c r="B4162" s="6" t="s">
        <v>19</v>
      </c>
      <c r="C4162" s="7" t="s">
        <v>4631</v>
      </c>
      <c r="D4162" s="7"/>
      <c r="E4162" s="8">
        <v>2.8204870299999998</v>
      </c>
      <c r="F4162" s="8">
        <v>1.96080886</v>
      </c>
      <c r="G4162" s="7" t="str">
        <f t="shared" si="23"/>
        <v>Direct</v>
      </c>
      <c r="H4162" s="7" t="s">
        <v>4167</v>
      </c>
    </row>
    <row r="4163" spans="1:8" x14ac:dyDescent="0.2">
      <c r="A4163" s="5" t="s">
        <v>27</v>
      </c>
      <c r="B4163" s="6" t="s">
        <v>19</v>
      </c>
      <c r="C4163" s="7" t="s">
        <v>4632</v>
      </c>
      <c r="D4163" s="7"/>
      <c r="E4163" s="8">
        <v>-3.3970698000000001</v>
      </c>
      <c r="F4163" s="8">
        <v>-3.9701187</v>
      </c>
      <c r="G4163" s="7" t="str">
        <f t="shared" si="23"/>
        <v>Direct</v>
      </c>
      <c r="H4163" s="7" t="s">
        <v>4633</v>
      </c>
    </row>
    <row r="4164" spans="1:8" x14ac:dyDescent="0.2">
      <c r="A4164" s="5" t="s">
        <v>27</v>
      </c>
      <c r="B4164" s="6" t="s">
        <v>19</v>
      </c>
      <c r="C4164" s="7" t="s">
        <v>4634</v>
      </c>
      <c r="D4164" s="7"/>
      <c r="E4164" s="8">
        <v>1.07036281</v>
      </c>
      <c r="F4164" s="8">
        <v>2.1197741200000002</v>
      </c>
      <c r="G4164" s="7" t="str">
        <f t="shared" si="23"/>
        <v>Direct</v>
      </c>
      <c r="H4164" s="7" t="s">
        <v>3270</v>
      </c>
    </row>
    <row r="4165" spans="1:8" x14ac:dyDescent="0.2">
      <c r="A4165" s="5" t="s">
        <v>27</v>
      </c>
      <c r="B4165" s="6" t="s">
        <v>19</v>
      </c>
      <c r="C4165" s="7" t="s">
        <v>4635</v>
      </c>
      <c r="D4165" s="7"/>
      <c r="E4165" s="8">
        <v>-1.8566931</v>
      </c>
      <c r="F4165" s="8">
        <v>-2.1996975000000001</v>
      </c>
      <c r="G4165" s="7" t="str">
        <f t="shared" si="23"/>
        <v>Direct</v>
      </c>
      <c r="H4165" s="7" t="s">
        <v>4636</v>
      </c>
    </row>
    <row r="4166" spans="1:8" x14ac:dyDescent="0.2">
      <c r="A4166" s="5" t="s">
        <v>27</v>
      </c>
      <c r="B4166" s="6" t="s">
        <v>19</v>
      </c>
      <c r="C4166" s="7" t="s">
        <v>4637</v>
      </c>
      <c r="D4166" s="7"/>
      <c r="E4166" s="8">
        <v>-1.8892211000000001</v>
      </c>
      <c r="F4166" s="8">
        <v>-1.3629034</v>
      </c>
      <c r="G4166" s="7" t="str">
        <f t="shared" si="23"/>
        <v>Direct</v>
      </c>
      <c r="H4166" s="7" t="s">
        <v>728</v>
      </c>
    </row>
    <row r="4167" spans="1:8" x14ac:dyDescent="0.2">
      <c r="A4167" s="5" t="s">
        <v>27</v>
      </c>
      <c r="B4167" s="6" t="s">
        <v>19</v>
      </c>
      <c r="C4167" s="7" t="s">
        <v>4638</v>
      </c>
      <c r="D4167" s="7"/>
      <c r="E4167" s="8">
        <v>-1.4403376000000001</v>
      </c>
      <c r="F4167" s="8">
        <v>-1.6930467</v>
      </c>
      <c r="G4167" s="7" t="str">
        <f t="shared" si="23"/>
        <v>Direct</v>
      </c>
      <c r="H4167" s="7" t="s">
        <v>4639</v>
      </c>
    </row>
    <row r="4168" spans="1:8" x14ac:dyDescent="0.2">
      <c r="A4168" s="5" t="s">
        <v>27</v>
      </c>
      <c r="B4168" s="6" t="s">
        <v>19</v>
      </c>
      <c r="C4168" s="7" t="s">
        <v>4640</v>
      </c>
      <c r="D4168" s="7"/>
      <c r="E4168" s="8">
        <v>2.13077308</v>
      </c>
      <c r="F4168" s="8">
        <v>1.1760608800000001</v>
      </c>
      <c r="G4168" s="7" t="str">
        <f t="shared" si="23"/>
        <v>Direct</v>
      </c>
      <c r="H4168" s="7" t="s">
        <v>16</v>
      </c>
    </row>
    <row r="4169" spans="1:8" x14ac:dyDescent="0.2">
      <c r="A4169" s="5" t="s">
        <v>27</v>
      </c>
      <c r="B4169" s="6" t="s">
        <v>19</v>
      </c>
      <c r="C4169" s="7" t="s">
        <v>4641</v>
      </c>
      <c r="D4169" s="7"/>
      <c r="E4169" s="8">
        <v>1.7693082899999999</v>
      </c>
      <c r="F4169" s="8">
        <v>3.2073547900000001</v>
      </c>
      <c r="G4169" s="7" t="str">
        <f t="shared" si="23"/>
        <v>Direct</v>
      </c>
      <c r="H4169" s="7" t="s">
        <v>248</v>
      </c>
    </row>
    <row r="4170" spans="1:8" x14ac:dyDescent="0.2">
      <c r="A4170" s="5" t="s">
        <v>27</v>
      </c>
      <c r="B4170" s="6" t="s">
        <v>19</v>
      </c>
      <c r="C4170" s="7" t="s">
        <v>4642</v>
      </c>
      <c r="D4170" s="7"/>
      <c r="E4170" s="8">
        <v>-3.5251223</v>
      </c>
      <c r="F4170" s="8">
        <v>-3.8370563999999998</v>
      </c>
      <c r="G4170" s="7" t="str">
        <f t="shared" si="23"/>
        <v>Direct</v>
      </c>
      <c r="H4170" s="7" t="s">
        <v>4413</v>
      </c>
    </row>
    <row r="4171" spans="1:8" x14ac:dyDescent="0.2">
      <c r="A4171" s="5" t="s">
        <v>27</v>
      </c>
      <c r="B4171" s="6" t="s">
        <v>19</v>
      </c>
      <c r="C4171" s="7" t="s">
        <v>4643</v>
      </c>
      <c r="D4171" s="7"/>
      <c r="E4171" s="8">
        <v>5.4679438400000002</v>
      </c>
      <c r="F4171" s="8">
        <v>4.2492072700000003</v>
      </c>
      <c r="G4171" s="7" t="str">
        <f t="shared" si="23"/>
        <v>Direct</v>
      </c>
      <c r="H4171" s="7" t="s">
        <v>4644</v>
      </c>
    </row>
    <row r="4172" spans="1:8" x14ac:dyDescent="0.2">
      <c r="A4172" s="5" t="s">
        <v>27</v>
      </c>
      <c r="B4172" s="6" t="s">
        <v>19</v>
      </c>
      <c r="C4172" s="7" t="s">
        <v>4645</v>
      </c>
      <c r="D4172" s="7"/>
      <c r="E4172" s="8">
        <v>-2.2304134000000002</v>
      </c>
      <c r="F4172" s="8">
        <v>-1.8292908000000001</v>
      </c>
      <c r="G4172" s="7" t="str">
        <f t="shared" si="23"/>
        <v>Direct</v>
      </c>
      <c r="H4172" s="7" t="s">
        <v>2435</v>
      </c>
    </row>
    <row r="4173" spans="1:8" x14ac:dyDescent="0.2">
      <c r="A4173" s="5" t="s">
        <v>27</v>
      </c>
      <c r="B4173" s="6" t="s">
        <v>19</v>
      </c>
      <c r="C4173" s="7" t="s">
        <v>4646</v>
      </c>
      <c r="D4173" s="7"/>
      <c r="E4173" s="8">
        <v>-1.2172016999999999</v>
      </c>
      <c r="F4173" s="8">
        <v>-2.2494554</v>
      </c>
      <c r="G4173" s="7" t="str">
        <f t="shared" si="23"/>
        <v>Direct</v>
      </c>
      <c r="H4173" s="7" t="s">
        <v>4647</v>
      </c>
    </row>
    <row r="4174" spans="1:8" x14ac:dyDescent="0.2">
      <c r="A4174" s="5" t="s">
        <v>27</v>
      </c>
      <c r="B4174" s="6" t="s">
        <v>19</v>
      </c>
      <c r="C4174" s="7" t="s">
        <v>4648</v>
      </c>
      <c r="D4174" s="7"/>
      <c r="E4174" s="8">
        <v>2.99692457</v>
      </c>
      <c r="F4174" s="8">
        <v>2.0900383499999999</v>
      </c>
      <c r="G4174" s="7" t="str">
        <f t="shared" si="23"/>
        <v>Direct</v>
      </c>
      <c r="H4174" s="7" t="s">
        <v>16</v>
      </c>
    </row>
    <row r="4175" spans="1:8" x14ac:dyDescent="0.2">
      <c r="A4175" s="5" t="s">
        <v>27</v>
      </c>
      <c r="B4175" s="6" t="s">
        <v>19</v>
      </c>
      <c r="C4175" s="7" t="s">
        <v>4649</v>
      </c>
      <c r="D4175" s="7"/>
      <c r="E4175" s="8">
        <v>2.2118365400000002</v>
      </c>
      <c r="F4175" s="8">
        <v>1.70214759</v>
      </c>
      <c r="G4175" s="7" t="str">
        <f t="shared" si="23"/>
        <v>Direct</v>
      </c>
      <c r="H4175" s="7" t="s">
        <v>4650</v>
      </c>
    </row>
    <row r="4176" spans="1:8" x14ac:dyDescent="0.2">
      <c r="A4176" s="5" t="s">
        <v>27</v>
      </c>
      <c r="B4176" s="6" t="s">
        <v>19</v>
      </c>
      <c r="C4176" s="7" t="s">
        <v>4651</v>
      </c>
      <c r="D4176" s="7"/>
      <c r="E4176" s="8">
        <v>3.3676751600000001</v>
      </c>
      <c r="F4176" s="8">
        <v>5.2560142000000001</v>
      </c>
      <c r="G4176" s="7" t="str">
        <f t="shared" si="23"/>
        <v>Direct</v>
      </c>
      <c r="H4176" s="7" t="s">
        <v>4652</v>
      </c>
    </row>
    <row r="4177" spans="1:8" x14ac:dyDescent="0.2">
      <c r="A4177" s="5" t="s">
        <v>27</v>
      </c>
      <c r="B4177" s="6" t="s">
        <v>19</v>
      </c>
      <c r="C4177" s="7" t="s">
        <v>4653</v>
      </c>
      <c r="D4177" s="7"/>
      <c r="E4177" s="8">
        <v>6.2081015400000004</v>
      </c>
      <c r="F4177" s="8">
        <v>3.6898435100000002</v>
      </c>
      <c r="G4177" s="7" t="str">
        <f t="shared" si="23"/>
        <v>Direct</v>
      </c>
      <c r="H4177" s="7" t="s">
        <v>162</v>
      </c>
    </row>
    <row r="4178" spans="1:8" x14ac:dyDescent="0.2">
      <c r="A4178" s="5" t="s">
        <v>27</v>
      </c>
      <c r="B4178" s="6" t="s">
        <v>19</v>
      </c>
      <c r="C4178" s="7" t="s">
        <v>4654</v>
      </c>
      <c r="D4178" s="7"/>
      <c r="E4178" s="8">
        <v>-1.2845001</v>
      </c>
      <c r="F4178" s="8">
        <v>-1.1971432</v>
      </c>
      <c r="G4178" s="7" t="str">
        <f t="shared" si="23"/>
        <v>Direct</v>
      </c>
      <c r="H4178" s="7" t="s">
        <v>1555</v>
      </c>
    </row>
    <row r="4179" spans="1:8" x14ac:dyDescent="0.2">
      <c r="A4179" s="5" t="s">
        <v>27</v>
      </c>
      <c r="B4179" s="6" t="s">
        <v>19</v>
      </c>
      <c r="C4179" s="7" t="s">
        <v>4655</v>
      </c>
      <c r="D4179" s="7"/>
      <c r="E4179" s="8">
        <v>-2.4734365999999999</v>
      </c>
      <c r="F4179" s="8">
        <v>-4.9265984999999999</v>
      </c>
      <c r="G4179" s="7" t="str">
        <f t="shared" si="23"/>
        <v>Direct</v>
      </c>
      <c r="H4179" s="7" t="s">
        <v>4656</v>
      </c>
    </row>
    <row r="4180" spans="1:8" x14ac:dyDescent="0.2">
      <c r="A4180" s="5" t="s">
        <v>27</v>
      </c>
      <c r="B4180" s="6" t="s">
        <v>19</v>
      </c>
      <c r="C4180" s="7" t="s">
        <v>4657</v>
      </c>
      <c r="D4180" s="7"/>
      <c r="E4180" s="8">
        <v>1.2384293099999999</v>
      </c>
      <c r="F4180" s="8">
        <v>2.75271234</v>
      </c>
      <c r="G4180" s="7" t="str">
        <f t="shared" si="23"/>
        <v>Direct</v>
      </c>
      <c r="H4180" s="7" t="s">
        <v>16</v>
      </c>
    </row>
    <row r="4181" spans="1:8" x14ac:dyDescent="0.2">
      <c r="A4181" s="5" t="s">
        <v>27</v>
      </c>
      <c r="B4181" s="6" t="s">
        <v>19</v>
      </c>
      <c r="C4181" s="7" t="s">
        <v>4658</v>
      </c>
      <c r="D4181" s="7"/>
      <c r="E4181" s="8">
        <v>-2.2150739000000002</v>
      </c>
      <c r="F4181" s="8">
        <v>-2.9085852000000001</v>
      </c>
      <c r="G4181" s="7" t="str">
        <f t="shared" si="23"/>
        <v>Direct</v>
      </c>
      <c r="H4181" s="7" t="s">
        <v>413</v>
      </c>
    </row>
    <row r="4182" spans="1:8" x14ac:dyDescent="0.2">
      <c r="A4182" s="5" t="s">
        <v>27</v>
      </c>
      <c r="B4182" s="6" t="s">
        <v>19</v>
      </c>
      <c r="C4182" s="7" t="s">
        <v>4659</v>
      </c>
      <c r="D4182" s="7"/>
      <c r="E4182" s="8">
        <v>-2.0502370000000001</v>
      </c>
      <c r="F4182" s="8">
        <v>-1.4089124</v>
      </c>
      <c r="G4182" s="7" t="str">
        <f t="shared" si="23"/>
        <v>Direct</v>
      </c>
      <c r="H4182" s="7" t="s">
        <v>4660</v>
      </c>
    </row>
    <row r="4183" spans="1:8" x14ac:dyDescent="0.2">
      <c r="A4183" s="5" t="s">
        <v>27</v>
      </c>
      <c r="B4183" s="6" t="s">
        <v>19</v>
      </c>
      <c r="C4183" s="7" t="s">
        <v>4661</v>
      </c>
      <c r="D4183" s="7"/>
      <c r="E4183" s="8">
        <v>2.2514112900000001</v>
      </c>
      <c r="F4183" s="8">
        <v>1.33501874</v>
      </c>
      <c r="G4183" s="7" t="str">
        <f t="shared" si="23"/>
        <v>Direct</v>
      </c>
      <c r="H4183" s="7" t="s">
        <v>4662</v>
      </c>
    </row>
    <row r="4184" spans="1:8" x14ac:dyDescent="0.2">
      <c r="A4184" s="5" t="s">
        <v>27</v>
      </c>
      <c r="B4184" s="6" t="s">
        <v>19</v>
      </c>
      <c r="C4184" s="7" t="s">
        <v>4663</v>
      </c>
      <c r="D4184" s="7"/>
      <c r="E4184" s="8">
        <v>-1.0068636</v>
      </c>
      <c r="F4184" s="8">
        <v>-1.5947388</v>
      </c>
      <c r="G4184" s="7" t="str">
        <f t="shared" si="23"/>
        <v>Direct</v>
      </c>
      <c r="H4184" s="7" t="s">
        <v>1657</v>
      </c>
    </row>
    <row r="4185" spans="1:8" x14ac:dyDescent="0.2">
      <c r="A4185" s="5" t="s">
        <v>27</v>
      </c>
      <c r="B4185" s="6" t="s">
        <v>19</v>
      </c>
      <c r="C4185" s="7" t="s">
        <v>4664</v>
      </c>
      <c r="D4185" s="7"/>
      <c r="E4185" s="8">
        <v>-5.4763209000000002</v>
      </c>
      <c r="F4185" s="8">
        <v>-3.8456380000000001</v>
      </c>
      <c r="G4185" s="7" t="str">
        <f t="shared" si="23"/>
        <v>Direct</v>
      </c>
      <c r="H4185" s="7" t="s">
        <v>4665</v>
      </c>
    </row>
    <row r="4186" spans="1:8" x14ac:dyDescent="0.2">
      <c r="A4186" s="5" t="s">
        <v>27</v>
      </c>
      <c r="B4186" s="6" t="s">
        <v>19</v>
      </c>
      <c r="C4186" s="7" t="s">
        <v>4666</v>
      </c>
      <c r="D4186" s="7"/>
      <c r="E4186" s="8">
        <v>2.5891031</v>
      </c>
      <c r="F4186" s="8">
        <v>4.72797059</v>
      </c>
      <c r="G4186" s="7" t="str">
        <f t="shared" si="23"/>
        <v>Direct</v>
      </c>
      <c r="H4186" s="7" t="s">
        <v>16</v>
      </c>
    </row>
    <row r="4187" spans="1:8" x14ac:dyDescent="0.2">
      <c r="A4187" s="5" t="s">
        <v>27</v>
      </c>
      <c r="B4187" s="6" t="s">
        <v>19</v>
      </c>
      <c r="C4187" s="7" t="s">
        <v>4667</v>
      </c>
      <c r="D4187" s="7"/>
      <c r="E4187" s="8">
        <v>-1.9832540000000001</v>
      </c>
      <c r="F4187" s="8">
        <v>-1.5336521999999999</v>
      </c>
      <c r="G4187" s="7" t="str">
        <f t="shared" si="23"/>
        <v>Direct</v>
      </c>
      <c r="H4187" s="7" t="s">
        <v>1659</v>
      </c>
    </row>
    <row r="4188" spans="1:8" x14ac:dyDescent="0.2">
      <c r="A4188" s="5" t="s">
        <v>27</v>
      </c>
      <c r="B4188" s="6" t="s">
        <v>19</v>
      </c>
      <c r="C4188" s="7" t="s">
        <v>4041</v>
      </c>
      <c r="D4188" s="7"/>
      <c r="E4188" s="8">
        <v>6.2537997000000001</v>
      </c>
      <c r="F4188" s="8">
        <v>4.4916399399999998</v>
      </c>
      <c r="G4188" s="7" t="str">
        <f t="shared" si="23"/>
        <v>Direct</v>
      </c>
      <c r="H4188" s="7" t="s">
        <v>4042</v>
      </c>
    </row>
    <row r="4189" spans="1:8" x14ac:dyDescent="0.2">
      <c r="A4189" s="5" t="s">
        <v>27</v>
      </c>
      <c r="B4189" s="6" t="s">
        <v>19</v>
      </c>
      <c r="C4189" s="7" t="s">
        <v>4668</v>
      </c>
      <c r="D4189" s="7"/>
      <c r="E4189" s="8">
        <v>-1.8566931</v>
      </c>
      <c r="F4189" s="8">
        <v>-1.2862648999999999</v>
      </c>
      <c r="G4189" s="7" t="str">
        <f t="shared" si="23"/>
        <v>Direct</v>
      </c>
      <c r="H4189" s="7" t="s">
        <v>4669</v>
      </c>
    </row>
    <row r="4190" spans="1:8" x14ac:dyDescent="0.2">
      <c r="A4190" s="5" t="s">
        <v>27</v>
      </c>
      <c r="B4190" s="6" t="s">
        <v>19</v>
      </c>
      <c r="C4190" s="7" t="s">
        <v>4670</v>
      </c>
      <c r="D4190" s="7"/>
      <c r="E4190" s="8">
        <v>2.2855039399999999</v>
      </c>
      <c r="F4190" s="8">
        <v>1.45046528</v>
      </c>
      <c r="G4190" s="7" t="str">
        <f t="shared" si="23"/>
        <v>Direct</v>
      </c>
      <c r="H4190" s="7" t="s">
        <v>16</v>
      </c>
    </row>
    <row r="4191" spans="1:8" x14ac:dyDescent="0.2">
      <c r="A4191" s="5" t="s">
        <v>27</v>
      </c>
      <c r="B4191" s="6" t="s">
        <v>19</v>
      </c>
      <c r="C4191" s="7" t="s">
        <v>4671</v>
      </c>
      <c r="D4191" s="7"/>
      <c r="E4191" s="8">
        <v>-1.1045261</v>
      </c>
      <c r="F4191" s="8">
        <v>-2.3474461</v>
      </c>
      <c r="G4191" s="7" t="str">
        <f t="shared" si="23"/>
        <v>Direct</v>
      </c>
      <c r="H4191" s="7" t="s">
        <v>1666</v>
      </c>
    </row>
    <row r="4192" spans="1:8" x14ac:dyDescent="0.2">
      <c r="A4192" s="5" t="s">
        <v>27</v>
      </c>
      <c r="B4192" s="6" t="s">
        <v>19</v>
      </c>
      <c r="C4192" s="7" t="s">
        <v>4672</v>
      </c>
      <c r="D4192" s="7"/>
      <c r="E4192" s="8">
        <v>1.39587273</v>
      </c>
      <c r="F4192" s="8">
        <v>1.06724945</v>
      </c>
      <c r="G4192" s="7" t="str">
        <f t="shared" si="23"/>
        <v>Direct</v>
      </c>
      <c r="H4192" s="7" t="s">
        <v>16</v>
      </c>
    </row>
    <row r="4193" spans="1:8" x14ac:dyDescent="0.2">
      <c r="A4193" s="5" t="s">
        <v>27</v>
      </c>
      <c r="B4193" s="6" t="s">
        <v>19</v>
      </c>
      <c r="C4193" s="7" t="s">
        <v>4673</v>
      </c>
      <c r="D4193" s="7"/>
      <c r="E4193" s="8">
        <v>-1.9626748999999999</v>
      </c>
      <c r="F4193" s="8">
        <v>-3.2482872999999999</v>
      </c>
      <c r="G4193" s="7" t="str">
        <f t="shared" si="23"/>
        <v>Direct</v>
      </c>
      <c r="H4193" s="7" t="s">
        <v>1154</v>
      </c>
    </row>
    <row r="4194" spans="1:8" x14ac:dyDescent="0.2">
      <c r="A4194" s="5" t="s">
        <v>27</v>
      </c>
      <c r="B4194" s="6" t="s">
        <v>19</v>
      </c>
      <c r="C4194" s="7" t="s">
        <v>4674</v>
      </c>
      <c r="D4194" s="7"/>
      <c r="E4194" s="8">
        <v>-2.8075736999999998</v>
      </c>
      <c r="F4194" s="8">
        <v>-1.7094498</v>
      </c>
      <c r="G4194" s="7" t="str">
        <f t="shared" si="23"/>
        <v>Direct</v>
      </c>
      <c r="H4194" s="7" t="s">
        <v>3075</v>
      </c>
    </row>
    <row r="4195" spans="1:8" x14ac:dyDescent="0.2">
      <c r="A4195" s="5" t="s">
        <v>27</v>
      </c>
      <c r="B4195" s="6" t="s">
        <v>19</v>
      </c>
      <c r="C4195" s="7" t="s">
        <v>4675</v>
      </c>
      <c r="D4195" s="7"/>
      <c r="E4195" s="8">
        <v>-3.0010515</v>
      </c>
      <c r="F4195" s="8">
        <v>-2.5322371000000001</v>
      </c>
      <c r="G4195" s="7" t="str">
        <f t="shared" si="23"/>
        <v>Direct</v>
      </c>
      <c r="H4195" s="7" t="s">
        <v>4676</v>
      </c>
    </row>
    <row r="4196" spans="1:8" x14ac:dyDescent="0.2">
      <c r="A4196" s="5" t="s">
        <v>27</v>
      </c>
      <c r="B4196" s="6" t="s">
        <v>19</v>
      </c>
      <c r="C4196" s="7" t="s">
        <v>4677</v>
      </c>
      <c r="D4196" s="7"/>
      <c r="E4196" s="8">
        <v>-1.8527952000000001</v>
      </c>
      <c r="F4196" s="8">
        <v>-1.2716565</v>
      </c>
      <c r="G4196" s="7" t="str">
        <f t="shared" si="23"/>
        <v>Direct</v>
      </c>
      <c r="H4196" s="7" t="s">
        <v>16</v>
      </c>
    </row>
    <row r="4197" spans="1:8" x14ac:dyDescent="0.2">
      <c r="A4197" s="5" t="s">
        <v>27</v>
      </c>
      <c r="B4197" s="6" t="s">
        <v>19</v>
      </c>
      <c r="C4197" s="7" t="s">
        <v>4678</v>
      </c>
      <c r="D4197" s="7"/>
      <c r="E4197" s="8">
        <v>-3.0820387999999999</v>
      </c>
      <c r="F4197" s="8">
        <v>-2.8813708</v>
      </c>
      <c r="G4197" s="7" t="str">
        <f t="shared" si="23"/>
        <v>Direct</v>
      </c>
      <c r="H4197" s="7" t="s">
        <v>16</v>
      </c>
    </row>
    <row r="4198" spans="1:8" x14ac:dyDescent="0.2">
      <c r="A4198" s="5" t="s">
        <v>27</v>
      </c>
      <c r="B4198" s="6" t="s">
        <v>19</v>
      </c>
      <c r="C4198" s="7" t="s">
        <v>4679</v>
      </c>
      <c r="D4198" s="7"/>
      <c r="E4198" s="8">
        <v>-4.0710186999999998</v>
      </c>
      <c r="F4198" s="8">
        <v>-5.2220306000000001</v>
      </c>
      <c r="G4198" s="7" t="str">
        <f t="shared" si="23"/>
        <v>Direct</v>
      </c>
      <c r="H4198" s="7" t="s">
        <v>16</v>
      </c>
    </row>
    <row r="4199" spans="1:8" x14ac:dyDescent="0.2">
      <c r="A4199" s="5" t="s">
        <v>27</v>
      </c>
      <c r="B4199" s="6" t="s">
        <v>19</v>
      </c>
      <c r="C4199" s="7" t="s">
        <v>4680</v>
      </c>
      <c r="D4199" s="7"/>
      <c r="E4199" s="8">
        <v>-1.2476783</v>
      </c>
      <c r="F4199" s="8">
        <v>-2.0293747</v>
      </c>
      <c r="G4199" s="7" t="str">
        <f t="shared" si="23"/>
        <v>Direct</v>
      </c>
      <c r="H4199" s="7" t="s">
        <v>16</v>
      </c>
    </row>
    <row r="4200" spans="1:8" x14ac:dyDescent="0.2">
      <c r="A4200" s="5" t="s">
        <v>27</v>
      </c>
      <c r="B4200" s="6" t="s">
        <v>19</v>
      </c>
      <c r="C4200" s="7" t="s">
        <v>4681</v>
      </c>
      <c r="D4200" s="7"/>
      <c r="E4200" s="8">
        <v>2.24158503</v>
      </c>
      <c r="F4200" s="8">
        <v>2.4489942500000002</v>
      </c>
      <c r="G4200" s="7" t="str">
        <f t="shared" si="23"/>
        <v>Direct</v>
      </c>
      <c r="H4200" s="7" t="s">
        <v>4682</v>
      </c>
    </row>
    <row r="4201" spans="1:8" x14ac:dyDescent="0.2">
      <c r="A4201" s="5" t="s">
        <v>27</v>
      </c>
      <c r="B4201" s="6" t="s">
        <v>19</v>
      </c>
      <c r="C4201" s="7" t="s">
        <v>4683</v>
      </c>
      <c r="D4201" s="7"/>
      <c r="E4201" s="8">
        <v>5.5507567900000003</v>
      </c>
      <c r="F4201" s="8">
        <v>7.6638305300000003</v>
      </c>
      <c r="G4201" s="7" t="str">
        <f t="shared" si="23"/>
        <v>Direct</v>
      </c>
      <c r="H4201" s="7" t="s">
        <v>4684</v>
      </c>
    </row>
    <row r="4202" spans="1:8" x14ac:dyDescent="0.2">
      <c r="A4202" s="5" t="s">
        <v>27</v>
      </c>
      <c r="B4202" s="6" t="s">
        <v>19</v>
      </c>
      <c r="C4202" s="7" t="s">
        <v>4685</v>
      </c>
      <c r="D4202" s="7"/>
      <c r="E4202" s="8">
        <v>-2.4031142000000001</v>
      </c>
      <c r="F4202" s="8">
        <v>-4.4243426000000001</v>
      </c>
      <c r="G4202" s="7" t="str">
        <f t="shared" si="23"/>
        <v>Direct</v>
      </c>
      <c r="H4202" s="7" t="s">
        <v>4686</v>
      </c>
    </row>
    <row r="4203" spans="1:8" x14ac:dyDescent="0.2">
      <c r="A4203" s="5" t="s">
        <v>27</v>
      </c>
      <c r="B4203" s="6" t="s">
        <v>19</v>
      </c>
      <c r="C4203" s="7" t="s">
        <v>4043</v>
      </c>
      <c r="D4203" s="7"/>
      <c r="E4203" s="8">
        <v>-102.03176000000001</v>
      </c>
      <c r="F4203" s="8">
        <v>-109.86731</v>
      </c>
      <c r="G4203" s="7" t="str">
        <f t="shared" si="23"/>
        <v>Direct</v>
      </c>
      <c r="H4203" s="7" t="s">
        <v>1560</v>
      </c>
    </row>
    <row r="4204" spans="1:8" x14ac:dyDescent="0.2">
      <c r="A4204" s="5" t="s">
        <v>27</v>
      </c>
      <c r="B4204" s="6" t="s">
        <v>19</v>
      </c>
      <c r="C4204" s="7" t="s">
        <v>4044</v>
      </c>
      <c r="D4204" s="7"/>
      <c r="E4204" s="8">
        <v>5.4812363299999998</v>
      </c>
      <c r="F4204" s="8">
        <v>6.3243289300000001</v>
      </c>
      <c r="G4204" s="7" t="str">
        <f t="shared" si="23"/>
        <v>Direct</v>
      </c>
      <c r="H4204" s="7" t="s">
        <v>4045</v>
      </c>
    </row>
    <row r="4205" spans="1:8" x14ac:dyDescent="0.2">
      <c r="A4205" s="5" t="s">
        <v>27</v>
      </c>
      <c r="B4205" s="6" t="s">
        <v>19</v>
      </c>
      <c r="C4205" s="7" t="s">
        <v>4687</v>
      </c>
      <c r="D4205" s="7"/>
      <c r="E4205" s="8">
        <v>2.6847601499999998</v>
      </c>
      <c r="F4205" s="8">
        <v>4.69369105</v>
      </c>
      <c r="G4205" s="7" t="str">
        <f t="shared" si="23"/>
        <v>Direct</v>
      </c>
      <c r="H4205" s="7" t="s">
        <v>1408</v>
      </c>
    </row>
    <row r="4206" spans="1:8" x14ac:dyDescent="0.2">
      <c r="A4206" s="5" t="s">
        <v>27</v>
      </c>
      <c r="B4206" s="6" t="s">
        <v>19</v>
      </c>
      <c r="C4206" s="7" t="s">
        <v>4688</v>
      </c>
      <c r="D4206" s="7"/>
      <c r="E4206" s="8">
        <v>-1.2475931</v>
      </c>
      <c r="F4206" s="8">
        <v>-1.9452738999999999</v>
      </c>
      <c r="G4206" s="7" t="str">
        <f t="shared" si="23"/>
        <v>Direct</v>
      </c>
      <c r="H4206" s="7" t="s">
        <v>4689</v>
      </c>
    </row>
    <row r="4207" spans="1:8" x14ac:dyDescent="0.2">
      <c r="A4207" s="5" t="s">
        <v>27</v>
      </c>
      <c r="B4207" s="6" t="s">
        <v>19</v>
      </c>
      <c r="C4207" s="7" t="s">
        <v>4046</v>
      </c>
      <c r="D4207" s="7"/>
      <c r="E4207" s="8">
        <v>1.60143338</v>
      </c>
      <c r="F4207" s="8">
        <v>3.67355483</v>
      </c>
      <c r="G4207" s="7" t="str">
        <f t="shared" si="23"/>
        <v>Direct</v>
      </c>
      <c r="H4207" s="7" t="s">
        <v>4047</v>
      </c>
    </row>
    <row r="4208" spans="1:8" x14ac:dyDescent="0.2">
      <c r="A4208" s="5" t="s">
        <v>27</v>
      </c>
      <c r="B4208" s="6" t="s">
        <v>19</v>
      </c>
      <c r="C4208" s="7" t="s">
        <v>4690</v>
      </c>
      <c r="D4208" s="7"/>
      <c r="E4208" s="8">
        <v>1.8295064400000001</v>
      </c>
      <c r="F4208" s="8">
        <v>4.4099380799999999</v>
      </c>
      <c r="G4208" s="7" t="str">
        <f t="shared" si="23"/>
        <v>Direct</v>
      </c>
      <c r="H4208" s="7" t="s">
        <v>178</v>
      </c>
    </row>
    <row r="4209" spans="1:8" x14ac:dyDescent="0.2">
      <c r="A4209" s="5" t="s">
        <v>27</v>
      </c>
      <c r="B4209" s="6" t="s">
        <v>19</v>
      </c>
      <c r="C4209" s="7" t="s">
        <v>4691</v>
      </c>
      <c r="D4209" s="7"/>
      <c r="E4209" s="8">
        <v>1.2532212</v>
      </c>
      <c r="F4209" s="8">
        <v>1.32622135</v>
      </c>
      <c r="G4209" s="7" t="str">
        <f t="shared" si="23"/>
        <v>Direct</v>
      </c>
      <c r="H4209" s="7" t="s">
        <v>178</v>
      </c>
    </row>
    <row r="4210" spans="1:8" x14ac:dyDescent="0.2">
      <c r="A4210" s="5" t="s">
        <v>27</v>
      </c>
      <c r="B4210" s="6" t="s">
        <v>19</v>
      </c>
      <c r="C4210" s="7" t="s">
        <v>4692</v>
      </c>
      <c r="D4210" s="7"/>
      <c r="E4210" s="8">
        <v>1.29663588</v>
      </c>
      <c r="F4210" s="8">
        <v>1.0671682</v>
      </c>
      <c r="G4210" s="7" t="str">
        <f t="shared" si="23"/>
        <v>Direct</v>
      </c>
      <c r="H4210" s="7" t="s">
        <v>4693</v>
      </c>
    </row>
    <row r="4211" spans="1:8" x14ac:dyDescent="0.2">
      <c r="A4211" s="5" t="s">
        <v>27</v>
      </c>
      <c r="B4211" s="6" t="s">
        <v>19</v>
      </c>
      <c r="C4211" s="7" t="s">
        <v>4694</v>
      </c>
      <c r="D4211" s="7"/>
      <c r="E4211" s="8">
        <v>-1.3454874999999999</v>
      </c>
      <c r="F4211" s="8">
        <v>-2.0025531000000001</v>
      </c>
      <c r="G4211" s="7" t="str">
        <f t="shared" si="23"/>
        <v>Direct</v>
      </c>
      <c r="H4211" s="7" t="s">
        <v>3049</v>
      </c>
    </row>
    <row r="4212" spans="1:8" x14ac:dyDescent="0.2">
      <c r="A4212" s="5" t="s">
        <v>27</v>
      </c>
      <c r="B4212" s="6" t="s">
        <v>19</v>
      </c>
      <c r="C4212" s="7" t="s">
        <v>4695</v>
      </c>
      <c r="D4212" s="7"/>
      <c r="E4212" s="8">
        <v>2.3326530399999998</v>
      </c>
      <c r="F4212" s="8">
        <v>1.3872359400000001</v>
      </c>
      <c r="G4212" s="7" t="str">
        <f t="shared" ref="G4212:G4466" si="24">IF(OR(AND(E4212&gt;0,F4212&gt;0),AND(E4212&lt;0,F4212&lt;0)),"Direct","Inverse")</f>
        <v>Direct</v>
      </c>
      <c r="H4212" s="7" t="s">
        <v>4696</v>
      </c>
    </row>
    <row r="4213" spans="1:8" x14ac:dyDescent="0.2">
      <c r="A4213" s="5" t="s">
        <v>27</v>
      </c>
      <c r="B4213" s="6" t="s">
        <v>19</v>
      </c>
      <c r="C4213" s="7" t="s">
        <v>4048</v>
      </c>
      <c r="D4213" s="7"/>
      <c r="E4213" s="8">
        <v>2.3210654700000002</v>
      </c>
      <c r="F4213" s="8">
        <v>1.8299234799999999</v>
      </c>
      <c r="G4213" s="7" t="str">
        <f t="shared" si="24"/>
        <v>Direct</v>
      </c>
      <c r="H4213" s="7" t="s">
        <v>4049</v>
      </c>
    </row>
    <row r="4214" spans="1:8" x14ac:dyDescent="0.2">
      <c r="A4214" s="5" t="s">
        <v>27</v>
      </c>
      <c r="B4214" s="6" t="s">
        <v>19</v>
      </c>
      <c r="C4214" s="7" t="s">
        <v>4697</v>
      </c>
      <c r="D4214" s="7"/>
      <c r="E4214" s="8">
        <v>1.8651827700000001</v>
      </c>
      <c r="F4214" s="8">
        <v>2.8275656900000001</v>
      </c>
      <c r="G4214" s="7" t="str">
        <f t="shared" si="24"/>
        <v>Direct</v>
      </c>
      <c r="H4214" s="7" t="s">
        <v>4292</v>
      </c>
    </row>
    <row r="4215" spans="1:8" x14ac:dyDescent="0.2">
      <c r="A4215" s="5" t="s">
        <v>27</v>
      </c>
      <c r="B4215" s="6" t="s">
        <v>19</v>
      </c>
      <c r="C4215" s="7" t="s">
        <v>4698</v>
      </c>
      <c r="D4215" s="7"/>
      <c r="E4215" s="8">
        <v>-2.7663538999999999</v>
      </c>
      <c r="F4215" s="8">
        <v>-1.8247177999999999</v>
      </c>
      <c r="G4215" s="7" t="str">
        <f t="shared" si="24"/>
        <v>Direct</v>
      </c>
      <c r="H4215" s="7" t="s">
        <v>16</v>
      </c>
    </row>
    <row r="4216" spans="1:8" x14ac:dyDescent="0.2">
      <c r="A4216" s="5" t="s">
        <v>27</v>
      </c>
      <c r="B4216" s="6" t="s">
        <v>19</v>
      </c>
      <c r="C4216" s="7" t="s">
        <v>4699</v>
      </c>
      <c r="D4216" s="7"/>
      <c r="E4216" s="8">
        <v>-2.0742512</v>
      </c>
      <c r="F4216" s="8">
        <v>-2.2494554</v>
      </c>
      <c r="G4216" s="7" t="str">
        <f t="shared" si="24"/>
        <v>Direct</v>
      </c>
      <c r="H4216" s="7" t="s">
        <v>3949</v>
      </c>
    </row>
    <row r="4217" spans="1:8" x14ac:dyDescent="0.2">
      <c r="A4217" s="5" t="s">
        <v>27</v>
      </c>
      <c r="B4217" s="6" t="s">
        <v>19</v>
      </c>
      <c r="C4217" s="7" t="s">
        <v>4700</v>
      </c>
      <c r="D4217" s="7"/>
      <c r="E4217" s="8">
        <v>1.99870546</v>
      </c>
      <c r="F4217" s="8">
        <v>1.1482667600000001</v>
      </c>
      <c r="G4217" s="7" t="str">
        <f t="shared" si="24"/>
        <v>Direct</v>
      </c>
      <c r="H4217" s="7" t="s">
        <v>4360</v>
      </c>
    </row>
    <row r="4218" spans="1:8" x14ac:dyDescent="0.2">
      <c r="A4218" s="5" t="s">
        <v>27</v>
      </c>
      <c r="B4218" s="6" t="s">
        <v>19</v>
      </c>
      <c r="C4218" s="7" t="s">
        <v>4701</v>
      </c>
      <c r="D4218" s="7"/>
      <c r="E4218" s="8">
        <v>-1.4163809000000001</v>
      </c>
      <c r="F4218" s="8">
        <v>-1.3519211</v>
      </c>
      <c r="G4218" s="7" t="str">
        <f t="shared" si="24"/>
        <v>Direct</v>
      </c>
      <c r="H4218" s="7" t="s">
        <v>923</v>
      </c>
    </row>
    <row r="4219" spans="1:8" x14ac:dyDescent="0.2">
      <c r="A4219" s="5" t="s">
        <v>27</v>
      </c>
      <c r="B4219" s="6" t="s">
        <v>19</v>
      </c>
      <c r="C4219" s="7" t="s">
        <v>4702</v>
      </c>
      <c r="D4219" s="7"/>
      <c r="E4219" s="8">
        <v>1.3524584399999999</v>
      </c>
      <c r="F4219" s="8">
        <v>1.08945107</v>
      </c>
      <c r="G4219" s="7" t="str">
        <f t="shared" si="24"/>
        <v>Direct</v>
      </c>
      <c r="H4219" s="7" t="s">
        <v>16</v>
      </c>
    </row>
    <row r="4220" spans="1:8" x14ac:dyDescent="0.2">
      <c r="A4220" s="5" t="s">
        <v>27</v>
      </c>
      <c r="B4220" s="6" t="s">
        <v>19</v>
      </c>
      <c r="C4220" s="7" t="s">
        <v>4703</v>
      </c>
      <c r="D4220" s="7"/>
      <c r="E4220" s="8">
        <v>-1.3301476999999999</v>
      </c>
      <c r="F4220" s="8">
        <v>-1.6092862000000001</v>
      </c>
      <c r="G4220" s="7" t="str">
        <f t="shared" si="24"/>
        <v>Direct</v>
      </c>
      <c r="H4220" s="7" t="s">
        <v>16</v>
      </c>
    </row>
    <row r="4221" spans="1:8" x14ac:dyDescent="0.2">
      <c r="A4221" s="5" t="s">
        <v>27</v>
      </c>
      <c r="B4221" s="6" t="s">
        <v>19</v>
      </c>
      <c r="C4221" s="7" t="s">
        <v>4704</v>
      </c>
      <c r="D4221" s="7"/>
      <c r="E4221" s="8">
        <v>-2.6152875999999998</v>
      </c>
      <c r="F4221" s="8">
        <v>-1.7885073</v>
      </c>
      <c r="G4221" s="7" t="str">
        <f t="shared" si="24"/>
        <v>Direct</v>
      </c>
      <c r="H4221" s="7" t="s">
        <v>4705</v>
      </c>
    </row>
    <row r="4222" spans="1:8" x14ac:dyDescent="0.2">
      <c r="A4222" s="5" t="s">
        <v>27</v>
      </c>
      <c r="B4222" s="6" t="s">
        <v>19</v>
      </c>
      <c r="C4222" s="7" t="s">
        <v>4706</v>
      </c>
      <c r="D4222" s="7"/>
      <c r="E4222" s="8">
        <v>2.4964741400000001</v>
      </c>
      <c r="F4222" s="8">
        <v>2.38144271</v>
      </c>
      <c r="G4222" s="7" t="str">
        <f t="shared" si="24"/>
        <v>Direct</v>
      </c>
      <c r="H4222" s="7" t="s">
        <v>16</v>
      </c>
    </row>
    <row r="4223" spans="1:8" x14ac:dyDescent="0.2">
      <c r="A4223" s="5" t="s">
        <v>27</v>
      </c>
      <c r="B4223" s="6" t="s">
        <v>19</v>
      </c>
      <c r="C4223" s="7" t="s">
        <v>4707</v>
      </c>
      <c r="D4223" s="7"/>
      <c r="E4223" s="8">
        <v>2.6562039799999999</v>
      </c>
      <c r="F4223" s="8">
        <v>2.5596898800000001</v>
      </c>
      <c r="G4223" s="7" t="str">
        <f t="shared" si="24"/>
        <v>Direct</v>
      </c>
      <c r="H4223" s="7" t="s">
        <v>16</v>
      </c>
    </row>
    <row r="4224" spans="1:8" x14ac:dyDescent="0.2">
      <c r="A4224" s="5" t="s">
        <v>27</v>
      </c>
      <c r="B4224" s="6" t="s">
        <v>19</v>
      </c>
      <c r="C4224" s="7" t="s">
        <v>4708</v>
      </c>
      <c r="D4224" s="7"/>
      <c r="E4224" s="8">
        <v>3.5170281000000001</v>
      </c>
      <c r="F4224" s="8">
        <v>3.0245932600000001</v>
      </c>
      <c r="G4224" s="7" t="str">
        <f t="shared" si="24"/>
        <v>Direct</v>
      </c>
      <c r="H4224" s="7" t="s">
        <v>16</v>
      </c>
    </row>
    <row r="4225" spans="1:8" x14ac:dyDescent="0.2">
      <c r="A4225" s="5" t="s">
        <v>27</v>
      </c>
      <c r="B4225" s="6" t="s">
        <v>19</v>
      </c>
      <c r="C4225" s="7" t="s">
        <v>4709</v>
      </c>
      <c r="D4225" s="7"/>
      <c r="E4225" s="8">
        <v>5.1777338200000003</v>
      </c>
      <c r="F4225" s="8">
        <v>5.8083008300000003</v>
      </c>
      <c r="G4225" s="7" t="str">
        <f t="shared" si="24"/>
        <v>Direct</v>
      </c>
      <c r="H4225" s="7" t="s">
        <v>16</v>
      </c>
    </row>
    <row r="4226" spans="1:8" x14ac:dyDescent="0.2">
      <c r="A4226" s="5" t="s">
        <v>27</v>
      </c>
      <c r="B4226" s="6" t="s">
        <v>19</v>
      </c>
      <c r="C4226" s="7" t="s">
        <v>4710</v>
      </c>
      <c r="D4226" s="7"/>
      <c r="E4226" s="8">
        <v>6.0202535099999999</v>
      </c>
      <c r="F4226" s="8">
        <v>6.6042322200000001</v>
      </c>
      <c r="G4226" s="7" t="str">
        <f t="shared" si="24"/>
        <v>Direct</v>
      </c>
      <c r="H4226" s="7" t="s">
        <v>16</v>
      </c>
    </row>
    <row r="4227" spans="1:8" x14ac:dyDescent="0.2">
      <c r="A4227" s="5" t="s">
        <v>27</v>
      </c>
      <c r="B4227" s="6" t="s">
        <v>19</v>
      </c>
      <c r="C4227" s="7" t="s">
        <v>4711</v>
      </c>
      <c r="D4227" s="7"/>
      <c r="E4227" s="8">
        <v>4.6971912500000004</v>
      </c>
      <c r="F4227" s="8">
        <v>4.1358100100000001</v>
      </c>
      <c r="G4227" s="7" t="str">
        <f t="shared" si="24"/>
        <v>Direct</v>
      </c>
      <c r="H4227" s="7" t="s">
        <v>16</v>
      </c>
    </row>
    <row r="4228" spans="1:8" x14ac:dyDescent="0.2">
      <c r="A4228" s="5" t="s">
        <v>27</v>
      </c>
      <c r="B4228" s="6" t="s">
        <v>19</v>
      </c>
      <c r="C4228" s="7" t="s">
        <v>4054</v>
      </c>
      <c r="D4228" s="7"/>
      <c r="E4228" s="8">
        <v>1.4888713200000001</v>
      </c>
      <c r="F4228" s="8">
        <v>3.5444852400000002</v>
      </c>
      <c r="G4228" s="7" t="str">
        <f t="shared" si="24"/>
        <v>Direct</v>
      </c>
      <c r="H4228" s="7" t="s">
        <v>2435</v>
      </c>
    </row>
    <row r="4229" spans="1:8" x14ac:dyDescent="0.2">
      <c r="A4229" s="5" t="s">
        <v>27</v>
      </c>
      <c r="B4229" s="6" t="s">
        <v>19</v>
      </c>
      <c r="C4229" s="7" t="s">
        <v>4712</v>
      </c>
      <c r="D4229" s="7"/>
      <c r="E4229" s="8">
        <v>-1.4902576000000001</v>
      </c>
      <c r="F4229" s="8">
        <v>-1.3051069</v>
      </c>
      <c r="G4229" s="7" t="str">
        <f t="shared" si="24"/>
        <v>Direct</v>
      </c>
      <c r="H4229" s="7" t="s">
        <v>16</v>
      </c>
    </row>
    <row r="4230" spans="1:8" x14ac:dyDescent="0.2">
      <c r="A4230" s="5" t="s">
        <v>27</v>
      </c>
      <c r="B4230" s="6" t="s">
        <v>19</v>
      </c>
      <c r="C4230" s="7" t="s">
        <v>4713</v>
      </c>
      <c r="D4230" s="7"/>
      <c r="E4230" s="8">
        <v>-1.8377082</v>
      </c>
      <c r="F4230" s="8">
        <v>-1.9976179999999999</v>
      </c>
      <c r="G4230" s="7" t="str">
        <f t="shared" si="24"/>
        <v>Direct</v>
      </c>
      <c r="H4230" s="7" t="s">
        <v>4714</v>
      </c>
    </row>
    <row r="4231" spans="1:8" x14ac:dyDescent="0.2">
      <c r="A4231" s="5" t="s">
        <v>27</v>
      </c>
      <c r="B4231" s="6" t="s">
        <v>19</v>
      </c>
      <c r="C4231" s="7" t="s">
        <v>4715</v>
      </c>
      <c r="D4231" s="7"/>
      <c r="E4231" s="8">
        <v>1.28722409</v>
      </c>
      <c r="F4231" s="8">
        <v>1.61193981</v>
      </c>
      <c r="G4231" s="7" t="str">
        <f t="shared" si="24"/>
        <v>Direct</v>
      </c>
      <c r="H4231" s="7" t="s">
        <v>728</v>
      </c>
    </row>
    <row r="4232" spans="1:8" x14ac:dyDescent="0.2">
      <c r="A4232" s="5" t="s">
        <v>27</v>
      </c>
      <c r="B4232" s="6" t="s">
        <v>19</v>
      </c>
      <c r="C4232" s="7" t="s">
        <v>4716</v>
      </c>
      <c r="D4232" s="7"/>
      <c r="E4232" s="8">
        <v>2.0588776900000001</v>
      </c>
      <c r="F4232" s="8">
        <v>1.77091709</v>
      </c>
      <c r="G4232" s="7" t="str">
        <f t="shared" si="24"/>
        <v>Direct</v>
      </c>
      <c r="H4232" s="7" t="s">
        <v>88</v>
      </c>
    </row>
    <row r="4233" spans="1:8" x14ac:dyDescent="0.2">
      <c r="A4233" s="5" t="s">
        <v>27</v>
      </c>
      <c r="B4233" s="6" t="s">
        <v>19</v>
      </c>
      <c r="C4233" s="7" t="s">
        <v>4717</v>
      </c>
      <c r="D4233" s="7"/>
      <c r="E4233" s="8">
        <v>-1.8940895</v>
      </c>
      <c r="F4233" s="8">
        <v>-1.4476386000000001</v>
      </c>
      <c r="G4233" s="7" t="str">
        <f t="shared" si="24"/>
        <v>Direct</v>
      </c>
      <c r="H4233" s="7" t="s">
        <v>16</v>
      </c>
    </row>
    <row r="4234" spans="1:8" x14ac:dyDescent="0.2">
      <c r="A4234" s="5" t="s">
        <v>27</v>
      </c>
      <c r="B4234" s="6" t="s">
        <v>19</v>
      </c>
      <c r="C4234" s="7" t="s">
        <v>4718</v>
      </c>
      <c r="D4234" s="7"/>
      <c r="E4234" s="8">
        <v>2.7311530500000001</v>
      </c>
      <c r="F4234" s="8">
        <v>2.4671289199999999</v>
      </c>
      <c r="G4234" s="7" t="str">
        <f t="shared" si="24"/>
        <v>Direct</v>
      </c>
      <c r="H4234" s="7" t="s">
        <v>16</v>
      </c>
    </row>
    <row r="4235" spans="1:8" x14ac:dyDescent="0.2">
      <c r="A4235" s="5" t="s">
        <v>27</v>
      </c>
      <c r="B4235" s="6" t="s">
        <v>19</v>
      </c>
      <c r="C4235" s="7" t="s">
        <v>4719</v>
      </c>
      <c r="D4235" s="7"/>
      <c r="E4235" s="8">
        <v>8.7009712199999996</v>
      </c>
      <c r="F4235" s="8">
        <v>4.4492710899999999</v>
      </c>
      <c r="G4235" s="7" t="str">
        <f t="shared" si="24"/>
        <v>Direct</v>
      </c>
      <c r="H4235" s="7" t="s">
        <v>16</v>
      </c>
    </row>
    <row r="4236" spans="1:8" x14ac:dyDescent="0.2">
      <c r="A4236" s="5" t="s">
        <v>27</v>
      </c>
      <c r="B4236" s="6" t="s">
        <v>19</v>
      </c>
      <c r="C4236" s="7" t="s">
        <v>4720</v>
      </c>
      <c r="D4236" s="7"/>
      <c r="E4236" s="8">
        <v>-1.8258460000000001</v>
      </c>
      <c r="F4236" s="8">
        <v>-1.0075373999999999</v>
      </c>
      <c r="G4236" s="7" t="str">
        <f t="shared" si="24"/>
        <v>Direct</v>
      </c>
      <c r="H4236" s="7" t="s">
        <v>2595</v>
      </c>
    </row>
    <row r="4237" spans="1:8" x14ac:dyDescent="0.2">
      <c r="A4237" s="5" t="s">
        <v>27</v>
      </c>
      <c r="B4237" s="6" t="s">
        <v>19</v>
      </c>
      <c r="C4237" s="7" t="s">
        <v>4721</v>
      </c>
      <c r="D4237" s="7"/>
      <c r="E4237" s="8">
        <v>1.13416227</v>
      </c>
      <c r="F4237" s="8">
        <v>1.04298099</v>
      </c>
      <c r="G4237" s="7" t="str">
        <f t="shared" si="24"/>
        <v>Direct</v>
      </c>
      <c r="H4237" s="7" t="s">
        <v>4722</v>
      </c>
    </row>
    <row r="4238" spans="1:8" x14ac:dyDescent="0.2">
      <c r="A4238" s="5" t="s">
        <v>27</v>
      </c>
      <c r="B4238" s="6" t="s">
        <v>19</v>
      </c>
      <c r="C4238" s="7" t="s">
        <v>4723</v>
      </c>
      <c r="D4238" s="7"/>
      <c r="E4238" s="8">
        <v>2.2394103400000001</v>
      </c>
      <c r="F4238" s="8">
        <v>3.6612792199999999</v>
      </c>
      <c r="G4238" s="7" t="str">
        <f t="shared" si="24"/>
        <v>Direct</v>
      </c>
      <c r="H4238" s="7" t="s">
        <v>1337</v>
      </c>
    </row>
    <row r="4239" spans="1:8" x14ac:dyDescent="0.2">
      <c r="A4239" s="5" t="s">
        <v>27</v>
      </c>
      <c r="B4239" s="6" t="s">
        <v>19</v>
      </c>
      <c r="C4239" s="7" t="s">
        <v>4055</v>
      </c>
      <c r="D4239" s="7"/>
      <c r="E4239" s="8">
        <v>10.9031193</v>
      </c>
      <c r="F4239" s="8">
        <v>11.777503599999999</v>
      </c>
      <c r="G4239" s="7" t="str">
        <f t="shared" si="24"/>
        <v>Direct</v>
      </c>
      <c r="H4239" s="7" t="s">
        <v>4056</v>
      </c>
    </row>
    <row r="4240" spans="1:8" x14ac:dyDescent="0.2">
      <c r="A4240" s="5" t="s">
        <v>27</v>
      </c>
      <c r="B4240" s="6" t="s">
        <v>19</v>
      </c>
      <c r="C4240" s="7" t="s">
        <v>4724</v>
      </c>
      <c r="D4240" s="7"/>
      <c r="E4240" s="8">
        <v>12.0092263</v>
      </c>
      <c r="F4240" s="8">
        <v>13.3219429</v>
      </c>
      <c r="G4240" s="7" t="str">
        <f t="shared" si="24"/>
        <v>Direct</v>
      </c>
      <c r="H4240" s="7" t="s">
        <v>4725</v>
      </c>
    </row>
    <row r="4241" spans="1:8" x14ac:dyDescent="0.2">
      <c r="A4241" s="5" t="s">
        <v>27</v>
      </c>
      <c r="B4241" s="6" t="s">
        <v>19</v>
      </c>
      <c r="C4241" s="7" t="s">
        <v>4726</v>
      </c>
      <c r="D4241" s="7"/>
      <c r="E4241" s="8">
        <v>-1.1792583999999999</v>
      </c>
      <c r="F4241" s="8">
        <v>-1.9683101999999999</v>
      </c>
      <c r="G4241" s="7" t="str">
        <f t="shared" si="24"/>
        <v>Direct</v>
      </c>
      <c r="H4241" s="7" t="s">
        <v>2619</v>
      </c>
    </row>
    <row r="4242" spans="1:8" x14ac:dyDescent="0.2">
      <c r="A4242" s="5" t="s">
        <v>27</v>
      </c>
      <c r="B4242" s="6" t="s">
        <v>19</v>
      </c>
      <c r="C4242" s="7" t="s">
        <v>4727</v>
      </c>
      <c r="D4242" s="7"/>
      <c r="E4242" s="8">
        <v>3.4592885400000002</v>
      </c>
      <c r="F4242" s="8">
        <v>2.0577750099999998</v>
      </c>
      <c r="G4242" s="7" t="str">
        <f t="shared" si="24"/>
        <v>Direct</v>
      </c>
      <c r="H4242" s="7" t="s">
        <v>4728</v>
      </c>
    </row>
    <row r="4243" spans="1:8" x14ac:dyDescent="0.2">
      <c r="A4243" s="5" t="s">
        <v>27</v>
      </c>
      <c r="B4243" s="6" t="s">
        <v>19</v>
      </c>
      <c r="C4243" s="7" t="s">
        <v>4729</v>
      </c>
      <c r="D4243" s="7"/>
      <c r="E4243" s="8">
        <v>6.4222653999999997</v>
      </c>
      <c r="F4243" s="8">
        <v>8.1402609399999992</v>
      </c>
      <c r="G4243" s="7" t="str">
        <f t="shared" si="24"/>
        <v>Direct</v>
      </c>
      <c r="H4243" s="7" t="s">
        <v>16</v>
      </c>
    </row>
    <row r="4244" spans="1:8" x14ac:dyDescent="0.2">
      <c r="A4244" s="5" t="s">
        <v>27</v>
      </c>
      <c r="B4244" s="6" t="s">
        <v>19</v>
      </c>
      <c r="C4244" s="7" t="s">
        <v>4730</v>
      </c>
      <c r="D4244" s="7"/>
      <c r="E4244" s="8">
        <v>-1.5546800999999999</v>
      </c>
      <c r="F4244" s="8">
        <v>-2.3059641000000002</v>
      </c>
      <c r="G4244" s="7" t="str">
        <f t="shared" si="24"/>
        <v>Direct</v>
      </c>
      <c r="H4244" s="7" t="s">
        <v>16</v>
      </c>
    </row>
    <row r="4245" spans="1:8" x14ac:dyDescent="0.2">
      <c r="A4245" s="5" t="s">
        <v>27</v>
      </c>
      <c r="B4245" s="6" t="s">
        <v>19</v>
      </c>
      <c r="C4245" s="7" t="s">
        <v>4731</v>
      </c>
      <c r="D4245" s="7"/>
      <c r="E4245" s="8">
        <v>-5.3595283</v>
      </c>
      <c r="F4245" s="8">
        <v>-5.1619115999999998</v>
      </c>
      <c r="G4245" s="7" t="str">
        <f t="shared" si="24"/>
        <v>Direct</v>
      </c>
      <c r="H4245" s="7" t="s">
        <v>2653</v>
      </c>
    </row>
    <row r="4246" spans="1:8" x14ac:dyDescent="0.2">
      <c r="A4246" s="5" t="s">
        <v>27</v>
      </c>
      <c r="B4246" s="6" t="s">
        <v>19</v>
      </c>
      <c r="C4246" s="7" t="s">
        <v>4732</v>
      </c>
      <c r="D4246" s="7"/>
      <c r="E4246" s="8">
        <v>2.2011650500000002</v>
      </c>
      <c r="F4246" s="8">
        <v>1.6337658900000001</v>
      </c>
      <c r="G4246" s="7" t="str">
        <f t="shared" si="24"/>
        <v>Direct</v>
      </c>
      <c r="H4246" s="7" t="s">
        <v>16</v>
      </c>
    </row>
    <row r="4247" spans="1:8" x14ac:dyDescent="0.2">
      <c r="A4247" s="5" t="s">
        <v>27</v>
      </c>
      <c r="B4247" s="6" t="s">
        <v>19</v>
      </c>
      <c r="C4247" s="7" t="s">
        <v>4733</v>
      </c>
      <c r="D4247" s="7"/>
      <c r="E4247" s="8">
        <v>2.4085393800000001</v>
      </c>
      <c r="F4247" s="8">
        <v>1.51741272</v>
      </c>
      <c r="G4247" s="7" t="str">
        <f t="shared" si="24"/>
        <v>Direct</v>
      </c>
      <c r="H4247" s="7" t="s">
        <v>16</v>
      </c>
    </row>
    <row r="4248" spans="1:8" x14ac:dyDescent="0.2">
      <c r="A4248" s="5" t="s">
        <v>27</v>
      </c>
      <c r="B4248" s="6" t="s">
        <v>19</v>
      </c>
      <c r="C4248" s="7" t="s">
        <v>4734</v>
      </c>
      <c r="D4248" s="7"/>
      <c r="E4248" s="8">
        <v>1.0016873799999999</v>
      </c>
      <c r="F4248" s="8">
        <v>2.13319255</v>
      </c>
      <c r="G4248" s="7" t="str">
        <f t="shared" si="24"/>
        <v>Direct</v>
      </c>
      <c r="H4248" s="7" t="s">
        <v>16</v>
      </c>
    </row>
    <row r="4249" spans="1:8" x14ac:dyDescent="0.2">
      <c r="A4249" s="5" t="s">
        <v>27</v>
      </c>
      <c r="B4249" s="6" t="s">
        <v>19</v>
      </c>
      <c r="C4249" s="7" t="s">
        <v>4735</v>
      </c>
      <c r="D4249" s="7"/>
      <c r="E4249" s="8">
        <v>-2.3189283999999999</v>
      </c>
      <c r="F4249" s="8">
        <v>-2.4677874000000002</v>
      </c>
      <c r="G4249" s="7" t="str">
        <f t="shared" si="24"/>
        <v>Direct</v>
      </c>
      <c r="H4249" s="7" t="s">
        <v>2559</v>
      </c>
    </row>
    <row r="4250" spans="1:8" x14ac:dyDescent="0.2">
      <c r="A4250" s="5" t="s">
        <v>27</v>
      </c>
      <c r="B4250" s="6" t="s">
        <v>19</v>
      </c>
      <c r="C4250" s="7" t="s">
        <v>4736</v>
      </c>
      <c r="D4250" s="7"/>
      <c r="E4250" s="8">
        <v>-15.113773</v>
      </c>
      <c r="F4250" s="8">
        <v>-17.681491999999999</v>
      </c>
      <c r="G4250" s="7" t="str">
        <f t="shared" si="24"/>
        <v>Direct</v>
      </c>
      <c r="H4250" s="7" t="s">
        <v>442</v>
      </c>
    </row>
    <row r="4251" spans="1:8" x14ac:dyDescent="0.2">
      <c r="A4251" s="5" t="s">
        <v>27</v>
      </c>
      <c r="B4251" s="6" t="s">
        <v>19</v>
      </c>
      <c r="C4251" s="7" t="s">
        <v>4737</v>
      </c>
      <c r="D4251" s="7"/>
      <c r="E4251" s="8">
        <v>2.9914695600000001</v>
      </c>
      <c r="F4251" s="8">
        <v>2.77470265</v>
      </c>
      <c r="G4251" s="7" t="str">
        <f t="shared" si="24"/>
        <v>Direct</v>
      </c>
      <c r="H4251" s="7" t="s">
        <v>16</v>
      </c>
    </row>
    <row r="4252" spans="1:8" x14ac:dyDescent="0.2">
      <c r="A4252" s="5" t="s">
        <v>27</v>
      </c>
      <c r="B4252" s="6" t="s">
        <v>19</v>
      </c>
      <c r="C4252" s="7" t="s">
        <v>4057</v>
      </c>
      <c r="D4252" s="7"/>
      <c r="E4252" s="8">
        <v>1.5426320899999999</v>
      </c>
      <c r="F4252" s="8">
        <v>1.8879718599999999</v>
      </c>
      <c r="G4252" s="7" t="str">
        <f t="shared" si="24"/>
        <v>Direct</v>
      </c>
      <c r="H4252" s="7" t="s">
        <v>4058</v>
      </c>
    </row>
    <row r="4253" spans="1:8" x14ac:dyDescent="0.2">
      <c r="A4253" s="5" t="s">
        <v>27</v>
      </c>
      <c r="B4253" s="6" t="s">
        <v>19</v>
      </c>
      <c r="C4253" s="7" t="s">
        <v>4059</v>
      </c>
      <c r="D4253" s="7"/>
      <c r="E4253" s="8">
        <v>2.92864097</v>
      </c>
      <c r="F4253" s="8">
        <v>3.0585851499999999</v>
      </c>
      <c r="G4253" s="7" t="str">
        <f t="shared" si="24"/>
        <v>Direct</v>
      </c>
      <c r="H4253" s="7" t="s">
        <v>4058</v>
      </c>
    </row>
    <row r="4254" spans="1:8" x14ac:dyDescent="0.2">
      <c r="A4254" s="5" t="s">
        <v>27</v>
      </c>
      <c r="B4254" s="6" t="s">
        <v>19</v>
      </c>
      <c r="C4254" s="7" t="s">
        <v>4060</v>
      </c>
      <c r="D4254" s="7"/>
      <c r="E4254" s="8">
        <v>4.4870612699999999</v>
      </c>
      <c r="F4254" s="8">
        <v>3.88025507</v>
      </c>
      <c r="G4254" s="7" t="str">
        <f t="shared" si="24"/>
        <v>Direct</v>
      </c>
      <c r="H4254" s="7" t="s">
        <v>4061</v>
      </c>
    </row>
    <row r="4255" spans="1:8" x14ac:dyDescent="0.2">
      <c r="A4255" s="5" t="s">
        <v>27</v>
      </c>
      <c r="B4255" s="6" t="s">
        <v>19</v>
      </c>
      <c r="C4255" s="7" t="s">
        <v>4738</v>
      </c>
      <c r="D4255" s="7"/>
      <c r="E4255" s="8">
        <v>4.0589712499999999</v>
      </c>
      <c r="F4255" s="8">
        <v>2.9556365900000001</v>
      </c>
      <c r="G4255" s="7" t="str">
        <f t="shared" si="24"/>
        <v>Direct</v>
      </c>
      <c r="H4255" s="7" t="s">
        <v>4739</v>
      </c>
    </row>
    <row r="4256" spans="1:8" x14ac:dyDescent="0.2">
      <c r="A4256" s="5" t="s">
        <v>27</v>
      </c>
      <c r="B4256" s="6" t="s">
        <v>19</v>
      </c>
      <c r="C4256" s="7" t="s">
        <v>4740</v>
      </c>
      <c r="D4256" s="7"/>
      <c r="E4256" s="8">
        <v>2.6721877200000002</v>
      </c>
      <c r="F4256" s="8">
        <v>1.5038605</v>
      </c>
      <c r="G4256" s="7" t="str">
        <f t="shared" si="24"/>
        <v>Direct</v>
      </c>
      <c r="H4256" s="7" t="s">
        <v>248</v>
      </c>
    </row>
    <row r="4257" spans="1:8" x14ac:dyDescent="0.2">
      <c r="A4257" s="5" t="s">
        <v>27</v>
      </c>
      <c r="B4257" s="6" t="s">
        <v>19</v>
      </c>
      <c r="C4257" s="7" t="s">
        <v>4062</v>
      </c>
      <c r="D4257" s="7"/>
      <c r="E4257" s="8">
        <v>1.6752047999999999</v>
      </c>
      <c r="F4257" s="8">
        <v>3.1907296399999998</v>
      </c>
      <c r="G4257" s="7" t="str">
        <f t="shared" si="24"/>
        <v>Direct</v>
      </c>
      <c r="H4257" s="7" t="s">
        <v>1108</v>
      </c>
    </row>
    <row r="4258" spans="1:8" x14ac:dyDescent="0.2">
      <c r="A4258" s="5" t="s">
        <v>27</v>
      </c>
      <c r="B4258" s="6" t="s">
        <v>19</v>
      </c>
      <c r="C4258" s="7" t="s">
        <v>4741</v>
      </c>
      <c r="D4258" s="7"/>
      <c r="E4258" s="8">
        <v>-2.9184323000000001</v>
      </c>
      <c r="F4258" s="8">
        <v>-1.6683711999999999</v>
      </c>
      <c r="G4258" s="7" t="str">
        <f t="shared" si="24"/>
        <v>Direct</v>
      </c>
      <c r="H4258" s="7" t="s">
        <v>2614</v>
      </c>
    </row>
    <row r="4259" spans="1:8" x14ac:dyDescent="0.2">
      <c r="A4259" s="5" t="s">
        <v>27</v>
      </c>
      <c r="B4259" s="6" t="s">
        <v>19</v>
      </c>
      <c r="C4259" s="7" t="s">
        <v>4742</v>
      </c>
      <c r="D4259" s="7"/>
      <c r="E4259" s="8">
        <v>1.1748337499999999</v>
      </c>
      <c r="F4259" s="8">
        <v>1.7543920799999999</v>
      </c>
      <c r="G4259" s="7" t="str">
        <f t="shared" si="24"/>
        <v>Direct</v>
      </c>
      <c r="H4259" s="7" t="s">
        <v>4743</v>
      </c>
    </row>
    <row r="4260" spans="1:8" x14ac:dyDescent="0.2">
      <c r="A4260" s="5" t="s">
        <v>27</v>
      </c>
      <c r="B4260" s="6" t="s">
        <v>19</v>
      </c>
      <c r="C4260" s="7" t="s">
        <v>4744</v>
      </c>
      <c r="D4260" s="7"/>
      <c r="E4260" s="8">
        <v>-1.7588994</v>
      </c>
      <c r="F4260" s="8">
        <v>-2.1530963999999999</v>
      </c>
      <c r="G4260" s="7" t="str">
        <f t="shared" si="24"/>
        <v>Direct</v>
      </c>
      <c r="H4260" s="7" t="s">
        <v>4745</v>
      </c>
    </row>
    <row r="4261" spans="1:8" x14ac:dyDescent="0.2">
      <c r="A4261" s="5" t="s">
        <v>27</v>
      </c>
      <c r="B4261" s="6" t="s">
        <v>19</v>
      </c>
      <c r="C4261" s="7" t="s">
        <v>4746</v>
      </c>
      <c r="D4261" s="7"/>
      <c r="E4261" s="8">
        <v>-2.1201230999999998</v>
      </c>
      <c r="F4261" s="8">
        <v>-1.8172847999999999</v>
      </c>
      <c r="G4261" s="7" t="str">
        <f t="shared" si="24"/>
        <v>Direct</v>
      </c>
      <c r="H4261" s="7" t="s">
        <v>2139</v>
      </c>
    </row>
    <row r="4262" spans="1:8" x14ac:dyDescent="0.2">
      <c r="A4262" s="5" t="s">
        <v>27</v>
      </c>
      <c r="B4262" s="6" t="s">
        <v>19</v>
      </c>
      <c r="C4262" s="7" t="s">
        <v>4747</v>
      </c>
      <c r="D4262" s="7"/>
      <c r="E4262" s="8">
        <v>-8.4779517999999996</v>
      </c>
      <c r="F4262" s="8">
        <v>-7.7982316000000003</v>
      </c>
      <c r="G4262" s="7" t="str">
        <f t="shared" si="24"/>
        <v>Direct</v>
      </c>
      <c r="H4262" s="7" t="s">
        <v>4748</v>
      </c>
    </row>
    <row r="4263" spans="1:8" x14ac:dyDescent="0.2">
      <c r="A4263" s="5" t="s">
        <v>27</v>
      </c>
      <c r="B4263" s="6" t="s">
        <v>19</v>
      </c>
      <c r="C4263" s="7" t="s">
        <v>4749</v>
      </c>
      <c r="D4263" s="7"/>
      <c r="E4263" s="8">
        <v>-1.0666032000000001</v>
      </c>
      <c r="F4263" s="8">
        <v>-1.2327973000000001</v>
      </c>
      <c r="G4263" s="7" t="str">
        <f t="shared" si="24"/>
        <v>Direct</v>
      </c>
      <c r="H4263" s="7" t="s">
        <v>4750</v>
      </c>
    </row>
    <row r="4264" spans="1:8" x14ac:dyDescent="0.2">
      <c r="A4264" s="5" t="s">
        <v>27</v>
      </c>
      <c r="B4264" s="6" t="s">
        <v>19</v>
      </c>
      <c r="C4264" s="7" t="s">
        <v>4751</v>
      </c>
      <c r="D4264" s="7"/>
      <c r="E4264" s="8">
        <v>-3.7469337</v>
      </c>
      <c r="F4264" s="8">
        <v>-3.1387371000000002</v>
      </c>
      <c r="G4264" s="7" t="str">
        <f t="shared" si="24"/>
        <v>Direct</v>
      </c>
      <c r="H4264" s="7" t="s">
        <v>16</v>
      </c>
    </row>
    <row r="4265" spans="1:8" x14ac:dyDescent="0.2">
      <c r="A4265" s="5" t="s">
        <v>27</v>
      </c>
      <c r="B4265" s="6" t="s">
        <v>19</v>
      </c>
      <c r="C4265" s="7" t="s">
        <v>4752</v>
      </c>
      <c r="D4265" s="7"/>
      <c r="E4265" s="8">
        <v>4.4488784800000003</v>
      </c>
      <c r="F4265" s="8">
        <v>4.29733973</v>
      </c>
      <c r="G4265" s="7" t="str">
        <f t="shared" si="24"/>
        <v>Direct</v>
      </c>
      <c r="H4265" s="7" t="s">
        <v>4753</v>
      </c>
    </row>
    <row r="4266" spans="1:8" x14ac:dyDescent="0.2">
      <c r="A4266" s="5" t="s">
        <v>27</v>
      </c>
      <c r="B4266" s="6" t="s">
        <v>19</v>
      </c>
      <c r="C4266" s="7" t="s">
        <v>4754</v>
      </c>
      <c r="D4266" s="7"/>
      <c r="E4266" s="8">
        <v>-1.9320198</v>
      </c>
      <c r="F4266" s="8">
        <v>-2.2144449000000002</v>
      </c>
      <c r="G4266" s="7" t="str">
        <f t="shared" si="24"/>
        <v>Direct</v>
      </c>
      <c r="H4266" s="7" t="s">
        <v>16</v>
      </c>
    </row>
    <row r="4267" spans="1:8" x14ac:dyDescent="0.2">
      <c r="A4267" s="5" t="s">
        <v>27</v>
      </c>
      <c r="B4267" s="6" t="s">
        <v>19</v>
      </c>
      <c r="C4267" s="7" t="s">
        <v>4755</v>
      </c>
      <c r="D4267" s="7"/>
      <c r="E4267" s="8">
        <v>-3.2546751999999999</v>
      </c>
      <c r="F4267" s="8">
        <v>-4.6040742999999997</v>
      </c>
      <c r="G4267" s="7" t="str">
        <f t="shared" si="24"/>
        <v>Direct</v>
      </c>
      <c r="H4267" s="7" t="s">
        <v>16</v>
      </c>
    </row>
    <row r="4268" spans="1:8" x14ac:dyDescent="0.2">
      <c r="A4268" s="5" t="s">
        <v>27</v>
      </c>
      <c r="B4268" s="6" t="s">
        <v>19</v>
      </c>
      <c r="C4268" s="7" t="s">
        <v>4756</v>
      </c>
      <c r="D4268" s="7"/>
      <c r="E4268" s="8">
        <v>-4.6632527000000001</v>
      </c>
      <c r="F4268" s="8">
        <v>-7.0778426000000003</v>
      </c>
      <c r="G4268" s="7" t="str">
        <f t="shared" si="24"/>
        <v>Direct</v>
      </c>
      <c r="H4268" s="7" t="s">
        <v>4757</v>
      </c>
    </row>
    <row r="4269" spans="1:8" x14ac:dyDescent="0.2">
      <c r="A4269" s="5" t="s">
        <v>27</v>
      </c>
      <c r="B4269" s="6" t="s">
        <v>19</v>
      </c>
      <c r="C4269" s="7" t="s">
        <v>4758</v>
      </c>
      <c r="D4269" s="7"/>
      <c r="E4269" s="8">
        <v>-2.7793469000000002</v>
      </c>
      <c r="F4269" s="8">
        <v>-1.663478</v>
      </c>
      <c r="G4269" s="7" t="str">
        <f t="shared" si="24"/>
        <v>Direct</v>
      </c>
      <c r="H4269" s="7" t="s">
        <v>4759</v>
      </c>
    </row>
    <row r="4270" spans="1:8" x14ac:dyDescent="0.2">
      <c r="A4270" s="5" t="s">
        <v>27</v>
      </c>
      <c r="B4270" s="6" t="s">
        <v>19</v>
      </c>
      <c r="C4270" s="7" t="s">
        <v>4760</v>
      </c>
      <c r="D4270" s="7"/>
      <c r="E4270" s="8">
        <v>1.1466803299999999</v>
      </c>
      <c r="F4270" s="8">
        <v>1.26476561</v>
      </c>
      <c r="G4270" s="7" t="str">
        <f t="shared" si="24"/>
        <v>Direct</v>
      </c>
      <c r="H4270" s="7" t="s">
        <v>1093</v>
      </c>
    </row>
    <row r="4271" spans="1:8" x14ac:dyDescent="0.2">
      <c r="A4271" s="5" t="s">
        <v>27</v>
      </c>
      <c r="B4271" s="6" t="s">
        <v>19</v>
      </c>
      <c r="C4271" s="7" t="s">
        <v>4761</v>
      </c>
      <c r="D4271" s="7"/>
      <c r="E4271" s="8">
        <v>-7.1296106000000004</v>
      </c>
      <c r="F4271" s="8">
        <v>-5.0224048999999997</v>
      </c>
      <c r="G4271" s="7" t="str">
        <f t="shared" si="24"/>
        <v>Direct</v>
      </c>
      <c r="H4271" s="7" t="s">
        <v>16</v>
      </c>
    </row>
    <row r="4272" spans="1:8" x14ac:dyDescent="0.2">
      <c r="A4272" s="5" t="s">
        <v>27</v>
      </c>
      <c r="B4272" s="6" t="s">
        <v>19</v>
      </c>
      <c r="C4272" s="7" t="s">
        <v>4762</v>
      </c>
      <c r="D4272" s="7"/>
      <c r="E4272" s="8">
        <v>2.7075482800000001</v>
      </c>
      <c r="F4272" s="8">
        <v>5.4913466199999998</v>
      </c>
      <c r="G4272" s="7" t="str">
        <f t="shared" si="24"/>
        <v>Direct</v>
      </c>
      <c r="H4272" s="7" t="s">
        <v>16</v>
      </c>
    </row>
    <row r="4273" spans="1:8" x14ac:dyDescent="0.2">
      <c r="A4273" s="5" t="s">
        <v>27</v>
      </c>
      <c r="B4273" s="6" t="s">
        <v>19</v>
      </c>
      <c r="C4273" s="7" t="s">
        <v>4763</v>
      </c>
      <c r="D4273" s="7"/>
      <c r="E4273" s="8">
        <v>-1.3413278</v>
      </c>
      <c r="F4273" s="8">
        <v>-1.8716021</v>
      </c>
      <c r="G4273" s="7" t="str">
        <f t="shared" si="24"/>
        <v>Direct</v>
      </c>
      <c r="H4273" s="7" t="s">
        <v>16</v>
      </c>
    </row>
    <row r="4274" spans="1:8" x14ac:dyDescent="0.2">
      <c r="A4274" s="5" t="s">
        <v>27</v>
      </c>
      <c r="B4274" s="6" t="s">
        <v>19</v>
      </c>
      <c r="C4274" s="7" t="s">
        <v>4764</v>
      </c>
      <c r="D4274" s="7"/>
      <c r="E4274" s="8">
        <v>1.44660016</v>
      </c>
      <c r="F4274" s="8">
        <v>1.4451142100000001</v>
      </c>
      <c r="G4274" s="7" t="str">
        <f t="shared" si="24"/>
        <v>Direct</v>
      </c>
      <c r="H4274" s="7" t="s">
        <v>4765</v>
      </c>
    </row>
    <row r="4275" spans="1:8" x14ac:dyDescent="0.2">
      <c r="A4275" s="5" t="s">
        <v>27</v>
      </c>
      <c r="B4275" s="6" t="s">
        <v>19</v>
      </c>
      <c r="C4275" s="7" t="s">
        <v>4766</v>
      </c>
      <c r="D4275" s="7"/>
      <c r="E4275" s="8">
        <v>-1.0982215</v>
      </c>
      <c r="F4275" s="8">
        <v>-1.0376373000000001</v>
      </c>
      <c r="G4275" s="7" t="str">
        <f t="shared" si="24"/>
        <v>Direct</v>
      </c>
      <c r="H4275" s="7" t="s">
        <v>1185</v>
      </c>
    </row>
    <row r="4276" spans="1:8" x14ac:dyDescent="0.2">
      <c r="A4276" s="5" t="s">
        <v>27</v>
      </c>
      <c r="B4276" s="6" t="s">
        <v>19</v>
      </c>
      <c r="C4276" s="7" t="s">
        <v>4767</v>
      </c>
      <c r="D4276" s="7"/>
      <c r="E4276" s="8">
        <v>-2.4102993000000001</v>
      </c>
      <c r="F4276" s="8">
        <v>-3.5708514</v>
      </c>
      <c r="G4276" s="7" t="str">
        <f t="shared" si="24"/>
        <v>Direct</v>
      </c>
      <c r="H4276" s="7" t="s">
        <v>4406</v>
      </c>
    </row>
    <row r="4277" spans="1:8" x14ac:dyDescent="0.2">
      <c r="A4277" s="5" t="s">
        <v>27</v>
      </c>
      <c r="B4277" s="6" t="s">
        <v>19</v>
      </c>
      <c r="C4277" s="7" t="s">
        <v>4768</v>
      </c>
      <c r="D4277" s="7"/>
      <c r="E4277" s="8">
        <v>1.05655777</v>
      </c>
      <c r="F4277" s="8">
        <v>1.10282357</v>
      </c>
      <c r="G4277" s="7" t="str">
        <f t="shared" si="24"/>
        <v>Direct</v>
      </c>
      <c r="H4277" s="7" t="s">
        <v>4769</v>
      </c>
    </row>
    <row r="4278" spans="1:8" x14ac:dyDescent="0.2">
      <c r="A4278" s="5" t="s">
        <v>27</v>
      </c>
      <c r="B4278" s="6" t="s">
        <v>19</v>
      </c>
      <c r="C4278" s="7" t="s">
        <v>4770</v>
      </c>
      <c r="D4278" s="7"/>
      <c r="E4278" s="8">
        <v>10.541785300000001</v>
      </c>
      <c r="F4278" s="8">
        <v>16.650311299999998</v>
      </c>
      <c r="G4278" s="7" t="str">
        <f t="shared" si="24"/>
        <v>Direct</v>
      </c>
      <c r="H4278" s="7" t="s">
        <v>1131</v>
      </c>
    </row>
    <row r="4279" spans="1:8" x14ac:dyDescent="0.2">
      <c r="A4279" s="5" t="s">
        <v>27</v>
      </c>
      <c r="B4279" s="6" t="s">
        <v>19</v>
      </c>
      <c r="C4279" s="7" t="s">
        <v>4771</v>
      </c>
      <c r="D4279" s="7"/>
      <c r="E4279" s="8">
        <v>-3.2802639999999998</v>
      </c>
      <c r="F4279" s="8">
        <v>-3.4327022999999999</v>
      </c>
      <c r="G4279" s="7" t="str">
        <f t="shared" si="24"/>
        <v>Direct</v>
      </c>
      <c r="H4279" s="7" t="s">
        <v>1021</v>
      </c>
    </row>
    <row r="4280" spans="1:8" x14ac:dyDescent="0.2">
      <c r="A4280" s="5" t="s">
        <v>27</v>
      </c>
      <c r="B4280" s="6" t="s">
        <v>19</v>
      </c>
      <c r="C4280" s="7" t="s">
        <v>4772</v>
      </c>
      <c r="D4280" s="7"/>
      <c r="E4280" s="8">
        <v>-2.6170083000000002</v>
      </c>
      <c r="F4280" s="8">
        <v>-2.6179250000000001</v>
      </c>
      <c r="G4280" s="7" t="str">
        <f t="shared" si="24"/>
        <v>Direct</v>
      </c>
      <c r="H4280" s="7" t="s">
        <v>16</v>
      </c>
    </row>
    <row r="4281" spans="1:8" x14ac:dyDescent="0.2">
      <c r="A4281" s="5" t="s">
        <v>27</v>
      </c>
      <c r="B4281" s="6" t="s">
        <v>19</v>
      </c>
      <c r="C4281" s="7" t="s">
        <v>4773</v>
      </c>
      <c r="D4281" s="7"/>
      <c r="E4281" s="8">
        <v>-1.7534036</v>
      </c>
      <c r="F4281" s="8">
        <v>-1.7386394000000001</v>
      </c>
      <c r="G4281" s="7" t="str">
        <f t="shared" si="24"/>
        <v>Direct</v>
      </c>
      <c r="H4281" s="7" t="s">
        <v>16</v>
      </c>
    </row>
    <row r="4282" spans="1:8" x14ac:dyDescent="0.2">
      <c r="A4282" s="5" t="s">
        <v>27</v>
      </c>
      <c r="B4282" s="6" t="s">
        <v>19</v>
      </c>
      <c r="C4282" s="7" t="s">
        <v>4774</v>
      </c>
      <c r="D4282" s="7"/>
      <c r="E4282" s="8">
        <v>-1.1009476</v>
      </c>
      <c r="F4282" s="8">
        <v>-1.7126034999999999</v>
      </c>
      <c r="G4282" s="7" t="str">
        <f t="shared" si="24"/>
        <v>Direct</v>
      </c>
      <c r="H4282" s="7" t="s">
        <v>4775</v>
      </c>
    </row>
    <row r="4283" spans="1:8" x14ac:dyDescent="0.2">
      <c r="A4283" s="5" t="s">
        <v>27</v>
      </c>
      <c r="B4283" s="6" t="s">
        <v>19</v>
      </c>
      <c r="C4283" s="7" t="s">
        <v>4776</v>
      </c>
      <c r="D4283" s="7"/>
      <c r="E4283" s="8">
        <v>-1.3412550000000001</v>
      </c>
      <c r="F4283" s="8">
        <v>-1.1724251000000001</v>
      </c>
      <c r="G4283" s="7" t="str">
        <f t="shared" si="24"/>
        <v>Direct</v>
      </c>
      <c r="H4283" s="7" t="s">
        <v>16</v>
      </c>
    </row>
    <row r="4284" spans="1:8" x14ac:dyDescent="0.2">
      <c r="A4284" s="5" t="s">
        <v>27</v>
      </c>
      <c r="B4284" s="6" t="s">
        <v>19</v>
      </c>
      <c r="C4284" s="7" t="s">
        <v>4777</v>
      </c>
      <c r="D4284" s="7"/>
      <c r="E4284" s="8">
        <v>3.0187839799999998</v>
      </c>
      <c r="F4284" s="8">
        <v>3.8600829999999999</v>
      </c>
      <c r="G4284" s="7" t="str">
        <f t="shared" si="24"/>
        <v>Direct</v>
      </c>
      <c r="H4284" s="7" t="s">
        <v>16</v>
      </c>
    </row>
    <row r="4285" spans="1:8" x14ac:dyDescent="0.2">
      <c r="A4285" s="5" t="s">
        <v>27</v>
      </c>
      <c r="B4285" s="6" t="s">
        <v>19</v>
      </c>
      <c r="C4285" s="7" t="s">
        <v>4063</v>
      </c>
      <c r="D4285" s="7"/>
      <c r="E4285" s="8">
        <v>3.0789868</v>
      </c>
      <c r="F4285" s="8">
        <v>2.5967800900000002</v>
      </c>
      <c r="G4285" s="7" t="str">
        <f t="shared" si="24"/>
        <v>Direct</v>
      </c>
      <c r="H4285" s="7" t="s">
        <v>1158</v>
      </c>
    </row>
    <row r="4286" spans="1:8" x14ac:dyDescent="0.2">
      <c r="A4286" s="5" t="s">
        <v>27</v>
      </c>
      <c r="B4286" s="6" t="s">
        <v>19</v>
      </c>
      <c r="C4286" s="7" t="s">
        <v>4064</v>
      </c>
      <c r="D4286" s="7"/>
      <c r="E4286" s="8">
        <v>2.8111674600000001</v>
      </c>
      <c r="F4286" s="8">
        <v>3.4066542499999999</v>
      </c>
      <c r="G4286" s="7" t="str">
        <f t="shared" si="24"/>
        <v>Direct</v>
      </c>
      <c r="H4286" s="7" t="s">
        <v>16</v>
      </c>
    </row>
    <row r="4287" spans="1:8" x14ac:dyDescent="0.2">
      <c r="A4287" s="5" t="s">
        <v>27</v>
      </c>
      <c r="B4287" s="6" t="s">
        <v>19</v>
      </c>
      <c r="C4287" s="7" t="s">
        <v>4778</v>
      </c>
      <c r="D4287" s="7"/>
      <c r="E4287" s="8">
        <v>-2.3087521</v>
      </c>
      <c r="F4287" s="8">
        <v>-2.6167460999999999</v>
      </c>
      <c r="G4287" s="7" t="str">
        <f t="shared" si="24"/>
        <v>Direct</v>
      </c>
      <c r="H4287" s="7" t="s">
        <v>16</v>
      </c>
    </row>
    <row r="4288" spans="1:8" x14ac:dyDescent="0.2">
      <c r="A4288" s="5" t="s">
        <v>27</v>
      </c>
      <c r="B4288" s="6" t="s">
        <v>19</v>
      </c>
      <c r="C4288" s="7" t="s">
        <v>4779</v>
      </c>
      <c r="D4288" s="7"/>
      <c r="E4288" s="8">
        <v>-2.8323703999999998</v>
      </c>
      <c r="F4288" s="8">
        <v>-7.1980677999999996</v>
      </c>
      <c r="G4288" s="7" t="str">
        <f t="shared" si="24"/>
        <v>Direct</v>
      </c>
      <c r="H4288" s="7" t="s">
        <v>16</v>
      </c>
    </row>
    <row r="4289" spans="1:8" x14ac:dyDescent="0.2">
      <c r="A4289" s="5" t="s">
        <v>27</v>
      </c>
      <c r="B4289" s="6" t="s">
        <v>19</v>
      </c>
      <c r="C4289" s="7" t="s">
        <v>4065</v>
      </c>
      <c r="D4289" s="7"/>
      <c r="E4289" s="8">
        <v>4.3258736999999998</v>
      </c>
      <c r="F4289" s="8">
        <v>3.7331735400000001</v>
      </c>
      <c r="G4289" s="7" t="str">
        <f t="shared" si="24"/>
        <v>Direct</v>
      </c>
      <c r="H4289" s="7" t="s">
        <v>1171</v>
      </c>
    </row>
    <row r="4290" spans="1:8" x14ac:dyDescent="0.2">
      <c r="A4290" s="5" t="s">
        <v>27</v>
      </c>
      <c r="B4290" s="6" t="s">
        <v>19</v>
      </c>
      <c r="C4290" s="7" t="s">
        <v>4780</v>
      </c>
      <c r="D4290" s="7"/>
      <c r="E4290" s="8">
        <v>-3.9292440000000002</v>
      </c>
      <c r="F4290" s="8">
        <v>-3.0073177000000002</v>
      </c>
      <c r="G4290" s="7" t="str">
        <f t="shared" si="24"/>
        <v>Direct</v>
      </c>
      <c r="H4290" s="7" t="s">
        <v>16</v>
      </c>
    </row>
    <row r="4291" spans="1:8" x14ac:dyDescent="0.2">
      <c r="A4291" s="5" t="s">
        <v>27</v>
      </c>
      <c r="B4291" s="6" t="s">
        <v>19</v>
      </c>
      <c r="C4291" s="7" t="s">
        <v>4781</v>
      </c>
      <c r="D4291" s="7"/>
      <c r="E4291" s="8">
        <v>2.95999984</v>
      </c>
      <c r="F4291" s="8">
        <v>4.6534168100000004</v>
      </c>
      <c r="G4291" s="7" t="str">
        <f t="shared" si="24"/>
        <v>Direct</v>
      </c>
      <c r="H4291" s="7" t="s">
        <v>4782</v>
      </c>
    </row>
    <row r="4292" spans="1:8" x14ac:dyDescent="0.2">
      <c r="A4292" s="5" t="s">
        <v>27</v>
      </c>
      <c r="B4292" s="6" t="s">
        <v>19</v>
      </c>
      <c r="C4292" s="7" t="s">
        <v>4783</v>
      </c>
      <c r="D4292" s="7"/>
      <c r="E4292" s="8">
        <v>1.85644388</v>
      </c>
      <c r="F4292" s="8">
        <v>2.6718590999999998</v>
      </c>
      <c r="G4292" s="7" t="str">
        <f t="shared" si="24"/>
        <v>Direct</v>
      </c>
      <c r="H4292" s="7" t="s">
        <v>2048</v>
      </c>
    </row>
    <row r="4293" spans="1:8" x14ac:dyDescent="0.2">
      <c r="A4293" s="5" t="s">
        <v>27</v>
      </c>
      <c r="B4293" s="6" t="s">
        <v>19</v>
      </c>
      <c r="C4293" s="7" t="s">
        <v>4784</v>
      </c>
      <c r="D4293" s="7"/>
      <c r="E4293" s="8">
        <v>-3.7564603000000001</v>
      </c>
      <c r="F4293" s="8">
        <v>-2.9270089000000001</v>
      </c>
      <c r="G4293" s="7" t="str">
        <f t="shared" si="24"/>
        <v>Direct</v>
      </c>
      <c r="H4293" s="7" t="s">
        <v>4785</v>
      </c>
    </row>
    <row r="4294" spans="1:8" x14ac:dyDescent="0.2">
      <c r="A4294" s="5" t="s">
        <v>27</v>
      </c>
      <c r="B4294" s="6" t="s">
        <v>19</v>
      </c>
      <c r="C4294" s="7" t="s">
        <v>4786</v>
      </c>
      <c r="D4294" s="7"/>
      <c r="E4294" s="8">
        <v>-5.1292010000000001</v>
      </c>
      <c r="F4294" s="8">
        <v>-4.2492073000000001</v>
      </c>
      <c r="G4294" s="7" t="str">
        <f t="shared" si="24"/>
        <v>Direct</v>
      </c>
      <c r="H4294" s="7" t="s">
        <v>748</v>
      </c>
    </row>
    <row r="4295" spans="1:8" x14ac:dyDescent="0.2">
      <c r="A4295" s="5" t="s">
        <v>27</v>
      </c>
      <c r="B4295" s="6" t="s">
        <v>19</v>
      </c>
      <c r="C4295" s="7" t="s">
        <v>4787</v>
      </c>
      <c r="D4295" s="7"/>
      <c r="E4295" s="8">
        <v>-8.1996862000000004</v>
      </c>
      <c r="F4295" s="8">
        <v>-14.691401000000001</v>
      </c>
      <c r="G4295" s="7" t="str">
        <f t="shared" si="24"/>
        <v>Direct</v>
      </c>
      <c r="H4295" s="7" t="s">
        <v>2286</v>
      </c>
    </row>
    <row r="4296" spans="1:8" x14ac:dyDescent="0.2">
      <c r="A4296" s="5" t="s">
        <v>27</v>
      </c>
      <c r="B4296" s="6" t="s">
        <v>19</v>
      </c>
      <c r="C4296" s="7" t="s">
        <v>4788</v>
      </c>
      <c r="D4296" s="7"/>
      <c r="E4296" s="8">
        <v>-3.0398988999999998</v>
      </c>
      <c r="F4296" s="8">
        <v>-2.0656661999999999</v>
      </c>
      <c r="G4296" s="7" t="str">
        <f t="shared" si="24"/>
        <v>Direct</v>
      </c>
      <c r="H4296" s="7" t="s">
        <v>16</v>
      </c>
    </row>
    <row r="4297" spans="1:8" x14ac:dyDescent="0.2">
      <c r="A4297" s="5" t="s">
        <v>27</v>
      </c>
      <c r="B4297" s="6" t="s">
        <v>19</v>
      </c>
      <c r="C4297" s="7" t="s">
        <v>4789</v>
      </c>
      <c r="D4297" s="7"/>
      <c r="E4297" s="8">
        <v>-1.5589417000000001</v>
      </c>
      <c r="F4297" s="8">
        <v>-1.1415449</v>
      </c>
      <c r="G4297" s="7" t="str">
        <f t="shared" si="24"/>
        <v>Direct</v>
      </c>
      <c r="H4297" s="7" t="s">
        <v>16</v>
      </c>
    </row>
    <row r="4298" spans="1:8" x14ac:dyDescent="0.2">
      <c r="A4298" s="5" t="s">
        <v>27</v>
      </c>
      <c r="B4298" s="6" t="s">
        <v>19</v>
      </c>
      <c r="C4298" s="7" t="s">
        <v>4066</v>
      </c>
      <c r="D4298" s="7"/>
      <c r="E4298" s="8">
        <v>1.78259002</v>
      </c>
      <c r="F4298" s="8">
        <v>2.8614752999999999</v>
      </c>
      <c r="G4298" s="7" t="str">
        <f t="shared" si="24"/>
        <v>Direct</v>
      </c>
      <c r="H4298" s="7" t="s">
        <v>4067</v>
      </c>
    </row>
    <row r="4299" spans="1:8" x14ac:dyDescent="0.2">
      <c r="A4299" s="5" t="s">
        <v>27</v>
      </c>
      <c r="B4299" s="6" t="s">
        <v>19</v>
      </c>
      <c r="C4299" s="7" t="s">
        <v>4790</v>
      </c>
      <c r="D4299" s="7"/>
      <c r="E4299" s="8">
        <v>-1.1063270000000001</v>
      </c>
      <c r="F4299" s="8">
        <v>-1.4662972000000001</v>
      </c>
      <c r="G4299" s="7" t="str">
        <f t="shared" si="24"/>
        <v>Direct</v>
      </c>
      <c r="H4299" s="7" t="s">
        <v>4339</v>
      </c>
    </row>
    <row r="4300" spans="1:8" x14ac:dyDescent="0.2">
      <c r="A4300" s="5" t="s">
        <v>27</v>
      </c>
      <c r="B4300" s="6" t="s">
        <v>19</v>
      </c>
      <c r="C4300" s="7" t="s">
        <v>4791</v>
      </c>
      <c r="D4300" s="7"/>
      <c r="E4300" s="8">
        <v>-3.5340327999999999</v>
      </c>
      <c r="F4300" s="8">
        <v>-1.5410980000000001</v>
      </c>
      <c r="G4300" s="7" t="str">
        <f t="shared" si="24"/>
        <v>Direct</v>
      </c>
      <c r="H4300" s="7" t="s">
        <v>4339</v>
      </c>
    </row>
    <row r="4301" spans="1:8" x14ac:dyDescent="0.2">
      <c r="A4301" s="5" t="s">
        <v>27</v>
      </c>
      <c r="B4301" s="6" t="s">
        <v>19</v>
      </c>
      <c r="C4301" s="7" t="s">
        <v>4792</v>
      </c>
      <c r="D4301" s="7"/>
      <c r="E4301" s="8">
        <v>1.75434183</v>
      </c>
      <c r="F4301" s="8">
        <v>2.1013205400000001</v>
      </c>
      <c r="G4301" s="7" t="str">
        <f t="shared" si="24"/>
        <v>Direct</v>
      </c>
      <c r="H4301" s="7" t="s">
        <v>4793</v>
      </c>
    </row>
    <row r="4302" spans="1:8" x14ac:dyDescent="0.2">
      <c r="A4302" s="5" t="s">
        <v>27</v>
      </c>
      <c r="B4302" s="6" t="s">
        <v>19</v>
      </c>
      <c r="C4302" s="7" t="s">
        <v>4794</v>
      </c>
      <c r="D4302" s="7"/>
      <c r="E4302" s="8">
        <v>1.1217821699999999</v>
      </c>
      <c r="F4302" s="8">
        <v>2.02150528</v>
      </c>
      <c r="G4302" s="7" t="str">
        <f t="shared" si="24"/>
        <v>Direct</v>
      </c>
      <c r="H4302" s="7" t="s">
        <v>4793</v>
      </c>
    </row>
    <row r="4303" spans="1:8" x14ac:dyDescent="0.2">
      <c r="A4303" s="5" t="s">
        <v>27</v>
      </c>
      <c r="B4303" s="6" t="s">
        <v>19</v>
      </c>
      <c r="C4303" s="7" t="s">
        <v>4795</v>
      </c>
      <c r="D4303" s="7"/>
      <c r="E4303" s="8">
        <v>-3.5167411999999998</v>
      </c>
      <c r="F4303" s="8">
        <v>-1.6508347000000001</v>
      </c>
      <c r="G4303" s="7" t="str">
        <f t="shared" si="24"/>
        <v>Direct</v>
      </c>
      <c r="H4303" s="7" t="s">
        <v>2187</v>
      </c>
    </row>
    <row r="4304" spans="1:8" x14ac:dyDescent="0.2">
      <c r="A4304" s="5" t="s">
        <v>27</v>
      </c>
      <c r="B4304" s="6" t="s">
        <v>19</v>
      </c>
      <c r="C4304" s="7" t="s">
        <v>4796</v>
      </c>
      <c r="D4304" s="7"/>
      <c r="E4304" s="8">
        <v>3.0017280400000002</v>
      </c>
      <c r="F4304" s="8">
        <v>2.1502416100000001</v>
      </c>
      <c r="G4304" s="7" t="str">
        <f t="shared" si="24"/>
        <v>Direct</v>
      </c>
      <c r="H4304" s="7" t="s">
        <v>4797</v>
      </c>
    </row>
    <row r="4305" spans="1:8" x14ac:dyDescent="0.2">
      <c r="A4305" s="5" t="s">
        <v>27</v>
      </c>
      <c r="B4305" s="6" t="s">
        <v>19</v>
      </c>
      <c r="C4305" s="7" t="s">
        <v>4798</v>
      </c>
      <c r="D4305" s="7"/>
      <c r="E4305" s="8">
        <v>2.6372498200000001</v>
      </c>
      <c r="F4305" s="8">
        <v>2.2121520000000001</v>
      </c>
      <c r="G4305" s="7" t="str">
        <f t="shared" si="24"/>
        <v>Direct</v>
      </c>
      <c r="H4305" s="7" t="s">
        <v>16</v>
      </c>
    </row>
    <row r="4306" spans="1:8" x14ac:dyDescent="0.2">
      <c r="A4306" s="5" t="s">
        <v>27</v>
      </c>
      <c r="B4306" s="6" t="s">
        <v>19</v>
      </c>
      <c r="C4306" s="7" t="s">
        <v>4799</v>
      </c>
      <c r="D4306" s="7"/>
      <c r="E4306" s="8">
        <v>5.3002876900000002</v>
      </c>
      <c r="F4306" s="8">
        <v>3.99413771</v>
      </c>
      <c r="G4306" s="7" t="str">
        <f t="shared" si="24"/>
        <v>Direct</v>
      </c>
      <c r="H4306" s="7" t="s">
        <v>4800</v>
      </c>
    </row>
    <row r="4307" spans="1:8" x14ac:dyDescent="0.2">
      <c r="A4307" s="5" t="s">
        <v>27</v>
      </c>
      <c r="B4307" s="6" t="s">
        <v>19</v>
      </c>
      <c r="C4307" s="7" t="s">
        <v>4801</v>
      </c>
      <c r="D4307" s="7"/>
      <c r="E4307" s="8">
        <v>-1.53478</v>
      </c>
      <c r="F4307" s="8">
        <v>-1.7820395</v>
      </c>
      <c r="G4307" s="7" t="str">
        <f t="shared" si="24"/>
        <v>Direct</v>
      </c>
      <c r="H4307" s="7" t="s">
        <v>16</v>
      </c>
    </row>
    <row r="4308" spans="1:8" x14ac:dyDescent="0.2">
      <c r="A4308" s="5" t="s">
        <v>27</v>
      </c>
      <c r="B4308" s="6" t="s">
        <v>19</v>
      </c>
      <c r="C4308" s="7" t="s">
        <v>4802</v>
      </c>
      <c r="D4308" s="7"/>
      <c r="E4308" s="8">
        <v>-1.7217538999999999</v>
      </c>
      <c r="F4308" s="8">
        <v>-1.2221445</v>
      </c>
      <c r="G4308" s="7" t="str">
        <f t="shared" si="24"/>
        <v>Direct</v>
      </c>
      <c r="H4308" s="7" t="s">
        <v>923</v>
      </c>
    </row>
    <row r="4309" spans="1:8" x14ac:dyDescent="0.2">
      <c r="A4309" s="5" t="s">
        <v>27</v>
      </c>
      <c r="B4309" s="6" t="s">
        <v>19</v>
      </c>
      <c r="C4309" s="7" t="s">
        <v>4803</v>
      </c>
      <c r="D4309" s="7"/>
      <c r="E4309" s="8">
        <v>-2.0749955</v>
      </c>
      <c r="F4309" s="8">
        <v>-3.1494143000000001</v>
      </c>
      <c r="G4309" s="7" t="str">
        <f t="shared" si="24"/>
        <v>Direct</v>
      </c>
      <c r="H4309" s="7" t="s">
        <v>923</v>
      </c>
    </row>
    <row r="4310" spans="1:8" x14ac:dyDescent="0.2">
      <c r="A4310" s="5" t="s">
        <v>27</v>
      </c>
      <c r="B4310" s="6" t="s">
        <v>19</v>
      </c>
      <c r="C4310" s="7" t="s">
        <v>4804</v>
      </c>
      <c r="D4310" s="7"/>
      <c r="E4310" s="8">
        <v>1.31209153</v>
      </c>
      <c r="F4310" s="8">
        <v>3.9339204900000002</v>
      </c>
      <c r="G4310" s="7" t="str">
        <f t="shared" si="24"/>
        <v>Direct</v>
      </c>
      <c r="H4310" s="7" t="s">
        <v>16</v>
      </c>
    </row>
    <row r="4311" spans="1:8" x14ac:dyDescent="0.2">
      <c r="A4311" s="5" t="s">
        <v>27</v>
      </c>
      <c r="B4311" s="6" t="s">
        <v>19</v>
      </c>
      <c r="C4311" s="7" t="s">
        <v>4805</v>
      </c>
      <c r="D4311" s="7"/>
      <c r="E4311" s="8">
        <v>-3.1295364999999999</v>
      </c>
      <c r="F4311" s="8">
        <v>-2.8657583</v>
      </c>
      <c r="G4311" s="7" t="str">
        <f t="shared" si="24"/>
        <v>Direct</v>
      </c>
      <c r="H4311" s="7" t="s">
        <v>2556</v>
      </c>
    </row>
    <row r="4312" spans="1:8" x14ac:dyDescent="0.2">
      <c r="A4312" s="5" t="s">
        <v>27</v>
      </c>
      <c r="B4312" s="6" t="s">
        <v>19</v>
      </c>
      <c r="C4312" s="7" t="s">
        <v>4806</v>
      </c>
      <c r="D4312" s="7"/>
      <c r="E4312" s="8">
        <v>-1.9044380000000001</v>
      </c>
      <c r="F4312" s="8">
        <v>-5.0026574999999998</v>
      </c>
      <c r="G4312" s="7" t="str">
        <f t="shared" si="24"/>
        <v>Direct</v>
      </c>
      <c r="H4312" s="7" t="s">
        <v>4807</v>
      </c>
    </row>
    <row r="4313" spans="1:8" x14ac:dyDescent="0.2">
      <c r="A4313" s="5" t="s">
        <v>27</v>
      </c>
      <c r="B4313" s="6" t="s">
        <v>19</v>
      </c>
      <c r="C4313" s="7" t="s">
        <v>4808</v>
      </c>
      <c r="D4313" s="7"/>
      <c r="E4313" s="8">
        <v>-1.3130762</v>
      </c>
      <c r="F4313" s="8">
        <v>-1.8044271000000001</v>
      </c>
      <c r="G4313" s="7" t="str">
        <f t="shared" si="24"/>
        <v>Direct</v>
      </c>
      <c r="H4313" s="7" t="s">
        <v>16</v>
      </c>
    </row>
    <row r="4314" spans="1:8" x14ac:dyDescent="0.2">
      <c r="A4314" s="5" t="s">
        <v>27</v>
      </c>
      <c r="B4314" s="6" t="s">
        <v>19</v>
      </c>
      <c r="C4314" s="7" t="s">
        <v>4809</v>
      </c>
      <c r="D4314" s="7"/>
      <c r="E4314" s="8">
        <v>1.3197919499999999</v>
      </c>
      <c r="F4314" s="8">
        <v>2.5506077299999999</v>
      </c>
      <c r="G4314" s="7" t="str">
        <f t="shared" si="24"/>
        <v>Direct</v>
      </c>
      <c r="H4314" s="7" t="s">
        <v>3561</v>
      </c>
    </row>
    <row r="4315" spans="1:8" x14ac:dyDescent="0.2">
      <c r="A4315" s="5" t="s">
        <v>27</v>
      </c>
      <c r="B4315" s="6" t="s">
        <v>19</v>
      </c>
      <c r="C4315" s="7" t="s">
        <v>4810</v>
      </c>
      <c r="D4315" s="7"/>
      <c r="E4315" s="8">
        <v>4.7145967500000001</v>
      </c>
      <c r="F4315" s="8">
        <v>3.4795563600000001</v>
      </c>
      <c r="G4315" s="7" t="str">
        <f t="shared" si="24"/>
        <v>Direct</v>
      </c>
      <c r="H4315" s="7" t="s">
        <v>1615</v>
      </c>
    </row>
    <row r="4316" spans="1:8" x14ac:dyDescent="0.2">
      <c r="A4316" s="5" t="s">
        <v>27</v>
      </c>
      <c r="B4316" s="6" t="s">
        <v>19</v>
      </c>
      <c r="C4316" s="7" t="s">
        <v>4811</v>
      </c>
      <c r="D4316" s="7"/>
      <c r="E4316" s="8">
        <v>1.6376818399999999</v>
      </c>
      <c r="F4316" s="8">
        <v>1.3625260299999999</v>
      </c>
      <c r="G4316" s="7" t="str">
        <f t="shared" si="24"/>
        <v>Direct</v>
      </c>
      <c r="H4316" s="7" t="s">
        <v>4812</v>
      </c>
    </row>
    <row r="4317" spans="1:8" x14ac:dyDescent="0.2">
      <c r="A4317" s="5" t="s">
        <v>27</v>
      </c>
      <c r="B4317" s="6" t="s">
        <v>19</v>
      </c>
      <c r="C4317" s="7" t="s">
        <v>4813</v>
      </c>
      <c r="D4317" s="7"/>
      <c r="E4317" s="8">
        <v>-2.8298073000000001</v>
      </c>
      <c r="F4317" s="8">
        <v>-1.1390032000000001</v>
      </c>
      <c r="G4317" s="7" t="str">
        <f t="shared" si="24"/>
        <v>Direct</v>
      </c>
      <c r="H4317" s="7" t="s">
        <v>4814</v>
      </c>
    </row>
    <row r="4318" spans="1:8" x14ac:dyDescent="0.2">
      <c r="A4318" s="5" t="s">
        <v>27</v>
      </c>
      <c r="B4318" s="6" t="s">
        <v>19</v>
      </c>
      <c r="C4318" s="7" t="s">
        <v>4815</v>
      </c>
      <c r="D4318" s="7"/>
      <c r="E4318" s="8">
        <v>-3.5234521000000001</v>
      </c>
      <c r="F4318" s="8">
        <v>-1.5249771000000001</v>
      </c>
      <c r="G4318" s="7" t="str">
        <f t="shared" si="24"/>
        <v>Direct</v>
      </c>
      <c r="H4318" s="7" t="s">
        <v>4816</v>
      </c>
    </row>
    <row r="4319" spans="1:8" x14ac:dyDescent="0.2">
      <c r="A4319" s="5" t="s">
        <v>27</v>
      </c>
      <c r="B4319" s="6" t="s">
        <v>19</v>
      </c>
      <c r="C4319" s="7" t="s">
        <v>4817</v>
      </c>
      <c r="D4319" s="7"/>
      <c r="E4319" s="8">
        <v>2.0636210500000001</v>
      </c>
      <c r="F4319" s="8">
        <v>1.0243781199999999</v>
      </c>
      <c r="G4319" s="7" t="str">
        <f t="shared" si="24"/>
        <v>Direct</v>
      </c>
      <c r="H4319" s="7" t="s">
        <v>4098</v>
      </c>
    </row>
    <row r="4320" spans="1:8" x14ac:dyDescent="0.2">
      <c r="A4320" s="5" t="s">
        <v>27</v>
      </c>
      <c r="B4320" s="6" t="s">
        <v>19</v>
      </c>
      <c r="C4320" s="7" t="s">
        <v>4818</v>
      </c>
      <c r="D4320" s="7"/>
      <c r="E4320" s="8">
        <v>2.7238397600000002</v>
      </c>
      <c r="F4320" s="8">
        <v>1.30930137</v>
      </c>
      <c r="G4320" s="7" t="str">
        <f t="shared" si="24"/>
        <v>Direct</v>
      </c>
      <c r="H4320" s="7" t="s">
        <v>4819</v>
      </c>
    </row>
    <row r="4321" spans="1:8" x14ac:dyDescent="0.2">
      <c r="A4321" s="5" t="s">
        <v>27</v>
      </c>
      <c r="B4321" s="6" t="s">
        <v>19</v>
      </c>
      <c r="C4321" s="7" t="s">
        <v>4820</v>
      </c>
      <c r="D4321" s="7"/>
      <c r="E4321" s="8">
        <v>-1.6039669999999999</v>
      </c>
      <c r="F4321" s="8">
        <v>-2.5796176000000002</v>
      </c>
      <c r="G4321" s="7" t="str">
        <f t="shared" si="24"/>
        <v>Direct</v>
      </c>
      <c r="H4321" s="7" t="s">
        <v>3367</v>
      </c>
    </row>
    <row r="4322" spans="1:8" x14ac:dyDescent="0.2">
      <c r="A4322" s="5" t="s">
        <v>27</v>
      </c>
      <c r="B4322" s="6" t="s">
        <v>19</v>
      </c>
      <c r="C4322" s="7" t="s">
        <v>4821</v>
      </c>
      <c r="D4322" s="7"/>
      <c r="E4322" s="8">
        <v>-1.2532212</v>
      </c>
      <c r="F4322" s="8">
        <v>-2.0130599999999998</v>
      </c>
      <c r="G4322" s="7" t="str">
        <f t="shared" si="24"/>
        <v>Direct</v>
      </c>
      <c r="H4322" s="7" t="s">
        <v>4822</v>
      </c>
    </row>
    <row r="4323" spans="1:8" x14ac:dyDescent="0.2">
      <c r="A4323" s="5" t="s">
        <v>27</v>
      </c>
      <c r="B4323" s="6" t="s">
        <v>19</v>
      </c>
      <c r="C4323" s="7" t="s">
        <v>4823</v>
      </c>
      <c r="D4323" s="7"/>
      <c r="E4323" s="8">
        <v>-2.5933196999999999</v>
      </c>
      <c r="F4323" s="8">
        <v>-2.1466428999999998</v>
      </c>
      <c r="G4323" s="7" t="str">
        <f t="shared" si="24"/>
        <v>Direct</v>
      </c>
      <c r="H4323" s="7" t="s">
        <v>16</v>
      </c>
    </row>
    <row r="4324" spans="1:8" x14ac:dyDescent="0.2">
      <c r="A4324" s="5" t="s">
        <v>27</v>
      </c>
      <c r="B4324" s="6" t="s">
        <v>19</v>
      </c>
      <c r="C4324" s="7" t="s">
        <v>4824</v>
      </c>
      <c r="D4324" s="7"/>
      <c r="E4324" s="8">
        <v>-1.9958536</v>
      </c>
      <c r="F4324" s="8">
        <v>-1.4164243999999999</v>
      </c>
      <c r="G4324" s="7" t="str">
        <f t="shared" si="24"/>
        <v>Direct</v>
      </c>
      <c r="H4324" s="7" t="s">
        <v>16</v>
      </c>
    </row>
    <row r="4325" spans="1:8" x14ac:dyDescent="0.2">
      <c r="A4325" s="5" t="s">
        <v>27</v>
      </c>
      <c r="B4325" s="6" t="s">
        <v>19</v>
      </c>
      <c r="C4325" s="7" t="s">
        <v>4068</v>
      </c>
      <c r="D4325" s="7"/>
      <c r="E4325" s="8">
        <v>-5.0927901999999996</v>
      </c>
      <c r="F4325" s="8">
        <v>-5.4200745000000001</v>
      </c>
      <c r="G4325" s="7" t="str">
        <f t="shared" si="24"/>
        <v>Direct</v>
      </c>
      <c r="H4325" s="7" t="s">
        <v>4069</v>
      </c>
    </row>
    <row r="4326" spans="1:8" x14ac:dyDescent="0.2">
      <c r="A4326" s="5" t="s">
        <v>27</v>
      </c>
      <c r="B4326" s="6" t="s">
        <v>19</v>
      </c>
      <c r="C4326" s="7" t="s">
        <v>4825</v>
      </c>
      <c r="D4326" s="7"/>
      <c r="E4326" s="8">
        <v>-3.9600396</v>
      </c>
      <c r="F4326" s="8">
        <v>-3.3079222000000001</v>
      </c>
      <c r="G4326" s="7" t="str">
        <f t="shared" si="24"/>
        <v>Direct</v>
      </c>
      <c r="H4326" s="7" t="s">
        <v>4826</v>
      </c>
    </row>
    <row r="4327" spans="1:8" x14ac:dyDescent="0.2">
      <c r="A4327" s="5" t="s">
        <v>27</v>
      </c>
      <c r="B4327" s="6" t="s">
        <v>19</v>
      </c>
      <c r="C4327" s="7" t="s">
        <v>4827</v>
      </c>
      <c r="D4327" s="7"/>
      <c r="E4327" s="8">
        <v>-2.1657304000000002</v>
      </c>
      <c r="F4327" s="8">
        <v>-1.3691888999999999</v>
      </c>
      <c r="G4327" s="7" t="str">
        <f t="shared" si="24"/>
        <v>Direct</v>
      </c>
      <c r="H4327" s="7" t="s">
        <v>4828</v>
      </c>
    </row>
    <row r="4328" spans="1:8" x14ac:dyDescent="0.2">
      <c r="A4328" s="5" t="s">
        <v>27</v>
      </c>
      <c r="B4328" s="6" t="s">
        <v>19</v>
      </c>
      <c r="C4328" s="7" t="s">
        <v>4829</v>
      </c>
      <c r="D4328" s="7"/>
      <c r="E4328" s="8">
        <v>1.62641353</v>
      </c>
      <c r="F4328" s="8">
        <v>1.0219505900000001</v>
      </c>
      <c r="G4328" s="7" t="str">
        <f t="shared" si="24"/>
        <v>Direct</v>
      </c>
      <c r="H4328" s="7" t="s">
        <v>4830</v>
      </c>
    </row>
    <row r="4329" spans="1:8" x14ac:dyDescent="0.2">
      <c r="A4329" s="5" t="s">
        <v>27</v>
      </c>
      <c r="B4329" s="6" t="s">
        <v>19</v>
      </c>
      <c r="C4329" s="7" t="s">
        <v>4831</v>
      </c>
      <c r="D4329" s="7"/>
      <c r="E4329" s="8">
        <v>-3.6178444000000001</v>
      </c>
      <c r="F4329" s="8">
        <v>-5.6350344000000003</v>
      </c>
      <c r="G4329" s="7" t="str">
        <f t="shared" si="24"/>
        <v>Direct</v>
      </c>
      <c r="H4329" s="7" t="s">
        <v>4832</v>
      </c>
    </row>
    <row r="4330" spans="1:8" x14ac:dyDescent="0.2">
      <c r="A4330" s="5" t="s">
        <v>27</v>
      </c>
      <c r="B4330" s="6" t="s">
        <v>19</v>
      </c>
      <c r="C4330" s="7" t="s">
        <v>4833</v>
      </c>
      <c r="D4330" s="7"/>
      <c r="E4330" s="8">
        <v>-2.9309951000000001</v>
      </c>
      <c r="F4330" s="8">
        <v>-4.5071135</v>
      </c>
      <c r="G4330" s="7" t="str">
        <f t="shared" si="24"/>
        <v>Direct</v>
      </c>
      <c r="H4330" s="7" t="s">
        <v>4832</v>
      </c>
    </row>
    <row r="4331" spans="1:8" x14ac:dyDescent="0.2">
      <c r="A4331" s="5" t="s">
        <v>27</v>
      </c>
      <c r="B4331" s="6" t="s">
        <v>19</v>
      </c>
      <c r="C4331" s="7" t="s">
        <v>4834</v>
      </c>
      <c r="D4331" s="7"/>
      <c r="E4331" s="8">
        <v>1.46411902</v>
      </c>
      <c r="F4331" s="8">
        <v>2.29179179</v>
      </c>
      <c r="G4331" s="7" t="str">
        <f t="shared" si="24"/>
        <v>Direct</v>
      </c>
      <c r="H4331" s="7" t="s">
        <v>16</v>
      </c>
    </row>
    <row r="4332" spans="1:8" x14ac:dyDescent="0.2">
      <c r="A4332" s="5" t="s">
        <v>27</v>
      </c>
      <c r="B4332" s="6" t="s">
        <v>19</v>
      </c>
      <c r="C4332" s="7" t="s">
        <v>4835</v>
      </c>
      <c r="D4332" s="7"/>
      <c r="E4332" s="8">
        <v>-1.1545023000000001</v>
      </c>
      <c r="F4332" s="8">
        <v>-2.2226560000000002</v>
      </c>
      <c r="G4332" s="7" t="str">
        <f t="shared" si="24"/>
        <v>Direct</v>
      </c>
      <c r="H4332" s="7" t="s">
        <v>596</v>
      </c>
    </row>
    <row r="4333" spans="1:8" x14ac:dyDescent="0.2">
      <c r="A4333" s="5" t="s">
        <v>27</v>
      </c>
      <c r="B4333" s="6" t="s">
        <v>19</v>
      </c>
      <c r="C4333" s="7" t="s">
        <v>4836</v>
      </c>
      <c r="D4333" s="7"/>
      <c r="E4333" s="8">
        <v>-3.0586294999999999</v>
      </c>
      <c r="F4333" s="8">
        <v>-1.5016394</v>
      </c>
      <c r="G4333" s="7" t="str">
        <f t="shared" si="24"/>
        <v>Direct</v>
      </c>
      <c r="H4333" s="7" t="s">
        <v>488</v>
      </c>
    </row>
    <row r="4334" spans="1:8" x14ac:dyDescent="0.2">
      <c r="A4334" s="5" t="s">
        <v>27</v>
      </c>
      <c r="B4334" s="6" t="s">
        <v>19</v>
      </c>
      <c r="C4334" s="7" t="s">
        <v>4837</v>
      </c>
      <c r="D4334" s="7"/>
      <c r="E4334" s="8">
        <v>-2.7793469000000002</v>
      </c>
      <c r="F4334" s="8">
        <v>-1.9242699000000001</v>
      </c>
      <c r="G4334" s="7" t="str">
        <f t="shared" si="24"/>
        <v>Direct</v>
      </c>
      <c r="H4334" s="7" t="s">
        <v>2787</v>
      </c>
    </row>
    <row r="4335" spans="1:8" x14ac:dyDescent="0.2">
      <c r="A4335" s="5" t="s">
        <v>27</v>
      </c>
      <c r="B4335" s="6" t="s">
        <v>19</v>
      </c>
      <c r="C4335" s="7" t="s">
        <v>4838</v>
      </c>
      <c r="D4335" s="7"/>
      <c r="E4335" s="8">
        <v>-2.9599997999999998</v>
      </c>
      <c r="F4335" s="8">
        <v>-2.8876873999999999</v>
      </c>
      <c r="G4335" s="7" t="str">
        <f t="shared" si="24"/>
        <v>Direct</v>
      </c>
      <c r="H4335" s="7" t="s">
        <v>4839</v>
      </c>
    </row>
    <row r="4336" spans="1:8" x14ac:dyDescent="0.2">
      <c r="A4336" s="5" t="s">
        <v>27</v>
      </c>
      <c r="B4336" s="6" t="s">
        <v>19</v>
      </c>
      <c r="C4336" s="7" t="s">
        <v>4071</v>
      </c>
      <c r="D4336" s="7"/>
      <c r="E4336" s="8">
        <v>1.3706138800000001</v>
      </c>
      <c r="F4336" s="8">
        <v>2.23616496</v>
      </c>
      <c r="G4336" s="7" t="str">
        <f t="shared" si="24"/>
        <v>Direct</v>
      </c>
      <c r="H4336" s="7" t="s">
        <v>4072</v>
      </c>
    </row>
    <row r="4337" spans="1:8" x14ac:dyDescent="0.2">
      <c r="A4337" s="5" t="s">
        <v>27</v>
      </c>
      <c r="B4337" s="6" t="s">
        <v>19</v>
      </c>
      <c r="C4337" s="7" t="s">
        <v>4073</v>
      </c>
      <c r="D4337" s="7"/>
      <c r="E4337" s="8">
        <v>16.344738599999999</v>
      </c>
      <c r="F4337" s="8">
        <v>14.6434598</v>
      </c>
      <c r="G4337" s="7" t="str">
        <f t="shared" si="24"/>
        <v>Direct</v>
      </c>
      <c r="H4337" s="7" t="s">
        <v>2783</v>
      </c>
    </row>
    <row r="4338" spans="1:8" x14ac:dyDescent="0.2">
      <c r="A4338" s="5" t="s">
        <v>27</v>
      </c>
      <c r="B4338" s="6" t="s">
        <v>19</v>
      </c>
      <c r="C4338" s="7" t="s">
        <v>4840</v>
      </c>
      <c r="D4338" s="7"/>
      <c r="E4338" s="8">
        <v>2.3665744700000002</v>
      </c>
      <c r="F4338" s="8">
        <v>1.4538575600000001</v>
      </c>
      <c r="G4338" s="7" t="str">
        <f t="shared" si="24"/>
        <v>Direct</v>
      </c>
      <c r="H4338" s="7" t="s">
        <v>16</v>
      </c>
    </row>
    <row r="4339" spans="1:8" x14ac:dyDescent="0.2">
      <c r="A4339" s="5" t="s">
        <v>27</v>
      </c>
      <c r="B4339" s="6" t="s">
        <v>19</v>
      </c>
      <c r="C4339" s="7" t="s">
        <v>4074</v>
      </c>
      <c r="D4339" s="7"/>
      <c r="E4339" s="8">
        <v>1.2823228099999999</v>
      </c>
      <c r="F4339" s="8">
        <v>3.56308874</v>
      </c>
      <c r="G4339" s="7" t="str">
        <f t="shared" si="24"/>
        <v>Direct</v>
      </c>
      <c r="H4339" s="7" t="s">
        <v>16</v>
      </c>
    </row>
    <row r="4340" spans="1:8" x14ac:dyDescent="0.2">
      <c r="A4340" s="5" t="s">
        <v>27</v>
      </c>
      <c r="B4340" s="6" t="s">
        <v>19</v>
      </c>
      <c r="C4340" s="7" t="s">
        <v>4841</v>
      </c>
      <c r="D4340" s="7"/>
      <c r="E4340" s="8">
        <v>-2.5778607</v>
      </c>
      <c r="F4340" s="8">
        <v>-3.0572968999999999</v>
      </c>
      <c r="G4340" s="7" t="str">
        <f t="shared" si="24"/>
        <v>Direct</v>
      </c>
      <c r="H4340" s="7" t="s">
        <v>4842</v>
      </c>
    </row>
    <row r="4341" spans="1:8" x14ac:dyDescent="0.2">
      <c r="A4341" s="5" t="s">
        <v>27</v>
      </c>
      <c r="B4341" s="6" t="s">
        <v>19</v>
      </c>
      <c r="C4341" s="7" t="s">
        <v>4843</v>
      </c>
      <c r="D4341" s="7"/>
      <c r="E4341" s="8">
        <v>-1.0942430999999999</v>
      </c>
      <c r="F4341" s="8">
        <v>-1.1358528000000001</v>
      </c>
      <c r="G4341" s="7" t="str">
        <f t="shared" si="24"/>
        <v>Direct</v>
      </c>
      <c r="H4341" s="7" t="s">
        <v>4844</v>
      </c>
    </row>
    <row r="4342" spans="1:8" x14ac:dyDescent="0.2">
      <c r="A4342" s="5" t="s">
        <v>27</v>
      </c>
      <c r="B4342" s="6" t="s">
        <v>19</v>
      </c>
      <c r="C4342" s="7" t="s">
        <v>4845</v>
      </c>
      <c r="D4342" s="7"/>
      <c r="E4342" s="8">
        <v>-1.205759</v>
      </c>
      <c r="F4342" s="8">
        <v>-1.3988514999999999</v>
      </c>
      <c r="G4342" s="7" t="str">
        <f t="shared" si="24"/>
        <v>Direct</v>
      </c>
      <c r="H4342" s="7" t="s">
        <v>42</v>
      </c>
    </row>
    <row r="4343" spans="1:8" x14ac:dyDescent="0.2">
      <c r="A4343" s="5" t="s">
        <v>27</v>
      </c>
      <c r="B4343" s="6" t="s">
        <v>19</v>
      </c>
      <c r="C4343" s="7" t="s">
        <v>4846</v>
      </c>
      <c r="D4343" s="7"/>
      <c r="E4343" s="8">
        <v>-1.0427983000000001</v>
      </c>
      <c r="F4343" s="8">
        <v>-2.8082381000000001</v>
      </c>
      <c r="G4343" s="7" t="str">
        <f t="shared" si="24"/>
        <v>Direct</v>
      </c>
      <c r="H4343" s="7" t="s">
        <v>485</v>
      </c>
    </row>
    <row r="4344" spans="1:8" x14ac:dyDescent="0.2">
      <c r="A4344" s="5" t="s">
        <v>27</v>
      </c>
      <c r="B4344" s="6" t="s">
        <v>19</v>
      </c>
      <c r="C4344" s="7" t="s">
        <v>4847</v>
      </c>
      <c r="D4344" s="7"/>
      <c r="E4344" s="8">
        <v>-1.4934765999999999</v>
      </c>
      <c r="F4344" s="8">
        <v>-1.3439426000000001</v>
      </c>
      <c r="G4344" s="7" t="str">
        <f t="shared" si="24"/>
        <v>Direct</v>
      </c>
      <c r="H4344" s="7" t="s">
        <v>4848</v>
      </c>
    </row>
    <row r="4345" spans="1:8" x14ac:dyDescent="0.2">
      <c r="A4345" s="5" t="s">
        <v>27</v>
      </c>
      <c r="B4345" s="6" t="s">
        <v>19</v>
      </c>
      <c r="C4345" s="7" t="s">
        <v>4849</v>
      </c>
      <c r="D4345" s="7"/>
      <c r="E4345" s="8">
        <v>-1.3289621</v>
      </c>
      <c r="F4345" s="8">
        <v>-1.6584885</v>
      </c>
      <c r="G4345" s="7" t="str">
        <f t="shared" si="24"/>
        <v>Direct</v>
      </c>
      <c r="H4345" s="7" t="s">
        <v>4850</v>
      </c>
    </row>
    <row r="4346" spans="1:8" x14ac:dyDescent="0.2">
      <c r="A4346" s="5" t="s">
        <v>27</v>
      </c>
      <c r="B4346" s="6" t="s">
        <v>19</v>
      </c>
      <c r="C4346" s="7" t="s">
        <v>4851</v>
      </c>
      <c r="D4346" s="7"/>
      <c r="E4346" s="8">
        <v>-1.1542439</v>
      </c>
      <c r="F4346" s="8">
        <v>-1.4507781</v>
      </c>
      <c r="G4346" s="7" t="str">
        <f t="shared" si="24"/>
        <v>Direct</v>
      </c>
      <c r="H4346" s="7" t="s">
        <v>4852</v>
      </c>
    </row>
    <row r="4347" spans="1:8" x14ac:dyDescent="0.2">
      <c r="A4347" s="5" t="s">
        <v>27</v>
      </c>
      <c r="B4347" s="6" t="s">
        <v>19</v>
      </c>
      <c r="C4347" s="7" t="s">
        <v>4853</v>
      </c>
      <c r="D4347" s="7"/>
      <c r="E4347" s="8">
        <v>-4.8667824</v>
      </c>
      <c r="F4347" s="8">
        <v>-5.4200745000000001</v>
      </c>
      <c r="G4347" s="7" t="str">
        <f t="shared" si="24"/>
        <v>Direct</v>
      </c>
      <c r="H4347" s="7" t="s">
        <v>4854</v>
      </c>
    </row>
    <row r="4348" spans="1:8" x14ac:dyDescent="0.2">
      <c r="A4348" s="5" t="s">
        <v>27</v>
      </c>
      <c r="B4348" s="6" t="s">
        <v>19</v>
      </c>
      <c r="C4348" s="7" t="s">
        <v>4855</v>
      </c>
      <c r="D4348" s="7"/>
      <c r="E4348" s="8">
        <v>2.42953507</v>
      </c>
      <c r="F4348" s="8">
        <v>3.0253559700000001</v>
      </c>
      <c r="G4348" s="7" t="str">
        <f t="shared" si="24"/>
        <v>Direct</v>
      </c>
      <c r="H4348" s="7" t="s">
        <v>2075</v>
      </c>
    </row>
    <row r="4349" spans="1:8" x14ac:dyDescent="0.2">
      <c r="A4349" s="5" t="s">
        <v>27</v>
      </c>
      <c r="B4349" s="6" t="s">
        <v>19</v>
      </c>
      <c r="C4349" s="7" t="s">
        <v>4075</v>
      </c>
      <c r="D4349" s="7"/>
      <c r="E4349" s="8">
        <v>-2.3964352999999998</v>
      </c>
      <c r="F4349" s="8">
        <v>-2.4545808</v>
      </c>
      <c r="G4349" s="7" t="str">
        <f t="shared" si="24"/>
        <v>Direct</v>
      </c>
      <c r="H4349" s="7" t="s">
        <v>2709</v>
      </c>
    </row>
    <row r="4350" spans="1:8" x14ac:dyDescent="0.2">
      <c r="A4350" s="5" t="s">
        <v>27</v>
      </c>
      <c r="B4350" s="6" t="s">
        <v>19</v>
      </c>
      <c r="C4350" s="7" t="s">
        <v>4856</v>
      </c>
      <c r="D4350" s="7"/>
      <c r="E4350" s="8">
        <v>-3.6613549999999999</v>
      </c>
      <c r="F4350" s="8">
        <v>-5.4570841000000003</v>
      </c>
      <c r="G4350" s="7" t="str">
        <f t="shared" si="24"/>
        <v>Direct</v>
      </c>
      <c r="H4350" s="7" t="s">
        <v>4857</v>
      </c>
    </row>
    <row r="4351" spans="1:8" x14ac:dyDescent="0.2">
      <c r="A4351" s="5" t="s">
        <v>27</v>
      </c>
      <c r="B4351" s="6" t="s">
        <v>19</v>
      </c>
      <c r="C4351" s="7" t="s">
        <v>4858</v>
      </c>
      <c r="D4351" s="7"/>
      <c r="E4351" s="8">
        <v>-2.1297022000000001</v>
      </c>
      <c r="F4351" s="8">
        <v>-2.2749204000000001</v>
      </c>
      <c r="G4351" s="7" t="str">
        <f t="shared" si="24"/>
        <v>Direct</v>
      </c>
      <c r="H4351" s="7" t="s">
        <v>4859</v>
      </c>
    </row>
    <row r="4352" spans="1:8" x14ac:dyDescent="0.2">
      <c r="A4352" s="5" t="s">
        <v>27</v>
      </c>
      <c r="B4352" s="6" t="s">
        <v>19</v>
      </c>
      <c r="C4352" s="7" t="s">
        <v>4860</v>
      </c>
      <c r="D4352" s="7"/>
      <c r="E4352" s="8">
        <v>-2.4777684999999998</v>
      </c>
      <c r="F4352" s="8">
        <v>-9.8281136999999994</v>
      </c>
      <c r="G4352" s="7" t="str">
        <f t="shared" si="24"/>
        <v>Direct</v>
      </c>
      <c r="H4352" s="7" t="s">
        <v>2742</v>
      </c>
    </row>
    <row r="4353" spans="1:8" x14ac:dyDescent="0.2">
      <c r="A4353" s="5" t="s">
        <v>27</v>
      </c>
      <c r="B4353" s="6" t="s">
        <v>19</v>
      </c>
      <c r="C4353" s="7" t="s">
        <v>4076</v>
      </c>
      <c r="D4353" s="7"/>
      <c r="E4353" s="8">
        <v>-1.0826849000000001</v>
      </c>
      <c r="F4353" s="8">
        <v>-2.5925550999999998</v>
      </c>
      <c r="G4353" s="7" t="str">
        <f t="shared" si="24"/>
        <v>Direct</v>
      </c>
      <c r="H4353" s="7" t="s">
        <v>2150</v>
      </c>
    </row>
    <row r="4354" spans="1:8" x14ac:dyDescent="0.2">
      <c r="A4354" s="5" t="s">
        <v>27</v>
      </c>
      <c r="B4354" s="6" t="s">
        <v>19</v>
      </c>
      <c r="C4354" s="7" t="s">
        <v>4861</v>
      </c>
      <c r="D4354" s="7"/>
      <c r="E4354" s="8">
        <v>-2.7133352999999998</v>
      </c>
      <c r="F4354" s="8">
        <v>-1.6552191999999999</v>
      </c>
      <c r="G4354" s="7" t="str">
        <f t="shared" si="24"/>
        <v>Direct</v>
      </c>
      <c r="H4354" s="7" t="s">
        <v>488</v>
      </c>
    </row>
    <row r="4355" spans="1:8" x14ac:dyDescent="0.2">
      <c r="A4355" s="5" t="s">
        <v>27</v>
      </c>
      <c r="B4355" s="6" t="s">
        <v>19</v>
      </c>
      <c r="C4355" s="7" t="s">
        <v>4862</v>
      </c>
      <c r="D4355" s="7"/>
      <c r="E4355" s="8">
        <v>-3.8973070000000001</v>
      </c>
      <c r="F4355" s="8">
        <v>-2.0601422999999999</v>
      </c>
      <c r="G4355" s="7" t="str">
        <f t="shared" si="24"/>
        <v>Direct</v>
      </c>
      <c r="H4355" s="7" t="s">
        <v>2723</v>
      </c>
    </row>
    <row r="4356" spans="1:8" x14ac:dyDescent="0.2">
      <c r="A4356" s="5" t="s">
        <v>27</v>
      </c>
      <c r="B4356" s="6" t="s">
        <v>19</v>
      </c>
      <c r="C4356" s="7" t="s">
        <v>4863</v>
      </c>
      <c r="D4356" s="7"/>
      <c r="E4356" s="8">
        <v>-2.2404286999999998</v>
      </c>
      <c r="F4356" s="8">
        <v>-1.6455012</v>
      </c>
      <c r="G4356" s="7" t="str">
        <f t="shared" si="24"/>
        <v>Direct</v>
      </c>
      <c r="H4356" s="7" t="s">
        <v>4864</v>
      </c>
    </row>
    <row r="4357" spans="1:8" x14ac:dyDescent="0.2">
      <c r="A4357" s="5" t="s">
        <v>27</v>
      </c>
      <c r="B4357" s="6" t="s">
        <v>19</v>
      </c>
      <c r="C4357" s="7" t="s">
        <v>4865</v>
      </c>
      <c r="D4357" s="7"/>
      <c r="E4357" s="8">
        <v>-1.9055759000000001</v>
      </c>
      <c r="F4357" s="8">
        <v>-2.6765021</v>
      </c>
      <c r="G4357" s="7" t="str">
        <f t="shared" si="24"/>
        <v>Direct</v>
      </c>
      <c r="H4357" s="7" t="s">
        <v>4587</v>
      </c>
    </row>
    <row r="4358" spans="1:8" x14ac:dyDescent="0.2">
      <c r="A4358" s="5" t="s">
        <v>27</v>
      </c>
      <c r="B4358" s="6" t="s">
        <v>19</v>
      </c>
      <c r="C4358" s="7" t="s">
        <v>4866</v>
      </c>
      <c r="D4358" s="7"/>
      <c r="E4358" s="8">
        <v>1.09948461</v>
      </c>
      <c r="F4358" s="8">
        <v>2.1966243699999999</v>
      </c>
      <c r="G4358" s="7" t="str">
        <f t="shared" si="24"/>
        <v>Direct</v>
      </c>
      <c r="H4358" s="7" t="s">
        <v>16</v>
      </c>
    </row>
    <row r="4359" spans="1:8" x14ac:dyDescent="0.2">
      <c r="A4359" s="5" t="s">
        <v>27</v>
      </c>
      <c r="B4359" s="6" t="s">
        <v>19</v>
      </c>
      <c r="C4359" s="7" t="s">
        <v>4867</v>
      </c>
      <c r="D4359" s="7"/>
      <c r="E4359" s="8">
        <v>5.6741831300000003</v>
      </c>
      <c r="F4359" s="8">
        <v>4.1818729399999999</v>
      </c>
      <c r="G4359" s="7" t="str">
        <f t="shared" si="24"/>
        <v>Direct</v>
      </c>
      <c r="H4359" s="7" t="s">
        <v>4868</v>
      </c>
    </row>
    <row r="4360" spans="1:8" x14ac:dyDescent="0.2">
      <c r="A4360" s="5" t="s">
        <v>27</v>
      </c>
      <c r="B4360" s="6" t="s">
        <v>19</v>
      </c>
      <c r="C4360" s="7" t="s">
        <v>4869</v>
      </c>
      <c r="D4360" s="7"/>
      <c r="E4360" s="8">
        <v>-1.0106149</v>
      </c>
      <c r="F4360" s="8">
        <v>-2.4308817</v>
      </c>
      <c r="G4360" s="7" t="str">
        <f t="shared" si="24"/>
        <v>Direct</v>
      </c>
      <c r="H4360" s="7" t="s">
        <v>4870</v>
      </c>
    </row>
    <row r="4361" spans="1:8" x14ac:dyDescent="0.2">
      <c r="A4361" s="5" t="s">
        <v>27</v>
      </c>
      <c r="B4361" s="6" t="s">
        <v>19</v>
      </c>
      <c r="C4361" s="7" t="s">
        <v>4871</v>
      </c>
      <c r="D4361" s="7"/>
      <c r="E4361" s="8">
        <v>-14.276999999999999</v>
      </c>
      <c r="F4361" s="8">
        <v>-11.480536000000001</v>
      </c>
      <c r="G4361" s="7" t="str">
        <f t="shared" si="24"/>
        <v>Direct</v>
      </c>
      <c r="H4361" s="7" t="s">
        <v>16</v>
      </c>
    </row>
    <row r="4362" spans="1:8" x14ac:dyDescent="0.2">
      <c r="A4362" s="5" t="s">
        <v>27</v>
      </c>
      <c r="B4362" s="6" t="s">
        <v>19</v>
      </c>
      <c r="C4362" s="7" t="s">
        <v>4080</v>
      </c>
      <c r="D4362" s="7"/>
      <c r="E4362" s="8">
        <v>-2.406399</v>
      </c>
      <c r="F4362" s="8">
        <v>-3.3125594999999999</v>
      </c>
      <c r="G4362" s="7" t="str">
        <f t="shared" si="24"/>
        <v>Direct</v>
      </c>
      <c r="H4362" s="7" t="s">
        <v>2861</v>
      </c>
    </row>
    <row r="4363" spans="1:8" x14ac:dyDescent="0.2">
      <c r="A4363" s="5" t="s">
        <v>27</v>
      </c>
      <c r="B4363" s="6" t="s">
        <v>19</v>
      </c>
      <c r="C4363" s="7" t="s">
        <v>4872</v>
      </c>
      <c r="D4363" s="7"/>
      <c r="E4363" s="8">
        <v>6.22143055</v>
      </c>
      <c r="F4363" s="8">
        <v>4.73781316</v>
      </c>
      <c r="G4363" s="7" t="str">
        <f t="shared" si="24"/>
        <v>Direct</v>
      </c>
      <c r="H4363" s="7" t="s">
        <v>4873</v>
      </c>
    </row>
    <row r="4364" spans="1:8" x14ac:dyDescent="0.2">
      <c r="A4364" s="5" t="s">
        <v>27</v>
      </c>
      <c r="B4364" s="6" t="s">
        <v>19</v>
      </c>
      <c r="C4364" s="7" t="s">
        <v>4874</v>
      </c>
      <c r="D4364" s="7"/>
      <c r="E4364" s="8">
        <v>-1.3355486000000001</v>
      </c>
      <c r="F4364" s="8">
        <v>-1.2310371</v>
      </c>
      <c r="G4364" s="7" t="str">
        <f t="shared" si="24"/>
        <v>Direct</v>
      </c>
      <c r="H4364" s="7" t="s">
        <v>16</v>
      </c>
    </row>
    <row r="4365" spans="1:8" x14ac:dyDescent="0.2">
      <c r="A4365" s="5" t="s">
        <v>27</v>
      </c>
      <c r="B4365" s="6" t="s">
        <v>19</v>
      </c>
      <c r="C4365" s="7" t="s">
        <v>4875</v>
      </c>
      <c r="D4365" s="7"/>
      <c r="E4365" s="8">
        <v>-3.2582767000000001</v>
      </c>
      <c r="F4365" s="8">
        <v>-2.1629510000000001</v>
      </c>
      <c r="G4365" s="7" t="str">
        <f t="shared" si="24"/>
        <v>Direct</v>
      </c>
      <c r="H4365" s="7" t="s">
        <v>16</v>
      </c>
    </row>
    <row r="4366" spans="1:8" x14ac:dyDescent="0.2">
      <c r="A4366" s="5" t="s">
        <v>27</v>
      </c>
      <c r="B4366" s="6" t="s">
        <v>19</v>
      </c>
      <c r="C4366" s="7" t="s">
        <v>4876</v>
      </c>
      <c r="D4366" s="7"/>
      <c r="E4366" s="8">
        <v>1.4816200799999999</v>
      </c>
      <c r="F4366" s="8">
        <v>1.3727108299999999</v>
      </c>
      <c r="G4366" s="7" t="str">
        <f t="shared" si="24"/>
        <v>Direct</v>
      </c>
      <c r="H4366" s="7" t="s">
        <v>178</v>
      </c>
    </row>
    <row r="4367" spans="1:8" x14ac:dyDescent="0.2">
      <c r="A4367" s="5" t="s">
        <v>27</v>
      </c>
      <c r="B4367" s="6" t="s">
        <v>19</v>
      </c>
      <c r="C4367" s="7" t="s">
        <v>4877</v>
      </c>
      <c r="D4367" s="7"/>
      <c r="E4367" s="8">
        <v>-1.6020224000000001</v>
      </c>
      <c r="F4367" s="8">
        <v>-2.784624</v>
      </c>
      <c r="G4367" s="7" t="str">
        <f t="shared" si="24"/>
        <v>Direct</v>
      </c>
      <c r="H4367" s="7" t="s">
        <v>1421</v>
      </c>
    </row>
    <row r="4368" spans="1:8" x14ac:dyDescent="0.2">
      <c r="A4368" s="5" t="s">
        <v>27</v>
      </c>
      <c r="B4368" s="6" t="s">
        <v>19</v>
      </c>
      <c r="C4368" s="7" t="s">
        <v>4878</v>
      </c>
      <c r="D4368" s="7"/>
      <c r="E4368" s="8">
        <v>-3.1346056999999998</v>
      </c>
      <c r="F4368" s="8">
        <v>-7.6572506000000002</v>
      </c>
      <c r="G4368" s="7" t="str">
        <f t="shared" si="24"/>
        <v>Direct</v>
      </c>
      <c r="H4368" s="7" t="s">
        <v>4879</v>
      </c>
    </row>
    <row r="4369" spans="1:8" x14ac:dyDescent="0.2">
      <c r="A4369" s="5" t="s">
        <v>27</v>
      </c>
      <c r="B4369" s="6" t="s">
        <v>19</v>
      </c>
      <c r="C4369" s="7" t="s">
        <v>4880</v>
      </c>
      <c r="D4369" s="7"/>
      <c r="E4369" s="8">
        <v>-1.2773786</v>
      </c>
      <c r="F4369" s="8">
        <v>-1.2178112999999999</v>
      </c>
      <c r="G4369" s="7" t="str">
        <f t="shared" si="24"/>
        <v>Direct</v>
      </c>
      <c r="H4369" s="7" t="s">
        <v>178</v>
      </c>
    </row>
    <row r="4370" spans="1:8" x14ac:dyDescent="0.2">
      <c r="A4370" s="5" t="s">
        <v>27</v>
      </c>
      <c r="B4370" s="6" t="s">
        <v>19</v>
      </c>
      <c r="C4370" s="7" t="s">
        <v>4881</v>
      </c>
      <c r="D4370" s="7"/>
      <c r="E4370" s="8">
        <v>-2.2514113</v>
      </c>
      <c r="F4370" s="8">
        <v>-1.2998567999999999</v>
      </c>
      <c r="G4370" s="7" t="str">
        <f t="shared" si="24"/>
        <v>Direct</v>
      </c>
      <c r="H4370" s="7" t="s">
        <v>178</v>
      </c>
    </row>
    <row r="4371" spans="1:8" x14ac:dyDescent="0.2">
      <c r="A4371" s="5" t="s">
        <v>27</v>
      </c>
      <c r="B4371" s="6" t="s">
        <v>19</v>
      </c>
      <c r="C4371" s="7" t="s">
        <v>4082</v>
      </c>
      <c r="D4371" s="7"/>
      <c r="E4371" s="8">
        <v>2.2957640700000002</v>
      </c>
      <c r="F4371" s="8">
        <v>4.6928096300000002</v>
      </c>
      <c r="G4371" s="7" t="str">
        <f t="shared" si="24"/>
        <v>Direct</v>
      </c>
      <c r="H4371" s="7" t="s">
        <v>543</v>
      </c>
    </row>
    <row r="4372" spans="1:8" x14ac:dyDescent="0.2">
      <c r="A4372" s="5" t="s">
        <v>27</v>
      </c>
      <c r="B4372" s="6" t="s">
        <v>19</v>
      </c>
      <c r="C4372" s="7" t="s">
        <v>4882</v>
      </c>
      <c r="D4372" s="7"/>
      <c r="E4372" s="8">
        <v>2.93503654</v>
      </c>
      <c r="F4372" s="8">
        <v>1.21567526</v>
      </c>
      <c r="G4372" s="7" t="str">
        <f t="shared" si="24"/>
        <v>Direct</v>
      </c>
      <c r="H4372" s="7" t="s">
        <v>16</v>
      </c>
    </row>
    <row r="4373" spans="1:8" x14ac:dyDescent="0.2">
      <c r="A4373" s="5" t="s">
        <v>27</v>
      </c>
      <c r="B4373" s="6" t="s">
        <v>19</v>
      </c>
      <c r="C4373" s="7" t="s">
        <v>4883</v>
      </c>
      <c r="D4373" s="7"/>
      <c r="E4373" s="8">
        <v>2.05452163</v>
      </c>
      <c r="F4373" s="8">
        <v>1.25980436</v>
      </c>
      <c r="G4373" s="7" t="str">
        <f t="shared" si="24"/>
        <v>Direct</v>
      </c>
      <c r="H4373" s="7" t="s">
        <v>16</v>
      </c>
    </row>
    <row r="4374" spans="1:8" x14ac:dyDescent="0.2">
      <c r="A4374" s="5" t="s">
        <v>27</v>
      </c>
      <c r="B4374" s="6" t="s">
        <v>19</v>
      </c>
      <c r="C4374" s="7" t="s">
        <v>4884</v>
      </c>
      <c r="D4374" s="7"/>
      <c r="E4374" s="8">
        <v>-2.8749316</v>
      </c>
      <c r="F4374" s="8">
        <v>-2.4867534999999998</v>
      </c>
      <c r="G4374" s="7" t="str">
        <f t="shared" si="24"/>
        <v>Direct</v>
      </c>
      <c r="H4374" s="7" t="s">
        <v>4850</v>
      </c>
    </row>
    <row r="4375" spans="1:8" x14ac:dyDescent="0.2">
      <c r="A4375" s="5" t="s">
        <v>27</v>
      </c>
      <c r="B4375" s="6" t="s">
        <v>19</v>
      </c>
      <c r="C4375" s="7" t="s">
        <v>4885</v>
      </c>
      <c r="D4375" s="7"/>
      <c r="E4375" s="8">
        <v>-1.2668003000000001</v>
      </c>
      <c r="F4375" s="8">
        <v>-2.1242378999999998</v>
      </c>
      <c r="G4375" s="7" t="str">
        <f t="shared" si="24"/>
        <v>Direct</v>
      </c>
      <c r="H4375" s="7" t="s">
        <v>16</v>
      </c>
    </row>
    <row r="4376" spans="1:8" x14ac:dyDescent="0.2">
      <c r="A4376" s="5" t="s">
        <v>27</v>
      </c>
      <c r="B4376" s="6" t="s">
        <v>19</v>
      </c>
      <c r="C4376" s="7" t="s">
        <v>4886</v>
      </c>
      <c r="D4376" s="7"/>
      <c r="E4376" s="8">
        <v>-3.3692199999999999</v>
      </c>
      <c r="F4376" s="8">
        <v>-2.1551068999999998</v>
      </c>
      <c r="G4376" s="7" t="str">
        <f t="shared" si="24"/>
        <v>Direct</v>
      </c>
      <c r="H4376" s="7" t="s">
        <v>16</v>
      </c>
    </row>
    <row r="4377" spans="1:8" x14ac:dyDescent="0.2">
      <c r="A4377" s="5" t="s">
        <v>27</v>
      </c>
      <c r="B4377" s="6" t="s">
        <v>19</v>
      </c>
      <c r="C4377" s="7" t="s">
        <v>4887</v>
      </c>
      <c r="D4377" s="7"/>
      <c r="E4377" s="8">
        <v>-2.9075074999999999</v>
      </c>
      <c r="F4377" s="8">
        <v>-2.1848573999999998</v>
      </c>
      <c r="G4377" s="7" t="str">
        <f t="shared" si="24"/>
        <v>Direct</v>
      </c>
      <c r="H4377" s="7" t="s">
        <v>16</v>
      </c>
    </row>
    <row r="4378" spans="1:8" x14ac:dyDescent="0.2">
      <c r="A4378" s="5" t="s">
        <v>27</v>
      </c>
      <c r="B4378" s="6" t="s">
        <v>19</v>
      </c>
      <c r="C4378" s="7" t="s">
        <v>4888</v>
      </c>
      <c r="D4378" s="7"/>
      <c r="E4378" s="8">
        <v>-2.1903923000000001</v>
      </c>
      <c r="F4378" s="8">
        <v>-5.1242751999999996</v>
      </c>
      <c r="G4378" s="7" t="str">
        <f t="shared" si="24"/>
        <v>Direct</v>
      </c>
      <c r="H4378" s="7" t="s">
        <v>16</v>
      </c>
    </row>
    <row r="4379" spans="1:8" x14ac:dyDescent="0.2">
      <c r="A4379" s="5" t="s">
        <v>27</v>
      </c>
      <c r="B4379" s="6" t="s">
        <v>19</v>
      </c>
      <c r="C4379" s="7" t="s">
        <v>4889</v>
      </c>
      <c r="D4379" s="7"/>
      <c r="E4379" s="8">
        <v>-6.9146977999999999</v>
      </c>
      <c r="F4379" s="8">
        <v>-8.2780918000000003</v>
      </c>
      <c r="G4379" s="7" t="str">
        <f t="shared" si="24"/>
        <v>Direct</v>
      </c>
      <c r="H4379" s="7" t="s">
        <v>16</v>
      </c>
    </row>
    <row r="4380" spans="1:8" x14ac:dyDescent="0.2">
      <c r="A4380" s="5" t="s">
        <v>27</v>
      </c>
      <c r="B4380" s="6" t="s">
        <v>19</v>
      </c>
      <c r="C4380" s="7" t="s">
        <v>4890</v>
      </c>
      <c r="D4380" s="7"/>
      <c r="E4380" s="8">
        <v>1.62319821</v>
      </c>
      <c r="F4380" s="8">
        <v>3.1242472000000001</v>
      </c>
      <c r="G4380" s="7" t="str">
        <f t="shared" si="24"/>
        <v>Direct</v>
      </c>
      <c r="H4380" s="7" t="s">
        <v>3195</v>
      </c>
    </row>
    <row r="4381" spans="1:8" x14ac:dyDescent="0.2">
      <c r="A4381" s="5" t="s">
        <v>27</v>
      </c>
      <c r="B4381" s="6" t="s">
        <v>19</v>
      </c>
      <c r="C4381" s="7" t="s">
        <v>4891</v>
      </c>
      <c r="D4381" s="7"/>
      <c r="E4381" s="8">
        <v>-2.4970365999999999</v>
      </c>
      <c r="F4381" s="8">
        <v>-1.2462856</v>
      </c>
      <c r="G4381" s="7" t="str">
        <f t="shared" si="24"/>
        <v>Direct</v>
      </c>
      <c r="H4381" s="7" t="s">
        <v>2781</v>
      </c>
    </row>
    <row r="4382" spans="1:8" x14ac:dyDescent="0.2">
      <c r="A4382" s="5" t="s">
        <v>27</v>
      </c>
      <c r="B4382" s="6" t="s">
        <v>19</v>
      </c>
      <c r="C4382" s="7" t="s">
        <v>4892</v>
      </c>
      <c r="D4382" s="7"/>
      <c r="E4382" s="8">
        <v>-2.3369678999999999</v>
      </c>
      <c r="F4382" s="8">
        <v>-2.0578929000000001</v>
      </c>
      <c r="G4382" s="7" t="str">
        <f t="shared" si="24"/>
        <v>Direct</v>
      </c>
      <c r="H4382" s="7" t="s">
        <v>4893</v>
      </c>
    </row>
    <row r="4383" spans="1:8" x14ac:dyDescent="0.2">
      <c r="A4383" s="5" t="s">
        <v>27</v>
      </c>
      <c r="B4383" s="6" t="s">
        <v>19</v>
      </c>
      <c r="C4383" s="7" t="s">
        <v>4083</v>
      </c>
      <c r="D4383" s="7"/>
      <c r="E4383" s="8">
        <v>1.1343714899999999</v>
      </c>
      <c r="F4383" s="8">
        <v>1.7488159000000001</v>
      </c>
      <c r="G4383" s="7" t="str">
        <f t="shared" si="24"/>
        <v>Direct</v>
      </c>
      <c r="H4383" s="7" t="s">
        <v>4084</v>
      </c>
    </row>
    <row r="4384" spans="1:8" x14ac:dyDescent="0.2">
      <c r="A4384" s="5" t="s">
        <v>27</v>
      </c>
      <c r="B4384" s="6" t="s">
        <v>19</v>
      </c>
      <c r="C4384" s="7" t="s">
        <v>4894</v>
      </c>
      <c r="D4384" s="7"/>
      <c r="E4384" s="8">
        <v>-1.0376402</v>
      </c>
      <c r="F4384" s="8">
        <v>-1.5721780999999999</v>
      </c>
      <c r="G4384" s="7" t="str">
        <f t="shared" si="24"/>
        <v>Direct</v>
      </c>
      <c r="H4384" s="7" t="s">
        <v>4895</v>
      </c>
    </row>
    <row r="4385" spans="1:8" x14ac:dyDescent="0.2">
      <c r="A4385" s="5" t="s">
        <v>27</v>
      </c>
      <c r="B4385" s="6" t="s">
        <v>19</v>
      </c>
      <c r="C4385" s="7" t="s">
        <v>4896</v>
      </c>
      <c r="D4385" s="7"/>
      <c r="E4385" s="8">
        <v>-1.7446718999999999</v>
      </c>
      <c r="F4385" s="8">
        <v>-1.1822199</v>
      </c>
      <c r="G4385" s="7" t="str">
        <f t="shared" si="24"/>
        <v>Direct</v>
      </c>
      <c r="H4385" s="7" t="s">
        <v>4292</v>
      </c>
    </row>
    <row r="4386" spans="1:8" x14ac:dyDescent="0.2">
      <c r="A4386" s="5" t="s">
        <v>27</v>
      </c>
      <c r="B4386" s="6" t="s">
        <v>19</v>
      </c>
      <c r="C4386" s="7" t="s">
        <v>4897</v>
      </c>
      <c r="D4386" s="7"/>
      <c r="E4386" s="8">
        <v>1.0082862100000001</v>
      </c>
      <c r="F4386" s="8">
        <v>1.24306592</v>
      </c>
      <c r="G4386" s="7" t="str">
        <f t="shared" si="24"/>
        <v>Direct</v>
      </c>
      <c r="H4386" s="7" t="s">
        <v>4898</v>
      </c>
    </row>
    <row r="4387" spans="1:8" x14ac:dyDescent="0.2">
      <c r="A4387" s="5" t="s">
        <v>27</v>
      </c>
      <c r="B4387" s="6" t="s">
        <v>19</v>
      </c>
      <c r="C4387" s="7" t="s">
        <v>4899</v>
      </c>
      <c r="D4387" s="7"/>
      <c r="E4387" s="8">
        <v>-3.1802475000000001</v>
      </c>
      <c r="F4387" s="8">
        <v>-3.9243964</v>
      </c>
      <c r="G4387" s="7" t="str">
        <f t="shared" si="24"/>
        <v>Direct</v>
      </c>
      <c r="H4387" s="7" t="s">
        <v>1931</v>
      </c>
    </row>
    <row r="4388" spans="1:8" x14ac:dyDescent="0.2">
      <c r="A4388" s="5" t="s">
        <v>27</v>
      </c>
      <c r="B4388" s="6" t="s">
        <v>19</v>
      </c>
      <c r="C4388" s="7" t="s">
        <v>4900</v>
      </c>
      <c r="D4388" s="7"/>
      <c r="E4388" s="8">
        <v>-1.8820627000000001</v>
      </c>
      <c r="F4388" s="8">
        <v>-2.9176744000000001</v>
      </c>
      <c r="G4388" s="7" t="str">
        <f t="shared" si="24"/>
        <v>Direct</v>
      </c>
      <c r="H4388" s="7" t="s">
        <v>4901</v>
      </c>
    </row>
    <row r="4389" spans="1:8" x14ac:dyDescent="0.2">
      <c r="A4389" s="5" t="s">
        <v>27</v>
      </c>
      <c r="B4389" s="6" t="s">
        <v>19</v>
      </c>
      <c r="C4389" s="7" t="s">
        <v>4902</v>
      </c>
      <c r="D4389" s="7"/>
      <c r="E4389" s="8">
        <v>1.5982095300000001</v>
      </c>
      <c r="F4389" s="8">
        <v>1.6952437499999999</v>
      </c>
      <c r="G4389" s="7" t="str">
        <f t="shared" si="24"/>
        <v>Direct</v>
      </c>
      <c r="H4389" s="7" t="s">
        <v>172</v>
      </c>
    </row>
    <row r="4390" spans="1:8" x14ac:dyDescent="0.2">
      <c r="A4390" s="5" t="s">
        <v>27</v>
      </c>
      <c r="B4390" s="6" t="s">
        <v>19</v>
      </c>
      <c r="C4390" s="7" t="s">
        <v>4903</v>
      </c>
      <c r="D4390" s="7"/>
      <c r="E4390" s="8">
        <v>-2.2122012</v>
      </c>
      <c r="F4390" s="8">
        <v>-2.2917917999999999</v>
      </c>
      <c r="G4390" s="7" t="str">
        <f t="shared" si="24"/>
        <v>Direct</v>
      </c>
      <c r="H4390" s="7" t="s">
        <v>16</v>
      </c>
    </row>
    <row r="4391" spans="1:8" x14ac:dyDescent="0.2">
      <c r="A4391" s="5" t="s">
        <v>27</v>
      </c>
      <c r="B4391" s="6" t="s">
        <v>19</v>
      </c>
      <c r="C4391" s="7" t="s">
        <v>4904</v>
      </c>
      <c r="D4391" s="7"/>
      <c r="E4391" s="8">
        <v>-2.6387991</v>
      </c>
      <c r="F4391" s="8">
        <v>-6.3291202000000002</v>
      </c>
      <c r="G4391" s="7" t="str">
        <f t="shared" si="24"/>
        <v>Direct</v>
      </c>
      <c r="H4391" s="7" t="s">
        <v>3977</v>
      </c>
    </row>
    <row r="4392" spans="1:8" x14ac:dyDescent="0.2">
      <c r="A4392" s="5" t="s">
        <v>27</v>
      </c>
      <c r="B4392" s="6" t="s">
        <v>19</v>
      </c>
      <c r="C4392" s="7" t="s">
        <v>4905</v>
      </c>
      <c r="D4392" s="7"/>
      <c r="E4392" s="8">
        <v>-3.6364561000000002</v>
      </c>
      <c r="F4392" s="8">
        <v>-1.9325439</v>
      </c>
      <c r="G4392" s="7" t="str">
        <f t="shared" si="24"/>
        <v>Direct</v>
      </c>
      <c r="H4392" s="7" t="s">
        <v>3797</v>
      </c>
    </row>
    <row r="4393" spans="1:8" x14ac:dyDescent="0.2">
      <c r="A4393" s="5" t="s">
        <v>27</v>
      </c>
      <c r="B4393" s="6" t="s">
        <v>19</v>
      </c>
      <c r="C4393" s="7" t="s">
        <v>4906</v>
      </c>
      <c r="D4393" s="7"/>
      <c r="E4393" s="8">
        <v>-1.3395321</v>
      </c>
      <c r="F4393" s="8">
        <v>-1.6092962</v>
      </c>
      <c r="G4393" s="7" t="str">
        <f t="shared" si="24"/>
        <v>Direct</v>
      </c>
      <c r="H4393" s="7" t="s">
        <v>2595</v>
      </c>
    </row>
    <row r="4394" spans="1:8" x14ac:dyDescent="0.2">
      <c r="A4394" s="5" t="s">
        <v>27</v>
      </c>
      <c r="B4394" s="6" t="s">
        <v>19</v>
      </c>
      <c r="C4394" s="7" t="s">
        <v>4907</v>
      </c>
      <c r="D4394" s="7"/>
      <c r="E4394" s="8">
        <v>-1.3419128</v>
      </c>
      <c r="F4394" s="8">
        <v>-1.0352508</v>
      </c>
      <c r="G4394" s="7" t="str">
        <f t="shared" si="24"/>
        <v>Direct</v>
      </c>
      <c r="H4394" s="7" t="s">
        <v>4908</v>
      </c>
    </row>
    <row r="4395" spans="1:8" x14ac:dyDescent="0.2">
      <c r="A4395" s="5" t="s">
        <v>27</v>
      </c>
      <c r="B4395" s="6" t="s">
        <v>19</v>
      </c>
      <c r="C4395" s="7" t="s">
        <v>4909</v>
      </c>
      <c r="D4395" s="7"/>
      <c r="E4395" s="8">
        <v>-3.3713519999999999</v>
      </c>
      <c r="F4395" s="8">
        <v>-1.7878985000000001</v>
      </c>
      <c r="G4395" s="7" t="str">
        <f t="shared" si="24"/>
        <v>Direct</v>
      </c>
      <c r="H4395" s="7" t="s">
        <v>4850</v>
      </c>
    </row>
    <row r="4396" spans="1:8" x14ac:dyDescent="0.2">
      <c r="A4396" s="5" t="s">
        <v>27</v>
      </c>
      <c r="B4396" s="6" t="s">
        <v>19</v>
      </c>
      <c r="C4396" s="7" t="s">
        <v>4910</v>
      </c>
      <c r="D4396" s="7"/>
      <c r="E4396" s="8">
        <v>-1.1003006</v>
      </c>
      <c r="F4396" s="8">
        <v>-1.0998365000000001</v>
      </c>
      <c r="G4396" s="7" t="str">
        <f t="shared" si="24"/>
        <v>Direct</v>
      </c>
      <c r="H4396" s="7" t="s">
        <v>3920</v>
      </c>
    </row>
    <row r="4397" spans="1:8" x14ac:dyDescent="0.2">
      <c r="A4397" s="5" t="s">
        <v>27</v>
      </c>
      <c r="B4397" s="6" t="s">
        <v>19</v>
      </c>
      <c r="C4397" s="7" t="s">
        <v>4911</v>
      </c>
      <c r="D4397" s="7"/>
      <c r="E4397" s="8">
        <v>1.2174552000000001</v>
      </c>
      <c r="F4397" s="8">
        <v>1.31352256</v>
      </c>
      <c r="G4397" s="7" t="str">
        <f t="shared" si="24"/>
        <v>Direct</v>
      </c>
      <c r="H4397" s="7" t="s">
        <v>2988</v>
      </c>
    </row>
    <row r="4398" spans="1:8" x14ac:dyDescent="0.2">
      <c r="A4398" s="5" t="s">
        <v>27</v>
      </c>
      <c r="B4398" s="6" t="s">
        <v>19</v>
      </c>
      <c r="C4398" s="7" t="s">
        <v>4912</v>
      </c>
      <c r="D4398" s="7"/>
      <c r="E4398" s="8">
        <v>-1.8119845000000001</v>
      </c>
      <c r="F4398" s="8">
        <v>-2.9004327999999999</v>
      </c>
      <c r="G4398" s="7" t="str">
        <f t="shared" si="24"/>
        <v>Direct</v>
      </c>
      <c r="H4398" s="7" t="s">
        <v>4913</v>
      </c>
    </row>
    <row r="4399" spans="1:8" x14ac:dyDescent="0.2">
      <c r="A4399" s="5" t="s">
        <v>27</v>
      </c>
      <c r="B4399" s="6" t="s">
        <v>19</v>
      </c>
      <c r="C4399" s="7" t="s">
        <v>4914</v>
      </c>
      <c r="D4399" s="7"/>
      <c r="E4399" s="8">
        <v>5.5866056799999999</v>
      </c>
      <c r="F4399" s="8">
        <v>3.45703607</v>
      </c>
      <c r="G4399" s="7" t="str">
        <f t="shared" si="24"/>
        <v>Direct</v>
      </c>
      <c r="H4399" s="7" t="s">
        <v>16</v>
      </c>
    </row>
    <row r="4400" spans="1:8" x14ac:dyDescent="0.2">
      <c r="A4400" s="5" t="s">
        <v>27</v>
      </c>
      <c r="B4400" s="6" t="s">
        <v>19</v>
      </c>
      <c r="C4400" s="7" t="s">
        <v>4915</v>
      </c>
      <c r="D4400" s="7"/>
      <c r="E4400" s="8">
        <v>2.0648788699999998</v>
      </c>
      <c r="F4400" s="8">
        <v>2.54886861</v>
      </c>
      <c r="G4400" s="7" t="str">
        <f t="shared" si="24"/>
        <v>Direct</v>
      </c>
      <c r="H4400" s="7" t="s">
        <v>4916</v>
      </c>
    </row>
    <row r="4401" spans="1:8" x14ac:dyDescent="0.2">
      <c r="A4401" s="5" t="s">
        <v>27</v>
      </c>
      <c r="B4401" s="6" t="s">
        <v>19</v>
      </c>
      <c r="C4401" s="7" t="s">
        <v>4085</v>
      </c>
      <c r="D4401" s="7"/>
      <c r="E4401" s="8">
        <v>1.81198448</v>
      </c>
      <c r="F4401" s="8">
        <v>1.13567201</v>
      </c>
      <c r="G4401" s="7" t="str">
        <f t="shared" si="24"/>
        <v>Direct</v>
      </c>
      <c r="H4401" s="7" t="s">
        <v>16</v>
      </c>
    </row>
    <row r="4402" spans="1:8" x14ac:dyDescent="0.2">
      <c r="A4402" s="5" t="s">
        <v>27</v>
      </c>
      <c r="B4402" s="6" t="s">
        <v>19</v>
      </c>
      <c r="C4402" s="7" t="s">
        <v>4917</v>
      </c>
      <c r="D4402" s="7"/>
      <c r="E4402" s="8">
        <v>-1.4228608</v>
      </c>
      <c r="F4402" s="8">
        <v>-3.2443922000000001</v>
      </c>
      <c r="G4402" s="7" t="str">
        <f t="shared" si="24"/>
        <v>Direct</v>
      </c>
      <c r="H4402" s="7" t="s">
        <v>287</v>
      </c>
    </row>
    <row r="4403" spans="1:8" x14ac:dyDescent="0.2">
      <c r="A4403" s="5" t="s">
        <v>27</v>
      </c>
      <c r="B4403" s="6" t="s">
        <v>19</v>
      </c>
      <c r="C4403" s="7" t="s">
        <v>4918</v>
      </c>
      <c r="D4403" s="7"/>
      <c r="E4403" s="8">
        <v>1.2272628999999999</v>
      </c>
      <c r="F4403" s="8">
        <v>1.81878593</v>
      </c>
      <c r="G4403" s="7" t="str">
        <f t="shared" si="24"/>
        <v>Direct</v>
      </c>
      <c r="H4403" s="7" t="s">
        <v>4919</v>
      </c>
    </row>
    <row r="4404" spans="1:8" x14ac:dyDescent="0.2">
      <c r="A4404" s="5" t="s">
        <v>27</v>
      </c>
      <c r="B4404" s="6" t="s">
        <v>19</v>
      </c>
      <c r="C4404" s="7" t="s">
        <v>4920</v>
      </c>
      <c r="D4404" s="7"/>
      <c r="E4404" s="8">
        <v>-1.3337953</v>
      </c>
      <c r="F4404" s="8">
        <v>-1.5114748</v>
      </c>
      <c r="G4404" s="7" t="str">
        <f t="shared" si="24"/>
        <v>Direct</v>
      </c>
      <c r="H4404" s="7" t="s">
        <v>820</v>
      </c>
    </row>
    <row r="4405" spans="1:8" x14ac:dyDescent="0.2">
      <c r="A4405" s="5" t="s">
        <v>27</v>
      </c>
      <c r="B4405" s="6" t="s">
        <v>19</v>
      </c>
      <c r="C4405" s="7" t="s">
        <v>4921</v>
      </c>
      <c r="D4405" s="7"/>
      <c r="E4405" s="8">
        <v>-2.9758083000000002</v>
      </c>
      <c r="F4405" s="8">
        <v>-1.0627602</v>
      </c>
      <c r="G4405" s="7" t="str">
        <f t="shared" si="24"/>
        <v>Direct</v>
      </c>
      <c r="H4405" s="7" t="s">
        <v>16</v>
      </c>
    </row>
    <row r="4406" spans="1:8" x14ac:dyDescent="0.2">
      <c r="A4406" s="5" t="s">
        <v>27</v>
      </c>
      <c r="B4406" s="6" t="s">
        <v>19</v>
      </c>
      <c r="C4406" s="7" t="s">
        <v>4922</v>
      </c>
      <c r="D4406" s="7"/>
      <c r="E4406" s="8">
        <v>1.8451694000000001</v>
      </c>
      <c r="F4406" s="8">
        <v>1.5114747799999999</v>
      </c>
      <c r="G4406" s="7" t="str">
        <f t="shared" si="24"/>
        <v>Direct</v>
      </c>
      <c r="H4406" s="7" t="s">
        <v>4923</v>
      </c>
    </row>
    <row r="4407" spans="1:8" x14ac:dyDescent="0.2">
      <c r="A4407" s="5" t="s">
        <v>27</v>
      </c>
      <c r="B4407" s="6" t="s">
        <v>19</v>
      </c>
      <c r="C4407" s="7" t="s">
        <v>4924</v>
      </c>
      <c r="D4407" s="7"/>
      <c r="E4407" s="8">
        <v>4.6336249199999999</v>
      </c>
      <c r="F4407" s="8">
        <v>4.5696714099999998</v>
      </c>
      <c r="G4407" s="7" t="str">
        <f t="shared" si="24"/>
        <v>Direct</v>
      </c>
      <c r="H4407" s="7" t="s">
        <v>655</v>
      </c>
    </row>
    <row r="4408" spans="1:8" x14ac:dyDescent="0.2">
      <c r="A4408" s="5" t="s">
        <v>27</v>
      </c>
      <c r="B4408" s="6" t="s">
        <v>19</v>
      </c>
      <c r="C4408" s="7" t="s">
        <v>4925</v>
      </c>
      <c r="D4408" s="7"/>
      <c r="E4408" s="8">
        <v>-1.6908331999999999</v>
      </c>
      <c r="F4408" s="8">
        <v>-1.3114946999999999</v>
      </c>
      <c r="G4408" s="7" t="str">
        <f t="shared" si="24"/>
        <v>Direct</v>
      </c>
      <c r="H4408" s="7" t="s">
        <v>4926</v>
      </c>
    </row>
    <row r="4409" spans="1:8" x14ac:dyDescent="0.2">
      <c r="A4409" s="5" t="s">
        <v>27</v>
      </c>
      <c r="B4409" s="6" t="s">
        <v>19</v>
      </c>
      <c r="C4409" s="7" t="s">
        <v>4927</v>
      </c>
      <c r="D4409" s="7"/>
      <c r="E4409" s="8">
        <v>-1.0386255</v>
      </c>
      <c r="F4409" s="8">
        <v>-5.3618845999999998</v>
      </c>
      <c r="G4409" s="7" t="str">
        <f t="shared" si="24"/>
        <v>Direct</v>
      </c>
      <c r="H4409" s="7" t="s">
        <v>4928</v>
      </c>
    </row>
    <row r="4410" spans="1:8" x14ac:dyDescent="0.2">
      <c r="A4410" s="5" t="s">
        <v>27</v>
      </c>
      <c r="B4410" s="6" t="s">
        <v>19</v>
      </c>
      <c r="C4410" s="7" t="s">
        <v>4929</v>
      </c>
      <c r="D4410" s="7"/>
      <c r="E4410" s="8">
        <v>2.30475472</v>
      </c>
      <c r="F4410" s="8">
        <v>1.45312379</v>
      </c>
      <c r="G4410" s="7" t="str">
        <f t="shared" si="24"/>
        <v>Direct</v>
      </c>
      <c r="H4410" s="7" t="s">
        <v>1285</v>
      </c>
    </row>
    <row r="4411" spans="1:8" x14ac:dyDescent="0.2">
      <c r="A4411" s="5" t="s">
        <v>27</v>
      </c>
      <c r="B4411" s="6" t="s">
        <v>19</v>
      </c>
      <c r="C4411" s="7" t="s">
        <v>4930</v>
      </c>
      <c r="D4411" s="7"/>
      <c r="E4411" s="8">
        <v>-2.0679376999999999</v>
      </c>
      <c r="F4411" s="8">
        <v>-1.5046902</v>
      </c>
      <c r="G4411" s="7" t="str">
        <f t="shared" si="24"/>
        <v>Direct</v>
      </c>
      <c r="H4411" s="7" t="s">
        <v>4931</v>
      </c>
    </row>
    <row r="4412" spans="1:8" x14ac:dyDescent="0.2">
      <c r="A4412" s="5" t="s">
        <v>27</v>
      </c>
      <c r="B4412" s="6" t="s">
        <v>19</v>
      </c>
      <c r="C4412" s="7" t="s">
        <v>4932</v>
      </c>
      <c r="D4412" s="7"/>
      <c r="E4412" s="8">
        <v>-1.1394579</v>
      </c>
      <c r="F4412" s="8">
        <v>-1.9012667000000001</v>
      </c>
      <c r="G4412" s="7" t="str">
        <f t="shared" si="24"/>
        <v>Direct</v>
      </c>
      <c r="H4412" s="7" t="s">
        <v>4933</v>
      </c>
    </row>
    <row r="4413" spans="1:8" x14ac:dyDescent="0.2">
      <c r="A4413" s="5" t="s">
        <v>27</v>
      </c>
      <c r="B4413" s="6" t="s">
        <v>19</v>
      </c>
      <c r="C4413" s="7" t="s">
        <v>4934</v>
      </c>
      <c r="D4413" s="7"/>
      <c r="E4413" s="8">
        <v>2.4018799799999999</v>
      </c>
      <c r="F4413" s="8">
        <v>2.0280942799999999</v>
      </c>
      <c r="G4413" s="7" t="str">
        <f t="shared" si="24"/>
        <v>Direct</v>
      </c>
      <c r="H4413" s="7" t="s">
        <v>4935</v>
      </c>
    </row>
    <row r="4414" spans="1:8" x14ac:dyDescent="0.2">
      <c r="A4414" s="5" t="s">
        <v>27</v>
      </c>
      <c r="B4414" s="6" t="s">
        <v>19</v>
      </c>
      <c r="C4414" s="7" t="s">
        <v>4936</v>
      </c>
      <c r="D4414" s="7"/>
      <c r="E4414" s="8">
        <v>-1.5497764000000001</v>
      </c>
      <c r="F4414" s="8">
        <v>-1.1633818</v>
      </c>
      <c r="G4414" s="7" t="str">
        <f t="shared" si="24"/>
        <v>Direct</v>
      </c>
      <c r="H4414" s="7" t="s">
        <v>4937</v>
      </c>
    </row>
    <row r="4415" spans="1:8" x14ac:dyDescent="0.2">
      <c r="A4415" s="5" t="s">
        <v>27</v>
      </c>
      <c r="B4415" s="6" t="s">
        <v>19</v>
      </c>
      <c r="C4415" s="7" t="s">
        <v>4938</v>
      </c>
      <c r="D4415" s="7"/>
      <c r="E4415" s="8">
        <v>1.3727483199999999</v>
      </c>
      <c r="F4415" s="8">
        <v>1.6960583499999999</v>
      </c>
      <c r="G4415" s="7" t="str">
        <f t="shared" si="24"/>
        <v>Direct</v>
      </c>
      <c r="H4415" s="7" t="s">
        <v>16</v>
      </c>
    </row>
    <row r="4416" spans="1:8" x14ac:dyDescent="0.2">
      <c r="A4416" s="5" t="s">
        <v>27</v>
      </c>
      <c r="B4416" s="6" t="s">
        <v>19</v>
      </c>
      <c r="C4416" s="7" t="s">
        <v>4939</v>
      </c>
      <c r="D4416" s="7"/>
      <c r="E4416" s="8">
        <v>2.0425844799999999</v>
      </c>
      <c r="F4416" s="8">
        <v>1.2383563099999999</v>
      </c>
      <c r="G4416" s="7" t="str">
        <f t="shared" si="24"/>
        <v>Direct</v>
      </c>
      <c r="H4416" s="7" t="s">
        <v>4940</v>
      </c>
    </row>
    <row r="4417" spans="1:8" x14ac:dyDescent="0.2">
      <c r="A4417" s="5" t="s">
        <v>27</v>
      </c>
      <c r="B4417" s="6" t="s">
        <v>19</v>
      </c>
      <c r="C4417" s="7" t="s">
        <v>4941</v>
      </c>
      <c r="D4417" s="7"/>
      <c r="E4417" s="8">
        <v>-4.7145967999999998</v>
      </c>
      <c r="F4417" s="8">
        <v>-3.8636417999999999</v>
      </c>
      <c r="G4417" s="7" t="str">
        <f t="shared" si="24"/>
        <v>Direct</v>
      </c>
      <c r="H4417" s="7" t="s">
        <v>2404</v>
      </c>
    </row>
    <row r="4418" spans="1:8" x14ac:dyDescent="0.2">
      <c r="A4418" s="5" t="s">
        <v>27</v>
      </c>
      <c r="B4418" s="6" t="s">
        <v>19</v>
      </c>
      <c r="C4418" s="7" t="s">
        <v>4942</v>
      </c>
      <c r="D4418" s="7"/>
      <c r="E4418" s="8">
        <v>2.4344726900000002</v>
      </c>
      <c r="F4418" s="8">
        <v>3.77601955</v>
      </c>
      <c r="G4418" s="7" t="str">
        <f t="shared" si="24"/>
        <v>Direct</v>
      </c>
      <c r="H4418" s="7" t="s">
        <v>16</v>
      </c>
    </row>
    <row r="4419" spans="1:8" x14ac:dyDescent="0.2">
      <c r="A4419" s="5" t="s">
        <v>27</v>
      </c>
      <c r="B4419" s="6" t="s">
        <v>19</v>
      </c>
      <c r="C4419" s="7" t="s">
        <v>4943</v>
      </c>
      <c r="D4419" s="7"/>
      <c r="E4419" s="8">
        <v>2.2042326000000001</v>
      </c>
      <c r="F4419" s="8">
        <v>1.94983963</v>
      </c>
      <c r="G4419" s="7" t="str">
        <f t="shared" si="24"/>
        <v>Direct</v>
      </c>
      <c r="H4419" s="7" t="s">
        <v>4944</v>
      </c>
    </row>
    <row r="4420" spans="1:8" x14ac:dyDescent="0.2">
      <c r="A4420" s="5" t="s">
        <v>27</v>
      </c>
      <c r="B4420" s="6" t="s">
        <v>19</v>
      </c>
      <c r="C4420" s="7" t="s">
        <v>4945</v>
      </c>
      <c r="D4420" s="7"/>
      <c r="E4420" s="8">
        <v>-2.8185402000000002</v>
      </c>
      <c r="F4420" s="8">
        <v>-1.4083574999999999</v>
      </c>
      <c r="G4420" s="7" t="str">
        <f t="shared" si="24"/>
        <v>Direct</v>
      </c>
      <c r="H4420" s="7" t="s">
        <v>4946</v>
      </c>
    </row>
    <row r="4421" spans="1:8" x14ac:dyDescent="0.2">
      <c r="A4421" s="5" t="s">
        <v>27</v>
      </c>
      <c r="B4421" s="6" t="s">
        <v>19</v>
      </c>
      <c r="C4421" s="7" t="s">
        <v>4947</v>
      </c>
      <c r="D4421" s="7"/>
      <c r="E4421" s="8">
        <v>-6.5854647999999996</v>
      </c>
      <c r="F4421" s="8">
        <v>-5.5863581</v>
      </c>
      <c r="G4421" s="7" t="str">
        <f t="shared" si="24"/>
        <v>Direct</v>
      </c>
      <c r="H4421" s="7" t="s">
        <v>2474</v>
      </c>
    </row>
    <row r="4422" spans="1:8" x14ac:dyDescent="0.2">
      <c r="A4422" s="5" t="s">
        <v>27</v>
      </c>
      <c r="B4422" s="6" t="s">
        <v>19</v>
      </c>
      <c r="C4422" s="7" t="s">
        <v>4948</v>
      </c>
      <c r="D4422" s="7"/>
      <c r="E4422" s="8">
        <v>-4.3468869000000003</v>
      </c>
      <c r="F4422" s="8">
        <v>-2.0130599999999998</v>
      </c>
      <c r="G4422" s="7" t="str">
        <f t="shared" si="24"/>
        <v>Direct</v>
      </c>
      <c r="H4422" s="7" t="s">
        <v>2476</v>
      </c>
    </row>
    <row r="4423" spans="1:8" x14ac:dyDescent="0.2">
      <c r="A4423" s="5" t="s">
        <v>27</v>
      </c>
      <c r="B4423" s="6" t="s">
        <v>19</v>
      </c>
      <c r="C4423" s="7" t="s">
        <v>4949</v>
      </c>
      <c r="D4423" s="7"/>
      <c r="E4423" s="8">
        <v>3.8837304700000002</v>
      </c>
      <c r="F4423" s="8">
        <v>5.3782881800000002</v>
      </c>
      <c r="G4423" s="7" t="str">
        <f t="shared" si="24"/>
        <v>Direct</v>
      </c>
      <c r="H4423" s="7" t="s">
        <v>2442</v>
      </c>
    </row>
    <row r="4424" spans="1:8" x14ac:dyDescent="0.2">
      <c r="A4424" s="5" t="s">
        <v>27</v>
      </c>
      <c r="B4424" s="6" t="s">
        <v>19</v>
      </c>
      <c r="C4424" s="7" t="s">
        <v>4950</v>
      </c>
      <c r="D4424" s="7"/>
      <c r="E4424" s="8">
        <v>-2.4589517000000001</v>
      </c>
      <c r="F4424" s="8">
        <v>-1.9218491</v>
      </c>
      <c r="G4424" s="7" t="str">
        <f t="shared" si="24"/>
        <v>Direct</v>
      </c>
      <c r="H4424" s="7" t="s">
        <v>4951</v>
      </c>
    </row>
    <row r="4425" spans="1:8" x14ac:dyDescent="0.2">
      <c r="A4425" s="5" t="s">
        <v>27</v>
      </c>
      <c r="B4425" s="6" t="s">
        <v>19</v>
      </c>
      <c r="C4425" s="7" t="s">
        <v>4952</v>
      </c>
      <c r="D4425" s="7"/>
      <c r="E4425" s="8">
        <v>1.2900713800000001</v>
      </c>
      <c r="F4425" s="8">
        <v>1.0937480500000001</v>
      </c>
      <c r="G4425" s="7" t="str">
        <f t="shared" si="24"/>
        <v>Direct</v>
      </c>
      <c r="H4425" s="7" t="s">
        <v>4953</v>
      </c>
    </row>
    <row r="4426" spans="1:8" x14ac:dyDescent="0.2">
      <c r="A4426" s="5" t="s">
        <v>27</v>
      </c>
      <c r="B4426" s="6" t="s">
        <v>19</v>
      </c>
      <c r="C4426" s="7" t="s">
        <v>4954</v>
      </c>
      <c r="D4426" s="7"/>
      <c r="E4426" s="8">
        <v>1.9592054800000001</v>
      </c>
      <c r="F4426" s="8">
        <v>2.7430358899999998</v>
      </c>
      <c r="G4426" s="7" t="str">
        <f t="shared" si="24"/>
        <v>Direct</v>
      </c>
      <c r="H4426" s="7" t="s">
        <v>241</v>
      </c>
    </row>
    <row r="4427" spans="1:8" x14ac:dyDescent="0.2">
      <c r="A4427" s="5" t="s">
        <v>27</v>
      </c>
      <c r="B4427" s="6" t="s">
        <v>19</v>
      </c>
      <c r="C4427" s="7" t="s">
        <v>4955</v>
      </c>
      <c r="D4427" s="7"/>
      <c r="E4427" s="8">
        <v>1.37641415</v>
      </c>
      <c r="F4427" s="8">
        <v>4.9227014200000001</v>
      </c>
      <c r="G4427" s="7" t="str">
        <f t="shared" si="24"/>
        <v>Direct</v>
      </c>
      <c r="H4427" s="7" t="s">
        <v>3547</v>
      </c>
    </row>
    <row r="4428" spans="1:8" x14ac:dyDescent="0.2">
      <c r="A4428" s="5" t="s">
        <v>27</v>
      </c>
      <c r="B4428" s="6" t="s">
        <v>19</v>
      </c>
      <c r="C4428" s="7" t="s">
        <v>4956</v>
      </c>
      <c r="D4428" s="7"/>
      <c r="E4428" s="8">
        <v>-6.0911761999999996</v>
      </c>
      <c r="F4428" s="8">
        <v>-9.4839783999999998</v>
      </c>
      <c r="G4428" s="7" t="str">
        <f t="shared" si="24"/>
        <v>Direct</v>
      </c>
      <c r="H4428" s="7" t="s">
        <v>2878</v>
      </c>
    </row>
    <row r="4429" spans="1:8" x14ac:dyDescent="0.2">
      <c r="A4429" s="5" t="s">
        <v>27</v>
      </c>
      <c r="B4429" s="6" t="s">
        <v>19</v>
      </c>
      <c r="C4429" s="7" t="s">
        <v>4957</v>
      </c>
      <c r="D4429" s="7"/>
      <c r="E4429" s="8">
        <v>-12.362603</v>
      </c>
      <c r="F4429" s="8">
        <v>-9.6688025</v>
      </c>
      <c r="G4429" s="7" t="str">
        <f t="shared" si="24"/>
        <v>Direct</v>
      </c>
      <c r="H4429" s="7" t="s">
        <v>2878</v>
      </c>
    </row>
    <row r="4430" spans="1:8" x14ac:dyDescent="0.2">
      <c r="A4430" s="5" t="s">
        <v>27</v>
      </c>
      <c r="B4430" s="6" t="s">
        <v>19</v>
      </c>
      <c r="C4430" s="7" t="s">
        <v>4958</v>
      </c>
      <c r="D4430" s="7"/>
      <c r="E4430" s="8">
        <v>2.7032499900000002</v>
      </c>
      <c r="F4430" s="8">
        <v>2.17215801</v>
      </c>
      <c r="G4430" s="7" t="str">
        <f t="shared" si="24"/>
        <v>Direct</v>
      </c>
      <c r="H4430" s="7" t="s">
        <v>4916</v>
      </c>
    </row>
    <row r="4431" spans="1:8" x14ac:dyDescent="0.2">
      <c r="A4431" s="5" t="s">
        <v>27</v>
      </c>
      <c r="B4431" s="6" t="s">
        <v>19</v>
      </c>
      <c r="C4431" s="7" t="s">
        <v>4959</v>
      </c>
      <c r="D4431" s="7"/>
      <c r="E4431" s="8">
        <v>-1.2298349</v>
      </c>
      <c r="F4431" s="8">
        <v>-3.3720178000000001</v>
      </c>
      <c r="G4431" s="7" t="str">
        <f t="shared" si="24"/>
        <v>Direct</v>
      </c>
      <c r="H4431" s="7" t="s">
        <v>1143</v>
      </c>
    </row>
    <row r="4432" spans="1:8" x14ac:dyDescent="0.2">
      <c r="A4432" s="5" t="s">
        <v>27</v>
      </c>
      <c r="B4432" s="6" t="s">
        <v>19</v>
      </c>
      <c r="C4432" s="7" t="s">
        <v>4086</v>
      </c>
      <c r="D4432" s="7"/>
      <c r="E4432" s="8">
        <v>-2.3761456999999999</v>
      </c>
      <c r="F4432" s="8">
        <v>-2.8233503999999998</v>
      </c>
      <c r="G4432" s="7" t="str">
        <f t="shared" si="24"/>
        <v>Direct</v>
      </c>
      <c r="H4432" s="7" t="s">
        <v>4087</v>
      </c>
    </row>
    <row r="4433" spans="1:8" x14ac:dyDescent="0.2">
      <c r="A4433" s="5" t="s">
        <v>27</v>
      </c>
      <c r="B4433" s="6" t="s">
        <v>19</v>
      </c>
      <c r="C4433" s="7" t="s">
        <v>4960</v>
      </c>
      <c r="D4433" s="7"/>
      <c r="E4433" s="8">
        <v>2.2461476899999999</v>
      </c>
      <c r="F4433" s="8">
        <v>2.7565912699999999</v>
      </c>
      <c r="G4433" s="7" t="str">
        <f t="shared" si="24"/>
        <v>Direct</v>
      </c>
      <c r="H4433" s="7" t="s">
        <v>1553</v>
      </c>
    </row>
    <row r="4434" spans="1:8" x14ac:dyDescent="0.2">
      <c r="A4434" s="5" t="s">
        <v>27</v>
      </c>
      <c r="B4434" s="6" t="s">
        <v>19</v>
      </c>
      <c r="C4434" s="7" t="s">
        <v>4961</v>
      </c>
      <c r="D4434" s="7"/>
      <c r="E4434" s="8">
        <v>-3.1384848999999999</v>
      </c>
      <c r="F4434" s="8">
        <v>-1.5781061000000001</v>
      </c>
      <c r="G4434" s="7" t="str">
        <f t="shared" si="24"/>
        <v>Direct</v>
      </c>
      <c r="H4434" s="7" t="s">
        <v>1553</v>
      </c>
    </row>
    <row r="4435" spans="1:8" x14ac:dyDescent="0.2">
      <c r="A4435" s="5" t="s">
        <v>27</v>
      </c>
      <c r="B4435" s="6" t="s">
        <v>19</v>
      </c>
      <c r="C4435" s="7" t="s">
        <v>4962</v>
      </c>
      <c r="D4435" s="7"/>
      <c r="E4435" s="8">
        <v>-2.6686033</v>
      </c>
      <c r="F4435" s="8">
        <v>-1.4767868</v>
      </c>
      <c r="G4435" s="7" t="str">
        <f t="shared" si="24"/>
        <v>Direct</v>
      </c>
      <c r="H4435" s="7" t="s">
        <v>4963</v>
      </c>
    </row>
    <row r="4436" spans="1:8" x14ac:dyDescent="0.2">
      <c r="A4436" s="5" t="s">
        <v>27</v>
      </c>
      <c r="B4436" s="6" t="s">
        <v>19</v>
      </c>
      <c r="C4436" s="7" t="s">
        <v>4088</v>
      </c>
      <c r="D4436" s="7"/>
      <c r="E4436" s="8">
        <v>4.3350114800000004</v>
      </c>
      <c r="F4436" s="8">
        <v>4.9887077599999996</v>
      </c>
      <c r="G4436" s="7" t="str">
        <f t="shared" si="24"/>
        <v>Direct</v>
      </c>
      <c r="H4436" s="7" t="s">
        <v>287</v>
      </c>
    </row>
    <row r="4437" spans="1:8" x14ac:dyDescent="0.2">
      <c r="A4437" s="5" t="s">
        <v>27</v>
      </c>
      <c r="B4437" s="6" t="s">
        <v>19</v>
      </c>
      <c r="C4437" s="7" t="s">
        <v>4964</v>
      </c>
      <c r="D4437" s="7"/>
      <c r="E4437" s="8">
        <v>-1.0543081000000001</v>
      </c>
      <c r="F4437" s="8">
        <v>-2.9659715000000002</v>
      </c>
      <c r="G4437" s="7" t="str">
        <f t="shared" si="24"/>
        <v>Direct</v>
      </c>
      <c r="H4437" s="7" t="s">
        <v>1897</v>
      </c>
    </row>
    <row r="4438" spans="1:8" x14ac:dyDescent="0.2">
      <c r="A4438" s="5" t="s">
        <v>27</v>
      </c>
      <c r="B4438" s="6" t="s">
        <v>19</v>
      </c>
      <c r="C4438" s="7" t="s">
        <v>4965</v>
      </c>
      <c r="D4438" s="7"/>
      <c r="E4438" s="8">
        <v>2.3087521400000002</v>
      </c>
      <c r="F4438" s="8">
        <v>1.55063985</v>
      </c>
      <c r="G4438" s="7" t="str">
        <f t="shared" si="24"/>
        <v>Direct</v>
      </c>
      <c r="H4438" s="7" t="s">
        <v>4966</v>
      </c>
    </row>
    <row r="4439" spans="1:8" x14ac:dyDescent="0.2">
      <c r="A4439" s="5" t="s">
        <v>27</v>
      </c>
      <c r="B4439" s="6" t="s">
        <v>19</v>
      </c>
      <c r="C4439" s="7" t="s">
        <v>4967</v>
      </c>
      <c r="D4439" s="7"/>
      <c r="E4439" s="8">
        <v>2.87379249</v>
      </c>
      <c r="F4439" s="8">
        <v>3.5022227400000001</v>
      </c>
      <c r="G4439" s="7" t="str">
        <f t="shared" si="24"/>
        <v>Direct</v>
      </c>
      <c r="H4439" s="7" t="s">
        <v>1902</v>
      </c>
    </row>
    <row r="4440" spans="1:8" x14ac:dyDescent="0.2">
      <c r="A4440" s="5" t="s">
        <v>27</v>
      </c>
      <c r="B4440" s="6" t="s">
        <v>19</v>
      </c>
      <c r="C4440" s="7" t="s">
        <v>4089</v>
      </c>
      <c r="D4440" s="7"/>
      <c r="E4440" s="8">
        <v>3.0632496100000002</v>
      </c>
      <c r="F4440" s="8">
        <v>1.28546114</v>
      </c>
      <c r="G4440" s="7" t="str">
        <f t="shared" si="24"/>
        <v>Direct</v>
      </c>
      <c r="H4440" s="7" t="s">
        <v>16</v>
      </c>
    </row>
    <row r="4441" spans="1:8" x14ac:dyDescent="0.2">
      <c r="A4441" s="5" t="s">
        <v>27</v>
      </c>
      <c r="B4441" s="6" t="s">
        <v>19</v>
      </c>
      <c r="C4441" s="7" t="s">
        <v>4968</v>
      </c>
      <c r="D4441" s="7"/>
      <c r="E4441" s="8">
        <v>5.3455065599999996</v>
      </c>
      <c r="F4441" s="8">
        <v>2.0910757599999998</v>
      </c>
      <c r="G4441" s="7" t="str">
        <f t="shared" si="24"/>
        <v>Direct</v>
      </c>
      <c r="H4441" s="7" t="s">
        <v>1820</v>
      </c>
    </row>
    <row r="4442" spans="1:8" x14ac:dyDescent="0.2">
      <c r="A4442" s="5" t="s">
        <v>27</v>
      </c>
      <c r="B4442" s="6" t="s">
        <v>19</v>
      </c>
      <c r="C4442" s="7" t="s">
        <v>4969</v>
      </c>
      <c r="D4442" s="7"/>
      <c r="E4442" s="8">
        <v>-1.2363103</v>
      </c>
      <c r="F4442" s="8">
        <v>-2.0698335999999999</v>
      </c>
      <c r="G4442" s="7" t="str">
        <f t="shared" si="24"/>
        <v>Direct</v>
      </c>
      <c r="H4442" s="7" t="s">
        <v>4970</v>
      </c>
    </row>
    <row r="4443" spans="1:8" x14ac:dyDescent="0.2">
      <c r="A4443" s="5" t="s">
        <v>27</v>
      </c>
      <c r="B4443" s="6" t="s">
        <v>19</v>
      </c>
      <c r="C4443" s="7" t="s">
        <v>4971</v>
      </c>
      <c r="D4443" s="7"/>
      <c r="E4443" s="8">
        <v>-1.0199251</v>
      </c>
      <c r="F4443" s="8">
        <v>-1.7685716</v>
      </c>
      <c r="G4443" s="7" t="str">
        <f t="shared" si="24"/>
        <v>Direct</v>
      </c>
      <c r="H4443" s="7" t="s">
        <v>4972</v>
      </c>
    </row>
    <row r="4444" spans="1:8" x14ac:dyDescent="0.2">
      <c r="A4444" s="5" t="s">
        <v>27</v>
      </c>
      <c r="B4444" s="6" t="s">
        <v>19</v>
      </c>
      <c r="C4444" s="7" t="s">
        <v>4973</v>
      </c>
      <c r="D4444" s="7"/>
      <c r="E4444" s="8">
        <v>-1.0005138</v>
      </c>
      <c r="F4444" s="8">
        <v>-1.0156875000000001</v>
      </c>
      <c r="G4444" s="7" t="str">
        <f t="shared" si="24"/>
        <v>Direct</v>
      </c>
      <c r="H4444" s="7" t="s">
        <v>854</v>
      </c>
    </row>
    <row r="4445" spans="1:8" x14ac:dyDescent="0.2">
      <c r="A4445" s="5" t="s">
        <v>27</v>
      </c>
      <c r="B4445" s="6" t="s">
        <v>19</v>
      </c>
      <c r="C4445" s="7" t="s">
        <v>4974</v>
      </c>
      <c r="D4445" s="7"/>
      <c r="E4445" s="8">
        <v>1.8549833499999999</v>
      </c>
      <c r="F4445" s="8">
        <v>2.8029836700000001</v>
      </c>
      <c r="G4445" s="7" t="str">
        <f t="shared" si="24"/>
        <v>Direct</v>
      </c>
      <c r="H4445" s="7" t="s">
        <v>4975</v>
      </c>
    </row>
    <row r="4446" spans="1:8" x14ac:dyDescent="0.2">
      <c r="A4446" s="5" t="s">
        <v>27</v>
      </c>
      <c r="B4446" s="6" t="s">
        <v>19</v>
      </c>
      <c r="C4446" s="7" t="s">
        <v>4976</v>
      </c>
      <c r="D4446" s="7"/>
      <c r="E4446" s="8">
        <v>-4.1461411000000004</v>
      </c>
      <c r="F4446" s="8">
        <v>-2.9815436000000002</v>
      </c>
      <c r="G4446" s="7" t="str">
        <f t="shared" si="24"/>
        <v>Direct</v>
      </c>
      <c r="H4446" s="7" t="s">
        <v>16</v>
      </c>
    </row>
    <row r="4447" spans="1:8" x14ac:dyDescent="0.2">
      <c r="A4447" s="5" t="s">
        <v>27</v>
      </c>
      <c r="B4447" s="6" t="s">
        <v>19</v>
      </c>
      <c r="C4447" s="7" t="s">
        <v>4977</v>
      </c>
      <c r="D4447" s="7"/>
      <c r="E4447" s="8">
        <v>4.0860917399999996</v>
      </c>
      <c r="F4447" s="8">
        <v>2.9688463999999999</v>
      </c>
      <c r="G4447" s="7" t="str">
        <f t="shared" si="24"/>
        <v>Direct</v>
      </c>
      <c r="H4447" s="7" t="s">
        <v>16</v>
      </c>
    </row>
    <row r="4448" spans="1:8" x14ac:dyDescent="0.2">
      <c r="A4448" s="5" t="s">
        <v>27</v>
      </c>
      <c r="B4448" s="6" t="s">
        <v>19</v>
      </c>
      <c r="C4448" s="7" t="s">
        <v>4978</v>
      </c>
      <c r="D4448" s="7"/>
      <c r="E4448" s="8">
        <v>-12.924184</v>
      </c>
      <c r="F4448" s="8">
        <v>-9.1716622000000001</v>
      </c>
      <c r="G4448" s="7" t="str">
        <f t="shared" si="24"/>
        <v>Direct</v>
      </c>
      <c r="H4448" s="7" t="s">
        <v>16</v>
      </c>
    </row>
    <row r="4449" spans="1:8" x14ac:dyDescent="0.2">
      <c r="A4449" s="5" t="s">
        <v>27</v>
      </c>
      <c r="B4449" s="6" t="s">
        <v>19</v>
      </c>
      <c r="C4449" s="7" t="s">
        <v>4090</v>
      </c>
      <c r="D4449" s="7"/>
      <c r="E4449" s="8">
        <v>1.5341511400000001</v>
      </c>
      <c r="F4449" s="8">
        <v>2.95995411</v>
      </c>
      <c r="G4449" s="7" t="str">
        <f t="shared" si="24"/>
        <v>Direct</v>
      </c>
      <c r="H4449" s="7" t="s">
        <v>4091</v>
      </c>
    </row>
    <row r="4450" spans="1:8" x14ac:dyDescent="0.2">
      <c r="A4450" s="5" t="s">
        <v>27</v>
      </c>
      <c r="B4450" s="6" t="s">
        <v>19</v>
      </c>
      <c r="C4450" s="7" t="s">
        <v>4979</v>
      </c>
      <c r="D4450" s="7"/>
      <c r="E4450" s="8">
        <v>-3.5280494</v>
      </c>
      <c r="F4450" s="8">
        <v>-4.3145968999999997</v>
      </c>
      <c r="G4450" s="7" t="str">
        <f t="shared" si="24"/>
        <v>Direct</v>
      </c>
      <c r="H4450" s="7" t="s">
        <v>16</v>
      </c>
    </row>
    <row r="4451" spans="1:8" x14ac:dyDescent="0.2">
      <c r="A4451" s="5" t="s">
        <v>27</v>
      </c>
      <c r="B4451" s="6" t="s">
        <v>19</v>
      </c>
      <c r="C4451" s="7" t="s">
        <v>4980</v>
      </c>
      <c r="D4451" s="7"/>
      <c r="E4451" s="8">
        <v>1.7480768200000001</v>
      </c>
      <c r="F4451" s="8">
        <v>1.10861141</v>
      </c>
      <c r="G4451" s="7" t="str">
        <f t="shared" si="24"/>
        <v>Direct</v>
      </c>
      <c r="H4451" s="7" t="s">
        <v>4981</v>
      </c>
    </row>
    <row r="4452" spans="1:8" x14ac:dyDescent="0.2">
      <c r="A4452" s="5" t="s">
        <v>27</v>
      </c>
      <c r="B4452" s="6" t="s">
        <v>19</v>
      </c>
      <c r="C4452" s="7" t="s">
        <v>4982</v>
      </c>
      <c r="D4452" s="7"/>
      <c r="E4452" s="8">
        <v>-6.8433973000000003</v>
      </c>
      <c r="F4452" s="8">
        <v>-5.8640964999999996</v>
      </c>
      <c r="G4452" s="7" t="str">
        <f t="shared" si="24"/>
        <v>Direct</v>
      </c>
      <c r="H4452" s="7" t="s">
        <v>417</v>
      </c>
    </row>
    <row r="4453" spans="1:8" x14ac:dyDescent="0.2">
      <c r="A4453" s="5" t="s">
        <v>27</v>
      </c>
      <c r="B4453" s="6" t="s">
        <v>19</v>
      </c>
      <c r="C4453" s="7" t="s">
        <v>4983</v>
      </c>
      <c r="D4453" s="7"/>
      <c r="E4453" s="8">
        <v>-3.3756254999999999</v>
      </c>
      <c r="F4453" s="8">
        <v>-5.6480458000000002</v>
      </c>
      <c r="G4453" s="7" t="str">
        <f t="shared" si="24"/>
        <v>Direct</v>
      </c>
      <c r="H4453" s="7" t="s">
        <v>1873</v>
      </c>
    </row>
    <row r="4454" spans="1:8" x14ac:dyDescent="0.2">
      <c r="A4454" s="5" t="s">
        <v>27</v>
      </c>
      <c r="B4454" s="6" t="s">
        <v>19</v>
      </c>
      <c r="C4454" s="7" t="s">
        <v>4092</v>
      </c>
      <c r="D4454" s="7"/>
      <c r="E4454" s="8">
        <v>2.0866047399999998</v>
      </c>
      <c r="F4454" s="8">
        <v>4.4790012800000003</v>
      </c>
      <c r="G4454" s="7" t="str">
        <f t="shared" si="24"/>
        <v>Direct</v>
      </c>
      <c r="H4454" s="7" t="s">
        <v>2546</v>
      </c>
    </row>
    <row r="4455" spans="1:8" x14ac:dyDescent="0.2">
      <c r="A4455" s="5" t="s">
        <v>27</v>
      </c>
      <c r="B4455" s="6" t="s">
        <v>19</v>
      </c>
      <c r="C4455" s="7" t="s">
        <v>4093</v>
      </c>
      <c r="D4455" s="7"/>
      <c r="E4455" s="8">
        <v>3.8645866299999998</v>
      </c>
      <c r="F4455" s="8">
        <v>6.17320739</v>
      </c>
      <c r="G4455" s="7" t="str">
        <f t="shared" si="24"/>
        <v>Direct</v>
      </c>
      <c r="H4455" s="7" t="s">
        <v>16</v>
      </c>
    </row>
    <row r="4456" spans="1:8" x14ac:dyDescent="0.2">
      <c r="A4456" s="5" t="s">
        <v>27</v>
      </c>
      <c r="B4456" s="6" t="s">
        <v>19</v>
      </c>
      <c r="C4456" s="7" t="s">
        <v>4094</v>
      </c>
      <c r="D4456" s="7"/>
      <c r="E4456" s="8">
        <v>1.3260152599999999</v>
      </c>
      <c r="F4456" s="8">
        <v>1.4756666000000001</v>
      </c>
      <c r="G4456" s="7" t="str">
        <f t="shared" si="24"/>
        <v>Direct</v>
      </c>
      <c r="H4456" s="7" t="s">
        <v>16</v>
      </c>
    </row>
    <row r="4457" spans="1:8" x14ac:dyDescent="0.2">
      <c r="A4457" s="5" t="s">
        <v>27</v>
      </c>
      <c r="B4457" s="6" t="s">
        <v>19</v>
      </c>
      <c r="C4457" s="7" t="s">
        <v>4984</v>
      </c>
      <c r="D4457" s="7"/>
      <c r="E4457" s="8">
        <v>-1.4267742999999999</v>
      </c>
      <c r="F4457" s="8">
        <v>-1.2150599</v>
      </c>
      <c r="G4457" s="7" t="str">
        <f t="shared" si="24"/>
        <v>Direct</v>
      </c>
      <c r="H4457" s="7" t="s">
        <v>16</v>
      </c>
    </row>
    <row r="4458" spans="1:8" x14ac:dyDescent="0.2">
      <c r="A4458" s="5" t="s">
        <v>27</v>
      </c>
      <c r="B4458" s="6" t="s">
        <v>19</v>
      </c>
      <c r="C4458" s="7" t="s">
        <v>4985</v>
      </c>
      <c r="D4458" s="7"/>
      <c r="E4458" s="8">
        <v>2.4558124000000001</v>
      </c>
      <c r="F4458" s="8">
        <v>2.73289399</v>
      </c>
      <c r="G4458" s="7" t="str">
        <f t="shared" si="24"/>
        <v>Direct</v>
      </c>
      <c r="H4458" s="7" t="s">
        <v>4986</v>
      </c>
    </row>
    <row r="4459" spans="1:8" x14ac:dyDescent="0.2">
      <c r="A4459" s="5" t="s">
        <v>27</v>
      </c>
      <c r="B4459" s="6" t="s">
        <v>19</v>
      </c>
      <c r="C4459" s="7" t="s">
        <v>4987</v>
      </c>
      <c r="D4459" s="7"/>
      <c r="E4459" s="8">
        <v>2.4240167499999998</v>
      </c>
      <c r="F4459" s="8">
        <v>1.56801423</v>
      </c>
      <c r="G4459" s="7" t="str">
        <f t="shared" si="24"/>
        <v>Direct</v>
      </c>
      <c r="H4459" s="7" t="s">
        <v>818</v>
      </c>
    </row>
    <row r="4460" spans="1:8" x14ac:dyDescent="0.2">
      <c r="A4460" s="5" t="s">
        <v>27</v>
      </c>
      <c r="B4460" s="6" t="s">
        <v>19</v>
      </c>
      <c r="C4460" s="7" t="s">
        <v>4988</v>
      </c>
      <c r="D4460" s="7"/>
      <c r="E4460" s="8">
        <v>4.2048121800000002</v>
      </c>
      <c r="F4460" s="8">
        <v>2.66038782</v>
      </c>
      <c r="G4460" s="7" t="str">
        <f t="shared" si="24"/>
        <v>Direct</v>
      </c>
      <c r="H4460" s="7" t="s">
        <v>818</v>
      </c>
    </row>
    <row r="4461" spans="1:8" x14ac:dyDescent="0.2">
      <c r="A4461" s="5" t="s">
        <v>27</v>
      </c>
      <c r="B4461" s="6" t="s">
        <v>19</v>
      </c>
      <c r="C4461" s="7" t="s">
        <v>4095</v>
      </c>
      <c r="D4461" s="7"/>
      <c r="E4461" s="8">
        <v>10.7956203</v>
      </c>
      <c r="F4461" s="8">
        <v>10.6697293</v>
      </c>
      <c r="G4461" s="7" t="str">
        <f t="shared" si="24"/>
        <v>Direct</v>
      </c>
      <c r="H4461" s="7" t="s">
        <v>4096</v>
      </c>
    </row>
    <row r="4462" spans="1:8" x14ac:dyDescent="0.2">
      <c r="A4462" s="5" t="s">
        <v>27</v>
      </c>
      <c r="B4462" s="6" t="s">
        <v>19</v>
      </c>
      <c r="C4462" s="7" t="s">
        <v>4097</v>
      </c>
      <c r="D4462" s="7"/>
      <c r="E4462" s="8">
        <v>1.94498868</v>
      </c>
      <c r="F4462" s="8">
        <v>1.00081789</v>
      </c>
      <c r="G4462" s="7" t="str">
        <f t="shared" si="24"/>
        <v>Direct</v>
      </c>
      <c r="H4462" s="7" t="s">
        <v>4098</v>
      </c>
    </row>
    <row r="4463" spans="1:8" x14ac:dyDescent="0.2">
      <c r="A4463" s="5" t="s">
        <v>27</v>
      </c>
      <c r="B4463" s="6" t="s">
        <v>19</v>
      </c>
      <c r="C4463" s="7" t="s">
        <v>4099</v>
      </c>
      <c r="D4463" s="7"/>
      <c r="E4463" s="8">
        <v>9.2661251799999995</v>
      </c>
      <c r="F4463" s="8">
        <v>9.4405262600000004</v>
      </c>
      <c r="G4463" s="7" t="str">
        <f t="shared" si="24"/>
        <v>Direct</v>
      </c>
      <c r="H4463" s="7" t="s">
        <v>16</v>
      </c>
    </row>
    <row r="4464" spans="1:8" x14ac:dyDescent="0.2">
      <c r="A4464" s="5" t="s">
        <v>27</v>
      </c>
      <c r="B4464" s="6" t="s">
        <v>19</v>
      </c>
      <c r="C4464" s="7" t="s">
        <v>4989</v>
      </c>
      <c r="D4464" s="7"/>
      <c r="E4464" s="8">
        <v>2.6582958400000001</v>
      </c>
      <c r="F4464" s="8">
        <v>1.9573249399999999</v>
      </c>
      <c r="G4464" s="7" t="str">
        <f t="shared" si="24"/>
        <v>Direct</v>
      </c>
      <c r="H4464" s="7" t="s">
        <v>16</v>
      </c>
    </row>
    <row r="4465" spans="1:8" x14ac:dyDescent="0.2">
      <c r="A4465" s="5" t="s">
        <v>27</v>
      </c>
      <c r="B4465" s="6" t="s">
        <v>19</v>
      </c>
      <c r="C4465" s="7" t="s">
        <v>4990</v>
      </c>
      <c r="D4465" s="7"/>
      <c r="E4465" s="8">
        <v>1.4841080600000001</v>
      </c>
      <c r="F4465" s="8">
        <v>1.87300193</v>
      </c>
      <c r="G4465" s="7" t="str">
        <f t="shared" si="24"/>
        <v>Direct</v>
      </c>
      <c r="H4465" s="7" t="s">
        <v>2550</v>
      </c>
    </row>
    <row r="4466" spans="1:8" x14ac:dyDescent="0.2">
      <c r="A4466" s="5" t="s">
        <v>27</v>
      </c>
      <c r="B4466" s="6" t="s">
        <v>19</v>
      </c>
      <c r="C4466" s="7" t="s">
        <v>4991</v>
      </c>
      <c r="D4466" s="7"/>
      <c r="E4466" s="8">
        <v>-1.9939254</v>
      </c>
      <c r="F4466" s="8">
        <v>-1.1971432</v>
      </c>
      <c r="G4466" s="7" t="str">
        <f t="shared" si="24"/>
        <v>Direct</v>
      </c>
      <c r="H4466" s="7" t="s">
        <v>4992</v>
      </c>
    </row>
    <row r="4467" spans="1:8" x14ac:dyDescent="0.2">
      <c r="A4467" s="5" t="s">
        <v>27</v>
      </c>
      <c r="B4467" s="6" t="s">
        <v>19</v>
      </c>
      <c r="C4467" s="7" t="s">
        <v>4993</v>
      </c>
      <c r="D4467" s="7"/>
      <c r="E4467" s="8">
        <v>3.08085604</v>
      </c>
      <c r="F4467" s="8">
        <v>4.8547546800000001</v>
      </c>
      <c r="G4467" s="7" t="str">
        <f t="shared" ref="G4467:G4721" si="25">IF(OR(AND(E4467&gt;0,F4467&gt;0),AND(E4467&lt;0,F4467&lt;0)),"Direct","Inverse")</f>
        <v>Direct</v>
      </c>
      <c r="H4467" s="7" t="s">
        <v>3006</v>
      </c>
    </row>
    <row r="4468" spans="1:8" x14ac:dyDescent="0.2">
      <c r="A4468" s="5" t="s">
        <v>27</v>
      </c>
      <c r="B4468" s="6" t="s">
        <v>19</v>
      </c>
      <c r="C4468" s="7" t="s">
        <v>4994</v>
      </c>
      <c r="D4468" s="7"/>
      <c r="E4468" s="8">
        <v>-5.2446726000000004</v>
      </c>
      <c r="F4468" s="8">
        <v>-1.3313465</v>
      </c>
      <c r="G4468" s="7" t="str">
        <f t="shared" si="25"/>
        <v>Direct</v>
      </c>
      <c r="H4468" s="7" t="s">
        <v>4995</v>
      </c>
    </row>
    <row r="4469" spans="1:8" x14ac:dyDescent="0.2">
      <c r="A4469" s="5" t="s">
        <v>27</v>
      </c>
      <c r="B4469" s="6" t="s">
        <v>19</v>
      </c>
      <c r="C4469" s="7" t="s">
        <v>4996</v>
      </c>
      <c r="D4469" s="7"/>
      <c r="E4469" s="8">
        <v>1.4841080600000001</v>
      </c>
      <c r="F4469" s="8">
        <v>1.26531018</v>
      </c>
      <c r="G4469" s="7" t="str">
        <f t="shared" si="25"/>
        <v>Direct</v>
      </c>
      <c r="H4469" s="7" t="s">
        <v>172</v>
      </c>
    </row>
    <row r="4470" spans="1:8" x14ac:dyDescent="0.2">
      <c r="A4470" s="5" t="s">
        <v>27</v>
      </c>
      <c r="B4470" s="6" t="s">
        <v>19</v>
      </c>
      <c r="C4470" s="7" t="s">
        <v>4997</v>
      </c>
      <c r="D4470" s="7"/>
      <c r="E4470" s="8">
        <v>5.64450129</v>
      </c>
      <c r="F4470" s="8">
        <v>5.3527883100000002</v>
      </c>
      <c r="G4470" s="7" t="str">
        <f t="shared" si="25"/>
        <v>Direct</v>
      </c>
      <c r="H4470" s="7" t="s">
        <v>16</v>
      </c>
    </row>
    <row r="4471" spans="1:8" x14ac:dyDescent="0.2">
      <c r="A4471" s="5" t="s">
        <v>27</v>
      </c>
      <c r="B4471" s="6" t="s">
        <v>19</v>
      </c>
      <c r="C4471" s="7" t="s">
        <v>4998</v>
      </c>
      <c r="D4471" s="7"/>
      <c r="E4471" s="8">
        <v>2.4540409300000001</v>
      </c>
      <c r="F4471" s="8">
        <v>3.3677953700000001</v>
      </c>
      <c r="G4471" s="7" t="str">
        <f t="shared" si="25"/>
        <v>Direct</v>
      </c>
      <c r="H4471" s="7" t="s">
        <v>4360</v>
      </c>
    </row>
    <row r="4472" spans="1:8" x14ac:dyDescent="0.2">
      <c r="A4472" s="5" t="s">
        <v>27</v>
      </c>
      <c r="B4472" s="6" t="s">
        <v>19</v>
      </c>
      <c r="C4472" s="7" t="s">
        <v>4999</v>
      </c>
      <c r="D4472" s="7"/>
      <c r="E4472" s="8">
        <v>-1.63913</v>
      </c>
      <c r="F4472" s="8">
        <v>-2.3642726000000001</v>
      </c>
      <c r="G4472" s="7" t="str">
        <f t="shared" si="25"/>
        <v>Direct</v>
      </c>
      <c r="H4472" s="7" t="s">
        <v>5000</v>
      </c>
    </row>
    <row r="4473" spans="1:8" x14ac:dyDescent="0.2">
      <c r="A4473" s="5" t="s">
        <v>27</v>
      </c>
      <c r="B4473" s="6" t="s">
        <v>19</v>
      </c>
      <c r="C4473" s="7" t="s">
        <v>5001</v>
      </c>
      <c r="D4473" s="7"/>
      <c r="E4473" s="8">
        <v>9.4989865400000006</v>
      </c>
      <c r="F4473" s="8">
        <v>13.3219429</v>
      </c>
      <c r="G4473" s="7" t="str">
        <f t="shared" si="25"/>
        <v>Direct</v>
      </c>
      <c r="H4473" s="7" t="s">
        <v>5000</v>
      </c>
    </row>
    <row r="4474" spans="1:8" x14ac:dyDescent="0.2">
      <c r="A4474" s="5" t="s">
        <v>27</v>
      </c>
      <c r="B4474" s="6" t="s">
        <v>19</v>
      </c>
      <c r="C4474" s="7" t="s">
        <v>5002</v>
      </c>
      <c r="D4474" s="7"/>
      <c r="E4474" s="8">
        <v>-1.3301476999999999</v>
      </c>
      <c r="F4474" s="8">
        <v>-1.9661955</v>
      </c>
      <c r="G4474" s="7" t="str">
        <f t="shared" si="25"/>
        <v>Direct</v>
      </c>
      <c r="H4474" s="7" t="s">
        <v>16</v>
      </c>
    </row>
    <row r="4475" spans="1:8" x14ac:dyDescent="0.2">
      <c r="A4475" s="5" t="s">
        <v>27</v>
      </c>
      <c r="B4475" s="6" t="s">
        <v>19</v>
      </c>
      <c r="C4475" s="7" t="s">
        <v>5003</v>
      </c>
      <c r="D4475" s="7"/>
      <c r="E4475" s="8">
        <v>-1.524888</v>
      </c>
      <c r="F4475" s="8">
        <v>-1.9462333000000001</v>
      </c>
      <c r="G4475" s="7" t="str">
        <f t="shared" si="25"/>
        <v>Direct</v>
      </c>
      <c r="H4475" s="7" t="s">
        <v>5004</v>
      </c>
    </row>
    <row r="4476" spans="1:8" x14ac:dyDescent="0.2">
      <c r="A4476" s="5" t="s">
        <v>27</v>
      </c>
      <c r="B4476" s="6" t="s">
        <v>19</v>
      </c>
      <c r="C4476" s="7" t="s">
        <v>5005</v>
      </c>
      <c r="D4476" s="7"/>
      <c r="E4476" s="8">
        <v>-1.0106149</v>
      </c>
      <c r="F4476" s="8">
        <v>-1.7128570000000001</v>
      </c>
      <c r="G4476" s="7" t="str">
        <f t="shared" si="25"/>
        <v>Direct</v>
      </c>
      <c r="H4476" s="7" t="s">
        <v>5006</v>
      </c>
    </row>
    <row r="4477" spans="1:8" x14ac:dyDescent="0.2">
      <c r="A4477" s="5" t="s">
        <v>27</v>
      </c>
      <c r="B4477" s="6" t="s">
        <v>19</v>
      </c>
      <c r="C4477" s="7" t="s">
        <v>5007</v>
      </c>
      <c r="D4477" s="7"/>
      <c r="E4477" s="8">
        <v>7.3004946799999999</v>
      </c>
      <c r="F4477" s="8">
        <v>9.0343189600000002</v>
      </c>
      <c r="G4477" s="7" t="str">
        <f t="shared" si="25"/>
        <v>Direct</v>
      </c>
      <c r="H4477" s="7" t="s">
        <v>3025</v>
      </c>
    </row>
    <row r="4478" spans="1:8" x14ac:dyDescent="0.2">
      <c r="A4478" s="5" t="s">
        <v>27</v>
      </c>
      <c r="B4478" s="6" t="s">
        <v>19</v>
      </c>
      <c r="C4478" s="7" t="s">
        <v>4100</v>
      </c>
      <c r="D4478" s="7"/>
      <c r="E4478" s="8">
        <v>1.44270649</v>
      </c>
      <c r="F4478" s="8">
        <v>1.1414898899999999</v>
      </c>
      <c r="G4478" s="7" t="str">
        <f t="shared" si="25"/>
        <v>Direct</v>
      </c>
      <c r="H4478" s="7" t="s">
        <v>4101</v>
      </c>
    </row>
    <row r="4479" spans="1:8" x14ac:dyDescent="0.2">
      <c r="A4479" s="5" t="s">
        <v>27</v>
      </c>
      <c r="B4479" s="6" t="s">
        <v>19</v>
      </c>
      <c r="C4479" s="7" t="s">
        <v>5008</v>
      </c>
      <c r="D4479" s="7"/>
      <c r="E4479" s="8">
        <v>-1.8526081999999999</v>
      </c>
      <c r="F4479" s="8">
        <v>-1.2677718</v>
      </c>
      <c r="G4479" s="7" t="str">
        <f t="shared" si="25"/>
        <v>Direct</v>
      </c>
      <c r="H4479" s="7" t="s">
        <v>5009</v>
      </c>
    </row>
    <row r="4480" spans="1:8" x14ac:dyDescent="0.2">
      <c r="A4480" s="5" t="s">
        <v>27</v>
      </c>
      <c r="B4480" s="6" t="s">
        <v>19</v>
      </c>
      <c r="C4480" s="7" t="s">
        <v>5010</v>
      </c>
      <c r="D4480" s="7"/>
      <c r="E4480" s="8">
        <v>-1.1366874</v>
      </c>
      <c r="F4480" s="8">
        <v>-1.6522935000000001</v>
      </c>
      <c r="G4480" s="7" t="str">
        <f t="shared" si="25"/>
        <v>Direct</v>
      </c>
      <c r="H4480" s="7" t="s">
        <v>539</v>
      </c>
    </row>
    <row r="4481" spans="1:8" x14ac:dyDescent="0.2">
      <c r="A4481" s="5" t="s">
        <v>27</v>
      </c>
      <c r="B4481" s="6" t="s">
        <v>19</v>
      </c>
      <c r="C4481" s="7" t="s">
        <v>5011</v>
      </c>
      <c r="D4481" s="7"/>
      <c r="E4481" s="8">
        <v>-3.6368393000000001</v>
      </c>
      <c r="F4481" s="8">
        <v>-3.2443922000000001</v>
      </c>
      <c r="G4481" s="7" t="str">
        <f t="shared" si="25"/>
        <v>Direct</v>
      </c>
      <c r="H4481" s="7" t="s">
        <v>1780</v>
      </c>
    </row>
    <row r="4482" spans="1:8" x14ac:dyDescent="0.2">
      <c r="A4482" s="5" t="s">
        <v>27</v>
      </c>
      <c r="B4482" s="6" t="s">
        <v>19</v>
      </c>
      <c r="C4482" s="7" t="s">
        <v>5012</v>
      </c>
      <c r="D4482" s="7"/>
      <c r="E4482" s="8">
        <v>2.0742511700000001</v>
      </c>
      <c r="F4482" s="8">
        <v>2.1916915399999999</v>
      </c>
      <c r="G4482" s="7" t="str">
        <f t="shared" si="25"/>
        <v>Direct</v>
      </c>
      <c r="H4482" s="7" t="s">
        <v>820</v>
      </c>
    </row>
    <row r="4483" spans="1:8" x14ac:dyDescent="0.2">
      <c r="A4483" s="5" t="s">
        <v>27</v>
      </c>
      <c r="B4483" s="6" t="s">
        <v>19</v>
      </c>
      <c r="C4483" s="7" t="s">
        <v>5013</v>
      </c>
      <c r="D4483" s="7"/>
      <c r="E4483" s="8">
        <v>-2.5757914</v>
      </c>
      <c r="F4483" s="8">
        <v>-1.6197341999999999</v>
      </c>
      <c r="G4483" s="7" t="str">
        <f t="shared" si="25"/>
        <v>Direct</v>
      </c>
      <c r="H4483" s="7" t="s">
        <v>816</v>
      </c>
    </row>
    <row r="4484" spans="1:8" x14ac:dyDescent="0.2">
      <c r="A4484" s="5" t="s">
        <v>27</v>
      </c>
      <c r="B4484" s="6" t="s">
        <v>19</v>
      </c>
      <c r="C4484" s="7" t="s">
        <v>5014</v>
      </c>
      <c r="D4484" s="7"/>
      <c r="E4484" s="8">
        <v>-1.8311782000000001</v>
      </c>
      <c r="F4484" s="8">
        <v>-1.3202020999999999</v>
      </c>
      <c r="G4484" s="7" t="str">
        <f t="shared" si="25"/>
        <v>Direct</v>
      </c>
      <c r="H4484" s="7" t="s">
        <v>1611</v>
      </c>
    </row>
    <row r="4485" spans="1:8" x14ac:dyDescent="0.2">
      <c r="A4485" s="5" t="s">
        <v>27</v>
      </c>
      <c r="B4485" s="6" t="s">
        <v>19</v>
      </c>
      <c r="C4485" s="7" t="s">
        <v>5015</v>
      </c>
      <c r="D4485" s="7"/>
      <c r="E4485" s="8">
        <v>1.04042035</v>
      </c>
      <c r="F4485" s="8">
        <v>3.5733934700000001</v>
      </c>
      <c r="G4485" s="7" t="str">
        <f t="shared" si="25"/>
        <v>Direct</v>
      </c>
      <c r="H4485" s="7" t="s">
        <v>16</v>
      </c>
    </row>
    <row r="4486" spans="1:8" x14ac:dyDescent="0.2">
      <c r="A4486" s="5" t="s">
        <v>27</v>
      </c>
      <c r="B4486" s="6" t="s">
        <v>19</v>
      </c>
      <c r="C4486" s="7" t="s">
        <v>5016</v>
      </c>
      <c r="D4486" s="7"/>
      <c r="E4486" s="8">
        <v>1.0282049499999999</v>
      </c>
      <c r="F4486" s="8">
        <v>1.2897501499999999</v>
      </c>
      <c r="G4486" s="7" t="str">
        <f t="shared" si="25"/>
        <v>Direct</v>
      </c>
      <c r="H4486" s="7" t="s">
        <v>5017</v>
      </c>
    </row>
    <row r="4487" spans="1:8" x14ac:dyDescent="0.2">
      <c r="A4487" s="5" t="s">
        <v>27</v>
      </c>
      <c r="B4487" s="6" t="s">
        <v>19</v>
      </c>
      <c r="C4487" s="7" t="s">
        <v>4103</v>
      </c>
      <c r="D4487" s="7"/>
      <c r="E4487" s="8">
        <v>4.7548245700000003</v>
      </c>
      <c r="F4487" s="8">
        <v>2.8233503799999999</v>
      </c>
      <c r="G4487" s="7" t="str">
        <f t="shared" si="25"/>
        <v>Direct</v>
      </c>
      <c r="H4487" s="7" t="s">
        <v>1849</v>
      </c>
    </row>
    <row r="4488" spans="1:8" x14ac:dyDescent="0.2">
      <c r="A4488" s="5" t="s">
        <v>27</v>
      </c>
      <c r="B4488" s="6" t="s">
        <v>19</v>
      </c>
      <c r="C4488" s="7" t="s">
        <v>5018</v>
      </c>
      <c r="D4488" s="7"/>
      <c r="E4488" s="8">
        <v>-1.0121745</v>
      </c>
      <c r="F4488" s="8">
        <v>-1.9620522</v>
      </c>
      <c r="G4488" s="7" t="str">
        <f t="shared" si="25"/>
        <v>Direct</v>
      </c>
      <c r="H4488" s="7" t="s">
        <v>16</v>
      </c>
    </row>
    <row r="4489" spans="1:8" x14ac:dyDescent="0.2">
      <c r="A4489" s="5" t="s">
        <v>27</v>
      </c>
      <c r="B4489" s="6" t="s">
        <v>19</v>
      </c>
      <c r="C4489" s="7" t="s">
        <v>5019</v>
      </c>
      <c r="D4489" s="7"/>
      <c r="E4489" s="8">
        <v>3.49384849</v>
      </c>
      <c r="F4489" s="8">
        <v>1.83141888</v>
      </c>
      <c r="G4489" s="7" t="str">
        <f t="shared" si="25"/>
        <v>Direct</v>
      </c>
      <c r="H4489" s="7" t="s">
        <v>16</v>
      </c>
    </row>
    <row r="4490" spans="1:8" x14ac:dyDescent="0.2">
      <c r="A4490" s="5" t="s">
        <v>27</v>
      </c>
      <c r="B4490" s="6" t="s">
        <v>19</v>
      </c>
      <c r="C4490" s="7" t="s">
        <v>5020</v>
      </c>
      <c r="D4490" s="7"/>
      <c r="E4490" s="8">
        <v>1.76904277</v>
      </c>
      <c r="F4490" s="8">
        <v>1.73427069</v>
      </c>
      <c r="G4490" s="7" t="str">
        <f t="shared" si="25"/>
        <v>Direct</v>
      </c>
      <c r="H4490" s="7" t="s">
        <v>16</v>
      </c>
    </row>
    <row r="4491" spans="1:8" x14ac:dyDescent="0.2">
      <c r="A4491" s="5" t="s">
        <v>27</v>
      </c>
      <c r="B4491" s="6" t="s">
        <v>19</v>
      </c>
      <c r="C4491" s="7" t="s">
        <v>4104</v>
      </c>
      <c r="D4491" s="7"/>
      <c r="E4491" s="8">
        <v>-3.7263128999999999</v>
      </c>
      <c r="F4491" s="8">
        <v>-2.6435759000000001</v>
      </c>
      <c r="G4491" s="7" t="str">
        <f t="shared" si="25"/>
        <v>Direct</v>
      </c>
      <c r="H4491" s="7" t="s">
        <v>24</v>
      </c>
    </row>
    <row r="4492" spans="1:8" x14ac:dyDescent="0.2">
      <c r="A4492" s="5" t="s">
        <v>27</v>
      </c>
      <c r="B4492" s="6" t="s">
        <v>19</v>
      </c>
      <c r="C4492" s="7" t="s">
        <v>5021</v>
      </c>
      <c r="D4492" s="7"/>
      <c r="E4492" s="8">
        <v>-1.2346655</v>
      </c>
      <c r="F4492" s="8">
        <v>-2.5867868999999999</v>
      </c>
      <c r="G4492" s="7" t="str">
        <f t="shared" si="25"/>
        <v>Direct</v>
      </c>
      <c r="H4492" s="7" t="s">
        <v>16</v>
      </c>
    </row>
    <row r="4493" spans="1:8" x14ac:dyDescent="0.2">
      <c r="A4493" s="5" t="s">
        <v>27</v>
      </c>
      <c r="B4493" s="6" t="s">
        <v>19</v>
      </c>
      <c r="C4493" s="7" t="s">
        <v>5022</v>
      </c>
      <c r="D4493" s="7"/>
      <c r="E4493" s="8">
        <v>1.18535262</v>
      </c>
      <c r="F4493" s="8">
        <v>1.3154926899999999</v>
      </c>
      <c r="G4493" s="7" t="str">
        <f t="shared" si="25"/>
        <v>Direct</v>
      </c>
      <c r="H4493" s="7" t="s">
        <v>16</v>
      </c>
    </row>
    <row r="4494" spans="1:8" x14ac:dyDescent="0.2">
      <c r="A4494" s="5" t="s">
        <v>27</v>
      </c>
      <c r="B4494" s="6" t="s">
        <v>19</v>
      </c>
      <c r="C4494" s="7" t="s">
        <v>5023</v>
      </c>
      <c r="D4494" s="7"/>
      <c r="E4494" s="8">
        <v>3.2293074499999999</v>
      </c>
      <c r="F4494" s="8">
        <v>6.4181150000000002</v>
      </c>
      <c r="G4494" s="7" t="str">
        <f t="shared" si="25"/>
        <v>Direct</v>
      </c>
      <c r="H4494" s="7" t="s">
        <v>16</v>
      </c>
    </row>
    <row r="4495" spans="1:8" x14ac:dyDescent="0.2">
      <c r="A4495" s="5" t="s">
        <v>27</v>
      </c>
      <c r="B4495" s="6" t="s">
        <v>19</v>
      </c>
      <c r="C4495" s="7" t="s">
        <v>5024</v>
      </c>
      <c r="D4495" s="7"/>
      <c r="E4495" s="8">
        <v>3.7004059699999998</v>
      </c>
      <c r="F4495" s="8">
        <v>3.7625817499999998</v>
      </c>
      <c r="G4495" s="7" t="str">
        <f t="shared" si="25"/>
        <v>Direct</v>
      </c>
      <c r="H4495" s="7" t="s">
        <v>139</v>
      </c>
    </row>
    <row r="4496" spans="1:8" x14ac:dyDescent="0.2">
      <c r="A4496" s="5" t="s">
        <v>27</v>
      </c>
      <c r="B4496" s="6" t="s">
        <v>19</v>
      </c>
      <c r="C4496" s="7" t="s">
        <v>5025</v>
      </c>
      <c r="D4496" s="7"/>
      <c r="E4496" s="8">
        <v>-5.2908270999999996</v>
      </c>
      <c r="F4496" s="8">
        <v>-4.2586043</v>
      </c>
      <c r="G4496" s="7" t="str">
        <f t="shared" si="25"/>
        <v>Direct</v>
      </c>
      <c r="H4496" s="7" t="s">
        <v>5026</v>
      </c>
    </row>
    <row r="4497" spans="1:8" x14ac:dyDescent="0.2">
      <c r="A4497" s="5" t="s">
        <v>27</v>
      </c>
      <c r="B4497" s="6" t="s">
        <v>19</v>
      </c>
      <c r="C4497" s="7" t="s">
        <v>5027</v>
      </c>
      <c r="D4497" s="7"/>
      <c r="E4497" s="8">
        <v>-6.2903630000000001</v>
      </c>
      <c r="F4497" s="8">
        <v>-6.7671177</v>
      </c>
      <c r="G4497" s="7" t="str">
        <f t="shared" si="25"/>
        <v>Direct</v>
      </c>
      <c r="H4497" s="7" t="s">
        <v>16</v>
      </c>
    </row>
    <row r="4498" spans="1:8" x14ac:dyDescent="0.2">
      <c r="A4498" s="5" t="s">
        <v>27</v>
      </c>
      <c r="B4498" s="6" t="s">
        <v>19</v>
      </c>
      <c r="C4498" s="7" t="s">
        <v>5028</v>
      </c>
      <c r="D4498" s="7"/>
      <c r="E4498" s="8">
        <v>2.6701099500000001</v>
      </c>
      <c r="F4498" s="8">
        <v>4.31444983</v>
      </c>
      <c r="G4498" s="7" t="str">
        <f t="shared" si="25"/>
        <v>Direct</v>
      </c>
      <c r="H4498" s="7" t="s">
        <v>178</v>
      </c>
    </row>
    <row r="4499" spans="1:8" x14ac:dyDescent="0.2">
      <c r="A4499" s="5" t="s">
        <v>27</v>
      </c>
      <c r="B4499" s="6" t="s">
        <v>19</v>
      </c>
      <c r="C4499" s="7" t="s">
        <v>5029</v>
      </c>
      <c r="D4499" s="7"/>
      <c r="E4499" s="8">
        <v>2.58421835</v>
      </c>
      <c r="F4499" s="8">
        <v>2.79116885</v>
      </c>
      <c r="G4499" s="7" t="str">
        <f t="shared" si="25"/>
        <v>Direct</v>
      </c>
      <c r="H4499" s="7" t="s">
        <v>16</v>
      </c>
    </row>
    <row r="4500" spans="1:8" x14ac:dyDescent="0.2">
      <c r="A4500" s="5" t="s">
        <v>27</v>
      </c>
      <c r="B4500" s="6" t="s">
        <v>19</v>
      </c>
      <c r="C4500" s="7" t="s">
        <v>5030</v>
      </c>
      <c r="D4500" s="7"/>
      <c r="E4500" s="8">
        <v>-1.2424812999999999</v>
      </c>
      <c r="F4500" s="8">
        <v>-1.9675309000000001</v>
      </c>
      <c r="G4500" s="7" t="str">
        <f t="shared" si="25"/>
        <v>Direct</v>
      </c>
      <c r="H4500" s="7" t="s">
        <v>5031</v>
      </c>
    </row>
    <row r="4501" spans="1:8" x14ac:dyDescent="0.2">
      <c r="A4501" s="5" t="s">
        <v>27</v>
      </c>
      <c r="B4501" s="6" t="s">
        <v>19</v>
      </c>
      <c r="C4501" s="7" t="s">
        <v>5032</v>
      </c>
      <c r="D4501" s="7"/>
      <c r="E4501" s="8">
        <v>1.5196470200000001</v>
      </c>
      <c r="F4501" s="8">
        <v>2.8015173199999999</v>
      </c>
      <c r="G4501" s="7" t="str">
        <f t="shared" si="25"/>
        <v>Direct</v>
      </c>
      <c r="H4501" s="7" t="s">
        <v>248</v>
      </c>
    </row>
    <row r="4502" spans="1:8" x14ac:dyDescent="0.2">
      <c r="A4502" s="5" t="s">
        <v>27</v>
      </c>
      <c r="B4502" s="6" t="s">
        <v>19</v>
      </c>
      <c r="C4502" s="7" t="s">
        <v>5033</v>
      </c>
      <c r="D4502" s="7"/>
      <c r="E4502" s="8">
        <v>-1.1473377</v>
      </c>
      <c r="F4502" s="8">
        <v>-1.8340460999999999</v>
      </c>
      <c r="G4502" s="7" t="str">
        <f t="shared" si="25"/>
        <v>Direct</v>
      </c>
      <c r="H4502" s="7" t="s">
        <v>5034</v>
      </c>
    </row>
    <row r="4503" spans="1:8" x14ac:dyDescent="0.2">
      <c r="A4503" s="5" t="s">
        <v>27</v>
      </c>
      <c r="B4503" s="6" t="s">
        <v>19</v>
      </c>
      <c r="C4503" s="7" t="s">
        <v>5035</v>
      </c>
      <c r="D4503" s="7"/>
      <c r="E4503" s="8">
        <v>-6.9503383000000003</v>
      </c>
      <c r="F4503" s="8">
        <v>-5.6032890000000002</v>
      </c>
      <c r="G4503" s="7" t="str">
        <f t="shared" si="25"/>
        <v>Direct</v>
      </c>
      <c r="H4503" s="7" t="s">
        <v>5036</v>
      </c>
    </row>
    <row r="4504" spans="1:8" x14ac:dyDescent="0.2">
      <c r="A4504" s="5" t="s">
        <v>27</v>
      </c>
      <c r="B4504" s="6" t="s">
        <v>19</v>
      </c>
      <c r="C4504" s="7" t="s">
        <v>5037</v>
      </c>
      <c r="D4504" s="7"/>
      <c r="E4504" s="8">
        <v>-2.2850831999999999</v>
      </c>
      <c r="F4504" s="8">
        <v>-1.6952438000000001</v>
      </c>
      <c r="G4504" s="7" t="str">
        <f t="shared" si="25"/>
        <v>Direct</v>
      </c>
      <c r="H4504" s="7" t="s">
        <v>4626</v>
      </c>
    </row>
    <row r="4505" spans="1:8" x14ac:dyDescent="0.2">
      <c r="A4505" s="5" t="s">
        <v>27</v>
      </c>
      <c r="B4505" s="6" t="s">
        <v>19</v>
      </c>
      <c r="C4505" s="7" t="s">
        <v>5038</v>
      </c>
      <c r="D4505" s="7"/>
      <c r="E4505" s="8">
        <v>-1.5652585000000001</v>
      </c>
      <c r="F4505" s="8">
        <v>-1.3557421000000001</v>
      </c>
      <c r="G4505" s="7" t="str">
        <f t="shared" si="25"/>
        <v>Direct</v>
      </c>
      <c r="H4505" s="7" t="s">
        <v>637</v>
      </c>
    </row>
    <row r="4506" spans="1:8" x14ac:dyDescent="0.2">
      <c r="A4506" s="5" t="s">
        <v>27</v>
      </c>
      <c r="B4506" s="6" t="s">
        <v>19</v>
      </c>
      <c r="C4506" s="7" t="s">
        <v>5039</v>
      </c>
      <c r="D4506" s="7"/>
      <c r="E4506" s="8">
        <v>1.0930031899999999</v>
      </c>
      <c r="F4506" s="8">
        <v>1.3271571900000001</v>
      </c>
      <c r="G4506" s="7" t="str">
        <f t="shared" si="25"/>
        <v>Direct</v>
      </c>
      <c r="H4506" s="7" t="s">
        <v>5040</v>
      </c>
    </row>
    <row r="4507" spans="1:8" x14ac:dyDescent="0.2">
      <c r="A4507" s="5" t="s">
        <v>27</v>
      </c>
      <c r="B4507" s="6" t="s">
        <v>19</v>
      </c>
      <c r="C4507" s="7" t="s">
        <v>5041</v>
      </c>
      <c r="D4507" s="7"/>
      <c r="E4507" s="8">
        <v>2.8305864399999998</v>
      </c>
      <c r="F4507" s="8">
        <v>4.1840008099999997</v>
      </c>
      <c r="G4507" s="7" t="str">
        <f t="shared" si="25"/>
        <v>Direct</v>
      </c>
      <c r="H4507" s="7" t="s">
        <v>88</v>
      </c>
    </row>
    <row r="4508" spans="1:8" x14ac:dyDescent="0.2">
      <c r="A4508" s="5" t="s">
        <v>27</v>
      </c>
      <c r="B4508" s="6" t="s">
        <v>19</v>
      </c>
      <c r="C4508" s="7" t="s">
        <v>5042</v>
      </c>
      <c r="D4508" s="7"/>
      <c r="E4508" s="8">
        <v>-3.9985265999999999</v>
      </c>
      <c r="F4508" s="8">
        <v>-1.6420939999999999</v>
      </c>
      <c r="G4508" s="7" t="str">
        <f t="shared" si="25"/>
        <v>Direct</v>
      </c>
      <c r="H4508" s="7" t="s">
        <v>16</v>
      </c>
    </row>
    <row r="4509" spans="1:8" x14ac:dyDescent="0.2">
      <c r="A4509" s="5" t="s">
        <v>27</v>
      </c>
      <c r="B4509" s="6" t="s">
        <v>19</v>
      </c>
      <c r="C4509" s="7" t="s">
        <v>4105</v>
      </c>
      <c r="D4509" s="7"/>
      <c r="E4509" s="8">
        <v>1.39795246</v>
      </c>
      <c r="F4509" s="8">
        <v>1.4260600400000001</v>
      </c>
      <c r="G4509" s="7" t="str">
        <f t="shared" si="25"/>
        <v>Direct</v>
      </c>
      <c r="H4509" s="7" t="s">
        <v>16</v>
      </c>
    </row>
    <row r="4510" spans="1:8" x14ac:dyDescent="0.2">
      <c r="A4510" s="5" t="s">
        <v>27</v>
      </c>
      <c r="B4510" s="6" t="s">
        <v>19</v>
      </c>
      <c r="C4510" s="7" t="s">
        <v>5043</v>
      </c>
      <c r="D4510" s="7"/>
      <c r="E4510" s="8">
        <v>-8.6213777999999994</v>
      </c>
      <c r="F4510" s="8">
        <v>-10.3865</v>
      </c>
      <c r="G4510" s="7" t="str">
        <f t="shared" si="25"/>
        <v>Direct</v>
      </c>
      <c r="H4510" s="7" t="s">
        <v>2723</v>
      </c>
    </row>
    <row r="4511" spans="1:8" x14ac:dyDescent="0.2">
      <c r="A4511" s="5" t="s">
        <v>27</v>
      </c>
      <c r="B4511" s="6" t="s">
        <v>19</v>
      </c>
      <c r="C4511" s="7" t="s">
        <v>4107</v>
      </c>
      <c r="D4511" s="7"/>
      <c r="E4511" s="8">
        <v>1.4964817399999999</v>
      </c>
      <c r="F4511" s="8">
        <v>1.58624885</v>
      </c>
      <c r="G4511" s="7" t="str">
        <f t="shared" si="25"/>
        <v>Direct</v>
      </c>
      <c r="H4511" s="7" t="s">
        <v>16</v>
      </c>
    </row>
    <row r="4512" spans="1:8" x14ac:dyDescent="0.2">
      <c r="A4512" s="5" t="s">
        <v>27</v>
      </c>
      <c r="B4512" s="6" t="s">
        <v>19</v>
      </c>
      <c r="C4512" s="7" t="s">
        <v>5044</v>
      </c>
      <c r="D4512" s="7"/>
      <c r="E4512" s="8">
        <v>1.00051384</v>
      </c>
      <c r="F4512" s="8">
        <v>1.21891452</v>
      </c>
      <c r="G4512" s="7" t="str">
        <f t="shared" si="25"/>
        <v>Direct</v>
      </c>
      <c r="H4512" s="7" t="s">
        <v>16</v>
      </c>
    </row>
    <row r="4513" spans="1:8" x14ac:dyDescent="0.2">
      <c r="A4513" s="5" t="s">
        <v>27</v>
      </c>
      <c r="B4513" s="6" t="s">
        <v>19</v>
      </c>
      <c r="C4513" s="7" t="s">
        <v>5045</v>
      </c>
      <c r="D4513" s="7"/>
      <c r="E4513" s="8">
        <v>-1.3661327000000001</v>
      </c>
      <c r="F4513" s="8">
        <v>-2.0074027000000001</v>
      </c>
      <c r="G4513" s="7" t="str">
        <f t="shared" si="25"/>
        <v>Direct</v>
      </c>
      <c r="H4513" s="7" t="s">
        <v>5046</v>
      </c>
    </row>
    <row r="4514" spans="1:8" x14ac:dyDescent="0.2">
      <c r="A4514" s="5" t="s">
        <v>27</v>
      </c>
      <c r="B4514" s="6" t="s">
        <v>19</v>
      </c>
      <c r="C4514" s="7" t="s">
        <v>5047</v>
      </c>
      <c r="D4514" s="7"/>
      <c r="E4514" s="8">
        <v>-1.862036</v>
      </c>
      <c r="F4514" s="8">
        <v>-1.0098092999999999</v>
      </c>
      <c r="G4514" s="7" t="str">
        <f t="shared" si="25"/>
        <v>Direct</v>
      </c>
      <c r="H4514" s="7" t="s">
        <v>248</v>
      </c>
    </row>
    <row r="4515" spans="1:8" x14ac:dyDescent="0.2">
      <c r="A4515" s="5" t="s">
        <v>27</v>
      </c>
      <c r="B4515" s="6" t="s">
        <v>19</v>
      </c>
      <c r="C4515" s="7" t="s">
        <v>5048</v>
      </c>
      <c r="D4515" s="7"/>
      <c r="E4515" s="8">
        <v>-5.7254278999999997</v>
      </c>
      <c r="F4515" s="8">
        <v>-6.2870232000000001</v>
      </c>
      <c r="G4515" s="7" t="str">
        <f t="shared" si="25"/>
        <v>Direct</v>
      </c>
      <c r="H4515" s="7" t="s">
        <v>16</v>
      </c>
    </row>
    <row r="4516" spans="1:8" x14ac:dyDescent="0.2">
      <c r="A4516" s="5" t="s">
        <v>27</v>
      </c>
      <c r="B4516" s="6" t="s">
        <v>19</v>
      </c>
      <c r="C4516" s="7" t="s">
        <v>5049</v>
      </c>
      <c r="D4516" s="7"/>
      <c r="E4516" s="8">
        <v>9.4800458499999998</v>
      </c>
      <c r="F4516" s="8">
        <v>10.7906554</v>
      </c>
      <c r="G4516" s="7" t="str">
        <f t="shared" si="25"/>
        <v>Direct</v>
      </c>
      <c r="H4516" s="7" t="s">
        <v>16</v>
      </c>
    </row>
    <row r="4517" spans="1:8" x14ac:dyDescent="0.2">
      <c r="A4517" s="5" t="s">
        <v>27</v>
      </c>
      <c r="B4517" s="6" t="s">
        <v>19</v>
      </c>
      <c r="C4517" s="7" t="s">
        <v>5050</v>
      </c>
      <c r="D4517" s="7"/>
      <c r="E4517" s="8">
        <v>-5.0397593000000001</v>
      </c>
      <c r="F4517" s="8">
        <v>-5.4436967999999997</v>
      </c>
      <c r="G4517" s="7" t="str">
        <f t="shared" si="25"/>
        <v>Direct</v>
      </c>
      <c r="H4517" s="7" t="s">
        <v>3626</v>
      </c>
    </row>
    <row r="4518" spans="1:8" x14ac:dyDescent="0.2">
      <c r="A4518" s="5" t="s">
        <v>27</v>
      </c>
      <c r="B4518" s="6" t="s">
        <v>19</v>
      </c>
      <c r="C4518" s="7" t="s">
        <v>5051</v>
      </c>
      <c r="D4518" s="7"/>
      <c r="E4518" s="8">
        <v>2.0802467500000001</v>
      </c>
      <c r="F4518" s="8">
        <v>1.7815735100000001</v>
      </c>
      <c r="G4518" s="7" t="str">
        <f t="shared" si="25"/>
        <v>Direct</v>
      </c>
      <c r="H4518" s="7" t="s">
        <v>16</v>
      </c>
    </row>
    <row r="4519" spans="1:8" x14ac:dyDescent="0.2">
      <c r="A4519" s="5" t="s">
        <v>27</v>
      </c>
      <c r="B4519" s="6" t="s">
        <v>19</v>
      </c>
      <c r="C4519" s="7" t="s">
        <v>4108</v>
      </c>
      <c r="D4519" s="7"/>
      <c r="E4519" s="8">
        <v>2.7662144299999998</v>
      </c>
      <c r="F4519" s="8">
        <v>1.6337658900000001</v>
      </c>
      <c r="G4519" s="7" t="str">
        <f t="shared" si="25"/>
        <v>Direct</v>
      </c>
      <c r="H4519" s="7" t="s">
        <v>1135</v>
      </c>
    </row>
    <row r="4520" spans="1:8" x14ac:dyDescent="0.2">
      <c r="A4520" s="5" t="s">
        <v>27</v>
      </c>
      <c r="B4520" s="6" t="s">
        <v>19</v>
      </c>
      <c r="C4520" s="7" t="s">
        <v>5052</v>
      </c>
      <c r="D4520" s="7"/>
      <c r="E4520" s="8">
        <v>7.5824585799999999</v>
      </c>
      <c r="F4520" s="8">
        <v>6.1217793199999999</v>
      </c>
      <c r="G4520" s="7" t="str">
        <f t="shared" si="25"/>
        <v>Direct</v>
      </c>
      <c r="H4520" s="7" t="s">
        <v>5053</v>
      </c>
    </row>
    <row r="4521" spans="1:8" x14ac:dyDescent="0.2">
      <c r="A4521" s="5" t="s">
        <v>27</v>
      </c>
      <c r="B4521" s="6" t="s">
        <v>19</v>
      </c>
      <c r="C4521" s="7" t="s">
        <v>4109</v>
      </c>
      <c r="D4521" s="7"/>
      <c r="E4521" s="8">
        <v>-1.3525079</v>
      </c>
      <c r="F4521" s="8">
        <v>-1.1492336000000001</v>
      </c>
      <c r="G4521" s="7" t="str">
        <f t="shared" si="25"/>
        <v>Direct</v>
      </c>
      <c r="H4521" s="7" t="s">
        <v>16</v>
      </c>
    </row>
    <row r="4522" spans="1:8" x14ac:dyDescent="0.2">
      <c r="A4522" s="5" t="s">
        <v>27</v>
      </c>
      <c r="B4522" s="6" t="s">
        <v>19</v>
      </c>
      <c r="C4522" s="7" t="s">
        <v>5054</v>
      </c>
      <c r="D4522" s="7"/>
      <c r="E4522" s="8">
        <v>-13.993631000000001</v>
      </c>
      <c r="F4522" s="8">
        <v>-8.1931221999999995</v>
      </c>
      <c r="G4522" s="7" t="str">
        <f t="shared" si="25"/>
        <v>Direct</v>
      </c>
      <c r="H4522" s="7" t="s">
        <v>2702</v>
      </c>
    </row>
    <row r="4523" spans="1:8" x14ac:dyDescent="0.2">
      <c r="A4523" s="5" t="s">
        <v>27</v>
      </c>
      <c r="B4523" s="6" t="s">
        <v>19</v>
      </c>
      <c r="C4523" s="7" t="s">
        <v>4110</v>
      </c>
      <c r="D4523" s="7"/>
      <c r="E4523" s="8">
        <v>-2.600231</v>
      </c>
      <c r="F4523" s="8">
        <v>-3.1322500999999998</v>
      </c>
      <c r="G4523" s="7" t="str">
        <f t="shared" si="25"/>
        <v>Direct</v>
      </c>
      <c r="H4523" s="7" t="s">
        <v>2664</v>
      </c>
    </row>
    <row r="4524" spans="1:8" x14ac:dyDescent="0.2">
      <c r="A4524" s="5" t="s">
        <v>27</v>
      </c>
      <c r="B4524" s="6" t="s">
        <v>19</v>
      </c>
      <c r="C4524" s="7" t="s">
        <v>5055</v>
      </c>
      <c r="D4524" s="7"/>
      <c r="E4524" s="8">
        <v>6.0718119699999997</v>
      </c>
      <c r="F4524" s="8">
        <v>7.3517337899999999</v>
      </c>
      <c r="G4524" s="7" t="str">
        <f t="shared" si="25"/>
        <v>Direct</v>
      </c>
      <c r="H4524" s="7" t="s">
        <v>4800</v>
      </c>
    </row>
    <row r="4525" spans="1:8" x14ac:dyDescent="0.2">
      <c r="A4525" s="5" t="s">
        <v>27</v>
      </c>
      <c r="B4525" s="6" t="s">
        <v>19</v>
      </c>
      <c r="C4525" s="7" t="s">
        <v>5056</v>
      </c>
      <c r="D4525" s="7"/>
      <c r="E4525" s="8">
        <v>1.17947672</v>
      </c>
      <c r="F4525" s="8">
        <v>1.6866122699999999</v>
      </c>
      <c r="G4525" s="7" t="str">
        <f t="shared" si="25"/>
        <v>Direct</v>
      </c>
      <c r="H4525" s="7" t="s">
        <v>16</v>
      </c>
    </row>
    <row r="4526" spans="1:8" x14ac:dyDescent="0.2">
      <c r="A4526" s="5" t="s">
        <v>27</v>
      </c>
      <c r="B4526" s="6" t="s">
        <v>19</v>
      </c>
      <c r="C4526" s="7" t="s">
        <v>5057</v>
      </c>
      <c r="D4526" s="7"/>
      <c r="E4526" s="8">
        <v>1.0074317500000001</v>
      </c>
      <c r="F4526" s="8">
        <v>1.3088963</v>
      </c>
      <c r="G4526" s="7" t="str">
        <f t="shared" si="25"/>
        <v>Direct</v>
      </c>
      <c r="H4526" s="7" t="s">
        <v>16</v>
      </c>
    </row>
    <row r="4527" spans="1:8" x14ac:dyDescent="0.2">
      <c r="A4527" s="5" t="s">
        <v>27</v>
      </c>
      <c r="B4527" s="6" t="s">
        <v>19</v>
      </c>
      <c r="C4527" s="7" t="s">
        <v>5058</v>
      </c>
      <c r="D4527" s="7"/>
      <c r="E4527" s="8">
        <v>2.7209865600000001</v>
      </c>
      <c r="F4527" s="8">
        <v>3.4482434199999998</v>
      </c>
      <c r="G4527" s="7" t="str">
        <f t="shared" si="25"/>
        <v>Direct</v>
      </c>
      <c r="H4527" s="7" t="s">
        <v>4800</v>
      </c>
    </row>
    <row r="4528" spans="1:8" x14ac:dyDescent="0.2">
      <c r="A4528" s="5" t="s">
        <v>27</v>
      </c>
      <c r="B4528" s="6" t="s">
        <v>19</v>
      </c>
      <c r="C4528" s="7" t="s">
        <v>5059</v>
      </c>
      <c r="D4528" s="7"/>
      <c r="E4528" s="8">
        <v>2.8874729399999999</v>
      </c>
      <c r="F4528" s="8">
        <v>2.7286585900000002</v>
      </c>
      <c r="G4528" s="7" t="str">
        <f t="shared" si="25"/>
        <v>Direct</v>
      </c>
      <c r="H4528" s="7" t="s">
        <v>4800</v>
      </c>
    </row>
    <row r="4529" spans="1:8" x14ac:dyDescent="0.2">
      <c r="A4529" s="5" t="s">
        <v>27</v>
      </c>
      <c r="B4529" s="6" t="s">
        <v>19</v>
      </c>
      <c r="C4529" s="7" t="s">
        <v>5060</v>
      </c>
      <c r="D4529" s="7"/>
      <c r="E4529" s="8">
        <v>3.6029698400000001</v>
      </c>
      <c r="F4529" s="8">
        <v>4.6365871600000004</v>
      </c>
      <c r="G4529" s="7" t="str">
        <f t="shared" si="25"/>
        <v>Direct</v>
      </c>
      <c r="H4529" s="7" t="s">
        <v>16</v>
      </c>
    </row>
    <row r="4530" spans="1:8" x14ac:dyDescent="0.2">
      <c r="A4530" s="5" t="s">
        <v>27</v>
      </c>
      <c r="B4530" s="6" t="s">
        <v>19</v>
      </c>
      <c r="C4530" s="7" t="s">
        <v>5061</v>
      </c>
      <c r="D4530" s="7"/>
      <c r="E4530" s="8">
        <v>2.4865736300000001</v>
      </c>
      <c r="F4530" s="8">
        <v>4.0156474400000004</v>
      </c>
      <c r="G4530" s="7" t="str">
        <f t="shared" si="25"/>
        <v>Direct</v>
      </c>
      <c r="H4530" s="7" t="s">
        <v>16</v>
      </c>
    </row>
    <row r="4531" spans="1:8" x14ac:dyDescent="0.2">
      <c r="A4531" s="5" t="s">
        <v>27</v>
      </c>
      <c r="B4531" s="6" t="s">
        <v>19</v>
      </c>
      <c r="C4531" s="7" t="s">
        <v>5062</v>
      </c>
      <c r="D4531" s="7"/>
      <c r="E4531" s="8">
        <v>1.4888713200000001</v>
      </c>
      <c r="F4531" s="8">
        <v>2.1346090000000002</v>
      </c>
      <c r="G4531" s="7" t="str">
        <f t="shared" si="25"/>
        <v>Direct</v>
      </c>
      <c r="H4531" s="7" t="s">
        <v>16</v>
      </c>
    </row>
    <row r="4532" spans="1:8" x14ac:dyDescent="0.2">
      <c r="A4532" s="5" t="s">
        <v>27</v>
      </c>
      <c r="B4532" s="6" t="s">
        <v>19</v>
      </c>
      <c r="C4532" s="7" t="s">
        <v>5063</v>
      </c>
      <c r="D4532" s="7"/>
      <c r="E4532" s="8">
        <v>2.7904761300000001</v>
      </c>
      <c r="F4532" s="8">
        <v>2.27374163</v>
      </c>
      <c r="G4532" s="7" t="str">
        <f t="shared" si="25"/>
        <v>Direct</v>
      </c>
      <c r="H4532" s="7" t="s">
        <v>16</v>
      </c>
    </row>
    <row r="4533" spans="1:8" x14ac:dyDescent="0.2">
      <c r="A4533" s="5" t="s">
        <v>27</v>
      </c>
      <c r="B4533" s="6" t="s">
        <v>19</v>
      </c>
      <c r="C4533" s="7" t="s">
        <v>5064</v>
      </c>
      <c r="D4533" s="7"/>
      <c r="E4533" s="8">
        <v>-4.4541401</v>
      </c>
      <c r="F4533" s="8">
        <v>-5.5863581</v>
      </c>
      <c r="G4533" s="7" t="str">
        <f t="shared" si="25"/>
        <v>Direct</v>
      </c>
      <c r="H4533" s="7" t="s">
        <v>5065</v>
      </c>
    </row>
    <row r="4534" spans="1:8" x14ac:dyDescent="0.2">
      <c r="A4534" s="5" t="s">
        <v>27</v>
      </c>
      <c r="B4534" s="6" t="s">
        <v>19</v>
      </c>
      <c r="C4534" s="7" t="s">
        <v>5066</v>
      </c>
      <c r="D4534" s="7"/>
      <c r="E4534" s="8">
        <v>-1.4757157999999999</v>
      </c>
      <c r="F4534" s="8">
        <v>-1.3237159000000001</v>
      </c>
      <c r="G4534" s="7" t="str">
        <f t="shared" si="25"/>
        <v>Direct</v>
      </c>
      <c r="H4534" s="7" t="s">
        <v>5067</v>
      </c>
    </row>
    <row r="4535" spans="1:8" x14ac:dyDescent="0.2">
      <c r="A4535" s="5" t="s">
        <v>27</v>
      </c>
      <c r="B4535" s="6" t="s">
        <v>19</v>
      </c>
      <c r="C4535" s="7" t="s">
        <v>5068</v>
      </c>
      <c r="D4535" s="7"/>
      <c r="E4535" s="8">
        <v>2.51041011</v>
      </c>
      <c r="F4535" s="8">
        <v>3.22765038</v>
      </c>
      <c r="G4535" s="7" t="str">
        <f t="shared" si="25"/>
        <v>Direct</v>
      </c>
      <c r="H4535" s="7" t="s">
        <v>5069</v>
      </c>
    </row>
    <row r="4536" spans="1:8" x14ac:dyDescent="0.2">
      <c r="A4536" s="5" t="s">
        <v>27</v>
      </c>
      <c r="B4536" s="6" t="s">
        <v>19</v>
      </c>
      <c r="C4536" s="7" t="s">
        <v>5070</v>
      </c>
      <c r="D4536" s="7"/>
      <c r="E4536" s="8">
        <v>9.1915626499999998</v>
      </c>
      <c r="F4536" s="8">
        <v>1.96619553</v>
      </c>
      <c r="G4536" s="7" t="str">
        <f t="shared" si="25"/>
        <v>Direct</v>
      </c>
      <c r="H4536" s="7" t="s">
        <v>16</v>
      </c>
    </row>
    <row r="4537" spans="1:8" x14ac:dyDescent="0.2">
      <c r="A4537" s="5" t="s">
        <v>27</v>
      </c>
      <c r="B4537" s="6" t="s">
        <v>19</v>
      </c>
      <c r="C4537" s="7" t="s">
        <v>5071</v>
      </c>
      <c r="D4537" s="7"/>
      <c r="E4537" s="8">
        <v>-6.1458671999999996</v>
      </c>
      <c r="F4537" s="8">
        <v>-7.0947329000000003</v>
      </c>
      <c r="G4537" s="7" t="str">
        <f t="shared" si="25"/>
        <v>Direct</v>
      </c>
      <c r="H4537" s="7" t="s">
        <v>16</v>
      </c>
    </row>
    <row r="4538" spans="1:8" x14ac:dyDescent="0.2">
      <c r="A4538" s="5" t="s">
        <v>27</v>
      </c>
      <c r="B4538" s="6" t="s">
        <v>19</v>
      </c>
      <c r="C4538" s="7" t="s">
        <v>5072</v>
      </c>
      <c r="D4538" s="7"/>
      <c r="E4538" s="8">
        <v>1.2387473099999999</v>
      </c>
      <c r="F4538" s="8">
        <v>1.2621609199999999</v>
      </c>
      <c r="G4538" s="7" t="str">
        <f t="shared" si="25"/>
        <v>Direct</v>
      </c>
      <c r="H4538" s="7" t="s">
        <v>728</v>
      </c>
    </row>
    <row r="4539" spans="1:8" x14ac:dyDescent="0.2">
      <c r="A4539" s="5" t="s">
        <v>27</v>
      </c>
      <c r="B4539" s="6" t="s">
        <v>19</v>
      </c>
      <c r="C4539" s="7" t="s">
        <v>5073</v>
      </c>
      <c r="D4539" s="7"/>
      <c r="E4539" s="8">
        <v>1.1291303399999999</v>
      </c>
      <c r="F4539" s="8">
        <v>1.3287258399999999</v>
      </c>
      <c r="G4539" s="7" t="str">
        <f t="shared" si="25"/>
        <v>Direct</v>
      </c>
      <c r="H4539" s="7" t="s">
        <v>3561</v>
      </c>
    </row>
    <row r="4540" spans="1:8" x14ac:dyDescent="0.2">
      <c r="A4540" s="5" t="s">
        <v>27</v>
      </c>
      <c r="B4540" s="6" t="s">
        <v>19</v>
      </c>
      <c r="C4540" s="7" t="s">
        <v>5074</v>
      </c>
      <c r="D4540" s="7"/>
      <c r="E4540" s="8">
        <v>-1.4638525</v>
      </c>
      <c r="F4540" s="8">
        <v>-1.3409949999999999</v>
      </c>
      <c r="G4540" s="7" t="str">
        <f t="shared" si="25"/>
        <v>Direct</v>
      </c>
      <c r="H4540" s="7" t="s">
        <v>5075</v>
      </c>
    </row>
    <row r="4541" spans="1:8" x14ac:dyDescent="0.2">
      <c r="A4541" s="5" t="s">
        <v>27</v>
      </c>
      <c r="B4541" s="6" t="s">
        <v>19</v>
      </c>
      <c r="C4541" s="7" t="s">
        <v>5076</v>
      </c>
      <c r="D4541" s="7"/>
      <c r="E4541" s="8">
        <v>2.2877503799999999</v>
      </c>
      <c r="F4541" s="8">
        <v>4.03551459</v>
      </c>
      <c r="G4541" s="7" t="str">
        <f t="shared" si="25"/>
        <v>Direct</v>
      </c>
      <c r="H4541" s="7" t="s">
        <v>5077</v>
      </c>
    </row>
    <row r="4542" spans="1:8" x14ac:dyDescent="0.2">
      <c r="A4542" s="5" t="s">
        <v>27</v>
      </c>
      <c r="B4542" s="6" t="s">
        <v>19</v>
      </c>
      <c r="C4542" s="7" t="s">
        <v>5078</v>
      </c>
      <c r="D4542" s="7"/>
      <c r="E4542" s="8">
        <v>6.6863314599999999</v>
      </c>
      <c r="F4542" s="8">
        <v>8.64375231</v>
      </c>
      <c r="G4542" s="7" t="str">
        <f t="shared" si="25"/>
        <v>Direct</v>
      </c>
      <c r="H4542" s="7" t="s">
        <v>5077</v>
      </c>
    </row>
    <row r="4543" spans="1:8" x14ac:dyDescent="0.2">
      <c r="A4543" s="5" t="s">
        <v>27</v>
      </c>
      <c r="B4543" s="6" t="s">
        <v>19</v>
      </c>
      <c r="C4543" s="7" t="s">
        <v>5079</v>
      </c>
      <c r="D4543" s="7"/>
      <c r="E4543" s="8">
        <v>1.7219343199999999</v>
      </c>
      <c r="F4543" s="8">
        <v>1.18078529</v>
      </c>
      <c r="G4543" s="7" t="str">
        <f t="shared" si="25"/>
        <v>Direct</v>
      </c>
      <c r="H4543" s="7" t="s">
        <v>5080</v>
      </c>
    </row>
    <row r="4544" spans="1:8" x14ac:dyDescent="0.2">
      <c r="A4544" s="5" t="s">
        <v>27</v>
      </c>
      <c r="B4544" s="6" t="s">
        <v>19</v>
      </c>
      <c r="C4544" s="7" t="s">
        <v>5081</v>
      </c>
      <c r="D4544" s="7"/>
      <c r="E4544" s="8">
        <v>-3.2179606999999999</v>
      </c>
      <c r="F4544" s="8">
        <v>-4.7115074000000003</v>
      </c>
      <c r="G4544" s="7" t="str">
        <f t="shared" si="25"/>
        <v>Direct</v>
      </c>
      <c r="H4544" s="7" t="s">
        <v>29</v>
      </c>
    </row>
    <row r="4545" spans="1:8" x14ac:dyDescent="0.2">
      <c r="A4545" s="5" t="s">
        <v>27</v>
      </c>
      <c r="B4545" s="6" t="s">
        <v>19</v>
      </c>
      <c r="C4545" s="7" t="s">
        <v>5082</v>
      </c>
      <c r="D4545" s="7"/>
      <c r="E4545" s="8">
        <v>-2.4777684999999998</v>
      </c>
      <c r="F4545" s="8">
        <v>-2.1262219999999998</v>
      </c>
      <c r="G4545" s="7" t="str">
        <f t="shared" si="25"/>
        <v>Direct</v>
      </c>
      <c r="H4545" s="7" t="s">
        <v>16</v>
      </c>
    </row>
    <row r="4546" spans="1:8" x14ac:dyDescent="0.2">
      <c r="A4546" s="5" t="s">
        <v>27</v>
      </c>
      <c r="B4546" s="6" t="s">
        <v>19</v>
      </c>
      <c r="C4546" s="7" t="s">
        <v>5083</v>
      </c>
      <c r="D4546" s="7"/>
      <c r="E4546" s="8">
        <v>-1.9723659</v>
      </c>
      <c r="F4546" s="8">
        <v>-1.2906758</v>
      </c>
      <c r="G4546" s="7" t="str">
        <f t="shared" si="25"/>
        <v>Direct</v>
      </c>
      <c r="H4546" s="7" t="s">
        <v>16</v>
      </c>
    </row>
    <row r="4547" spans="1:8" x14ac:dyDescent="0.2">
      <c r="A4547" s="5" t="s">
        <v>27</v>
      </c>
      <c r="B4547" s="6" t="s">
        <v>19</v>
      </c>
      <c r="C4547" s="7" t="s">
        <v>5084</v>
      </c>
      <c r="D4547" s="7"/>
      <c r="E4547" s="8">
        <v>-1.2081666</v>
      </c>
      <c r="F4547" s="8">
        <v>-1.606101</v>
      </c>
      <c r="G4547" s="7" t="str">
        <f t="shared" si="25"/>
        <v>Direct</v>
      </c>
      <c r="H4547" s="7" t="s">
        <v>16</v>
      </c>
    </row>
    <row r="4548" spans="1:8" x14ac:dyDescent="0.2">
      <c r="A4548" s="5" t="s">
        <v>27</v>
      </c>
      <c r="B4548" s="6" t="s">
        <v>19</v>
      </c>
      <c r="C4548" s="7" t="s">
        <v>5085</v>
      </c>
      <c r="D4548" s="7"/>
      <c r="E4548" s="8">
        <v>-1.4964816999999999</v>
      </c>
      <c r="F4548" s="8">
        <v>-3.1528879999999999</v>
      </c>
      <c r="G4548" s="7" t="str">
        <f t="shared" si="25"/>
        <v>Direct</v>
      </c>
      <c r="H4548" s="7" t="s">
        <v>3272</v>
      </c>
    </row>
    <row r="4549" spans="1:8" x14ac:dyDescent="0.2">
      <c r="A4549" s="5" t="s">
        <v>27</v>
      </c>
      <c r="B4549" s="6" t="s">
        <v>19</v>
      </c>
      <c r="C4549" s="7" t="s">
        <v>5086</v>
      </c>
      <c r="D4549" s="7"/>
      <c r="E4549" s="8">
        <v>5.8762582400000003</v>
      </c>
      <c r="F4549" s="8">
        <v>3.8707373299999999</v>
      </c>
      <c r="G4549" s="7" t="str">
        <f t="shared" si="25"/>
        <v>Direct</v>
      </c>
      <c r="H4549" s="7" t="s">
        <v>16</v>
      </c>
    </row>
    <row r="4550" spans="1:8" x14ac:dyDescent="0.2">
      <c r="A4550" s="5" t="s">
        <v>27</v>
      </c>
      <c r="B4550" s="6" t="s">
        <v>19</v>
      </c>
      <c r="C4550" s="7" t="s">
        <v>5087</v>
      </c>
      <c r="D4550" s="7"/>
      <c r="E4550" s="8">
        <v>-1.2251809</v>
      </c>
      <c r="F4550" s="8">
        <v>-3.5010229000000002</v>
      </c>
      <c r="G4550" s="7" t="str">
        <f t="shared" si="25"/>
        <v>Direct</v>
      </c>
      <c r="H4550" s="7" t="s">
        <v>306</v>
      </c>
    </row>
    <row r="4551" spans="1:8" x14ac:dyDescent="0.2">
      <c r="A4551" s="5" t="s">
        <v>27</v>
      </c>
      <c r="B4551" s="6" t="s">
        <v>19</v>
      </c>
      <c r="C4551" s="7" t="s">
        <v>5088</v>
      </c>
      <c r="D4551" s="7"/>
      <c r="E4551" s="8">
        <v>-4.5301223000000004</v>
      </c>
      <c r="F4551" s="8">
        <v>-4.9777250999999998</v>
      </c>
      <c r="G4551" s="7" t="str">
        <f t="shared" si="25"/>
        <v>Direct</v>
      </c>
      <c r="H4551" s="7" t="s">
        <v>631</v>
      </c>
    </row>
    <row r="4552" spans="1:8" x14ac:dyDescent="0.2">
      <c r="A4552" s="5" t="s">
        <v>27</v>
      </c>
      <c r="B4552" s="6" t="s">
        <v>19</v>
      </c>
      <c r="C4552" s="7" t="s">
        <v>5089</v>
      </c>
      <c r="D4552" s="7"/>
      <c r="E4552" s="8">
        <v>-1.8078665</v>
      </c>
      <c r="F4552" s="8">
        <v>-3.7263543000000001</v>
      </c>
      <c r="G4552" s="7" t="str">
        <f t="shared" si="25"/>
        <v>Direct</v>
      </c>
      <c r="H4552" s="7" t="s">
        <v>504</v>
      </c>
    </row>
    <row r="4553" spans="1:8" x14ac:dyDescent="0.2">
      <c r="A4553" s="5" t="s">
        <v>27</v>
      </c>
      <c r="B4553" s="6" t="s">
        <v>19</v>
      </c>
      <c r="C4553" s="7" t="s">
        <v>5090</v>
      </c>
      <c r="D4553" s="7"/>
      <c r="E4553" s="8">
        <v>-1.3519445000000001</v>
      </c>
      <c r="F4553" s="8">
        <v>-1.3712875</v>
      </c>
      <c r="G4553" s="7" t="str">
        <f t="shared" si="25"/>
        <v>Direct</v>
      </c>
      <c r="H4553" s="7" t="s">
        <v>16</v>
      </c>
    </row>
    <row r="4554" spans="1:8" x14ac:dyDescent="0.2">
      <c r="A4554" s="5" t="s">
        <v>27</v>
      </c>
      <c r="B4554" s="6" t="s">
        <v>19</v>
      </c>
      <c r="C4554" s="7" t="s">
        <v>5091</v>
      </c>
      <c r="D4554" s="7"/>
      <c r="E4554" s="8">
        <v>-1.5258297999999999</v>
      </c>
      <c r="F4554" s="8">
        <v>-1.4499636</v>
      </c>
      <c r="G4554" s="7" t="str">
        <f t="shared" si="25"/>
        <v>Direct</v>
      </c>
      <c r="H4554" s="7" t="s">
        <v>16</v>
      </c>
    </row>
    <row r="4555" spans="1:8" x14ac:dyDescent="0.2">
      <c r="A4555" s="5" t="s">
        <v>27</v>
      </c>
      <c r="B4555" s="6" t="s">
        <v>19</v>
      </c>
      <c r="C4555" s="7" t="s">
        <v>5092</v>
      </c>
      <c r="D4555" s="7"/>
      <c r="E4555" s="8">
        <v>-10.35422</v>
      </c>
      <c r="F4555" s="8">
        <v>-23.040637</v>
      </c>
      <c r="G4555" s="7" t="str">
        <f t="shared" si="25"/>
        <v>Direct</v>
      </c>
      <c r="H4555" s="7" t="s">
        <v>16</v>
      </c>
    </row>
    <row r="4556" spans="1:8" x14ac:dyDescent="0.2">
      <c r="A4556" s="5" t="s">
        <v>27</v>
      </c>
      <c r="B4556" s="6" t="s">
        <v>19</v>
      </c>
      <c r="C4556" s="7" t="s">
        <v>5093</v>
      </c>
      <c r="D4556" s="7"/>
      <c r="E4556" s="8">
        <v>-23.867408999999999</v>
      </c>
      <c r="F4556" s="8">
        <v>-52.118259999999999</v>
      </c>
      <c r="G4556" s="7" t="str">
        <f t="shared" si="25"/>
        <v>Direct</v>
      </c>
      <c r="H4556" s="7" t="s">
        <v>3489</v>
      </c>
    </row>
    <row r="4557" spans="1:8" x14ac:dyDescent="0.2">
      <c r="A4557" s="5" t="s">
        <v>27</v>
      </c>
      <c r="B4557" s="6" t="s">
        <v>19</v>
      </c>
      <c r="C4557" s="7" t="s">
        <v>5094</v>
      </c>
      <c r="D4557" s="7"/>
      <c r="E4557" s="8">
        <v>2.4622132300000001</v>
      </c>
      <c r="F4557" s="8">
        <v>4.6365871600000004</v>
      </c>
      <c r="G4557" s="7" t="str">
        <f t="shared" si="25"/>
        <v>Direct</v>
      </c>
      <c r="H4557" s="7" t="s">
        <v>16</v>
      </c>
    </row>
    <row r="4558" spans="1:8" x14ac:dyDescent="0.2">
      <c r="A4558" s="5" t="s">
        <v>27</v>
      </c>
      <c r="B4558" s="6" t="s">
        <v>19</v>
      </c>
      <c r="C4558" s="7" t="s">
        <v>5095</v>
      </c>
      <c r="D4558" s="7"/>
      <c r="E4558" s="8">
        <v>1.8943505899999999</v>
      </c>
      <c r="F4558" s="8">
        <v>3.51136216</v>
      </c>
      <c r="G4558" s="7" t="str">
        <f t="shared" si="25"/>
        <v>Direct</v>
      </c>
      <c r="H4558" s="7" t="s">
        <v>16</v>
      </c>
    </row>
    <row r="4559" spans="1:8" x14ac:dyDescent="0.2">
      <c r="A4559" s="5" t="s">
        <v>27</v>
      </c>
      <c r="B4559" s="6" t="s">
        <v>19</v>
      </c>
      <c r="C4559" s="7" t="s">
        <v>5096</v>
      </c>
      <c r="D4559" s="7"/>
      <c r="E4559" s="8">
        <v>-1.7319711</v>
      </c>
      <c r="F4559" s="8">
        <v>-1.2577588</v>
      </c>
      <c r="G4559" s="7" t="str">
        <f t="shared" si="25"/>
        <v>Direct</v>
      </c>
      <c r="H4559" s="7" t="s">
        <v>16</v>
      </c>
    </row>
    <row r="4560" spans="1:8" x14ac:dyDescent="0.2">
      <c r="A4560" s="5" t="s">
        <v>27</v>
      </c>
      <c r="B4560" s="6" t="s">
        <v>19</v>
      </c>
      <c r="C4560" s="7" t="s">
        <v>5097</v>
      </c>
      <c r="D4560" s="7"/>
      <c r="E4560" s="8">
        <v>-7.6295603999999999</v>
      </c>
      <c r="F4560" s="8">
        <v>-5.2937386999999996</v>
      </c>
      <c r="G4560" s="7" t="str">
        <f t="shared" si="25"/>
        <v>Direct</v>
      </c>
      <c r="H4560" s="7" t="s">
        <v>16</v>
      </c>
    </row>
    <row r="4561" spans="1:8" x14ac:dyDescent="0.2">
      <c r="A4561" s="5" t="s">
        <v>27</v>
      </c>
      <c r="B4561" s="6" t="s">
        <v>19</v>
      </c>
      <c r="C4561" s="7" t="s">
        <v>5098</v>
      </c>
      <c r="D4561" s="7"/>
      <c r="E4561" s="8">
        <v>4.7222165900000004</v>
      </c>
      <c r="F4561" s="8">
        <v>5.2922716400000001</v>
      </c>
      <c r="G4561" s="7" t="str">
        <f t="shared" si="25"/>
        <v>Direct</v>
      </c>
      <c r="H4561" s="7" t="s">
        <v>5099</v>
      </c>
    </row>
    <row r="4562" spans="1:8" x14ac:dyDescent="0.2">
      <c r="A4562" s="5" t="s">
        <v>27</v>
      </c>
      <c r="B4562" s="6" t="s">
        <v>19</v>
      </c>
      <c r="C4562" s="7" t="s">
        <v>4113</v>
      </c>
      <c r="D4562" s="7"/>
      <c r="E4562" s="8">
        <v>1.8392366</v>
      </c>
      <c r="F4562" s="8">
        <v>1.80673156</v>
      </c>
      <c r="G4562" s="7" t="str">
        <f t="shared" si="25"/>
        <v>Direct</v>
      </c>
      <c r="H4562" s="7" t="s">
        <v>722</v>
      </c>
    </row>
    <row r="4563" spans="1:8" x14ac:dyDescent="0.2">
      <c r="A4563" s="5" t="s">
        <v>27</v>
      </c>
      <c r="B4563" s="6" t="s">
        <v>19</v>
      </c>
      <c r="C4563" s="7" t="s">
        <v>5100</v>
      </c>
      <c r="D4563" s="7"/>
      <c r="E4563" s="8">
        <v>1.7758897</v>
      </c>
      <c r="F4563" s="8">
        <v>2.4965719399999999</v>
      </c>
      <c r="G4563" s="7" t="str">
        <f t="shared" si="25"/>
        <v>Direct</v>
      </c>
      <c r="H4563" s="7" t="s">
        <v>16</v>
      </c>
    </row>
    <row r="4564" spans="1:8" x14ac:dyDescent="0.2">
      <c r="A4564" s="5" t="s">
        <v>27</v>
      </c>
      <c r="B4564" s="6" t="s">
        <v>19</v>
      </c>
      <c r="C4564" s="7" t="s">
        <v>5101</v>
      </c>
      <c r="D4564" s="7"/>
      <c r="E4564" s="8">
        <v>1.6857476600000001</v>
      </c>
      <c r="F4564" s="8">
        <v>1.5074527499999999</v>
      </c>
      <c r="G4564" s="7" t="str">
        <f t="shared" si="25"/>
        <v>Direct</v>
      </c>
      <c r="H4564" s="7" t="s">
        <v>16</v>
      </c>
    </row>
    <row r="4565" spans="1:8" x14ac:dyDescent="0.2">
      <c r="A4565" s="5" t="s">
        <v>27</v>
      </c>
      <c r="B4565" s="6" t="s">
        <v>19</v>
      </c>
      <c r="C4565" s="7" t="s">
        <v>5102</v>
      </c>
      <c r="D4565" s="7"/>
      <c r="E4565" s="8">
        <v>-1.3268158999999999</v>
      </c>
      <c r="F4565" s="8">
        <v>-2.8036859999999999</v>
      </c>
      <c r="G4565" s="7" t="str">
        <f t="shared" si="25"/>
        <v>Direct</v>
      </c>
      <c r="H4565" s="7" t="s">
        <v>16</v>
      </c>
    </row>
    <row r="4566" spans="1:8" x14ac:dyDescent="0.2">
      <c r="A4566" s="5" t="s">
        <v>27</v>
      </c>
      <c r="B4566" s="6" t="s">
        <v>19</v>
      </c>
      <c r="C4566" s="7" t="s">
        <v>5103</v>
      </c>
      <c r="D4566" s="7"/>
      <c r="E4566" s="8">
        <v>-1.6319288999999999</v>
      </c>
      <c r="F4566" s="8">
        <v>-1.2811523</v>
      </c>
      <c r="G4566" s="7" t="str">
        <f t="shared" si="25"/>
        <v>Direct</v>
      </c>
      <c r="H4566" s="7" t="s">
        <v>16</v>
      </c>
    </row>
    <row r="4567" spans="1:8" x14ac:dyDescent="0.2">
      <c r="A4567" s="5" t="s">
        <v>27</v>
      </c>
      <c r="B4567" s="6" t="s">
        <v>19</v>
      </c>
      <c r="C4567" s="7" t="s">
        <v>5104</v>
      </c>
      <c r="D4567" s="7"/>
      <c r="E4567" s="8">
        <v>2.2457252699999999</v>
      </c>
      <c r="F4567" s="8">
        <v>2.67359049</v>
      </c>
      <c r="G4567" s="7" t="str">
        <f t="shared" si="25"/>
        <v>Direct</v>
      </c>
      <c r="H4567" s="7" t="s">
        <v>606</v>
      </c>
    </row>
    <row r="4568" spans="1:8" x14ac:dyDescent="0.2">
      <c r="A4568" s="5" t="s">
        <v>27</v>
      </c>
      <c r="B4568" s="6" t="s">
        <v>19</v>
      </c>
      <c r="C4568" s="7" t="s">
        <v>5105</v>
      </c>
      <c r="D4568" s="7"/>
      <c r="E4568" s="8">
        <v>-2.6385420000000002</v>
      </c>
      <c r="F4568" s="8">
        <v>-2.4778726</v>
      </c>
      <c r="G4568" s="7" t="str">
        <f t="shared" si="25"/>
        <v>Direct</v>
      </c>
      <c r="H4568" s="7" t="s">
        <v>5106</v>
      </c>
    </row>
    <row r="4569" spans="1:8" x14ac:dyDescent="0.2">
      <c r="A4569" s="5" t="s">
        <v>27</v>
      </c>
      <c r="B4569" s="6" t="s">
        <v>19</v>
      </c>
      <c r="C4569" s="7" t="s">
        <v>4114</v>
      </c>
      <c r="D4569" s="7"/>
      <c r="E4569" s="8">
        <v>1.7765622700000001</v>
      </c>
      <c r="F4569" s="8">
        <v>1.1378352</v>
      </c>
      <c r="G4569" s="7" t="str">
        <f t="shared" si="25"/>
        <v>Direct</v>
      </c>
      <c r="H4569" s="7" t="s">
        <v>16</v>
      </c>
    </row>
    <row r="4570" spans="1:8" x14ac:dyDescent="0.2">
      <c r="A4570" s="5" t="s">
        <v>27</v>
      </c>
      <c r="B4570" s="6" t="s">
        <v>19</v>
      </c>
      <c r="C4570" s="7" t="s">
        <v>5107</v>
      </c>
      <c r="D4570" s="7"/>
      <c r="E4570" s="8">
        <v>2.1297406200000002</v>
      </c>
      <c r="F4570" s="8">
        <v>1.73845089</v>
      </c>
      <c r="G4570" s="7" t="str">
        <f t="shared" si="25"/>
        <v>Direct</v>
      </c>
      <c r="H4570" s="7" t="s">
        <v>395</v>
      </c>
    </row>
    <row r="4571" spans="1:8" x14ac:dyDescent="0.2">
      <c r="A4571" s="5" t="s">
        <v>27</v>
      </c>
      <c r="B4571" s="6" t="s">
        <v>19</v>
      </c>
      <c r="C4571" s="7" t="s">
        <v>5108</v>
      </c>
      <c r="D4571" s="7"/>
      <c r="E4571" s="8">
        <v>2.6741499200000001</v>
      </c>
      <c r="F4571" s="8">
        <v>2.2300647900000001</v>
      </c>
      <c r="G4571" s="7" t="str">
        <f t="shared" si="25"/>
        <v>Direct</v>
      </c>
      <c r="H4571" s="7" t="s">
        <v>16</v>
      </c>
    </row>
    <row r="4572" spans="1:8" x14ac:dyDescent="0.2">
      <c r="A4572" s="5" t="s">
        <v>27</v>
      </c>
      <c r="B4572" s="6" t="s">
        <v>19</v>
      </c>
      <c r="C4572" s="7" t="s">
        <v>4115</v>
      </c>
      <c r="D4572" s="7"/>
      <c r="E4572" s="8">
        <v>2.5277334300000001</v>
      </c>
      <c r="F4572" s="8">
        <v>2.11393078</v>
      </c>
      <c r="G4572" s="7" t="str">
        <f t="shared" si="25"/>
        <v>Direct</v>
      </c>
      <c r="H4572" s="7" t="s">
        <v>16</v>
      </c>
    </row>
    <row r="4573" spans="1:8" x14ac:dyDescent="0.2">
      <c r="A4573" s="5" t="s">
        <v>27</v>
      </c>
      <c r="B4573" s="6" t="s">
        <v>19</v>
      </c>
      <c r="C4573" s="7" t="s">
        <v>5109</v>
      </c>
      <c r="D4573" s="7"/>
      <c r="E4573" s="8">
        <v>1.90228288</v>
      </c>
      <c r="F4573" s="8">
        <v>1.78292155</v>
      </c>
      <c r="G4573" s="7" t="str">
        <f t="shared" si="25"/>
        <v>Direct</v>
      </c>
      <c r="H4573" s="7" t="s">
        <v>1108</v>
      </c>
    </row>
    <row r="4574" spans="1:8" x14ac:dyDescent="0.2">
      <c r="A4574" s="5" t="s">
        <v>27</v>
      </c>
      <c r="B4574" s="6" t="s">
        <v>19</v>
      </c>
      <c r="C4574" s="7" t="s">
        <v>5110</v>
      </c>
      <c r="D4574" s="7"/>
      <c r="E4574" s="8">
        <v>3.4656389700000001</v>
      </c>
      <c r="F4574" s="8">
        <v>3.5708513700000002</v>
      </c>
      <c r="G4574" s="7" t="str">
        <f t="shared" si="25"/>
        <v>Direct</v>
      </c>
      <c r="H4574" s="7" t="s">
        <v>16</v>
      </c>
    </row>
    <row r="4575" spans="1:8" x14ac:dyDescent="0.2">
      <c r="A4575" s="5" t="s">
        <v>27</v>
      </c>
      <c r="B4575" s="6" t="s">
        <v>19</v>
      </c>
      <c r="C4575" s="7" t="s">
        <v>5111</v>
      </c>
      <c r="D4575" s="7"/>
      <c r="E4575" s="8">
        <v>-5.5178528</v>
      </c>
      <c r="F4575" s="8">
        <v>-7.4259259000000002</v>
      </c>
      <c r="G4575" s="7" t="str">
        <f t="shared" si="25"/>
        <v>Direct</v>
      </c>
      <c r="H4575" s="7" t="s">
        <v>5112</v>
      </c>
    </row>
    <row r="4576" spans="1:8" x14ac:dyDescent="0.2">
      <c r="A4576" s="5" t="s">
        <v>27</v>
      </c>
      <c r="B4576" s="6" t="s">
        <v>19</v>
      </c>
      <c r="C4576" s="7" t="s">
        <v>5113</v>
      </c>
      <c r="D4576" s="7"/>
      <c r="E4576" s="8">
        <v>1.44904981</v>
      </c>
      <c r="F4576" s="8">
        <v>1.83495637</v>
      </c>
      <c r="G4576" s="7" t="str">
        <f t="shared" si="25"/>
        <v>Direct</v>
      </c>
      <c r="H4576" s="7" t="s">
        <v>139</v>
      </c>
    </row>
    <row r="4577" spans="1:8" x14ac:dyDescent="0.2">
      <c r="A4577" s="5" t="s">
        <v>27</v>
      </c>
      <c r="B4577" s="6" t="s">
        <v>19</v>
      </c>
      <c r="C4577" s="7" t="s">
        <v>5114</v>
      </c>
      <c r="D4577" s="7"/>
      <c r="E4577" s="8">
        <v>-2.4994071</v>
      </c>
      <c r="F4577" s="8">
        <v>-1.7543921</v>
      </c>
      <c r="G4577" s="7" t="str">
        <f t="shared" si="25"/>
        <v>Direct</v>
      </c>
      <c r="H4577" s="7" t="s">
        <v>16</v>
      </c>
    </row>
    <row r="4578" spans="1:8" x14ac:dyDescent="0.2">
      <c r="A4578" s="5" t="s">
        <v>27</v>
      </c>
      <c r="B4578" s="6" t="s">
        <v>19</v>
      </c>
      <c r="C4578" s="7" t="s">
        <v>5115</v>
      </c>
      <c r="D4578" s="7"/>
      <c r="E4578" s="8">
        <v>4.67790865</v>
      </c>
      <c r="F4578" s="8">
        <v>4.8898291900000004</v>
      </c>
      <c r="G4578" s="7" t="str">
        <f t="shared" si="25"/>
        <v>Direct</v>
      </c>
      <c r="H4578" s="7" t="s">
        <v>5116</v>
      </c>
    </row>
    <row r="4579" spans="1:8" x14ac:dyDescent="0.2">
      <c r="A4579" s="5" t="s">
        <v>27</v>
      </c>
      <c r="B4579" s="6" t="s">
        <v>19</v>
      </c>
      <c r="C4579" s="7" t="s">
        <v>5117</v>
      </c>
      <c r="D4579" s="7"/>
      <c r="E4579" s="8">
        <v>1.2908373</v>
      </c>
      <c r="F4579" s="8">
        <v>2.2517717899999998</v>
      </c>
      <c r="G4579" s="7" t="str">
        <f t="shared" si="25"/>
        <v>Direct</v>
      </c>
      <c r="H4579" s="7" t="s">
        <v>5118</v>
      </c>
    </row>
    <row r="4580" spans="1:8" x14ac:dyDescent="0.2">
      <c r="A4580" s="5" t="s">
        <v>27</v>
      </c>
      <c r="B4580" s="6" t="s">
        <v>19</v>
      </c>
      <c r="C4580" s="7" t="s">
        <v>5119</v>
      </c>
      <c r="D4580" s="7"/>
      <c r="E4580" s="8">
        <v>-1.577445</v>
      </c>
      <c r="F4580" s="8">
        <v>-2.0798201000000001</v>
      </c>
      <c r="G4580" s="7" t="str">
        <f t="shared" si="25"/>
        <v>Direct</v>
      </c>
      <c r="H4580" s="7" t="s">
        <v>5120</v>
      </c>
    </row>
    <row r="4581" spans="1:8" x14ac:dyDescent="0.2">
      <c r="A4581" s="5" t="s">
        <v>27</v>
      </c>
      <c r="B4581" s="6" t="s">
        <v>19</v>
      </c>
      <c r="C4581" s="7" t="s">
        <v>5121</v>
      </c>
      <c r="D4581" s="7"/>
      <c r="E4581" s="8">
        <v>-1.7261522</v>
      </c>
      <c r="F4581" s="8">
        <v>-1.2037495</v>
      </c>
      <c r="G4581" s="7" t="str">
        <f t="shared" si="25"/>
        <v>Direct</v>
      </c>
      <c r="H4581" s="7" t="s">
        <v>5122</v>
      </c>
    </row>
    <row r="4582" spans="1:8" x14ac:dyDescent="0.2">
      <c r="A4582" s="5" t="s">
        <v>27</v>
      </c>
      <c r="B4582" s="6" t="s">
        <v>19</v>
      </c>
      <c r="C4582" s="7" t="s">
        <v>5123</v>
      </c>
      <c r="D4582" s="7"/>
      <c r="E4582" s="8">
        <v>4.8502195199999996</v>
      </c>
      <c r="F4582" s="8">
        <v>3.5728630400000001</v>
      </c>
      <c r="G4582" s="7" t="str">
        <f t="shared" si="25"/>
        <v>Direct</v>
      </c>
      <c r="H4582" s="7" t="s">
        <v>5124</v>
      </c>
    </row>
    <row r="4583" spans="1:8" x14ac:dyDescent="0.2">
      <c r="A4583" s="5" t="s">
        <v>27</v>
      </c>
      <c r="B4583" s="6" t="s">
        <v>19</v>
      </c>
      <c r="C4583" s="7" t="s">
        <v>5125</v>
      </c>
      <c r="D4583" s="7"/>
      <c r="E4583" s="8">
        <v>-3.4133216000000002</v>
      </c>
      <c r="F4583" s="8">
        <v>-3.1149404999999999</v>
      </c>
      <c r="G4583" s="7" t="str">
        <f t="shared" si="25"/>
        <v>Direct</v>
      </c>
      <c r="H4583" s="7" t="s">
        <v>16</v>
      </c>
    </row>
    <row r="4584" spans="1:8" x14ac:dyDescent="0.2">
      <c r="A4584" s="5" t="s">
        <v>27</v>
      </c>
      <c r="B4584" s="6" t="s">
        <v>19</v>
      </c>
      <c r="C4584" s="7" t="s">
        <v>5126</v>
      </c>
      <c r="D4584" s="7"/>
      <c r="E4584" s="8">
        <v>2.9075075300000002</v>
      </c>
      <c r="F4584" s="8">
        <v>4.1307950900000003</v>
      </c>
      <c r="G4584" s="7" t="str">
        <f t="shared" si="25"/>
        <v>Direct</v>
      </c>
      <c r="H4584" s="7" t="s">
        <v>16</v>
      </c>
    </row>
    <row r="4585" spans="1:8" x14ac:dyDescent="0.2">
      <c r="A4585" s="5" t="s">
        <v>27</v>
      </c>
      <c r="B4585" s="6" t="s">
        <v>19</v>
      </c>
      <c r="C4585" s="7" t="s">
        <v>5127</v>
      </c>
      <c r="D4585" s="7"/>
      <c r="E4585" s="8">
        <v>-1.5886439999999999</v>
      </c>
      <c r="F4585" s="8">
        <v>-2.6249768000000002</v>
      </c>
      <c r="G4585" s="7" t="str">
        <f t="shared" si="25"/>
        <v>Direct</v>
      </c>
      <c r="H4585" s="7" t="s">
        <v>567</v>
      </c>
    </row>
    <row r="4586" spans="1:8" x14ac:dyDescent="0.2">
      <c r="A4586" s="5" t="s">
        <v>27</v>
      </c>
      <c r="B4586" s="6" t="s">
        <v>19</v>
      </c>
      <c r="C4586" s="7" t="s">
        <v>5128</v>
      </c>
      <c r="D4586" s="7"/>
      <c r="E4586" s="8">
        <v>-1.8651827999999999</v>
      </c>
      <c r="F4586" s="8">
        <v>-1.4192796999999999</v>
      </c>
      <c r="G4586" s="7" t="str">
        <f t="shared" si="25"/>
        <v>Direct</v>
      </c>
      <c r="H4586" s="7" t="s">
        <v>16</v>
      </c>
    </row>
    <row r="4587" spans="1:8" x14ac:dyDescent="0.2">
      <c r="A4587" s="5" t="s">
        <v>27</v>
      </c>
      <c r="B4587" s="6" t="s">
        <v>19</v>
      </c>
      <c r="C4587" s="7" t="s">
        <v>5129</v>
      </c>
      <c r="D4587" s="7"/>
      <c r="E4587" s="8">
        <v>-2.4865735999999998</v>
      </c>
      <c r="F4587" s="8">
        <v>-2.3642726000000001</v>
      </c>
      <c r="G4587" s="7" t="str">
        <f t="shared" si="25"/>
        <v>Direct</v>
      </c>
      <c r="H4587" s="7" t="s">
        <v>16</v>
      </c>
    </row>
    <row r="4588" spans="1:8" x14ac:dyDescent="0.2">
      <c r="A4588" s="5" t="s">
        <v>27</v>
      </c>
      <c r="B4588" s="6" t="s">
        <v>19</v>
      </c>
      <c r="C4588" s="7" t="s">
        <v>5130</v>
      </c>
      <c r="D4588" s="7"/>
      <c r="E4588" s="8">
        <v>3.54335041</v>
      </c>
      <c r="F4588" s="8">
        <v>5.4692741500000004</v>
      </c>
      <c r="G4588" s="7" t="str">
        <f t="shared" si="25"/>
        <v>Direct</v>
      </c>
      <c r="H4588" s="7" t="s">
        <v>16</v>
      </c>
    </row>
    <row r="4589" spans="1:8" x14ac:dyDescent="0.2">
      <c r="A4589" s="5" t="s">
        <v>27</v>
      </c>
      <c r="B4589" s="6" t="s">
        <v>19</v>
      </c>
      <c r="C4589" s="7" t="s">
        <v>4116</v>
      </c>
      <c r="D4589" s="7"/>
      <c r="E4589" s="8">
        <v>-3.9203358000000001</v>
      </c>
      <c r="F4589" s="8">
        <v>-3.7687214999999998</v>
      </c>
      <c r="G4589" s="7" t="str">
        <f t="shared" si="25"/>
        <v>Direct</v>
      </c>
      <c r="H4589" s="7" t="s">
        <v>16</v>
      </c>
    </row>
    <row r="4590" spans="1:8" x14ac:dyDescent="0.2">
      <c r="A4590" s="5" t="s">
        <v>27</v>
      </c>
      <c r="B4590" s="6" t="s">
        <v>19</v>
      </c>
      <c r="C4590" s="7" t="s">
        <v>5131</v>
      </c>
      <c r="D4590" s="7"/>
      <c r="E4590" s="8">
        <v>1.2152858799999999</v>
      </c>
      <c r="F4590" s="8">
        <v>1.56595712</v>
      </c>
      <c r="G4590" s="7" t="str">
        <f t="shared" si="25"/>
        <v>Direct</v>
      </c>
      <c r="H4590" s="7" t="s">
        <v>5132</v>
      </c>
    </row>
    <row r="4591" spans="1:8" x14ac:dyDescent="0.2">
      <c r="A4591" s="5" t="s">
        <v>27</v>
      </c>
      <c r="B4591" s="6" t="s">
        <v>19</v>
      </c>
      <c r="C4591" s="7" t="s">
        <v>5133</v>
      </c>
      <c r="D4591" s="7"/>
      <c r="E4591" s="8">
        <v>-1.9202286</v>
      </c>
      <c r="F4591" s="8">
        <v>-1.8890096999999999</v>
      </c>
      <c r="G4591" s="7" t="str">
        <f t="shared" si="25"/>
        <v>Direct</v>
      </c>
      <c r="H4591" s="7" t="s">
        <v>5134</v>
      </c>
    </row>
    <row r="4592" spans="1:8" x14ac:dyDescent="0.2">
      <c r="A4592" s="5" t="s">
        <v>27</v>
      </c>
      <c r="B4592" s="6" t="s">
        <v>19</v>
      </c>
      <c r="C4592" s="7" t="s">
        <v>5135</v>
      </c>
      <c r="D4592" s="7"/>
      <c r="E4592" s="8">
        <v>-1.4333803000000001</v>
      </c>
      <c r="F4592" s="8">
        <v>-1.9632242</v>
      </c>
      <c r="G4592" s="7" t="str">
        <f t="shared" si="25"/>
        <v>Direct</v>
      </c>
      <c r="H4592" s="7" t="s">
        <v>4224</v>
      </c>
    </row>
    <row r="4593" spans="1:8" x14ac:dyDescent="0.2">
      <c r="A4593" s="5" t="s">
        <v>27</v>
      </c>
      <c r="B4593" s="6" t="s">
        <v>19</v>
      </c>
      <c r="C4593" s="7" t="s">
        <v>5136</v>
      </c>
      <c r="D4593" s="7"/>
      <c r="E4593" s="8">
        <v>-9.796735</v>
      </c>
      <c r="F4593" s="8">
        <v>-13.729329999999999</v>
      </c>
      <c r="G4593" s="7" t="str">
        <f t="shared" si="25"/>
        <v>Direct</v>
      </c>
      <c r="H4593" s="7" t="s">
        <v>3765</v>
      </c>
    </row>
    <row r="4594" spans="1:8" x14ac:dyDescent="0.2">
      <c r="A4594" s="5" t="s">
        <v>27</v>
      </c>
      <c r="B4594" s="6" t="s">
        <v>19</v>
      </c>
      <c r="C4594" s="7" t="s">
        <v>5137</v>
      </c>
      <c r="D4594" s="7"/>
      <c r="E4594" s="8">
        <v>4.0815494399999999</v>
      </c>
      <c r="F4594" s="8">
        <v>2.4489942500000002</v>
      </c>
      <c r="G4594" s="7" t="str">
        <f t="shared" si="25"/>
        <v>Direct</v>
      </c>
      <c r="H4594" s="7" t="s">
        <v>5138</v>
      </c>
    </row>
    <row r="4595" spans="1:8" x14ac:dyDescent="0.2">
      <c r="A4595" s="5" t="s">
        <v>27</v>
      </c>
      <c r="B4595" s="6" t="s">
        <v>19</v>
      </c>
      <c r="C4595" s="7" t="s">
        <v>5139</v>
      </c>
      <c r="D4595" s="7"/>
      <c r="E4595" s="8">
        <v>4.0860917399999996</v>
      </c>
      <c r="F4595" s="8">
        <v>4.4056196999999999</v>
      </c>
      <c r="G4595" s="7" t="str">
        <f t="shared" si="25"/>
        <v>Direct</v>
      </c>
      <c r="H4595" s="7" t="s">
        <v>16</v>
      </c>
    </row>
    <row r="4596" spans="1:8" x14ac:dyDescent="0.2">
      <c r="A4596" s="5" t="s">
        <v>27</v>
      </c>
      <c r="B4596" s="6" t="s">
        <v>19</v>
      </c>
      <c r="C4596" s="7" t="s">
        <v>5140</v>
      </c>
      <c r="D4596" s="7"/>
      <c r="E4596" s="8">
        <v>1.93827733</v>
      </c>
      <c r="F4596" s="8">
        <v>1.87788271</v>
      </c>
      <c r="G4596" s="7" t="str">
        <f t="shared" si="25"/>
        <v>Direct</v>
      </c>
      <c r="H4596" s="7" t="s">
        <v>16</v>
      </c>
    </row>
    <row r="4597" spans="1:8" x14ac:dyDescent="0.2">
      <c r="A4597" s="5" t="s">
        <v>27</v>
      </c>
      <c r="B4597" s="6" t="s">
        <v>19</v>
      </c>
      <c r="C4597" s="7" t="s">
        <v>5141</v>
      </c>
      <c r="D4597" s="7"/>
      <c r="E4597" s="8">
        <v>1.7324386899999999</v>
      </c>
      <c r="F4597" s="8">
        <v>1.0754030800000001</v>
      </c>
      <c r="G4597" s="7" t="str">
        <f t="shared" si="25"/>
        <v>Direct</v>
      </c>
      <c r="H4597" s="7" t="s">
        <v>16</v>
      </c>
    </row>
    <row r="4598" spans="1:8" x14ac:dyDescent="0.2">
      <c r="A4598" s="5" t="s">
        <v>27</v>
      </c>
      <c r="B4598" s="6" t="s">
        <v>19</v>
      </c>
      <c r="C4598" s="7" t="s">
        <v>5142</v>
      </c>
      <c r="D4598" s="7"/>
      <c r="E4598" s="8">
        <v>-1.7204195</v>
      </c>
      <c r="F4598" s="8">
        <v>-2.1756068000000002</v>
      </c>
      <c r="G4598" s="7" t="str">
        <f t="shared" si="25"/>
        <v>Direct</v>
      </c>
      <c r="H4598" s="7" t="s">
        <v>5143</v>
      </c>
    </row>
    <row r="4599" spans="1:8" x14ac:dyDescent="0.2">
      <c r="A4599" s="5" t="s">
        <v>27</v>
      </c>
      <c r="B4599" s="6" t="s">
        <v>19</v>
      </c>
      <c r="C4599" s="7" t="s">
        <v>5144</v>
      </c>
      <c r="D4599" s="7"/>
      <c r="E4599" s="8">
        <v>-1.63781</v>
      </c>
      <c r="F4599" s="8">
        <v>-1.4819552</v>
      </c>
      <c r="G4599" s="7" t="str">
        <f t="shared" si="25"/>
        <v>Direct</v>
      </c>
      <c r="H4599" s="7" t="s">
        <v>2440</v>
      </c>
    </row>
    <row r="4600" spans="1:8" x14ac:dyDescent="0.2">
      <c r="A4600" s="5" t="s">
        <v>27</v>
      </c>
      <c r="B4600" s="6" t="s">
        <v>19</v>
      </c>
      <c r="C4600" s="7" t="s">
        <v>5145</v>
      </c>
      <c r="D4600" s="7"/>
      <c r="E4600" s="8">
        <v>-1.6719364000000001</v>
      </c>
      <c r="F4600" s="8">
        <v>-3.7737121</v>
      </c>
      <c r="G4600" s="7" t="str">
        <f t="shared" si="25"/>
        <v>Direct</v>
      </c>
      <c r="H4600" s="7" t="s">
        <v>5146</v>
      </c>
    </row>
    <row r="4601" spans="1:8" x14ac:dyDescent="0.2">
      <c r="A4601" s="5" t="s">
        <v>27</v>
      </c>
      <c r="B4601" s="6" t="s">
        <v>19</v>
      </c>
      <c r="C4601" s="7" t="s">
        <v>5147</v>
      </c>
      <c r="D4601" s="7"/>
      <c r="E4601" s="8">
        <v>1.3727483199999999</v>
      </c>
      <c r="F4601" s="8">
        <v>2.5230603299999999</v>
      </c>
      <c r="G4601" s="7" t="str">
        <f t="shared" si="25"/>
        <v>Direct</v>
      </c>
      <c r="H4601" s="7" t="s">
        <v>2118</v>
      </c>
    </row>
    <row r="4602" spans="1:8" x14ac:dyDescent="0.2">
      <c r="A4602" s="5" t="s">
        <v>27</v>
      </c>
      <c r="B4602" s="6" t="s">
        <v>19</v>
      </c>
      <c r="C4602" s="7" t="s">
        <v>5148</v>
      </c>
      <c r="D4602" s="7"/>
      <c r="E4602" s="8">
        <v>1.31310591</v>
      </c>
      <c r="F4602" s="8">
        <v>2.4735338200000001</v>
      </c>
      <c r="G4602" s="7" t="str">
        <f t="shared" si="25"/>
        <v>Direct</v>
      </c>
      <c r="H4602" s="7" t="s">
        <v>16</v>
      </c>
    </row>
    <row r="4603" spans="1:8" x14ac:dyDescent="0.2">
      <c r="A4603" s="5" t="s">
        <v>27</v>
      </c>
      <c r="B4603" s="6" t="s">
        <v>19</v>
      </c>
      <c r="C4603" s="7" t="s">
        <v>5149</v>
      </c>
      <c r="D4603" s="7"/>
      <c r="E4603" s="8">
        <v>1.1773389299999999</v>
      </c>
      <c r="F4603" s="8">
        <v>1.21891452</v>
      </c>
      <c r="G4603" s="7" t="str">
        <f t="shared" si="25"/>
        <v>Direct</v>
      </c>
      <c r="H4603" s="7" t="s">
        <v>379</v>
      </c>
    </row>
    <row r="4604" spans="1:8" x14ac:dyDescent="0.2">
      <c r="A4604" s="5" t="s">
        <v>27</v>
      </c>
      <c r="B4604" s="6" t="s">
        <v>19</v>
      </c>
      <c r="C4604" s="7" t="s">
        <v>5150</v>
      </c>
      <c r="D4604" s="7"/>
      <c r="E4604" s="8">
        <v>-1.0317855</v>
      </c>
      <c r="F4604" s="8">
        <v>-2.0656661999999999</v>
      </c>
      <c r="G4604" s="7" t="str">
        <f t="shared" si="25"/>
        <v>Direct</v>
      </c>
      <c r="H4604" s="7" t="s">
        <v>3748</v>
      </c>
    </row>
    <row r="4605" spans="1:8" x14ac:dyDescent="0.2">
      <c r="A4605" s="5" t="s">
        <v>27</v>
      </c>
      <c r="B4605" s="6" t="s">
        <v>19</v>
      </c>
      <c r="C4605" s="7" t="s">
        <v>5151</v>
      </c>
      <c r="D4605" s="7"/>
      <c r="E4605" s="8">
        <v>-1.5898768000000001</v>
      </c>
      <c r="F4605" s="8">
        <v>-1.6379329</v>
      </c>
      <c r="G4605" s="7" t="str">
        <f t="shared" si="25"/>
        <v>Direct</v>
      </c>
      <c r="H4605" s="7" t="s">
        <v>3763</v>
      </c>
    </row>
    <row r="4606" spans="1:8" x14ac:dyDescent="0.2">
      <c r="A4606" s="5" t="s">
        <v>27</v>
      </c>
      <c r="B4606" s="6" t="s">
        <v>19</v>
      </c>
      <c r="C4606" s="7" t="s">
        <v>5152</v>
      </c>
      <c r="D4606" s="7"/>
      <c r="E4606" s="8">
        <v>1.17779323</v>
      </c>
      <c r="F4606" s="8">
        <v>1.1415448800000001</v>
      </c>
      <c r="G4606" s="7" t="str">
        <f t="shared" si="25"/>
        <v>Direct</v>
      </c>
      <c r="H4606" s="7" t="s">
        <v>2735</v>
      </c>
    </row>
    <row r="4607" spans="1:8" x14ac:dyDescent="0.2">
      <c r="A4607" s="5" t="s">
        <v>27</v>
      </c>
      <c r="B4607" s="6" t="s">
        <v>19</v>
      </c>
      <c r="C4607" s="7" t="s">
        <v>5153</v>
      </c>
      <c r="D4607" s="7"/>
      <c r="E4607" s="8">
        <v>3.2546751999999999</v>
      </c>
      <c r="F4607" s="8">
        <v>3.2671660600000001</v>
      </c>
      <c r="G4607" s="7" t="str">
        <f t="shared" si="25"/>
        <v>Direct</v>
      </c>
      <c r="H4607" s="7" t="s">
        <v>2735</v>
      </c>
    </row>
    <row r="4608" spans="1:8" x14ac:dyDescent="0.2">
      <c r="A4608" s="5" t="s">
        <v>27</v>
      </c>
      <c r="B4608" s="6" t="s">
        <v>19</v>
      </c>
      <c r="C4608" s="7" t="s">
        <v>5154</v>
      </c>
      <c r="D4608" s="7"/>
      <c r="E4608" s="8">
        <v>-7.0937218</v>
      </c>
      <c r="F4608" s="8">
        <v>-2.7323727999999998</v>
      </c>
      <c r="G4608" s="7" t="str">
        <f t="shared" si="25"/>
        <v>Direct</v>
      </c>
      <c r="H4608" s="7" t="s">
        <v>2735</v>
      </c>
    </row>
    <row r="4609" spans="1:8" x14ac:dyDescent="0.2">
      <c r="A4609" s="5" t="s">
        <v>27</v>
      </c>
      <c r="B4609" s="6" t="s">
        <v>19</v>
      </c>
      <c r="C4609" s="7" t="s">
        <v>5155</v>
      </c>
      <c r="D4609" s="7"/>
      <c r="E4609" s="8">
        <v>2.6917260500000002</v>
      </c>
      <c r="F4609" s="8">
        <v>3.6832147800000001</v>
      </c>
      <c r="G4609" s="7" t="str">
        <f t="shared" si="25"/>
        <v>Direct</v>
      </c>
      <c r="H4609" s="7" t="s">
        <v>2735</v>
      </c>
    </row>
    <row r="4610" spans="1:8" x14ac:dyDescent="0.2">
      <c r="A4610" s="5" t="s">
        <v>27</v>
      </c>
      <c r="B4610" s="6" t="s">
        <v>19</v>
      </c>
      <c r="C4610" s="7" t="s">
        <v>5156</v>
      </c>
      <c r="D4610" s="7"/>
      <c r="E4610" s="8">
        <v>-1.0018773999999999</v>
      </c>
      <c r="F4610" s="8">
        <v>-2.5992917000000002</v>
      </c>
      <c r="G4610" s="7" t="str">
        <f t="shared" si="25"/>
        <v>Direct</v>
      </c>
      <c r="H4610" s="7" t="s">
        <v>3186</v>
      </c>
    </row>
    <row r="4611" spans="1:8" x14ac:dyDescent="0.2">
      <c r="A4611" s="5" t="s">
        <v>27</v>
      </c>
      <c r="B4611" s="6" t="s">
        <v>19</v>
      </c>
      <c r="C4611" s="7" t="s">
        <v>5157</v>
      </c>
      <c r="D4611" s="7"/>
      <c r="E4611" s="8">
        <v>-2.7466417999999999</v>
      </c>
      <c r="F4611" s="8">
        <v>-5.9670662999999999</v>
      </c>
      <c r="G4611" s="7" t="str">
        <f t="shared" si="25"/>
        <v>Direct</v>
      </c>
      <c r="H4611" s="7" t="s">
        <v>1021</v>
      </c>
    </row>
    <row r="4612" spans="1:8" x14ac:dyDescent="0.2">
      <c r="A4612" s="5" t="s">
        <v>27</v>
      </c>
      <c r="B4612" s="6" t="s">
        <v>19</v>
      </c>
      <c r="C4612" s="7" t="s">
        <v>5158</v>
      </c>
      <c r="D4612" s="7"/>
      <c r="E4612" s="8">
        <v>1.9756973200000001</v>
      </c>
      <c r="F4612" s="8">
        <v>1.13569019</v>
      </c>
      <c r="G4612" s="7" t="str">
        <f t="shared" si="25"/>
        <v>Direct</v>
      </c>
      <c r="H4612" s="7" t="s">
        <v>16</v>
      </c>
    </row>
    <row r="4613" spans="1:8" x14ac:dyDescent="0.2">
      <c r="A4613" s="5" t="s">
        <v>27</v>
      </c>
      <c r="B4613" s="6" t="s">
        <v>19</v>
      </c>
      <c r="C4613" s="7" t="s">
        <v>5159</v>
      </c>
      <c r="D4613" s="7"/>
      <c r="E4613" s="8">
        <v>-1.0767537</v>
      </c>
      <c r="F4613" s="8">
        <v>-2.5407636999999998</v>
      </c>
      <c r="G4613" s="7" t="str">
        <f t="shared" si="25"/>
        <v>Direct</v>
      </c>
      <c r="H4613" s="7" t="s">
        <v>5160</v>
      </c>
    </row>
    <row r="4614" spans="1:8" x14ac:dyDescent="0.2">
      <c r="A4614" s="5" t="s">
        <v>27</v>
      </c>
      <c r="B4614" s="6" t="s">
        <v>19</v>
      </c>
      <c r="C4614" s="7" t="s">
        <v>5161</v>
      </c>
      <c r="D4614" s="7"/>
      <c r="E4614" s="8">
        <v>-1.9006685999999999</v>
      </c>
      <c r="F4614" s="8">
        <v>-3.7887053000000002</v>
      </c>
      <c r="G4614" s="7" t="str">
        <f t="shared" si="25"/>
        <v>Direct</v>
      </c>
      <c r="H4614" s="7" t="s">
        <v>2626</v>
      </c>
    </row>
    <row r="4615" spans="1:8" x14ac:dyDescent="0.2">
      <c r="A4615" s="5" t="s">
        <v>27</v>
      </c>
      <c r="B4615" s="6" t="s">
        <v>19</v>
      </c>
      <c r="C4615" s="7" t="s">
        <v>5162</v>
      </c>
      <c r="D4615" s="7"/>
      <c r="E4615" s="8">
        <v>1.7873789</v>
      </c>
      <c r="F4615" s="8">
        <v>1.6285844300000001</v>
      </c>
      <c r="G4615" s="7" t="str">
        <f t="shared" si="25"/>
        <v>Direct</v>
      </c>
      <c r="H4615" s="7" t="s">
        <v>5163</v>
      </c>
    </row>
    <row r="4616" spans="1:8" x14ac:dyDescent="0.2">
      <c r="A4616" s="5" t="s">
        <v>27</v>
      </c>
      <c r="B4616" s="6" t="s">
        <v>19</v>
      </c>
      <c r="C4616" s="7" t="s">
        <v>5164</v>
      </c>
      <c r="D4616" s="7"/>
      <c r="E4616" s="8">
        <v>-7.6201034999999999</v>
      </c>
      <c r="F4616" s="8">
        <v>-13.243069999999999</v>
      </c>
      <c r="G4616" s="7" t="str">
        <f t="shared" si="25"/>
        <v>Direct</v>
      </c>
      <c r="H4616" s="7" t="s">
        <v>1036</v>
      </c>
    </row>
    <row r="4617" spans="1:8" x14ac:dyDescent="0.2">
      <c r="A4617" s="5" t="s">
        <v>27</v>
      </c>
      <c r="B4617" s="6" t="s">
        <v>19</v>
      </c>
      <c r="C4617" s="7" t="s">
        <v>5165</v>
      </c>
      <c r="D4617" s="7"/>
      <c r="E4617" s="8">
        <v>-1.7314575999999999</v>
      </c>
      <c r="F4617" s="8">
        <v>-1.2157943</v>
      </c>
      <c r="G4617" s="7" t="str">
        <f t="shared" si="25"/>
        <v>Direct</v>
      </c>
      <c r="H4617" s="7" t="s">
        <v>5166</v>
      </c>
    </row>
    <row r="4618" spans="1:8" x14ac:dyDescent="0.2">
      <c r="A4618" s="5" t="s">
        <v>27</v>
      </c>
      <c r="B4618" s="6" t="s">
        <v>19</v>
      </c>
      <c r="C4618" s="7" t="s">
        <v>5167</v>
      </c>
      <c r="D4618" s="7"/>
      <c r="E4618" s="8">
        <v>9.2996145000000006</v>
      </c>
      <c r="F4618" s="8">
        <v>4.70755722</v>
      </c>
      <c r="G4618" s="7" t="str">
        <f t="shared" si="25"/>
        <v>Direct</v>
      </c>
      <c r="H4618" s="7" t="s">
        <v>16</v>
      </c>
    </row>
    <row r="4619" spans="1:8" x14ac:dyDescent="0.2">
      <c r="A4619" s="5" t="s">
        <v>27</v>
      </c>
      <c r="B4619" s="6" t="s">
        <v>19</v>
      </c>
      <c r="C4619" s="7" t="s">
        <v>5168</v>
      </c>
      <c r="D4619" s="7"/>
      <c r="E4619" s="8">
        <v>1.4757158100000001</v>
      </c>
      <c r="F4619" s="8">
        <v>1.5201197</v>
      </c>
      <c r="G4619" s="7" t="str">
        <f t="shared" si="25"/>
        <v>Direct</v>
      </c>
      <c r="H4619" s="7" t="s">
        <v>5169</v>
      </c>
    </row>
    <row r="4620" spans="1:8" x14ac:dyDescent="0.2">
      <c r="A4620" s="5" t="s">
        <v>27</v>
      </c>
      <c r="B4620" s="6" t="s">
        <v>19</v>
      </c>
      <c r="C4620" s="7" t="s">
        <v>5170</v>
      </c>
      <c r="D4620" s="7"/>
      <c r="E4620" s="8">
        <v>-8.0895860000000006</v>
      </c>
      <c r="F4620" s="8">
        <v>-6.8506385999999999</v>
      </c>
      <c r="G4620" s="7" t="str">
        <f t="shared" si="25"/>
        <v>Direct</v>
      </c>
      <c r="H4620" s="7" t="s">
        <v>5171</v>
      </c>
    </row>
    <row r="4621" spans="1:8" x14ac:dyDescent="0.2">
      <c r="A4621" s="5" t="s">
        <v>27</v>
      </c>
      <c r="B4621" s="6" t="s">
        <v>19</v>
      </c>
      <c r="C4621" s="7" t="s">
        <v>4118</v>
      </c>
      <c r="D4621" s="7"/>
      <c r="E4621" s="8">
        <v>2.9962910200000001</v>
      </c>
      <c r="F4621" s="8">
        <v>3.1325977800000002</v>
      </c>
      <c r="G4621" s="7" t="str">
        <f t="shared" si="25"/>
        <v>Direct</v>
      </c>
      <c r="H4621" s="7" t="s">
        <v>4119</v>
      </c>
    </row>
    <row r="4622" spans="1:8" x14ac:dyDescent="0.2">
      <c r="A4622" s="5" t="s">
        <v>27</v>
      </c>
      <c r="B4622" s="6" t="s">
        <v>19</v>
      </c>
      <c r="C4622" s="7" t="s">
        <v>5172</v>
      </c>
      <c r="D4622" s="7"/>
      <c r="E4622" s="8">
        <v>-1.8626056</v>
      </c>
      <c r="F4622" s="8">
        <v>-1.7027802000000001</v>
      </c>
      <c r="G4622" s="7" t="str">
        <f t="shared" si="25"/>
        <v>Direct</v>
      </c>
      <c r="H4622" s="7" t="s">
        <v>16</v>
      </c>
    </row>
    <row r="4623" spans="1:8" x14ac:dyDescent="0.2">
      <c r="A4623" s="5" t="s">
        <v>27</v>
      </c>
      <c r="B4623" s="6" t="s">
        <v>19</v>
      </c>
      <c r="C4623" s="7" t="s">
        <v>5173</v>
      </c>
      <c r="D4623" s="7"/>
      <c r="E4623" s="8">
        <v>1.90228288</v>
      </c>
      <c r="F4623" s="8">
        <v>1.03867887</v>
      </c>
      <c r="G4623" s="7" t="str">
        <f t="shared" si="25"/>
        <v>Direct</v>
      </c>
      <c r="H4623" s="7" t="s">
        <v>142</v>
      </c>
    </row>
    <row r="4624" spans="1:8" x14ac:dyDescent="0.2">
      <c r="A4624" s="5" t="s">
        <v>27</v>
      </c>
      <c r="B4624" s="6" t="s">
        <v>19</v>
      </c>
      <c r="C4624" s="7" t="s">
        <v>5174</v>
      </c>
      <c r="D4624" s="7"/>
      <c r="E4624" s="8">
        <v>1.09785628</v>
      </c>
      <c r="F4624" s="8">
        <v>1.30237446</v>
      </c>
      <c r="G4624" s="7" t="str">
        <f t="shared" si="25"/>
        <v>Direct</v>
      </c>
      <c r="H4624" s="7" t="s">
        <v>5175</v>
      </c>
    </row>
    <row r="4625" spans="1:8" x14ac:dyDescent="0.2">
      <c r="A4625" s="5" t="s">
        <v>27</v>
      </c>
      <c r="B4625" s="6" t="s">
        <v>19</v>
      </c>
      <c r="C4625" s="7" t="s">
        <v>5176</v>
      </c>
      <c r="D4625" s="7"/>
      <c r="E4625" s="8">
        <v>1.7204194799999999</v>
      </c>
      <c r="F4625" s="8">
        <v>1.56595712</v>
      </c>
      <c r="G4625" s="7" t="str">
        <f t="shared" si="25"/>
        <v>Direct</v>
      </c>
      <c r="H4625" s="7" t="s">
        <v>5177</v>
      </c>
    </row>
    <row r="4626" spans="1:8" x14ac:dyDescent="0.2">
      <c r="A4626" s="5" t="s">
        <v>27</v>
      </c>
      <c r="B4626" s="6" t="s">
        <v>19</v>
      </c>
      <c r="C4626" s="7" t="s">
        <v>5178</v>
      </c>
      <c r="D4626" s="7"/>
      <c r="E4626" s="8">
        <v>-1.5504560999999999</v>
      </c>
      <c r="F4626" s="8">
        <v>-3.2266682000000002</v>
      </c>
      <c r="G4626" s="7" t="str">
        <f t="shared" si="25"/>
        <v>Direct</v>
      </c>
      <c r="H4626" s="7" t="s">
        <v>3525</v>
      </c>
    </row>
    <row r="4627" spans="1:8" x14ac:dyDescent="0.2">
      <c r="A4627" s="5" t="s">
        <v>27</v>
      </c>
      <c r="B4627" s="6" t="s">
        <v>19</v>
      </c>
      <c r="C4627" s="7" t="s">
        <v>5179</v>
      </c>
      <c r="D4627" s="7"/>
      <c r="E4627" s="8">
        <v>-14.298185</v>
      </c>
      <c r="F4627" s="8">
        <v>-22.301555</v>
      </c>
      <c r="G4627" s="7" t="str">
        <f t="shared" si="25"/>
        <v>Direct</v>
      </c>
      <c r="H4627" s="7" t="s">
        <v>3527</v>
      </c>
    </row>
    <row r="4628" spans="1:8" x14ac:dyDescent="0.2">
      <c r="A4628" s="5" t="s">
        <v>27</v>
      </c>
      <c r="B4628" s="6" t="s">
        <v>19</v>
      </c>
      <c r="C4628" s="7" t="s">
        <v>5180</v>
      </c>
      <c r="D4628" s="7"/>
      <c r="E4628" s="8">
        <v>2.8585372599999999</v>
      </c>
      <c r="F4628" s="8">
        <v>2.6551792399999998</v>
      </c>
      <c r="G4628" s="7" t="str">
        <f t="shared" si="25"/>
        <v>Direct</v>
      </c>
      <c r="H4628" s="7" t="s">
        <v>16</v>
      </c>
    </row>
    <row r="4629" spans="1:8" x14ac:dyDescent="0.2">
      <c r="A4629" s="5" t="s">
        <v>27</v>
      </c>
      <c r="B4629" s="6" t="s">
        <v>19</v>
      </c>
      <c r="C4629" s="7" t="s">
        <v>5181</v>
      </c>
      <c r="D4629" s="7"/>
      <c r="E4629" s="8">
        <v>-5.3006001999999999</v>
      </c>
      <c r="F4629" s="8">
        <v>-5.2309587000000004</v>
      </c>
      <c r="G4629" s="7" t="str">
        <f t="shared" si="25"/>
        <v>Direct</v>
      </c>
      <c r="H4629" s="7" t="s">
        <v>5182</v>
      </c>
    </row>
    <row r="4630" spans="1:8" x14ac:dyDescent="0.2">
      <c r="A4630" s="5" t="s">
        <v>27</v>
      </c>
      <c r="B4630" s="6" t="s">
        <v>19</v>
      </c>
      <c r="C4630" s="7" t="s">
        <v>5183</v>
      </c>
      <c r="D4630" s="7"/>
      <c r="E4630" s="8">
        <v>-3.5556234</v>
      </c>
      <c r="F4630" s="8">
        <v>-2.3642726000000001</v>
      </c>
      <c r="G4630" s="7" t="str">
        <f t="shared" si="25"/>
        <v>Direct</v>
      </c>
      <c r="H4630" s="7" t="s">
        <v>16</v>
      </c>
    </row>
    <row r="4631" spans="1:8" x14ac:dyDescent="0.2">
      <c r="A4631" s="5" t="s">
        <v>27</v>
      </c>
      <c r="B4631" s="6" t="s">
        <v>19</v>
      </c>
      <c r="C4631" s="7" t="s">
        <v>5184</v>
      </c>
      <c r="D4631" s="7"/>
      <c r="E4631" s="8">
        <v>-4.8373688000000001</v>
      </c>
      <c r="F4631" s="8">
        <v>-2.0011329999999998</v>
      </c>
      <c r="G4631" s="7" t="str">
        <f t="shared" si="25"/>
        <v>Direct</v>
      </c>
      <c r="H4631" s="7" t="s">
        <v>5185</v>
      </c>
    </row>
    <row r="4632" spans="1:8" x14ac:dyDescent="0.2">
      <c r="A4632" s="5" t="s">
        <v>27</v>
      </c>
      <c r="B4632" s="6" t="s">
        <v>19</v>
      </c>
      <c r="C4632" s="7" t="s">
        <v>5186</v>
      </c>
      <c r="D4632" s="7"/>
      <c r="E4632" s="8">
        <v>8.6213777599999997</v>
      </c>
      <c r="F4632" s="8">
        <v>7.9938418599999999</v>
      </c>
      <c r="G4632" s="7" t="str">
        <f t="shared" si="25"/>
        <v>Direct</v>
      </c>
      <c r="H4632" s="7" t="s">
        <v>608</v>
      </c>
    </row>
    <row r="4633" spans="1:8" x14ac:dyDescent="0.2">
      <c r="A4633" s="5" t="s">
        <v>27</v>
      </c>
      <c r="B4633" s="6" t="s">
        <v>19</v>
      </c>
      <c r="C4633" s="7" t="s">
        <v>5187</v>
      </c>
      <c r="D4633" s="7"/>
      <c r="E4633" s="8">
        <v>-8.5645387999999993</v>
      </c>
      <c r="F4633" s="8">
        <v>-10.264139999999999</v>
      </c>
      <c r="G4633" s="7" t="str">
        <f t="shared" si="25"/>
        <v>Direct</v>
      </c>
      <c r="H4633" s="7" t="s">
        <v>608</v>
      </c>
    </row>
    <row r="4634" spans="1:8" x14ac:dyDescent="0.2">
      <c r="A4634" s="5" t="s">
        <v>27</v>
      </c>
      <c r="B4634" s="6" t="s">
        <v>19</v>
      </c>
      <c r="C4634" s="7" t="s">
        <v>5188</v>
      </c>
      <c r="D4634" s="7"/>
      <c r="E4634" s="8">
        <v>4.53498614</v>
      </c>
      <c r="F4634" s="8">
        <v>1.9150866200000001</v>
      </c>
      <c r="G4634" s="7" t="str">
        <f t="shared" si="25"/>
        <v>Direct</v>
      </c>
      <c r="H4634" s="7" t="s">
        <v>5189</v>
      </c>
    </row>
    <row r="4635" spans="1:8" x14ac:dyDescent="0.2">
      <c r="A4635" s="5" t="s">
        <v>27</v>
      </c>
      <c r="B4635" s="6" t="s">
        <v>19</v>
      </c>
      <c r="C4635" s="7" t="s">
        <v>5190</v>
      </c>
      <c r="D4635" s="7"/>
      <c r="E4635" s="8">
        <v>-2.1618369999999998</v>
      </c>
      <c r="F4635" s="8">
        <v>-1.1581379999999999</v>
      </c>
      <c r="G4635" s="7" t="str">
        <f t="shared" si="25"/>
        <v>Direct</v>
      </c>
      <c r="H4635" s="7" t="s">
        <v>16</v>
      </c>
    </row>
    <row r="4636" spans="1:8" x14ac:dyDescent="0.2">
      <c r="A4636" s="5" t="s">
        <v>27</v>
      </c>
      <c r="B4636" s="6" t="s">
        <v>19</v>
      </c>
      <c r="C4636" s="7" t="s">
        <v>5191</v>
      </c>
      <c r="D4636" s="7"/>
      <c r="E4636" s="8">
        <v>-2.6125715</v>
      </c>
      <c r="F4636" s="8">
        <v>-1.4491050999999999</v>
      </c>
      <c r="G4636" s="7" t="str">
        <f t="shared" si="25"/>
        <v>Direct</v>
      </c>
      <c r="H4636" s="7" t="s">
        <v>1043</v>
      </c>
    </row>
    <row r="4637" spans="1:8" x14ac:dyDescent="0.2">
      <c r="A4637" s="5" t="s">
        <v>27</v>
      </c>
      <c r="B4637" s="6" t="s">
        <v>19</v>
      </c>
      <c r="C4637" s="7" t="s">
        <v>5192</v>
      </c>
      <c r="D4637" s="7"/>
      <c r="E4637" s="8">
        <v>2.53972855</v>
      </c>
      <c r="F4637" s="8">
        <v>1.9386396100000001</v>
      </c>
      <c r="G4637" s="7" t="str">
        <f t="shared" si="25"/>
        <v>Direct</v>
      </c>
      <c r="H4637" s="7" t="s">
        <v>5193</v>
      </c>
    </row>
    <row r="4638" spans="1:8" x14ac:dyDescent="0.2">
      <c r="A4638" s="5" t="s">
        <v>27</v>
      </c>
      <c r="B4638" s="6" t="s">
        <v>19</v>
      </c>
      <c r="C4638" s="7" t="s">
        <v>5194</v>
      </c>
      <c r="D4638" s="7"/>
      <c r="E4638" s="8">
        <v>6.2537997000000001</v>
      </c>
      <c r="F4638" s="8">
        <v>5.7725692200000003</v>
      </c>
      <c r="G4638" s="7" t="str">
        <f t="shared" si="25"/>
        <v>Direct</v>
      </c>
      <c r="H4638" s="7" t="s">
        <v>16</v>
      </c>
    </row>
    <row r="4639" spans="1:8" x14ac:dyDescent="0.2">
      <c r="A4639" s="5" t="s">
        <v>27</v>
      </c>
      <c r="B4639" s="6" t="s">
        <v>19</v>
      </c>
      <c r="C4639" s="7" t="s">
        <v>4120</v>
      </c>
      <c r="D4639" s="7"/>
      <c r="E4639" s="8">
        <v>-2.9324389000000002</v>
      </c>
      <c r="F4639" s="8">
        <v>-3.9006596</v>
      </c>
      <c r="G4639" s="7" t="str">
        <f t="shared" si="25"/>
        <v>Direct</v>
      </c>
      <c r="H4639" s="7" t="s">
        <v>16</v>
      </c>
    </row>
    <row r="4640" spans="1:8" x14ac:dyDescent="0.2">
      <c r="A4640" s="5" t="s">
        <v>27</v>
      </c>
      <c r="B4640" s="6" t="s">
        <v>19</v>
      </c>
      <c r="C4640" s="7" t="s">
        <v>5195</v>
      </c>
      <c r="D4640" s="7"/>
      <c r="E4640" s="8">
        <v>-1.7185508</v>
      </c>
      <c r="F4640" s="8">
        <v>-1.8778827</v>
      </c>
      <c r="G4640" s="7" t="str">
        <f t="shared" si="25"/>
        <v>Direct</v>
      </c>
      <c r="H4640" s="7" t="s">
        <v>5196</v>
      </c>
    </row>
    <row r="4641" spans="1:8" x14ac:dyDescent="0.2">
      <c r="A4641" s="5" t="s">
        <v>27</v>
      </c>
      <c r="B4641" s="6" t="s">
        <v>19</v>
      </c>
      <c r="C4641" s="7" t="s">
        <v>5197</v>
      </c>
      <c r="D4641" s="7"/>
      <c r="E4641" s="8">
        <v>1.28275921</v>
      </c>
      <c r="F4641" s="8">
        <v>1.7732165799999999</v>
      </c>
      <c r="G4641" s="7" t="str">
        <f t="shared" si="25"/>
        <v>Direct</v>
      </c>
      <c r="H4641" s="7" t="s">
        <v>3800</v>
      </c>
    </row>
    <row r="4642" spans="1:8" x14ac:dyDescent="0.2">
      <c r="A4642" s="5" t="s">
        <v>27</v>
      </c>
      <c r="B4642" s="6" t="s">
        <v>19</v>
      </c>
      <c r="C4642" s="7" t="s">
        <v>5198</v>
      </c>
      <c r="D4642" s="7"/>
      <c r="E4642" s="8">
        <v>-1.7524903999999999</v>
      </c>
      <c r="F4642" s="8">
        <v>-2.7067494999999999</v>
      </c>
      <c r="G4642" s="7" t="str">
        <f t="shared" si="25"/>
        <v>Direct</v>
      </c>
      <c r="H4642" s="7" t="s">
        <v>5199</v>
      </c>
    </row>
    <row r="4643" spans="1:8" x14ac:dyDescent="0.2">
      <c r="A4643" s="5" t="s">
        <v>27</v>
      </c>
      <c r="B4643" s="6" t="s">
        <v>19</v>
      </c>
      <c r="C4643" s="7" t="s">
        <v>5200</v>
      </c>
      <c r="D4643" s="7"/>
      <c r="E4643" s="8">
        <v>-1.7368479999999999</v>
      </c>
      <c r="F4643" s="8">
        <v>-2.0671259000000002</v>
      </c>
      <c r="G4643" s="7" t="str">
        <f t="shared" si="25"/>
        <v>Direct</v>
      </c>
      <c r="H4643" s="7" t="s">
        <v>5201</v>
      </c>
    </row>
    <row r="4644" spans="1:8" x14ac:dyDescent="0.2">
      <c r="A4644" s="5" t="s">
        <v>27</v>
      </c>
      <c r="B4644" s="6" t="s">
        <v>19</v>
      </c>
      <c r="C4644" s="7" t="s">
        <v>4122</v>
      </c>
      <c r="D4644" s="7"/>
      <c r="E4644" s="8">
        <v>2.1661296999999999</v>
      </c>
      <c r="F4644" s="8">
        <v>5.11934281</v>
      </c>
      <c r="G4644" s="7" t="str">
        <f t="shared" si="25"/>
        <v>Direct</v>
      </c>
      <c r="H4644" s="7" t="s">
        <v>4123</v>
      </c>
    </row>
    <row r="4645" spans="1:8" x14ac:dyDescent="0.2">
      <c r="A4645" s="5" t="s">
        <v>27</v>
      </c>
      <c r="B4645" s="6" t="s">
        <v>19</v>
      </c>
      <c r="C4645" s="7" t="s">
        <v>5202</v>
      </c>
      <c r="D4645" s="7"/>
      <c r="E4645" s="8">
        <v>-2.0031883000000001</v>
      </c>
      <c r="F4645" s="8">
        <v>-1.5947252999999999</v>
      </c>
      <c r="G4645" s="7" t="str">
        <f t="shared" si="25"/>
        <v>Direct</v>
      </c>
      <c r="H4645" s="7" t="s">
        <v>643</v>
      </c>
    </row>
    <row r="4646" spans="1:8" x14ac:dyDescent="0.2">
      <c r="A4646" s="5" t="s">
        <v>27</v>
      </c>
      <c r="B4646" s="6" t="s">
        <v>19</v>
      </c>
      <c r="C4646" s="7" t="s">
        <v>5203</v>
      </c>
      <c r="D4646" s="7"/>
      <c r="E4646" s="8">
        <v>-2.6901367999999999</v>
      </c>
      <c r="F4646" s="8">
        <v>-2.4545808</v>
      </c>
      <c r="G4646" s="7" t="str">
        <f t="shared" si="25"/>
        <v>Direct</v>
      </c>
      <c r="H4646" s="7" t="s">
        <v>1279</v>
      </c>
    </row>
    <row r="4647" spans="1:8" x14ac:dyDescent="0.2">
      <c r="A4647" s="5" t="s">
        <v>27</v>
      </c>
      <c r="B4647" s="6" t="s">
        <v>19</v>
      </c>
      <c r="C4647" s="7" t="s">
        <v>4124</v>
      </c>
      <c r="D4647" s="7"/>
      <c r="E4647" s="8">
        <v>3.09164298</v>
      </c>
      <c r="F4647" s="8">
        <v>4.9928076099999998</v>
      </c>
      <c r="G4647" s="7" t="str">
        <f t="shared" si="25"/>
        <v>Direct</v>
      </c>
      <c r="H4647" s="7" t="s">
        <v>16</v>
      </c>
    </row>
    <row r="4648" spans="1:8" x14ac:dyDescent="0.2">
      <c r="A4648" s="5" t="s">
        <v>27</v>
      </c>
      <c r="B4648" s="6" t="s">
        <v>19</v>
      </c>
      <c r="C4648" s="7" t="s">
        <v>5204</v>
      </c>
      <c r="D4648" s="7"/>
      <c r="E4648" s="8">
        <v>-1.0041119000000001</v>
      </c>
      <c r="F4648" s="8">
        <v>-1.2221445</v>
      </c>
      <c r="G4648" s="7" t="str">
        <f t="shared" si="25"/>
        <v>Direct</v>
      </c>
      <c r="H4648" s="7" t="s">
        <v>5205</v>
      </c>
    </row>
    <row r="4649" spans="1:8" x14ac:dyDescent="0.2">
      <c r="A4649" s="5" t="s">
        <v>27</v>
      </c>
      <c r="B4649" s="6" t="s">
        <v>19</v>
      </c>
      <c r="C4649" s="7" t="s">
        <v>5206</v>
      </c>
      <c r="D4649" s="7"/>
      <c r="E4649" s="8">
        <v>-1.4815853000000001</v>
      </c>
      <c r="F4649" s="8">
        <v>-2.7429779999999999</v>
      </c>
      <c r="G4649" s="7" t="str">
        <f t="shared" si="25"/>
        <v>Direct</v>
      </c>
      <c r="H4649" s="7" t="s">
        <v>5207</v>
      </c>
    </row>
    <row r="4650" spans="1:8" x14ac:dyDescent="0.2">
      <c r="A4650" s="5" t="s">
        <v>27</v>
      </c>
      <c r="B4650" s="6" t="s">
        <v>19</v>
      </c>
      <c r="C4650" s="7" t="s">
        <v>5208</v>
      </c>
      <c r="D4650" s="7"/>
      <c r="E4650" s="8">
        <v>4.4256791299999998</v>
      </c>
      <c r="F4650" s="8">
        <v>2.3655032600000001</v>
      </c>
      <c r="G4650" s="7" t="str">
        <f t="shared" si="25"/>
        <v>Direct</v>
      </c>
      <c r="H4650" s="7" t="s">
        <v>139</v>
      </c>
    </row>
    <row r="4651" spans="1:8" x14ac:dyDescent="0.2">
      <c r="A4651" s="5" t="s">
        <v>27</v>
      </c>
      <c r="B4651" s="6" t="s">
        <v>19</v>
      </c>
      <c r="C4651" s="7" t="s">
        <v>5209</v>
      </c>
      <c r="D4651" s="7"/>
      <c r="E4651" s="8">
        <v>-1.3612769</v>
      </c>
      <c r="F4651" s="8">
        <v>-2.2159570999999998</v>
      </c>
      <c r="G4651" s="7" t="str">
        <f t="shared" si="25"/>
        <v>Direct</v>
      </c>
      <c r="H4651" s="7" t="s">
        <v>5210</v>
      </c>
    </row>
    <row r="4652" spans="1:8" x14ac:dyDescent="0.2">
      <c r="A4652" s="5" t="s">
        <v>27</v>
      </c>
      <c r="B4652" s="6" t="s">
        <v>19</v>
      </c>
      <c r="C4652" s="7" t="s">
        <v>5211</v>
      </c>
      <c r="D4652" s="7"/>
      <c r="E4652" s="8">
        <v>5.2742457099999998</v>
      </c>
      <c r="F4652" s="8">
        <v>2.46132792</v>
      </c>
      <c r="G4652" s="7" t="str">
        <f t="shared" si="25"/>
        <v>Direct</v>
      </c>
      <c r="H4652" s="7" t="s">
        <v>16</v>
      </c>
    </row>
    <row r="4653" spans="1:8" x14ac:dyDescent="0.2">
      <c r="A4653" s="5" t="s">
        <v>27</v>
      </c>
      <c r="B4653" s="6" t="s">
        <v>19</v>
      </c>
      <c r="C4653" s="7" t="s">
        <v>5212</v>
      </c>
      <c r="D4653" s="7"/>
      <c r="E4653" s="8">
        <v>4.1788427800000001</v>
      </c>
      <c r="F4653" s="8">
        <v>4.7506129000000001</v>
      </c>
      <c r="G4653" s="7" t="str">
        <f t="shared" si="25"/>
        <v>Direct</v>
      </c>
      <c r="H4653" s="7" t="s">
        <v>1283</v>
      </c>
    </row>
    <row r="4654" spans="1:8" x14ac:dyDescent="0.2">
      <c r="A4654" s="5" t="s">
        <v>27</v>
      </c>
      <c r="B4654" s="6" t="s">
        <v>19</v>
      </c>
      <c r="C4654" s="7" t="s">
        <v>5213</v>
      </c>
      <c r="D4654" s="7"/>
      <c r="E4654" s="8">
        <v>-2.7540423999999999</v>
      </c>
      <c r="F4654" s="8">
        <v>-2.0130599999999998</v>
      </c>
      <c r="G4654" s="7" t="str">
        <f t="shared" si="25"/>
        <v>Direct</v>
      </c>
      <c r="H4654" s="7" t="s">
        <v>92</v>
      </c>
    </row>
    <row r="4655" spans="1:8" x14ac:dyDescent="0.2">
      <c r="A4655" s="5" t="s">
        <v>27</v>
      </c>
      <c r="B4655" s="6" t="s">
        <v>19</v>
      </c>
      <c r="C4655" s="7" t="s">
        <v>5214</v>
      </c>
      <c r="D4655" s="7"/>
      <c r="E4655" s="8">
        <v>-2.6819950000000001</v>
      </c>
      <c r="F4655" s="8">
        <v>-1.1703109</v>
      </c>
      <c r="G4655" s="7" t="str">
        <f t="shared" si="25"/>
        <v>Direct</v>
      </c>
      <c r="H4655" s="7" t="s">
        <v>92</v>
      </c>
    </row>
    <row r="4656" spans="1:8" x14ac:dyDescent="0.2">
      <c r="A4656" s="5" t="s">
        <v>27</v>
      </c>
      <c r="B4656" s="6" t="s">
        <v>19</v>
      </c>
      <c r="C4656" s="7" t="s">
        <v>5215</v>
      </c>
      <c r="D4656" s="7"/>
      <c r="E4656" s="8">
        <v>-1.2465675000000001</v>
      </c>
      <c r="F4656" s="8">
        <v>-1.1020175999999999</v>
      </c>
      <c r="G4656" s="7" t="str">
        <f t="shared" si="25"/>
        <v>Direct</v>
      </c>
      <c r="H4656" s="7" t="s">
        <v>961</v>
      </c>
    </row>
    <row r="4657" spans="1:8" x14ac:dyDescent="0.2">
      <c r="A4657" s="5" t="s">
        <v>27</v>
      </c>
      <c r="B4657" s="6" t="s">
        <v>19</v>
      </c>
      <c r="C4657" s="7" t="s">
        <v>5216</v>
      </c>
      <c r="D4657" s="7"/>
      <c r="E4657" s="8">
        <v>-1.4736446999999999</v>
      </c>
      <c r="F4657" s="8">
        <v>-1.7438720000000001</v>
      </c>
      <c r="G4657" s="7" t="str">
        <f t="shared" si="25"/>
        <v>Direct</v>
      </c>
      <c r="H4657" s="7" t="s">
        <v>961</v>
      </c>
    </row>
    <row r="4658" spans="1:8" x14ac:dyDescent="0.2">
      <c r="A4658" s="5" t="s">
        <v>27</v>
      </c>
      <c r="B4658" s="6" t="s">
        <v>19</v>
      </c>
      <c r="C4658" s="7" t="s">
        <v>5217</v>
      </c>
      <c r="D4658" s="7"/>
      <c r="E4658" s="8">
        <v>-2.0278952000000001</v>
      </c>
      <c r="F4658" s="8">
        <v>-3.7999234999999998</v>
      </c>
      <c r="G4658" s="7" t="str">
        <f t="shared" si="25"/>
        <v>Direct</v>
      </c>
      <c r="H4658" s="7" t="s">
        <v>5218</v>
      </c>
    </row>
    <row r="4659" spans="1:8" x14ac:dyDescent="0.2">
      <c r="A4659" s="5" t="s">
        <v>27</v>
      </c>
      <c r="B4659" s="6" t="s">
        <v>19</v>
      </c>
      <c r="C4659" s="7" t="s">
        <v>4126</v>
      </c>
      <c r="D4659" s="7"/>
      <c r="E4659" s="8">
        <v>1.1609920199999999</v>
      </c>
      <c r="F4659" s="8">
        <v>1.6079279500000001</v>
      </c>
      <c r="G4659" s="7" t="str">
        <f t="shared" si="25"/>
        <v>Direct</v>
      </c>
      <c r="H4659" s="7" t="s">
        <v>4127</v>
      </c>
    </row>
    <row r="4660" spans="1:8" x14ac:dyDescent="0.2">
      <c r="A4660" s="5" t="s">
        <v>27</v>
      </c>
      <c r="B4660" s="6" t="s">
        <v>19</v>
      </c>
      <c r="C4660" s="7" t="s">
        <v>5219</v>
      </c>
      <c r="D4660" s="7"/>
      <c r="E4660" s="8">
        <v>1.24248132</v>
      </c>
      <c r="F4660" s="8">
        <v>2.6194747</v>
      </c>
      <c r="G4660" s="7" t="str">
        <f t="shared" si="25"/>
        <v>Direct</v>
      </c>
      <c r="H4660" s="7" t="s">
        <v>16</v>
      </c>
    </row>
    <row r="4661" spans="1:8" x14ac:dyDescent="0.2">
      <c r="A4661" s="5" t="s">
        <v>27</v>
      </c>
      <c r="B4661" s="6" t="s">
        <v>19</v>
      </c>
      <c r="C4661" s="7" t="s">
        <v>4128</v>
      </c>
      <c r="D4661" s="7"/>
      <c r="E4661" s="8">
        <v>5.4893763399999997</v>
      </c>
      <c r="F4661" s="8">
        <v>7.5922895300000004</v>
      </c>
      <c r="G4661" s="7" t="str">
        <f t="shared" si="25"/>
        <v>Direct</v>
      </c>
      <c r="H4661" s="7" t="s">
        <v>4129</v>
      </c>
    </row>
    <row r="4662" spans="1:8" x14ac:dyDescent="0.2">
      <c r="A4662" s="5" t="s">
        <v>27</v>
      </c>
      <c r="B4662" s="6" t="s">
        <v>19</v>
      </c>
      <c r="C4662" s="7" t="s">
        <v>5220</v>
      </c>
      <c r="D4662" s="7"/>
      <c r="E4662" s="8">
        <v>-6.7433328000000001</v>
      </c>
      <c r="F4662" s="8">
        <v>-9.6371833000000002</v>
      </c>
      <c r="G4662" s="7" t="str">
        <f t="shared" si="25"/>
        <v>Direct</v>
      </c>
      <c r="H4662" s="7" t="s">
        <v>5221</v>
      </c>
    </row>
    <row r="4663" spans="1:8" x14ac:dyDescent="0.2">
      <c r="A4663" s="5" t="s">
        <v>27</v>
      </c>
      <c r="B4663" s="6" t="s">
        <v>19</v>
      </c>
      <c r="C4663" s="7" t="s">
        <v>5222</v>
      </c>
      <c r="D4663" s="7"/>
      <c r="E4663" s="8">
        <v>-2.7238397999999999</v>
      </c>
      <c r="F4663" s="8">
        <v>-1.1378352</v>
      </c>
      <c r="G4663" s="7" t="str">
        <f t="shared" si="25"/>
        <v>Direct</v>
      </c>
      <c r="H4663" s="7" t="s">
        <v>2075</v>
      </c>
    </row>
    <row r="4664" spans="1:8" x14ac:dyDescent="0.2">
      <c r="A4664" s="5" t="s">
        <v>27</v>
      </c>
      <c r="B4664" s="6" t="s">
        <v>19</v>
      </c>
      <c r="C4664" s="7" t="s">
        <v>5223</v>
      </c>
      <c r="D4664" s="7"/>
      <c r="E4664" s="8">
        <v>1.93079903</v>
      </c>
      <c r="F4664" s="8">
        <v>1.55358606</v>
      </c>
      <c r="G4664" s="7" t="str">
        <f t="shared" si="25"/>
        <v>Direct</v>
      </c>
      <c r="H4664" s="7" t="s">
        <v>16</v>
      </c>
    </row>
    <row r="4665" spans="1:8" x14ac:dyDescent="0.2">
      <c r="A4665" s="5" t="s">
        <v>27</v>
      </c>
      <c r="B4665" s="6" t="s">
        <v>19</v>
      </c>
      <c r="C4665" s="7" t="s">
        <v>5224</v>
      </c>
      <c r="D4665" s="7"/>
      <c r="E4665" s="8">
        <v>3.5018199600000002</v>
      </c>
      <c r="F4665" s="8">
        <v>3.7489615500000002</v>
      </c>
      <c r="G4665" s="7" t="str">
        <f t="shared" si="25"/>
        <v>Direct</v>
      </c>
      <c r="H4665" s="7" t="s">
        <v>5225</v>
      </c>
    </row>
    <row r="4666" spans="1:8" x14ac:dyDescent="0.2">
      <c r="A4666" s="5" t="s">
        <v>27</v>
      </c>
      <c r="B4666" s="6" t="s">
        <v>19</v>
      </c>
      <c r="C4666" s="7" t="s">
        <v>4132</v>
      </c>
      <c r="D4666" s="7"/>
      <c r="E4666" s="8">
        <v>5.6044748999999996</v>
      </c>
      <c r="F4666" s="8">
        <v>5.1671777499999996</v>
      </c>
      <c r="G4666" s="7" t="str">
        <f t="shared" si="25"/>
        <v>Direct</v>
      </c>
      <c r="H4666" s="7" t="s">
        <v>16</v>
      </c>
    </row>
    <row r="4667" spans="1:8" x14ac:dyDescent="0.2">
      <c r="A4667" s="5" t="s">
        <v>27</v>
      </c>
      <c r="B4667" s="6" t="s">
        <v>19</v>
      </c>
      <c r="C4667" s="7" t="s">
        <v>5226</v>
      </c>
      <c r="D4667" s="7"/>
      <c r="E4667" s="8">
        <v>2.4140220299999999</v>
      </c>
      <c r="F4667" s="8">
        <v>2.06552917</v>
      </c>
      <c r="G4667" s="7" t="str">
        <f t="shared" si="25"/>
        <v>Direct</v>
      </c>
      <c r="H4667" s="7" t="s">
        <v>137</v>
      </c>
    </row>
    <row r="4668" spans="1:8" x14ac:dyDescent="0.2">
      <c r="A4668" s="5" t="s">
        <v>27</v>
      </c>
      <c r="B4668" s="6" t="s">
        <v>19</v>
      </c>
      <c r="C4668" s="7" t="s">
        <v>5227</v>
      </c>
      <c r="D4668" s="7"/>
      <c r="E4668" s="8">
        <v>-2.6562039999999998</v>
      </c>
      <c r="F4668" s="8">
        <v>-5.0996516999999999</v>
      </c>
      <c r="G4668" s="7" t="str">
        <f t="shared" si="25"/>
        <v>Direct</v>
      </c>
      <c r="H4668" s="7" t="s">
        <v>162</v>
      </c>
    </row>
    <row r="4669" spans="1:8" x14ac:dyDescent="0.2">
      <c r="A4669" s="5" t="s">
        <v>27</v>
      </c>
      <c r="B4669" s="6" t="s">
        <v>19</v>
      </c>
      <c r="C4669" s="7" t="s">
        <v>4133</v>
      </c>
      <c r="D4669" s="7"/>
      <c r="E4669" s="8">
        <v>2.8178960100000001</v>
      </c>
      <c r="F4669" s="8">
        <v>1.9981776899999999</v>
      </c>
      <c r="G4669" s="7" t="str">
        <f t="shared" si="25"/>
        <v>Direct</v>
      </c>
      <c r="H4669" s="7" t="s">
        <v>606</v>
      </c>
    </row>
    <row r="4670" spans="1:8" x14ac:dyDescent="0.2">
      <c r="A4670" s="5" t="s">
        <v>27</v>
      </c>
      <c r="B4670" s="6" t="s">
        <v>19</v>
      </c>
      <c r="C4670" s="7" t="s">
        <v>5228</v>
      </c>
      <c r="D4670" s="7"/>
      <c r="E4670" s="8">
        <v>1.2076361799999999</v>
      </c>
      <c r="F4670" s="8">
        <v>1.2455210999999999</v>
      </c>
      <c r="G4670" s="7" t="str">
        <f t="shared" si="25"/>
        <v>Direct</v>
      </c>
      <c r="H4670" s="7" t="s">
        <v>5229</v>
      </c>
    </row>
    <row r="4671" spans="1:8" x14ac:dyDescent="0.2">
      <c r="A4671" s="5" t="s">
        <v>27</v>
      </c>
      <c r="B4671" s="6" t="s">
        <v>19</v>
      </c>
      <c r="C4671" s="7" t="s">
        <v>5230</v>
      </c>
      <c r="D4671" s="7"/>
      <c r="E4671" s="8">
        <v>1.3683153100000001</v>
      </c>
      <c r="F4671" s="8">
        <v>1.8206420299999999</v>
      </c>
      <c r="G4671" s="7" t="str">
        <f t="shared" si="25"/>
        <v>Direct</v>
      </c>
      <c r="H4671" s="7" t="s">
        <v>16</v>
      </c>
    </row>
    <row r="4672" spans="1:8" x14ac:dyDescent="0.2">
      <c r="A4672" s="5" t="s">
        <v>27</v>
      </c>
      <c r="B4672" s="6" t="s">
        <v>19</v>
      </c>
      <c r="C4672" s="7" t="s">
        <v>5231</v>
      </c>
      <c r="D4672" s="7"/>
      <c r="E4672" s="8">
        <v>-1.0650324</v>
      </c>
      <c r="F4672" s="8">
        <v>-4.3495254000000001</v>
      </c>
      <c r="G4672" s="7" t="str">
        <f t="shared" si="25"/>
        <v>Direct</v>
      </c>
      <c r="H4672" s="7" t="s">
        <v>379</v>
      </c>
    </row>
    <row r="4673" spans="1:8" x14ac:dyDescent="0.2">
      <c r="A4673" s="5" t="s">
        <v>27</v>
      </c>
      <c r="B4673" s="6" t="s">
        <v>19</v>
      </c>
      <c r="C4673" s="7" t="s">
        <v>5232</v>
      </c>
      <c r="D4673" s="7"/>
      <c r="E4673" s="8">
        <v>1.49921959</v>
      </c>
      <c r="F4673" s="8">
        <v>1.4089124399999999</v>
      </c>
      <c r="G4673" s="7" t="str">
        <f t="shared" si="25"/>
        <v>Direct</v>
      </c>
      <c r="H4673" s="7" t="s">
        <v>16</v>
      </c>
    </row>
    <row r="4674" spans="1:8" x14ac:dyDescent="0.2">
      <c r="A4674" s="5" t="s">
        <v>27</v>
      </c>
      <c r="B4674" s="6" t="s">
        <v>19</v>
      </c>
      <c r="C4674" s="7" t="s">
        <v>5233</v>
      </c>
      <c r="D4674" s="7"/>
      <c r="E4674" s="8">
        <v>-1.3112645999999999</v>
      </c>
      <c r="F4674" s="8">
        <v>-1.2718109</v>
      </c>
      <c r="G4674" s="7" t="str">
        <f t="shared" si="25"/>
        <v>Direct</v>
      </c>
      <c r="H4674" s="7" t="s">
        <v>5234</v>
      </c>
    </row>
    <row r="4675" spans="1:8" x14ac:dyDescent="0.2">
      <c r="A4675" s="5" t="s">
        <v>27</v>
      </c>
      <c r="B4675" s="6" t="s">
        <v>19</v>
      </c>
      <c r="C4675" s="7" t="s">
        <v>4134</v>
      </c>
      <c r="D4675" s="7"/>
      <c r="E4675" s="8">
        <v>-18.977264000000002</v>
      </c>
      <c r="F4675" s="8">
        <v>-23.040637</v>
      </c>
      <c r="G4675" s="7" t="str">
        <f t="shared" si="25"/>
        <v>Direct</v>
      </c>
      <c r="H4675" s="7" t="s">
        <v>4135</v>
      </c>
    </row>
    <row r="4676" spans="1:8" x14ac:dyDescent="0.2">
      <c r="A4676" s="5" t="s">
        <v>27</v>
      </c>
      <c r="B4676" s="6" t="s">
        <v>19</v>
      </c>
      <c r="C4676" s="7" t="s">
        <v>4136</v>
      </c>
      <c r="D4676" s="7"/>
      <c r="E4676" s="8">
        <v>2.0881954999999999</v>
      </c>
      <c r="F4676" s="8">
        <v>2.29179179</v>
      </c>
      <c r="G4676" s="7" t="str">
        <f t="shared" si="25"/>
        <v>Direct</v>
      </c>
      <c r="H4676" s="7" t="s">
        <v>4137</v>
      </c>
    </row>
    <row r="4677" spans="1:8" x14ac:dyDescent="0.2">
      <c r="A4677" s="5" t="s">
        <v>27</v>
      </c>
      <c r="B4677" s="6" t="s">
        <v>19</v>
      </c>
      <c r="C4677" s="7" t="s">
        <v>5235</v>
      </c>
      <c r="D4677" s="7"/>
      <c r="E4677" s="8">
        <v>-2.1326101999999998</v>
      </c>
      <c r="F4677" s="8">
        <v>-1.4130883000000001</v>
      </c>
      <c r="G4677" s="7" t="str">
        <f t="shared" si="25"/>
        <v>Direct</v>
      </c>
      <c r="H4677" s="7" t="s">
        <v>5236</v>
      </c>
    </row>
    <row r="4678" spans="1:8" x14ac:dyDescent="0.2">
      <c r="A4678" s="5" t="s">
        <v>27</v>
      </c>
      <c r="B4678" s="6" t="s">
        <v>19</v>
      </c>
      <c r="C4678" s="7" t="s">
        <v>5237</v>
      </c>
      <c r="D4678" s="7"/>
      <c r="E4678" s="8">
        <v>2.1899933100000002</v>
      </c>
      <c r="F4678" s="8">
        <v>2.1262220200000002</v>
      </c>
      <c r="G4678" s="7" t="str">
        <f t="shared" si="25"/>
        <v>Direct</v>
      </c>
      <c r="H4678" s="7" t="s">
        <v>16</v>
      </c>
    </row>
    <row r="4679" spans="1:8" x14ac:dyDescent="0.2">
      <c r="A4679" s="5" t="s">
        <v>27</v>
      </c>
      <c r="B4679" s="6" t="s">
        <v>19</v>
      </c>
      <c r="C4679" s="7" t="s">
        <v>5238</v>
      </c>
      <c r="D4679" s="7"/>
      <c r="E4679" s="8">
        <v>1.6493713000000001</v>
      </c>
      <c r="F4679" s="8">
        <v>1.9411704000000001</v>
      </c>
      <c r="G4679" s="7" t="str">
        <f t="shared" si="25"/>
        <v>Direct</v>
      </c>
      <c r="H4679" s="7" t="s">
        <v>16</v>
      </c>
    </row>
    <row r="4680" spans="1:8" x14ac:dyDescent="0.2">
      <c r="A4680" s="5" t="s">
        <v>27</v>
      </c>
      <c r="B4680" s="6" t="s">
        <v>19</v>
      </c>
      <c r="C4680" s="7" t="s">
        <v>5239</v>
      </c>
      <c r="D4680" s="7"/>
      <c r="E4680" s="8">
        <v>2.17390902</v>
      </c>
      <c r="F4680" s="8">
        <v>3.3163653599999998</v>
      </c>
      <c r="G4680" s="7" t="str">
        <f t="shared" si="25"/>
        <v>Direct</v>
      </c>
      <c r="H4680" s="7" t="s">
        <v>16</v>
      </c>
    </row>
    <row r="4681" spans="1:8" x14ac:dyDescent="0.2">
      <c r="A4681" s="5" t="s">
        <v>27</v>
      </c>
      <c r="B4681" s="6" t="s">
        <v>19</v>
      </c>
      <c r="C4681" s="7" t="s">
        <v>5240</v>
      </c>
      <c r="D4681" s="7"/>
      <c r="E4681" s="8">
        <v>-1.3244176000000001</v>
      </c>
      <c r="F4681" s="8">
        <v>-3.0027398000000001</v>
      </c>
      <c r="G4681" s="7" t="str">
        <f t="shared" si="25"/>
        <v>Direct</v>
      </c>
      <c r="H4681" s="7" t="s">
        <v>5241</v>
      </c>
    </row>
    <row r="4682" spans="1:8" x14ac:dyDescent="0.2">
      <c r="A4682" s="5" t="s">
        <v>27</v>
      </c>
      <c r="B4682" s="6" t="s">
        <v>19</v>
      </c>
      <c r="C4682" s="7" t="s">
        <v>5242</v>
      </c>
      <c r="D4682" s="7"/>
      <c r="E4682" s="8">
        <v>1.06064577</v>
      </c>
      <c r="F4682" s="8">
        <v>1.1545330600000001</v>
      </c>
      <c r="G4682" s="7" t="str">
        <f t="shared" si="25"/>
        <v>Direct</v>
      </c>
      <c r="H4682" s="7" t="s">
        <v>1283</v>
      </c>
    </row>
    <row r="4683" spans="1:8" x14ac:dyDescent="0.2">
      <c r="A4683" s="5" t="s">
        <v>27</v>
      </c>
      <c r="B4683" s="6" t="s">
        <v>19</v>
      </c>
      <c r="C4683" s="7" t="s">
        <v>5243</v>
      </c>
      <c r="D4683" s="7"/>
      <c r="E4683" s="8">
        <v>-1.563912</v>
      </c>
      <c r="F4683" s="8">
        <v>-3.3284672</v>
      </c>
      <c r="G4683" s="7" t="str">
        <f t="shared" si="25"/>
        <v>Direct</v>
      </c>
      <c r="H4683" s="7" t="s">
        <v>425</v>
      </c>
    </row>
    <row r="4684" spans="1:8" x14ac:dyDescent="0.2">
      <c r="A4684" s="5" t="s">
        <v>27</v>
      </c>
      <c r="B4684" s="6" t="s">
        <v>19</v>
      </c>
      <c r="C4684" s="7" t="s">
        <v>5244</v>
      </c>
      <c r="D4684" s="7"/>
      <c r="E4684" s="8">
        <v>4.8169110899999996</v>
      </c>
      <c r="F4684" s="8">
        <v>3.1528880199999998</v>
      </c>
      <c r="G4684" s="7" t="str">
        <f t="shared" si="25"/>
        <v>Direct</v>
      </c>
      <c r="H4684" s="7" t="s">
        <v>137</v>
      </c>
    </row>
    <row r="4685" spans="1:8" x14ac:dyDescent="0.2">
      <c r="A4685" s="5" t="s">
        <v>27</v>
      </c>
      <c r="B4685" s="6" t="s">
        <v>19</v>
      </c>
      <c r="C4685" s="7" t="s">
        <v>5245</v>
      </c>
      <c r="D4685" s="7"/>
      <c r="E4685" s="8">
        <v>-1.4908262999999999</v>
      </c>
      <c r="F4685" s="8">
        <v>-1.8062955999999999</v>
      </c>
      <c r="G4685" s="7" t="str">
        <f t="shared" si="25"/>
        <v>Direct</v>
      </c>
      <c r="H4685" s="7" t="s">
        <v>5246</v>
      </c>
    </row>
    <row r="4686" spans="1:8" x14ac:dyDescent="0.2">
      <c r="A4686" s="5" t="s">
        <v>27</v>
      </c>
      <c r="B4686" s="6" t="s">
        <v>19</v>
      </c>
      <c r="C4686" s="7" t="s">
        <v>5247</v>
      </c>
      <c r="D4686" s="7"/>
      <c r="E4686" s="8">
        <v>-2.0238564999999999</v>
      </c>
      <c r="F4686" s="8">
        <v>-3.0922426000000001</v>
      </c>
      <c r="G4686" s="7" t="str">
        <f t="shared" si="25"/>
        <v>Direct</v>
      </c>
      <c r="H4686" s="7" t="s">
        <v>241</v>
      </c>
    </row>
    <row r="4687" spans="1:8" x14ac:dyDescent="0.2">
      <c r="A4687" s="5" t="s">
        <v>27</v>
      </c>
      <c r="B4687" s="6" t="s">
        <v>19</v>
      </c>
      <c r="C4687" s="7" t="s">
        <v>5248</v>
      </c>
      <c r="D4687" s="7"/>
      <c r="E4687" s="8">
        <v>3.1659109000000001</v>
      </c>
      <c r="F4687" s="8">
        <v>1.89350665</v>
      </c>
      <c r="G4687" s="7" t="str">
        <f t="shared" si="25"/>
        <v>Direct</v>
      </c>
      <c r="H4687" s="7" t="s">
        <v>4816</v>
      </c>
    </row>
    <row r="4688" spans="1:8" x14ac:dyDescent="0.2">
      <c r="A4688" s="5" t="s">
        <v>27</v>
      </c>
      <c r="B4688" s="6" t="s">
        <v>19</v>
      </c>
      <c r="C4688" s="7" t="s">
        <v>5249</v>
      </c>
      <c r="D4688" s="7"/>
      <c r="E4688" s="8">
        <v>1.2384293099999999</v>
      </c>
      <c r="F4688" s="8">
        <v>1.20057345</v>
      </c>
      <c r="G4688" s="7" t="str">
        <f t="shared" si="25"/>
        <v>Direct</v>
      </c>
      <c r="H4688" s="7" t="s">
        <v>16</v>
      </c>
    </row>
    <row r="4689" spans="1:8" x14ac:dyDescent="0.2">
      <c r="A4689" s="5" t="s">
        <v>27</v>
      </c>
      <c r="B4689" s="6" t="s">
        <v>19</v>
      </c>
      <c r="C4689" s="7" t="s">
        <v>5250</v>
      </c>
      <c r="D4689" s="7"/>
      <c r="E4689" s="8">
        <v>-5.5942540999999997</v>
      </c>
      <c r="F4689" s="8">
        <v>-5.3004008999999996</v>
      </c>
      <c r="G4689" s="7" t="str">
        <f t="shared" si="25"/>
        <v>Direct</v>
      </c>
      <c r="H4689" s="7" t="s">
        <v>16</v>
      </c>
    </row>
    <row r="4690" spans="1:8" x14ac:dyDescent="0.2">
      <c r="A4690" s="5" t="s">
        <v>27</v>
      </c>
      <c r="B4690" s="6" t="s">
        <v>19</v>
      </c>
      <c r="C4690" s="7" t="s">
        <v>4139</v>
      </c>
      <c r="D4690" s="7"/>
      <c r="E4690" s="8">
        <v>-2.8776177000000001</v>
      </c>
      <c r="F4690" s="8">
        <v>-5.3829510999999997</v>
      </c>
      <c r="G4690" s="7" t="str">
        <f t="shared" si="25"/>
        <v>Direct</v>
      </c>
      <c r="H4690" s="7" t="s">
        <v>16</v>
      </c>
    </row>
    <row r="4691" spans="1:8" x14ac:dyDescent="0.2">
      <c r="A4691" s="5" t="s">
        <v>27</v>
      </c>
      <c r="B4691" s="6" t="s">
        <v>19</v>
      </c>
      <c r="C4691" s="7" t="s">
        <v>5251</v>
      </c>
      <c r="D4691" s="7"/>
      <c r="E4691" s="8">
        <v>4.2237668199999998</v>
      </c>
      <c r="F4691" s="8">
        <v>3.76553972</v>
      </c>
      <c r="G4691" s="7" t="str">
        <f t="shared" si="25"/>
        <v>Direct</v>
      </c>
      <c r="H4691" s="7" t="s">
        <v>16</v>
      </c>
    </row>
    <row r="4692" spans="1:8" x14ac:dyDescent="0.2">
      <c r="A4692" s="5" t="s">
        <v>27</v>
      </c>
      <c r="B4692" s="6" t="s">
        <v>19</v>
      </c>
      <c r="C4692" s="7" t="s">
        <v>4140</v>
      </c>
      <c r="D4692" s="7"/>
      <c r="E4692" s="8">
        <v>1.7573682399999999</v>
      </c>
      <c r="F4692" s="8">
        <v>1.80673156</v>
      </c>
      <c r="G4692" s="7" t="str">
        <f t="shared" si="25"/>
        <v>Direct</v>
      </c>
      <c r="H4692" s="7" t="s">
        <v>4141</v>
      </c>
    </row>
    <row r="4693" spans="1:8" x14ac:dyDescent="0.2">
      <c r="A4693" s="5" t="s">
        <v>27</v>
      </c>
      <c r="B4693" s="6" t="s">
        <v>19</v>
      </c>
      <c r="C4693" s="7" t="s">
        <v>5252</v>
      </c>
      <c r="D4693" s="7"/>
      <c r="E4693" s="8">
        <v>-1.4975721</v>
      </c>
      <c r="F4693" s="8">
        <v>-2.2240479999999998</v>
      </c>
      <c r="G4693" s="7" t="str">
        <f t="shared" si="25"/>
        <v>Direct</v>
      </c>
      <c r="H4693" s="7" t="s">
        <v>5253</v>
      </c>
    </row>
    <row r="4694" spans="1:8" x14ac:dyDescent="0.2">
      <c r="A4694" s="5" t="s">
        <v>27</v>
      </c>
      <c r="B4694" s="6" t="s">
        <v>19</v>
      </c>
      <c r="C4694" s="7" t="s">
        <v>4142</v>
      </c>
      <c r="D4694" s="7"/>
      <c r="E4694" s="8">
        <v>13.439522800000001</v>
      </c>
      <c r="F4694" s="8">
        <v>22.007008200000001</v>
      </c>
      <c r="G4694" s="7" t="str">
        <f t="shared" si="25"/>
        <v>Direct</v>
      </c>
      <c r="H4694" s="7" t="s">
        <v>712</v>
      </c>
    </row>
    <row r="4695" spans="1:8" x14ac:dyDescent="0.2">
      <c r="A4695" s="5" t="s">
        <v>27</v>
      </c>
      <c r="B4695" s="6" t="s">
        <v>19</v>
      </c>
      <c r="C4695" s="7" t="s">
        <v>4143</v>
      </c>
      <c r="D4695" s="7"/>
      <c r="E4695" s="8">
        <v>-2.4099151999999999</v>
      </c>
      <c r="F4695" s="8">
        <v>-2.2816966999999999</v>
      </c>
      <c r="G4695" s="7" t="str">
        <f t="shared" si="25"/>
        <v>Direct</v>
      </c>
      <c r="H4695" s="7" t="s">
        <v>2164</v>
      </c>
    </row>
    <row r="4696" spans="1:8" x14ac:dyDescent="0.2">
      <c r="A4696" s="5" t="s">
        <v>27</v>
      </c>
      <c r="B4696" s="6" t="s">
        <v>19</v>
      </c>
      <c r="C4696" s="7" t="s">
        <v>5254</v>
      </c>
      <c r="D4696" s="7"/>
      <c r="E4696" s="8">
        <v>2.00291576</v>
      </c>
      <c r="F4696" s="8">
        <v>1.4539663899999999</v>
      </c>
      <c r="G4696" s="7" t="str">
        <f t="shared" si="25"/>
        <v>Direct</v>
      </c>
      <c r="H4696" s="7" t="s">
        <v>5255</v>
      </c>
    </row>
    <row r="4697" spans="1:8" x14ac:dyDescent="0.2">
      <c r="A4697" s="5" t="s">
        <v>27</v>
      </c>
      <c r="B4697" s="6" t="s">
        <v>19</v>
      </c>
      <c r="C4697" s="7" t="s">
        <v>5256</v>
      </c>
      <c r="D4697" s="7"/>
      <c r="E4697" s="8">
        <v>-1.2872241</v>
      </c>
      <c r="F4697" s="8">
        <v>-1.8966653</v>
      </c>
      <c r="G4697" s="7" t="str">
        <f t="shared" si="25"/>
        <v>Direct</v>
      </c>
      <c r="H4697" s="7" t="s">
        <v>5257</v>
      </c>
    </row>
    <row r="4698" spans="1:8" x14ac:dyDescent="0.2">
      <c r="A4698" s="5" t="s">
        <v>27</v>
      </c>
      <c r="B4698" s="6" t="s">
        <v>19</v>
      </c>
      <c r="C4698" s="7" t="s">
        <v>5258</v>
      </c>
      <c r="D4698" s="7"/>
      <c r="E4698" s="8">
        <v>-1.0046413000000001</v>
      </c>
      <c r="F4698" s="8">
        <v>-1.1082088000000001</v>
      </c>
      <c r="G4698" s="7" t="str">
        <f t="shared" si="25"/>
        <v>Direct</v>
      </c>
      <c r="H4698" s="7" t="s">
        <v>16</v>
      </c>
    </row>
    <row r="4699" spans="1:8" x14ac:dyDescent="0.2">
      <c r="A4699" s="5" t="s">
        <v>27</v>
      </c>
      <c r="B4699" s="6" t="s">
        <v>19</v>
      </c>
      <c r="C4699" s="7" t="s">
        <v>5259</v>
      </c>
      <c r="D4699" s="7"/>
      <c r="E4699" s="8">
        <v>3.7287123200000001</v>
      </c>
      <c r="F4699" s="8">
        <v>4.98359459</v>
      </c>
      <c r="G4699" s="7" t="str">
        <f t="shared" si="25"/>
        <v>Direct</v>
      </c>
      <c r="H4699" s="7" t="s">
        <v>16</v>
      </c>
    </row>
    <row r="4700" spans="1:8" x14ac:dyDescent="0.2">
      <c r="A4700" s="5" t="s">
        <v>27</v>
      </c>
      <c r="B4700" s="6" t="s">
        <v>19</v>
      </c>
      <c r="C4700" s="7" t="s">
        <v>5260</v>
      </c>
      <c r="D4700" s="7"/>
      <c r="E4700" s="8">
        <v>-1.6231982</v>
      </c>
      <c r="F4700" s="8">
        <v>-1.0733716</v>
      </c>
      <c r="G4700" s="7" t="str">
        <f t="shared" si="25"/>
        <v>Direct</v>
      </c>
      <c r="H4700" s="7" t="s">
        <v>5261</v>
      </c>
    </row>
    <row r="4701" spans="1:8" x14ac:dyDescent="0.2">
      <c r="A4701" s="5" t="s">
        <v>27</v>
      </c>
      <c r="B4701" s="6" t="s">
        <v>19</v>
      </c>
      <c r="C4701" s="7" t="s">
        <v>5262</v>
      </c>
      <c r="D4701" s="7"/>
      <c r="E4701" s="8">
        <v>9.4550382499999994</v>
      </c>
      <c r="F4701" s="8">
        <v>9.7820974799999991</v>
      </c>
      <c r="G4701" s="7" t="str">
        <f t="shared" si="25"/>
        <v>Direct</v>
      </c>
      <c r="H4701" s="7" t="s">
        <v>5263</v>
      </c>
    </row>
    <row r="4702" spans="1:8" x14ac:dyDescent="0.2">
      <c r="A4702" s="5" t="s">
        <v>27</v>
      </c>
      <c r="B4702" s="6" t="s">
        <v>19</v>
      </c>
      <c r="C4702" s="7" t="s">
        <v>5264</v>
      </c>
      <c r="D4702" s="7"/>
      <c r="E4702" s="8">
        <v>-1.4249598000000001</v>
      </c>
      <c r="F4702" s="8">
        <v>-1.1432095</v>
      </c>
      <c r="G4702" s="7" t="str">
        <f t="shared" si="25"/>
        <v>Direct</v>
      </c>
      <c r="H4702" s="7" t="s">
        <v>16</v>
      </c>
    </row>
    <row r="4703" spans="1:8" x14ac:dyDescent="0.2">
      <c r="A4703" s="5" t="s">
        <v>27</v>
      </c>
      <c r="B4703" s="6" t="s">
        <v>19</v>
      </c>
      <c r="C4703" s="7" t="s">
        <v>5265</v>
      </c>
      <c r="D4703" s="7"/>
      <c r="E4703" s="8">
        <v>-1.2823228</v>
      </c>
      <c r="F4703" s="8">
        <v>-1.8928461000000001</v>
      </c>
      <c r="G4703" s="7" t="str">
        <f t="shared" si="25"/>
        <v>Direct</v>
      </c>
      <c r="H4703" s="7" t="s">
        <v>16</v>
      </c>
    </row>
    <row r="4704" spans="1:8" x14ac:dyDescent="0.2">
      <c r="A4704" s="5" t="s">
        <v>27</v>
      </c>
      <c r="B4704" s="6" t="s">
        <v>19</v>
      </c>
      <c r="C4704" s="7" t="s">
        <v>5266</v>
      </c>
      <c r="D4704" s="7"/>
      <c r="E4704" s="8">
        <v>-6.1293803000000002</v>
      </c>
      <c r="F4704" s="8">
        <v>-6.3658824000000003</v>
      </c>
      <c r="G4704" s="7" t="str">
        <f t="shared" si="25"/>
        <v>Direct</v>
      </c>
      <c r="H4704" s="7" t="s">
        <v>16</v>
      </c>
    </row>
    <row r="4705" spans="1:8" x14ac:dyDescent="0.2">
      <c r="A4705" s="5" t="s">
        <v>27</v>
      </c>
      <c r="B4705" s="6" t="s">
        <v>19</v>
      </c>
      <c r="C4705" s="7" t="s">
        <v>5267</v>
      </c>
      <c r="D4705" s="7"/>
      <c r="E4705" s="8">
        <v>-11.371378999999999</v>
      </c>
      <c r="F4705" s="8">
        <v>-8.6356271000000007</v>
      </c>
      <c r="G4705" s="7" t="str">
        <f t="shared" si="25"/>
        <v>Direct</v>
      </c>
      <c r="H4705" s="7" t="s">
        <v>1611</v>
      </c>
    </row>
    <row r="4706" spans="1:8" x14ac:dyDescent="0.2">
      <c r="A4706" s="5" t="s">
        <v>27</v>
      </c>
      <c r="B4706" s="6" t="s">
        <v>19</v>
      </c>
      <c r="C4706" s="7" t="s">
        <v>5268</v>
      </c>
      <c r="D4706" s="7"/>
      <c r="E4706" s="8">
        <v>-3.0617849000000001</v>
      </c>
      <c r="F4706" s="8">
        <v>-3.6343244000000001</v>
      </c>
      <c r="G4706" s="7" t="str">
        <f t="shared" si="25"/>
        <v>Direct</v>
      </c>
      <c r="H4706" s="7" t="s">
        <v>1611</v>
      </c>
    </row>
    <row r="4707" spans="1:8" x14ac:dyDescent="0.2">
      <c r="A4707" s="5" t="s">
        <v>27</v>
      </c>
      <c r="B4707" s="6" t="s">
        <v>19</v>
      </c>
      <c r="C4707" s="7" t="s">
        <v>5269</v>
      </c>
      <c r="D4707" s="7"/>
      <c r="E4707" s="8">
        <v>2.18780515</v>
      </c>
      <c r="F4707" s="8">
        <v>1.9150866200000001</v>
      </c>
      <c r="G4707" s="7" t="str">
        <f t="shared" si="25"/>
        <v>Direct</v>
      </c>
      <c r="H4707" s="7" t="s">
        <v>5270</v>
      </c>
    </row>
    <row r="4708" spans="1:8" x14ac:dyDescent="0.2">
      <c r="A4708" s="5" t="s">
        <v>27</v>
      </c>
      <c r="B4708" s="6" t="s">
        <v>19</v>
      </c>
      <c r="C4708" s="7" t="s">
        <v>5271</v>
      </c>
      <c r="D4708" s="7"/>
      <c r="E4708" s="8">
        <v>-7.3004946999999998</v>
      </c>
      <c r="F4708" s="8">
        <v>-2.8100065999999999</v>
      </c>
      <c r="G4708" s="7" t="str">
        <f t="shared" si="25"/>
        <v>Direct</v>
      </c>
      <c r="H4708" s="7" t="s">
        <v>5272</v>
      </c>
    </row>
    <row r="4709" spans="1:8" x14ac:dyDescent="0.2">
      <c r="A4709" s="5" t="s">
        <v>27</v>
      </c>
      <c r="B4709" s="6" t="s">
        <v>19</v>
      </c>
      <c r="C4709" s="7" t="s">
        <v>4144</v>
      </c>
      <c r="D4709" s="7"/>
      <c r="E4709" s="8">
        <v>3.4498791199999999</v>
      </c>
      <c r="F4709" s="8">
        <v>2.7286284900000002</v>
      </c>
      <c r="G4709" s="7" t="str">
        <f t="shared" si="25"/>
        <v>Direct</v>
      </c>
      <c r="H4709" s="7" t="s">
        <v>16</v>
      </c>
    </row>
    <row r="4710" spans="1:8" x14ac:dyDescent="0.2">
      <c r="A4710" s="5" t="s">
        <v>27</v>
      </c>
      <c r="B4710" s="6" t="s">
        <v>19</v>
      </c>
      <c r="C4710" s="7" t="s">
        <v>5273</v>
      </c>
      <c r="D4710" s="7"/>
      <c r="E4710" s="8">
        <v>1.8186036699999999</v>
      </c>
      <c r="F4710" s="8">
        <v>2.8815692799999999</v>
      </c>
      <c r="G4710" s="7" t="str">
        <f t="shared" si="25"/>
        <v>Direct</v>
      </c>
      <c r="H4710" s="7" t="s">
        <v>4986</v>
      </c>
    </row>
    <row r="4711" spans="1:8" x14ac:dyDescent="0.2">
      <c r="A4711" s="5" t="s">
        <v>27</v>
      </c>
      <c r="B4711" s="6" t="s">
        <v>19</v>
      </c>
      <c r="C4711" s="7" t="s">
        <v>5274</v>
      </c>
      <c r="D4711" s="7"/>
      <c r="E4711" s="8">
        <v>2.2684436699999999</v>
      </c>
      <c r="F4711" s="8">
        <v>1.04077435</v>
      </c>
      <c r="G4711" s="7" t="str">
        <f t="shared" si="25"/>
        <v>Direct</v>
      </c>
      <c r="H4711" s="7" t="s">
        <v>16</v>
      </c>
    </row>
    <row r="4712" spans="1:8" x14ac:dyDescent="0.2">
      <c r="A4712" s="5" t="s">
        <v>27</v>
      </c>
      <c r="B4712" s="6" t="s">
        <v>19</v>
      </c>
      <c r="C4712" s="7" t="s">
        <v>5275</v>
      </c>
      <c r="D4712" s="7"/>
      <c r="E4712" s="8">
        <v>-5.4065960000000004</v>
      </c>
      <c r="F4712" s="8">
        <v>-7.2305524999999999</v>
      </c>
      <c r="G4712" s="7" t="str">
        <f t="shared" si="25"/>
        <v>Direct</v>
      </c>
      <c r="H4712" s="7" t="s">
        <v>3431</v>
      </c>
    </row>
    <row r="4713" spans="1:8" x14ac:dyDescent="0.2">
      <c r="A4713" s="5" t="s">
        <v>27</v>
      </c>
      <c r="B4713" s="6" t="s">
        <v>19</v>
      </c>
      <c r="C4713" s="7" t="s">
        <v>5276</v>
      </c>
      <c r="D4713" s="7"/>
      <c r="E4713" s="8">
        <v>1.75269527</v>
      </c>
      <c r="F4713" s="8">
        <v>1.10795022</v>
      </c>
      <c r="G4713" s="7" t="str">
        <f t="shared" si="25"/>
        <v>Direct</v>
      </c>
      <c r="H4713" s="7" t="s">
        <v>4323</v>
      </c>
    </row>
    <row r="4714" spans="1:8" x14ac:dyDescent="0.2">
      <c r="A4714" s="5" t="s">
        <v>27</v>
      </c>
      <c r="B4714" s="6" t="s">
        <v>19</v>
      </c>
      <c r="C4714" s="7" t="s">
        <v>5277</v>
      </c>
      <c r="D4714" s="7"/>
      <c r="E4714" s="8">
        <v>1.9126437700000001</v>
      </c>
      <c r="F4714" s="8">
        <v>1.5867707200000001</v>
      </c>
      <c r="G4714" s="7" t="str">
        <f t="shared" si="25"/>
        <v>Direct</v>
      </c>
      <c r="H4714" s="7" t="s">
        <v>3422</v>
      </c>
    </row>
    <row r="4715" spans="1:8" x14ac:dyDescent="0.2">
      <c r="A4715" s="5" t="s">
        <v>27</v>
      </c>
      <c r="B4715" s="6" t="s">
        <v>19</v>
      </c>
      <c r="C4715" s="7" t="s">
        <v>5278</v>
      </c>
      <c r="D4715" s="7"/>
      <c r="E4715" s="8">
        <v>1.5602770100000001</v>
      </c>
      <c r="F4715" s="8">
        <v>1.2098175799999999</v>
      </c>
      <c r="G4715" s="7" t="str">
        <f t="shared" si="25"/>
        <v>Direct</v>
      </c>
      <c r="H4715" s="7" t="s">
        <v>16</v>
      </c>
    </row>
    <row r="4716" spans="1:8" x14ac:dyDescent="0.2">
      <c r="A4716" s="5" t="s">
        <v>27</v>
      </c>
      <c r="B4716" s="6" t="s">
        <v>19</v>
      </c>
      <c r="C4716" s="7" t="s">
        <v>5279</v>
      </c>
      <c r="D4716" s="7"/>
      <c r="E4716" s="8">
        <v>1.79465846</v>
      </c>
      <c r="F4716" s="8">
        <v>2.1262220200000002</v>
      </c>
      <c r="G4716" s="7" t="str">
        <f t="shared" si="25"/>
        <v>Direct</v>
      </c>
      <c r="H4716" s="7" t="s">
        <v>16</v>
      </c>
    </row>
    <row r="4717" spans="1:8" x14ac:dyDescent="0.2">
      <c r="A4717" s="5" t="s">
        <v>27</v>
      </c>
      <c r="B4717" s="6" t="s">
        <v>19</v>
      </c>
      <c r="C4717" s="7" t="s">
        <v>5280</v>
      </c>
      <c r="D4717" s="7"/>
      <c r="E4717" s="8">
        <v>-5.4809429999999999</v>
      </c>
      <c r="F4717" s="8">
        <v>-2.3642726000000001</v>
      </c>
      <c r="G4717" s="7" t="str">
        <f t="shared" si="25"/>
        <v>Direct</v>
      </c>
      <c r="H4717" s="7" t="s">
        <v>16</v>
      </c>
    </row>
    <row r="4718" spans="1:8" x14ac:dyDescent="0.2">
      <c r="A4718" s="5" t="s">
        <v>27</v>
      </c>
      <c r="B4718" s="6" t="s">
        <v>19</v>
      </c>
      <c r="C4718" s="7" t="s">
        <v>5281</v>
      </c>
      <c r="D4718" s="7"/>
      <c r="E4718" s="8">
        <v>-2.1661296999999999</v>
      </c>
      <c r="F4718" s="8">
        <v>-1.6081941</v>
      </c>
      <c r="G4718" s="7" t="str">
        <f t="shared" si="25"/>
        <v>Direct</v>
      </c>
      <c r="H4718" s="7" t="s">
        <v>5282</v>
      </c>
    </row>
    <row r="4719" spans="1:8" x14ac:dyDescent="0.2">
      <c r="A4719" s="5" t="s">
        <v>27</v>
      </c>
      <c r="B4719" s="6" t="s">
        <v>19</v>
      </c>
      <c r="C4719" s="7" t="s">
        <v>5283</v>
      </c>
      <c r="D4719" s="7"/>
      <c r="E4719" s="8">
        <v>-2.5778512999999998</v>
      </c>
      <c r="F4719" s="8">
        <v>-1.3258174</v>
      </c>
      <c r="G4719" s="7" t="str">
        <f t="shared" si="25"/>
        <v>Direct</v>
      </c>
      <c r="H4719" s="7" t="s">
        <v>1203</v>
      </c>
    </row>
    <row r="4720" spans="1:8" x14ac:dyDescent="0.2">
      <c r="A4720" s="5" t="s">
        <v>27</v>
      </c>
      <c r="B4720" s="6" t="s">
        <v>19</v>
      </c>
      <c r="C4720" s="7" t="s">
        <v>5284</v>
      </c>
      <c r="D4720" s="7"/>
      <c r="E4720" s="8">
        <v>-3.2486033999999999</v>
      </c>
      <c r="F4720" s="8">
        <v>-3.4482434</v>
      </c>
      <c r="G4720" s="7" t="str">
        <f t="shared" si="25"/>
        <v>Direct</v>
      </c>
      <c r="H4720" s="7" t="s">
        <v>5285</v>
      </c>
    </row>
    <row r="4721" spans="1:8" x14ac:dyDescent="0.2">
      <c r="A4721" s="5" t="s">
        <v>27</v>
      </c>
      <c r="B4721" s="6" t="s">
        <v>19</v>
      </c>
      <c r="C4721" s="7" t="s">
        <v>5286</v>
      </c>
      <c r="D4721" s="7"/>
      <c r="E4721" s="8">
        <v>-1.9860685</v>
      </c>
      <c r="F4721" s="8">
        <v>-1.7422801999999999</v>
      </c>
      <c r="G4721" s="7" t="str">
        <f t="shared" si="25"/>
        <v>Direct</v>
      </c>
      <c r="H4721" s="7" t="s">
        <v>16</v>
      </c>
    </row>
    <row r="4722" spans="1:8" x14ac:dyDescent="0.2">
      <c r="A4722" s="5" t="s">
        <v>27</v>
      </c>
      <c r="B4722" s="6" t="s">
        <v>19</v>
      </c>
      <c r="C4722" s="7" t="s">
        <v>5287</v>
      </c>
      <c r="D4722" s="7"/>
      <c r="E4722" s="8">
        <v>-1.0368162000000001</v>
      </c>
      <c r="F4722" s="8">
        <v>-1.8851015</v>
      </c>
      <c r="G4722" s="7" t="str">
        <f t="shared" ref="G4722:G4976" si="26">IF(OR(AND(E4722&gt;0,F4722&gt;0),AND(E4722&lt;0,F4722&lt;0)),"Direct","Inverse")</f>
        <v>Direct</v>
      </c>
      <c r="H4722" s="7" t="s">
        <v>3013</v>
      </c>
    </row>
    <row r="4723" spans="1:8" x14ac:dyDescent="0.2">
      <c r="A4723" s="5" t="s">
        <v>27</v>
      </c>
      <c r="B4723" s="6" t="s">
        <v>19</v>
      </c>
      <c r="C4723" s="7" t="s">
        <v>5288</v>
      </c>
      <c r="D4723" s="7"/>
      <c r="E4723" s="8">
        <v>-1.2940699</v>
      </c>
      <c r="F4723" s="8">
        <v>-2.1932806</v>
      </c>
      <c r="G4723" s="7" t="str">
        <f t="shared" si="26"/>
        <v>Direct</v>
      </c>
      <c r="H4723" s="7" t="s">
        <v>5289</v>
      </c>
    </row>
    <row r="4724" spans="1:8" x14ac:dyDescent="0.2">
      <c r="A4724" s="5" t="s">
        <v>27</v>
      </c>
      <c r="B4724" s="6" t="s">
        <v>19</v>
      </c>
      <c r="C4724" s="7" t="s">
        <v>5290</v>
      </c>
      <c r="D4724" s="7"/>
      <c r="E4724" s="8">
        <v>-1.3097352</v>
      </c>
      <c r="F4724" s="8">
        <v>-3.6242795000000001</v>
      </c>
      <c r="G4724" s="7" t="str">
        <f t="shared" si="26"/>
        <v>Direct</v>
      </c>
      <c r="H4724" s="7" t="s">
        <v>3410</v>
      </c>
    </row>
    <row r="4725" spans="1:8" x14ac:dyDescent="0.2">
      <c r="A4725" s="5" t="s">
        <v>27</v>
      </c>
      <c r="B4725" s="6" t="s">
        <v>19</v>
      </c>
      <c r="C4725" s="7" t="s">
        <v>5291</v>
      </c>
      <c r="D4725" s="7"/>
      <c r="E4725" s="8">
        <v>-2.9365228999999999</v>
      </c>
      <c r="F4725" s="8">
        <v>-4.1167144000000002</v>
      </c>
      <c r="G4725" s="7" t="str">
        <f t="shared" si="26"/>
        <v>Direct</v>
      </c>
      <c r="H4725" s="7" t="s">
        <v>5292</v>
      </c>
    </row>
    <row r="4726" spans="1:8" x14ac:dyDescent="0.2">
      <c r="A4726" s="5" t="s">
        <v>27</v>
      </c>
      <c r="B4726" s="6" t="s">
        <v>19</v>
      </c>
      <c r="C4726" s="7" t="s">
        <v>5293</v>
      </c>
      <c r="D4726" s="7"/>
      <c r="E4726" s="8">
        <v>2.3929398100000001</v>
      </c>
      <c r="F4726" s="8">
        <v>1.05804258</v>
      </c>
      <c r="G4726" s="7" t="str">
        <f t="shared" si="26"/>
        <v>Direct</v>
      </c>
      <c r="H4726" s="7" t="s">
        <v>5294</v>
      </c>
    </row>
    <row r="4727" spans="1:8" x14ac:dyDescent="0.2">
      <c r="A4727" s="5" t="s">
        <v>27</v>
      </c>
      <c r="B4727" s="6" t="s">
        <v>19</v>
      </c>
      <c r="C4727" s="7" t="s">
        <v>5295</v>
      </c>
      <c r="D4727" s="7"/>
      <c r="E4727" s="8">
        <v>-5.6309158000000004</v>
      </c>
      <c r="F4727" s="8">
        <v>-3.5507616</v>
      </c>
      <c r="G4727" s="7" t="str">
        <f t="shared" si="26"/>
        <v>Direct</v>
      </c>
      <c r="H4727" s="7" t="s">
        <v>16</v>
      </c>
    </row>
    <row r="4728" spans="1:8" x14ac:dyDescent="0.2">
      <c r="A4728" s="5" t="s">
        <v>27</v>
      </c>
      <c r="B4728" s="6" t="s">
        <v>19</v>
      </c>
      <c r="C4728" s="7" t="s">
        <v>5296</v>
      </c>
      <c r="D4728" s="7"/>
      <c r="E4728" s="8">
        <v>-3.6610314000000002</v>
      </c>
      <c r="F4728" s="8">
        <v>-5.1330926000000003</v>
      </c>
      <c r="G4728" s="7" t="str">
        <f t="shared" si="26"/>
        <v>Direct</v>
      </c>
      <c r="H4728" s="7" t="s">
        <v>5297</v>
      </c>
    </row>
    <row r="4729" spans="1:8" x14ac:dyDescent="0.2">
      <c r="A4729" s="5" t="s">
        <v>27</v>
      </c>
      <c r="B4729" s="6" t="s">
        <v>19</v>
      </c>
      <c r="C4729" s="7" t="s">
        <v>5298</v>
      </c>
      <c r="D4729" s="7"/>
      <c r="E4729" s="8">
        <v>6.2195095699999996</v>
      </c>
      <c r="F4729" s="8">
        <v>3.4329146100000001</v>
      </c>
      <c r="G4729" s="7" t="str">
        <f t="shared" si="26"/>
        <v>Direct</v>
      </c>
      <c r="H4729" s="7" t="s">
        <v>5299</v>
      </c>
    </row>
    <row r="4730" spans="1:8" x14ac:dyDescent="0.2">
      <c r="A4730" s="5" t="s">
        <v>27</v>
      </c>
      <c r="B4730" s="6" t="s">
        <v>19</v>
      </c>
      <c r="C4730" s="7" t="s">
        <v>5300</v>
      </c>
      <c r="D4730" s="7"/>
      <c r="E4730" s="8">
        <v>-3.6613549999999999</v>
      </c>
      <c r="F4730" s="8">
        <v>-4.6553297000000002</v>
      </c>
      <c r="G4730" s="7" t="str">
        <f t="shared" si="26"/>
        <v>Direct</v>
      </c>
      <c r="H4730" s="7" t="s">
        <v>2290</v>
      </c>
    </row>
    <row r="4731" spans="1:8" x14ac:dyDescent="0.2">
      <c r="A4731" s="5" t="s">
        <v>27</v>
      </c>
      <c r="B4731" s="6" t="s">
        <v>19</v>
      </c>
      <c r="C4731" s="7" t="s">
        <v>5301</v>
      </c>
      <c r="D4731" s="7"/>
      <c r="E4731" s="8">
        <v>7.46901701</v>
      </c>
      <c r="F4731" s="8">
        <v>9.2039410400000001</v>
      </c>
      <c r="G4731" s="7" t="str">
        <f t="shared" si="26"/>
        <v>Direct</v>
      </c>
      <c r="H4731" s="7" t="s">
        <v>287</v>
      </c>
    </row>
    <row r="4732" spans="1:8" x14ac:dyDescent="0.2">
      <c r="A4732" s="5" t="s">
        <v>27</v>
      </c>
      <c r="B4732" s="6" t="s">
        <v>19</v>
      </c>
      <c r="C4732" s="7" t="s">
        <v>4148</v>
      </c>
      <c r="D4732" s="7"/>
      <c r="E4732" s="8">
        <v>5.2101058800000004</v>
      </c>
      <c r="F4732" s="8">
        <v>6.9046397099999997</v>
      </c>
      <c r="G4732" s="7" t="str">
        <f t="shared" si="26"/>
        <v>Direct</v>
      </c>
      <c r="H4732" s="7" t="s">
        <v>16</v>
      </c>
    </row>
    <row r="4733" spans="1:8" x14ac:dyDescent="0.2">
      <c r="A4733" s="5" t="s">
        <v>27</v>
      </c>
      <c r="B4733" s="6" t="s">
        <v>19</v>
      </c>
      <c r="C4733" s="7" t="s">
        <v>5302</v>
      </c>
      <c r="D4733" s="7"/>
      <c r="E4733" s="8">
        <v>1.61502933</v>
      </c>
      <c r="F4733" s="8">
        <v>6.5649333299999997</v>
      </c>
      <c r="G4733" s="7" t="str">
        <f t="shared" si="26"/>
        <v>Direct</v>
      </c>
      <c r="H4733" s="7" t="s">
        <v>16</v>
      </c>
    </row>
    <row r="4734" spans="1:8" x14ac:dyDescent="0.2">
      <c r="A4734" s="5" t="s">
        <v>27</v>
      </c>
      <c r="B4734" s="6" t="s">
        <v>19</v>
      </c>
      <c r="C4734" s="7" t="s">
        <v>4149</v>
      </c>
      <c r="D4734" s="7"/>
      <c r="E4734" s="8">
        <v>4.2668566400000003</v>
      </c>
      <c r="F4734" s="8">
        <v>6.2735431400000001</v>
      </c>
      <c r="G4734" s="7" t="str">
        <f t="shared" si="26"/>
        <v>Direct</v>
      </c>
      <c r="H4734" s="7" t="s">
        <v>16</v>
      </c>
    </row>
    <row r="4735" spans="1:8" x14ac:dyDescent="0.2">
      <c r="A4735" s="5" t="s">
        <v>27</v>
      </c>
      <c r="B4735" s="6" t="s">
        <v>19</v>
      </c>
      <c r="C4735" s="7" t="s">
        <v>5303</v>
      </c>
      <c r="D4735" s="7"/>
      <c r="E4735" s="8">
        <v>2.5204259699999998</v>
      </c>
      <c r="F4735" s="8">
        <v>3.49009641</v>
      </c>
      <c r="G4735" s="7" t="str">
        <f t="shared" si="26"/>
        <v>Direct</v>
      </c>
      <c r="H4735" s="7" t="s">
        <v>16</v>
      </c>
    </row>
    <row r="4736" spans="1:8" x14ac:dyDescent="0.2">
      <c r="A4736" s="5" t="s">
        <v>27</v>
      </c>
      <c r="B4736" s="6" t="s">
        <v>19</v>
      </c>
      <c r="C4736" s="7" t="s">
        <v>5304</v>
      </c>
      <c r="D4736" s="7"/>
      <c r="E4736" s="8">
        <v>-8.8936945999999999</v>
      </c>
      <c r="F4736" s="8">
        <v>-14.691401000000001</v>
      </c>
      <c r="G4736" s="7" t="str">
        <f t="shared" si="26"/>
        <v>Direct</v>
      </c>
      <c r="H4736" s="7" t="s">
        <v>5305</v>
      </c>
    </row>
    <row r="4737" spans="1:8" x14ac:dyDescent="0.2">
      <c r="A4737" s="5" t="s">
        <v>27</v>
      </c>
      <c r="B4737" s="6" t="s">
        <v>19</v>
      </c>
      <c r="C4737" s="7" t="s">
        <v>5306</v>
      </c>
      <c r="D4737" s="7"/>
      <c r="E4737" s="8">
        <v>1.26695428</v>
      </c>
      <c r="F4737" s="8">
        <v>2.1665515599999998</v>
      </c>
      <c r="G4737" s="7" t="str">
        <f t="shared" si="26"/>
        <v>Direct</v>
      </c>
      <c r="H4737" s="7" t="s">
        <v>4487</v>
      </c>
    </row>
    <row r="4738" spans="1:8" x14ac:dyDescent="0.2">
      <c r="A4738" s="5" t="s">
        <v>27</v>
      </c>
      <c r="B4738" s="6" t="s">
        <v>19</v>
      </c>
      <c r="C4738" s="7" t="s">
        <v>4150</v>
      </c>
      <c r="D4738" s="7"/>
      <c r="E4738" s="8">
        <v>1.9186501899999999</v>
      </c>
      <c r="F4738" s="8">
        <v>3.71699058</v>
      </c>
      <c r="G4738" s="7" t="str">
        <f t="shared" si="26"/>
        <v>Direct</v>
      </c>
      <c r="H4738" s="7" t="s">
        <v>16</v>
      </c>
    </row>
    <row r="4739" spans="1:8" x14ac:dyDescent="0.2">
      <c r="A4739" s="5" t="s">
        <v>27</v>
      </c>
      <c r="B4739" s="6" t="s">
        <v>19</v>
      </c>
      <c r="C4739" s="7" t="s">
        <v>4151</v>
      </c>
      <c r="D4739" s="7"/>
      <c r="E4739" s="8">
        <v>1.4888713200000001</v>
      </c>
      <c r="F4739" s="8">
        <v>1.7543920799999999</v>
      </c>
      <c r="G4739" s="7" t="str">
        <f t="shared" si="26"/>
        <v>Direct</v>
      </c>
      <c r="H4739" s="7" t="s">
        <v>16</v>
      </c>
    </row>
    <row r="4740" spans="1:8" x14ac:dyDescent="0.2">
      <c r="A4740" s="5" t="s">
        <v>27</v>
      </c>
      <c r="B4740" s="6" t="s">
        <v>19</v>
      </c>
      <c r="C4740" s="7" t="s">
        <v>4152</v>
      </c>
      <c r="D4740" s="7"/>
      <c r="E4740" s="8">
        <v>2.2997277399999998</v>
      </c>
      <c r="F4740" s="8">
        <v>2.2617304499999999</v>
      </c>
      <c r="G4740" s="7" t="str">
        <f t="shared" si="26"/>
        <v>Direct</v>
      </c>
      <c r="H4740" s="7" t="s">
        <v>16</v>
      </c>
    </row>
    <row r="4741" spans="1:8" x14ac:dyDescent="0.2">
      <c r="A4741" s="5" t="s">
        <v>27</v>
      </c>
      <c r="B4741" s="6" t="s">
        <v>19</v>
      </c>
      <c r="C4741" s="7" t="s">
        <v>4153</v>
      </c>
      <c r="D4741" s="7"/>
      <c r="E4741" s="8">
        <v>11.228177199999999</v>
      </c>
      <c r="F4741" s="8">
        <v>11.9160837</v>
      </c>
      <c r="G4741" s="7" t="str">
        <f t="shared" si="26"/>
        <v>Direct</v>
      </c>
      <c r="H4741" s="7" t="s">
        <v>16</v>
      </c>
    </row>
    <row r="4742" spans="1:8" x14ac:dyDescent="0.2">
      <c r="A4742" s="5" t="s">
        <v>27</v>
      </c>
      <c r="B4742" s="6" t="s">
        <v>19</v>
      </c>
      <c r="C4742" s="7" t="s">
        <v>4154</v>
      </c>
      <c r="D4742" s="7"/>
      <c r="E4742" s="8">
        <v>12.0092263</v>
      </c>
      <c r="F4742" s="8">
        <v>14.7553904</v>
      </c>
      <c r="G4742" s="7" t="str">
        <f t="shared" si="26"/>
        <v>Direct</v>
      </c>
      <c r="H4742" s="7" t="s">
        <v>16</v>
      </c>
    </row>
    <row r="4743" spans="1:8" x14ac:dyDescent="0.2">
      <c r="A4743" s="5" t="s">
        <v>27</v>
      </c>
      <c r="B4743" s="6" t="s">
        <v>19</v>
      </c>
      <c r="C4743" s="7" t="s">
        <v>4155</v>
      </c>
      <c r="D4743" s="7"/>
      <c r="E4743" s="8">
        <v>2.8322729999999998</v>
      </c>
      <c r="F4743" s="8">
        <v>3.3182302300000002</v>
      </c>
      <c r="G4743" s="7" t="str">
        <f t="shared" si="26"/>
        <v>Direct</v>
      </c>
      <c r="H4743" s="7" t="s">
        <v>16</v>
      </c>
    </row>
    <row r="4744" spans="1:8" x14ac:dyDescent="0.2">
      <c r="A4744" s="5" t="s">
        <v>27</v>
      </c>
      <c r="B4744" s="6" t="s">
        <v>19</v>
      </c>
      <c r="C4744" s="7" t="s">
        <v>5307</v>
      </c>
      <c r="D4744" s="7"/>
      <c r="E4744" s="8">
        <v>-1.1542439</v>
      </c>
      <c r="F4744" s="8">
        <v>-1.9620522</v>
      </c>
      <c r="G4744" s="7" t="str">
        <f t="shared" si="26"/>
        <v>Direct</v>
      </c>
      <c r="H4744" s="7" t="s">
        <v>5308</v>
      </c>
    </row>
    <row r="4745" spans="1:8" x14ac:dyDescent="0.2">
      <c r="A4745" s="5" t="s">
        <v>27</v>
      </c>
      <c r="B4745" s="6" t="s">
        <v>19</v>
      </c>
      <c r="C4745" s="7" t="s">
        <v>5309</v>
      </c>
      <c r="D4745" s="7"/>
      <c r="E4745" s="8">
        <v>3.4686076899999998</v>
      </c>
      <c r="F4745" s="8">
        <v>7.16339901</v>
      </c>
      <c r="G4745" s="7" t="str">
        <f t="shared" si="26"/>
        <v>Direct</v>
      </c>
      <c r="H4745" s="7" t="s">
        <v>16</v>
      </c>
    </row>
    <row r="4746" spans="1:8" x14ac:dyDescent="0.2">
      <c r="A4746" s="5" t="s">
        <v>27</v>
      </c>
      <c r="B4746" s="6" t="s">
        <v>19</v>
      </c>
      <c r="C4746" s="7" t="s">
        <v>4157</v>
      </c>
      <c r="D4746" s="7"/>
      <c r="E4746" s="8">
        <v>3.0216344500000001</v>
      </c>
      <c r="F4746" s="8">
        <v>2.3642726000000001</v>
      </c>
      <c r="G4746" s="7" t="str">
        <f t="shared" si="26"/>
        <v>Direct</v>
      </c>
      <c r="H4746" s="7" t="s">
        <v>16</v>
      </c>
    </row>
    <row r="4747" spans="1:8" x14ac:dyDescent="0.2">
      <c r="A4747" s="5" t="s">
        <v>27</v>
      </c>
      <c r="B4747" s="6" t="s">
        <v>19</v>
      </c>
      <c r="C4747" s="7" t="s">
        <v>5310</v>
      </c>
      <c r="D4747" s="7"/>
      <c r="E4747" s="8">
        <v>-1.9987055</v>
      </c>
      <c r="F4747" s="8">
        <v>-1.4018010000000001</v>
      </c>
      <c r="G4747" s="7" t="str">
        <f t="shared" si="26"/>
        <v>Direct</v>
      </c>
      <c r="H4747" s="7" t="s">
        <v>5311</v>
      </c>
    </row>
    <row r="4748" spans="1:8" x14ac:dyDescent="0.2">
      <c r="A4748" s="5" t="s">
        <v>27</v>
      </c>
      <c r="B4748" s="6" t="s">
        <v>19</v>
      </c>
      <c r="C4748" s="7" t="s">
        <v>5312</v>
      </c>
      <c r="D4748" s="7"/>
      <c r="E4748" s="8">
        <v>2.1738736099999998</v>
      </c>
      <c r="F4748" s="8">
        <v>1.8502858</v>
      </c>
      <c r="G4748" s="7" t="str">
        <f t="shared" si="26"/>
        <v>Direct</v>
      </c>
      <c r="H4748" s="7" t="s">
        <v>1735</v>
      </c>
    </row>
    <row r="4749" spans="1:8" x14ac:dyDescent="0.2">
      <c r="A4749" s="5" t="s">
        <v>27</v>
      </c>
      <c r="B4749" s="6" t="s">
        <v>19</v>
      </c>
      <c r="C4749" s="7" t="s">
        <v>5313</v>
      </c>
      <c r="D4749" s="7"/>
      <c r="E4749" s="8">
        <v>-3.4581154000000001</v>
      </c>
      <c r="F4749" s="8">
        <v>-10.961378</v>
      </c>
      <c r="G4749" s="7" t="str">
        <f t="shared" si="26"/>
        <v>Direct</v>
      </c>
      <c r="H4749" s="7" t="s">
        <v>5314</v>
      </c>
    </row>
    <row r="4750" spans="1:8" x14ac:dyDescent="0.2">
      <c r="A4750" s="5" t="s">
        <v>27</v>
      </c>
      <c r="B4750" s="6" t="s">
        <v>19</v>
      </c>
      <c r="C4750" s="7" t="s">
        <v>5315</v>
      </c>
      <c r="D4750" s="7"/>
      <c r="E4750" s="8">
        <v>-4.8454459999999999</v>
      </c>
      <c r="F4750" s="8">
        <v>-4.5198543000000004</v>
      </c>
      <c r="G4750" s="7" t="str">
        <f t="shared" si="26"/>
        <v>Direct</v>
      </c>
      <c r="H4750" s="7" t="s">
        <v>3561</v>
      </c>
    </row>
    <row r="4751" spans="1:8" x14ac:dyDescent="0.2">
      <c r="A4751" s="5" t="s">
        <v>27</v>
      </c>
      <c r="B4751" s="6" t="s">
        <v>19</v>
      </c>
      <c r="C4751" s="7" t="s">
        <v>5316</v>
      </c>
      <c r="D4751" s="7"/>
      <c r="E4751" s="8">
        <v>-1.8119845000000001</v>
      </c>
      <c r="F4751" s="8">
        <v>-4.6976895000000001</v>
      </c>
      <c r="G4751" s="7" t="str">
        <f t="shared" si="26"/>
        <v>Direct</v>
      </c>
      <c r="H4751" s="7" t="s">
        <v>5317</v>
      </c>
    </row>
    <row r="4752" spans="1:8" x14ac:dyDescent="0.2">
      <c r="A4752" s="5" t="s">
        <v>27</v>
      </c>
      <c r="B4752" s="6" t="s">
        <v>19</v>
      </c>
      <c r="C4752" s="7" t="s">
        <v>5318</v>
      </c>
      <c r="D4752" s="7"/>
      <c r="E4752" s="8">
        <v>1.0270848800000001</v>
      </c>
      <c r="F4752" s="8">
        <v>1.20771969</v>
      </c>
      <c r="G4752" s="7" t="str">
        <f t="shared" si="26"/>
        <v>Direct</v>
      </c>
      <c r="H4752" s="7" t="s">
        <v>4496</v>
      </c>
    </row>
    <row r="4753" spans="1:8" x14ac:dyDescent="0.2">
      <c r="A4753" s="5" t="s">
        <v>27</v>
      </c>
      <c r="B4753" s="6" t="s">
        <v>19</v>
      </c>
      <c r="C4753" s="7" t="s">
        <v>5319</v>
      </c>
      <c r="D4753" s="7"/>
      <c r="E4753" s="8">
        <v>-2.9075074999999999</v>
      </c>
      <c r="F4753" s="8">
        <v>-4.4659528999999996</v>
      </c>
      <c r="G4753" s="7" t="str">
        <f t="shared" si="26"/>
        <v>Direct</v>
      </c>
      <c r="H4753" s="7" t="s">
        <v>5320</v>
      </c>
    </row>
    <row r="4754" spans="1:8" x14ac:dyDescent="0.2">
      <c r="A4754" s="5" t="s">
        <v>27</v>
      </c>
      <c r="B4754" s="6" t="s">
        <v>19</v>
      </c>
      <c r="C4754" s="7" t="s">
        <v>5321</v>
      </c>
      <c r="D4754" s="7"/>
      <c r="E4754" s="8">
        <v>2.8878401600000001</v>
      </c>
      <c r="F4754" s="8">
        <v>4.6312614999999999</v>
      </c>
      <c r="G4754" s="7" t="str">
        <f t="shared" si="26"/>
        <v>Direct</v>
      </c>
      <c r="H4754" s="7" t="s">
        <v>16</v>
      </c>
    </row>
    <row r="4755" spans="1:8" x14ac:dyDescent="0.2">
      <c r="A4755" s="5" t="s">
        <v>27</v>
      </c>
      <c r="B4755" s="6" t="s">
        <v>19</v>
      </c>
      <c r="C4755" s="7" t="s">
        <v>5322</v>
      </c>
      <c r="D4755" s="7"/>
      <c r="E4755" s="8">
        <v>3.11333905</v>
      </c>
      <c r="F4755" s="8">
        <v>1.9564915700000001</v>
      </c>
      <c r="G4755" s="7" t="str">
        <f t="shared" si="26"/>
        <v>Direct</v>
      </c>
      <c r="H4755" s="7" t="s">
        <v>16</v>
      </c>
    </row>
    <row r="4756" spans="1:8" x14ac:dyDescent="0.2">
      <c r="A4756" s="5" t="s">
        <v>27</v>
      </c>
      <c r="B4756" s="6" t="s">
        <v>19</v>
      </c>
      <c r="C4756" s="7" t="s">
        <v>4158</v>
      </c>
      <c r="D4756" s="7"/>
      <c r="E4756" s="8">
        <v>1.2042697499999999</v>
      </c>
      <c r="F4756" s="8">
        <v>1.8390778400000001</v>
      </c>
      <c r="G4756" s="7" t="str">
        <f t="shared" si="26"/>
        <v>Direct</v>
      </c>
      <c r="H4756" s="7" t="s">
        <v>4011</v>
      </c>
    </row>
    <row r="4757" spans="1:8" x14ac:dyDescent="0.2">
      <c r="A4757" s="5" t="s">
        <v>27</v>
      </c>
      <c r="B4757" s="6" t="s">
        <v>19</v>
      </c>
      <c r="C4757" s="7" t="s">
        <v>5323</v>
      </c>
      <c r="D4757" s="7"/>
      <c r="E4757" s="8">
        <v>2.2049899000000002</v>
      </c>
      <c r="F4757" s="8">
        <v>2.7430358899999998</v>
      </c>
      <c r="G4757" s="7" t="str">
        <f t="shared" si="26"/>
        <v>Direct</v>
      </c>
      <c r="H4757" s="7" t="s">
        <v>16</v>
      </c>
    </row>
    <row r="4758" spans="1:8" x14ac:dyDescent="0.2">
      <c r="A4758" s="5" t="s">
        <v>27</v>
      </c>
      <c r="B4758" s="6" t="s">
        <v>19</v>
      </c>
      <c r="C4758" s="7" t="s">
        <v>5324</v>
      </c>
      <c r="D4758" s="7"/>
      <c r="E4758" s="8">
        <v>-2.3890208999999998</v>
      </c>
      <c r="F4758" s="8">
        <v>-1.8195764999999999</v>
      </c>
      <c r="G4758" s="7" t="str">
        <f t="shared" si="26"/>
        <v>Direct</v>
      </c>
      <c r="H4758" s="7" t="s">
        <v>5325</v>
      </c>
    </row>
    <row r="4759" spans="1:8" x14ac:dyDescent="0.2">
      <c r="A4759" s="5" t="s">
        <v>27</v>
      </c>
      <c r="B4759" s="6" t="s">
        <v>19</v>
      </c>
      <c r="C4759" s="7" t="s">
        <v>5326</v>
      </c>
      <c r="D4759" s="7"/>
      <c r="E4759" s="8">
        <v>1.32681593</v>
      </c>
      <c r="F4759" s="8">
        <v>1.1020175800000001</v>
      </c>
      <c r="G4759" s="7" t="str">
        <f t="shared" si="26"/>
        <v>Direct</v>
      </c>
      <c r="H4759" s="7" t="s">
        <v>16</v>
      </c>
    </row>
    <row r="4760" spans="1:8" x14ac:dyDescent="0.2">
      <c r="A4760" s="5" t="s">
        <v>27</v>
      </c>
      <c r="B4760" s="6" t="s">
        <v>19</v>
      </c>
      <c r="C4760" s="7" t="s">
        <v>5327</v>
      </c>
      <c r="D4760" s="7"/>
      <c r="E4760" s="8">
        <v>1.2475930900000001</v>
      </c>
      <c r="F4760" s="8">
        <v>2.0671259399999999</v>
      </c>
      <c r="G4760" s="7" t="str">
        <f t="shared" si="26"/>
        <v>Direct</v>
      </c>
      <c r="H4760" s="7" t="s">
        <v>351</v>
      </c>
    </row>
    <row r="4761" spans="1:8" x14ac:dyDescent="0.2">
      <c r="A4761" s="5" t="s">
        <v>27</v>
      </c>
      <c r="B4761" s="6" t="s">
        <v>19</v>
      </c>
      <c r="C4761" s="7" t="s">
        <v>5328</v>
      </c>
      <c r="D4761" s="7"/>
      <c r="E4761" s="8">
        <v>1.1006249699999999</v>
      </c>
      <c r="F4761" s="8">
        <v>1.3685020800000001</v>
      </c>
      <c r="G4761" s="7" t="str">
        <f t="shared" si="26"/>
        <v>Direct</v>
      </c>
      <c r="H4761" s="7" t="s">
        <v>351</v>
      </c>
    </row>
    <row r="4762" spans="1:8" x14ac:dyDescent="0.2">
      <c r="A4762" s="5" t="s">
        <v>27</v>
      </c>
      <c r="B4762" s="6" t="s">
        <v>19</v>
      </c>
      <c r="C4762" s="7" t="s">
        <v>5329</v>
      </c>
      <c r="D4762" s="7"/>
      <c r="E4762" s="8">
        <v>1.2090028500000001</v>
      </c>
      <c r="F4762" s="8">
        <v>1.16889311</v>
      </c>
      <c r="G4762" s="7" t="str">
        <f t="shared" si="26"/>
        <v>Direct</v>
      </c>
      <c r="H4762" s="7" t="s">
        <v>351</v>
      </c>
    </row>
    <row r="4763" spans="1:8" x14ac:dyDescent="0.2">
      <c r="A4763" s="5" t="s">
        <v>27</v>
      </c>
      <c r="B4763" s="6" t="s">
        <v>19</v>
      </c>
      <c r="C4763" s="7" t="s">
        <v>5330</v>
      </c>
      <c r="D4763" s="7"/>
      <c r="E4763" s="8">
        <v>1.1287868999999999</v>
      </c>
      <c r="F4763" s="8">
        <v>1.7798382699999999</v>
      </c>
      <c r="G4763" s="7" t="str">
        <f t="shared" si="26"/>
        <v>Direct</v>
      </c>
      <c r="H4763" s="7" t="s">
        <v>351</v>
      </c>
    </row>
    <row r="4764" spans="1:8" x14ac:dyDescent="0.2">
      <c r="A4764" s="5" t="s">
        <v>27</v>
      </c>
      <c r="B4764" s="6" t="s">
        <v>19</v>
      </c>
      <c r="C4764" s="7" t="s">
        <v>5331</v>
      </c>
      <c r="D4764" s="7"/>
      <c r="E4764" s="8">
        <v>-2.4244435000000002</v>
      </c>
      <c r="F4764" s="8">
        <v>-3.1810727000000001</v>
      </c>
      <c r="G4764" s="7" t="str">
        <f t="shared" si="26"/>
        <v>Direct</v>
      </c>
      <c r="H4764" s="7" t="s">
        <v>16</v>
      </c>
    </row>
    <row r="4765" spans="1:8" x14ac:dyDescent="0.2">
      <c r="A4765" s="5" t="s">
        <v>27</v>
      </c>
      <c r="B4765" s="6" t="s">
        <v>19</v>
      </c>
      <c r="C4765" s="7" t="s">
        <v>5332</v>
      </c>
      <c r="D4765" s="7"/>
      <c r="E4765" s="8">
        <v>2.7272063000000002</v>
      </c>
      <c r="F4765" s="8">
        <v>1.2093915200000001</v>
      </c>
      <c r="G4765" s="7" t="str">
        <f t="shared" si="26"/>
        <v>Direct</v>
      </c>
      <c r="H4765" s="7" t="s">
        <v>5333</v>
      </c>
    </row>
    <row r="4766" spans="1:8" x14ac:dyDescent="0.2">
      <c r="A4766" s="5" t="s">
        <v>27</v>
      </c>
      <c r="B4766" s="6" t="s">
        <v>19</v>
      </c>
      <c r="C4766" s="7" t="s">
        <v>5334</v>
      </c>
      <c r="D4766" s="7"/>
      <c r="E4766" s="8">
        <v>3.93958685</v>
      </c>
      <c r="F4766" s="8">
        <v>3.3303308999999999</v>
      </c>
      <c r="G4766" s="7" t="str">
        <f t="shared" si="26"/>
        <v>Direct</v>
      </c>
      <c r="H4766" s="7" t="s">
        <v>16</v>
      </c>
    </row>
    <row r="4767" spans="1:8" x14ac:dyDescent="0.2">
      <c r="A4767" s="5" t="s">
        <v>27</v>
      </c>
      <c r="B4767" s="6" t="s">
        <v>19</v>
      </c>
      <c r="C4767" s="7" t="s">
        <v>5335</v>
      </c>
      <c r="D4767" s="7"/>
      <c r="E4767" s="8">
        <v>-2.4759397999999999</v>
      </c>
      <c r="F4767" s="8">
        <v>-1.8023716999999999</v>
      </c>
      <c r="G4767" s="7" t="str">
        <f t="shared" si="26"/>
        <v>Direct</v>
      </c>
      <c r="H4767" s="7" t="s">
        <v>3690</v>
      </c>
    </row>
    <row r="4768" spans="1:8" x14ac:dyDescent="0.2">
      <c r="A4768" s="5" t="s">
        <v>27</v>
      </c>
      <c r="B4768" s="6" t="s">
        <v>19</v>
      </c>
      <c r="C4768" s="7" t="s">
        <v>4159</v>
      </c>
      <c r="D4768" s="7"/>
      <c r="E4768" s="8">
        <v>2.8185402399999999</v>
      </c>
      <c r="F4768" s="8">
        <v>3.1852265499999999</v>
      </c>
      <c r="G4768" s="7" t="str">
        <f t="shared" si="26"/>
        <v>Direct</v>
      </c>
      <c r="H4768" s="7" t="s">
        <v>3715</v>
      </c>
    </row>
    <row r="4769" spans="1:8" x14ac:dyDescent="0.2">
      <c r="A4769" s="5" t="s">
        <v>27</v>
      </c>
      <c r="B4769" s="6" t="s">
        <v>19</v>
      </c>
      <c r="C4769" s="7" t="s">
        <v>5336</v>
      </c>
      <c r="D4769" s="7"/>
      <c r="E4769" s="8">
        <v>-4.2914164000000001</v>
      </c>
      <c r="F4769" s="8">
        <v>-3.7783514</v>
      </c>
      <c r="G4769" s="7" t="str">
        <f t="shared" si="26"/>
        <v>Direct</v>
      </c>
      <c r="H4769" s="7" t="s">
        <v>3889</v>
      </c>
    </row>
    <row r="4770" spans="1:8" x14ac:dyDescent="0.2">
      <c r="A4770" s="5" t="s">
        <v>27</v>
      </c>
      <c r="B4770" s="6" t="s">
        <v>19</v>
      </c>
      <c r="C4770" s="7" t="s">
        <v>5337</v>
      </c>
      <c r="D4770" s="7"/>
      <c r="E4770" s="8">
        <v>3.3143464699999998</v>
      </c>
      <c r="F4770" s="8">
        <v>2.0652331099999999</v>
      </c>
      <c r="G4770" s="7" t="str">
        <f t="shared" si="26"/>
        <v>Direct</v>
      </c>
      <c r="H4770" s="7" t="s">
        <v>16</v>
      </c>
    </row>
    <row r="4771" spans="1:8" x14ac:dyDescent="0.2">
      <c r="A4771" s="5" t="s">
        <v>27</v>
      </c>
      <c r="B4771" s="6" t="s">
        <v>19</v>
      </c>
      <c r="C4771" s="7" t="s">
        <v>5338</v>
      </c>
      <c r="D4771" s="7"/>
      <c r="E4771" s="8">
        <v>1.4453441600000001</v>
      </c>
      <c r="F4771" s="8">
        <v>1.65851441</v>
      </c>
      <c r="G4771" s="7" t="str">
        <f t="shared" si="26"/>
        <v>Direct</v>
      </c>
      <c r="H4771" s="7" t="s">
        <v>5339</v>
      </c>
    </row>
    <row r="4772" spans="1:8" x14ac:dyDescent="0.2">
      <c r="A4772" s="5" t="s">
        <v>27</v>
      </c>
      <c r="B4772" s="6" t="s">
        <v>19</v>
      </c>
      <c r="C4772" s="7" t="s">
        <v>5340</v>
      </c>
      <c r="D4772" s="7"/>
      <c r="E4772" s="8">
        <v>-1.0005059999999999</v>
      </c>
      <c r="F4772" s="8">
        <v>-1.9424379000000001</v>
      </c>
      <c r="G4772" s="7" t="str">
        <f t="shared" si="26"/>
        <v>Direct</v>
      </c>
      <c r="H4772" s="7" t="s">
        <v>5341</v>
      </c>
    </row>
    <row r="4773" spans="1:8" x14ac:dyDescent="0.2">
      <c r="A4773" s="5" t="s">
        <v>27</v>
      </c>
      <c r="B4773" s="6" t="s">
        <v>19</v>
      </c>
      <c r="C4773" s="7" t="s">
        <v>4160</v>
      </c>
      <c r="D4773" s="7"/>
      <c r="E4773" s="8">
        <v>-3.0783700999999999</v>
      </c>
      <c r="F4773" s="8">
        <v>-2.8765548999999999</v>
      </c>
      <c r="G4773" s="7" t="str">
        <f t="shared" si="26"/>
        <v>Direct</v>
      </c>
      <c r="H4773" s="7" t="s">
        <v>4161</v>
      </c>
    </row>
    <row r="4774" spans="1:8" x14ac:dyDescent="0.2">
      <c r="A4774" s="5" t="s">
        <v>27</v>
      </c>
      <c r="B4774" s="6" t="s">
        <v>19</v>
      </c>
      <c r="C4774" s="7" t="s">
        <v>5342</v>
      </c>
      <c r="D4774" s="7"/>
      <c r="E4774" s="8">
        <v>1.0017492400000001</v>
      </c>
      <c r="F4774" s="8">
        <v>1.82471782</v>
      </c>
      <c r="G4774" s="7" t="str">
        <f t="shared" si="26"/>
        <v>Direct</v>
      </c>
      <c r="H4774" s="7" t="s">
        <v>16</v>
      </c>
    </row>
    <row r="4775" spans="1:8" x14ac:dyDescent="0.2">
      <c r="A4775" s="5" t="s">
        <v>27</v>
      </c>
      <c r="B4775" s="6" t="s">
        <v>19</v>
      </c>
      <c r="C4775" s="7" t="s">
        <v>5343</v>
      </c>
      <c r="D4775" s="7"/>
      <c r="E4775" s="8">
        <v>1.30833515</v>
      </c>
      <c r="F4775" s="8">
        <v>1.1020175800000001</v>
      </c>
      <c r="G4775" s="7" t="str">
        <f t="shared" si="26"/>
        <v>Direct</v>
      </c>
      <c r="H4775" s="7" t="s">
        <v>16</v>
      </c>
    </row>
    <row r="4776" spans="1:8" x14ac:dyDescent="0.2">
      <c r="A4776" s="5" t="s">
        <v>27</v>
      </c>
      <c r="B4776" s="6" t="s">
        <v>19</v>
      </c>
      <c r="C4776" s="7" t="s">
        <v>5344</v>
      </c>
      <c r="D4776" s="7"/>
      <c r="E4776" s="8">
        <v>-1.2283607999999999</v>
      </c>
      <c r="F4776" s="8">
        <v>-1.2783348000000001</v>
      </c>
      <c r="G4776" s="7" t="str">
        <f t="shared" si="26"/>
        <v>Direct</v>
      </c>
      <c r="H4776" s="7" t="s">
        <v>5345</v>
      </c>
    </row>
    <row r="4777" spans="1:8" x14ac:dyDescent="0.2">
      <c r="A4777" s="5" t="s">
        <v>27</v>
      </c>
      <c r="B4777" s="6" t="s">
        <v>19</v>
      </c>
      <c r="C4777" s="7" t="s">
        <v>5346</v>
      </c>
      <c r="D4777" s="7"/>
      <c r="E4777" s="8">
        <v>1.0551128000000001</v>
      </c>
      <c r="F4777" s="8">
        <v>1.04601451</v>
      </c>
      <c r="G4777" s="7" t="str">
        <f t="shared" si="26"/>
        <v>Direct</v>
      </c>
      <c r="H4777" s="7" t="s">
        <v>5347</v>
      </c>
    </row>
    <row r="4778" spans="1:8" x14ac:dyDescent="0.2">
      <c r="A4778" s="5" t="s">
        <v>27</v>
      </c>
      <c r="B4778" s="6" t="s">
        <v>19</v>
      </c>
      <c r="C4778" s="7" t="s">
        <v>5348</v>
      </c>
      <c r="D4778" s="7"/>
      <c r="E4778" s="8">
        <v>1.6582484799999999</v>
      </c>
      <c r="F4778" s="8">
        <v>2.0765412699999999</v>
      </c>
      <c r="G4778" s="7" t="str">
        <f t="shared" si="26"/>
        <v>Direct</v>
      </c>
      <c r="H4778" s="7" t="s">
        <v>16</v>
      </c>
    </row>
    <row r="4779" spans="1:8" x14ac:dyDescent="0.2">
      <c r="A4779" s="5" t="s">
        <v>27</v>
      </c>
      <c r="B4779" s="6" t="s">
        <v>19</v>
      </c>
      <c r="C4779" s="7" t="s">
        <v>5349</v>
      </c>
      <c r="D4779" s="7"/>
      <c r="E4779" s="8">
        <v>6.3355356900000004</v>
      </c>
      <c r="F4779" s="8">
        <v>7.4739145599999999</v>
      </c>
      <c r="G4779" s="7" t="str">
        <f t="shared" si="26"/>
        <v>Direct</v>
      </c>
      <c r="H4779" s="7" t="s">
        <v>139</v>
      </c>
    </row>
    <row r="4780" spans="1:8" x14ac:dyDescent="0.2">
      <c r="A4780" s="5" t="s">
        <v>27</v>
      </c>
      <c r="B4780" s="6" t="s">
        <v>19</v>
      </c>
      <c r="C4780" s="7" t="s">
        <v>5350</v>
      </c>
      <c r="D4780" s="7"/>
      <c r="E4780" s="8">
        <v>-2.3369678999999999</v>
      </c>
      <c r="F4780" s="8">
        <v>-1.6337659</v>
      </c>
      <c r="G4780" s="7" t="str">
        <f t="shared" si="26"/>
        <v>Direct</v>
      </c>
      <c r="H4780" s="7" t="s">
        <v>5351</v>
      </c>
    </row>
    <row r="4781" spans="1:8" x14ac:dyDescent="0.2">
      <c r="A4781" s="5" t="s">
        <v>27</v>
      </c>
      <c r="B4781" s="6" t="s">
        <v>19</v>
      </c>
      <c r="C4781" s="7" t="s">
        <v>5352</v>
      </c>
      <c r="D4781" s="7"/>
      <c r="E4781" s="8">
        <v>-2.558227</v>
      </c>
      <c r="F4781" s="8">
        <v>-6.5609368000000003</v>
      </c>
      <c r="G4781" s="7" t="str">
        <f t="shared" si="26"/>
        <v>Direct</v>
      </c>
      <c r="H4781" s="7" t="s">
        <v>5353</v>
      </c>
    </row>
    <row r="4782" spans="1:8" x14ac:dyDescent="0.2">
      <c r="A4782" s="5" t="s">
        <v>27</v>
      </c>
      <c r="B4782" s="6" t="s">
        <v>19</v>
      </c>
      <c r="C4782" s="7" t="s">
        <v>5354</v>
      </c>
      <c r="D4782" s="7"/>
      <c r="E4782" s="8">
        <v>2.0008393099999999</v>
      </c>
      <c r="F4782" s="8">
        <v>2.6998126899999999</v>
      </c>
      <c r="G4782" s="7" t="str">
        <f t="shared" si="26"/>
        <v>Direct</v>
      </c>
      <c r="H4782" s="7" t="s">
        <v>5355</v>
      </c>
    </row>
    <row r="4783" spans="1:8" x14ac:dyDescent="0.2">
      <c r="A4783" s="5" t="s">
        <v>27</v>
      </c>
      <c r="B4783" s="6" t="s">
        <v>19</v>
      </c>
      <c r="C4783" s="7" t="s">
        <v>5356</v>
      </c>
      <c r="D4783" s="7"/>
      <c r="E4783" s="8">
        <v>1.9517161000000001</v>
      </c>
      <c r="F4783" s="8">
        <v>1.17628793</v>
      </c>
      <c r="G4783" s="7" t="str">
        <f t="shared" si="26"/>
        <v>Direct</v>
      </c>
      <c r="H4783" s="7" t="s">
        <v>5357</v>
      </c>
    </row>
    <row r="4784" spans="1:8" x14ac:dyDescent="0.2">
      <c r="A4784" s="5" t="s">
        <v>27</v>
      </c>
      <c r="B4784" s="6" t="s">
        <v>19</v>
      </c>
      <c r="C4784" s="7" t="s">
        <v>5358</v>
      </c>
      <c r="D4784" s="7"/>
      <c r="E4784" s="8">
        <v>3.66680378</v>
      </c>
      <c r="F4784" s="8">
        <v>3.94319826</v>
      </c>
      <c r="G4784" s="7" t="str">
        <f t="shared" si="26"/>
        <v>Direct</v>
      </c>
      <c r="H4784" s="7" t="s">
        <v>248</v>
      </c>
    </row>
    <row r="4785" spans="1:8" x14ac:dyDescent="0.2">
      <c r="A4785" s="5" t="s">
        <v>27</v>
      </c>
      <c r="B4785" s="6" t="s">
        <v>19</v>
      </c>
      <c r="C4785" s="7" t="s">
        <v>5359</v>
      </c>
      <c r="D4785" s="7"/>
      <c r="E4785" s="8">
        <v>1.1047923500000001</v>
      </c>
      <c r="F4785" s="8">
        <v>1.6996148499999999</v>
      </c>
      <c r="G4785" s="7" t="str">
        <f t="shared" si="26"/>
        <v>Direct</v>
      </c>
      <c r="H4785" s="7" t="s">
        <v>5360</v>
      </c>
    </row>
    <row r="4786" spans="1:8" x14ac:dyDescent="0.2">
      <c r="A4786" s="5" t="s">
        <v>27</v>
      </c>
      <c r="B4786" s="6" t="s">
        <v>19</v>
      </c>
      <c r="C4786" s="7" t="s">
        <v>5361</v>
      </c>
      <c r="D4786" s="7"/>
      <c r="E4786" s="8">
        <v>2.5061210799999998</v>
      </c>
      <c r="F4786" s="8">
        <v>1.9073295800000001</v>
      </c>
      <c r="G4786" s="7" t="str">
        <f t="shared" si="26"/>
        <v>Direct</v>
      </c>
      <c r="H4786" s="7" t="s">
        <v>16</v>
      </c>
    </row>
    <row r="4787" spans="1:8" x14ac:dyDescent="0.2">
      <c r="A4787" s="5" t="s">
        <v>27</v>
      </c>
      <c r="B4787" s="6" t="s">
        <v>19</v>
      </c>
      <c r="C4787" s="7" t="s">
        <v>5362</v>
      </c>
      <c r="D4787" s="7"/>
      <c r="E4787" s="8">
        <v>1.62837878</v>
      </c>
      <c r="F4787" s="8">
        <v>1.1991302699999999</v>
      </c>
      <c r="G4787" s="7" t="str">
        <f t="shared" si="26"/>
        <v>Direct</v>
      </c>
      <c r="H4787" s="7" t="s">
        <v>16</v>
      </c>
    </row>
    <row r="4788" spans="1:8" x14ac:dyDescent="0.2">
      <c r="A4788" s="5" t="s">
        <v>27</v>
      </c>
      <c r="B4788" s="6" t="s">
        <v>19</v>
      </c>
      <c r="C4788" s="7" t="s">
        <v>4162</v>
      </c>
      <c r="D4788" s="7"/>
      <c r="E4788" s="8">
        <v>2.3344818900000002</v>
      </c>
      <c r="F4788" s="8">
        <v>4.5100409900000002</v>
      </c>
      <c r="G4788" s="7" t="str">
        <f t="shared" si="26"/>
        <v>Direct</v>
      </c>
      <c r="H4788" s="7" t="s">
        <v>16</v>
      </c>
    </row>
    <row r="4789" spans="1:8" x14ac:dyDescent="0.2">
      <c r="A4789" s="5" t="s">
        <v>27</v>
      </c>
      <c r="B4789" s="6" t="s">
        <v>19</v>
      </c>
      <c r="C4789" s="7" t="s">
        <v>5363</v>
      </c>
      <c r="D4789" s="7"/>
      <c r="E4789" s="8">
        <v>-1.7473844000000001</v>
      </c>
      <c r="F4789" s="8">
        <v>-2.9449193</v>
      </c>
      <c r="G4789" s="7" t="str">
        <f t="shared" si="26"/>
        <v>Direct</v>
      </c>
      <c r="H4789" s="7" t="s">
        <v>3254</v>
      </c>
    </row>
    <row r="4790" spans="1:8" x14ac:dyDescent="0.2">
      <c r="A4790" s="5" t="s">
        <v>27</v>
      </c>
      <c r="B4790" s="6" t="s">
        <v>19</v>
      </c>
      <c r="C4790" s="7" t="s">
        <v>5364</v>
      </c>
      <c r="D4790" s="7"/>
      <c r="E4790" s="8">
        <v>2.6892970699999998</v>
      </c>
      <c r="F4790" s="8">
        <v>3.3168943299999998</v>
      </c>
      <c r="G4790" s="7" t="str">
        <f t="shared" si="26"/>
        <v>Direct</v>
      </c>
      <c r="H4790" s="7" t="s">
        <v>3254</v>
      </c>
    </row>
    <row r="4791" spans="1:8" x14ac:dyDescent="0.2">
      <c r="A4791" s="5" t="s">
        <v>27</v>
      </c>
      <c r="B4791" s="6" t="s">
        <v>19</v>
      </c>
      <c r="C4791" s="7" t="s">
        <v>5365</v>
      </c>
      <c r="D4791" s="7"/>
      <c r="E4791" s="8">
        <v>-4.1314590000000004</v>
      </c>
      <c r="F4791" s="8">
        <v>-2.6520598999999998</v>
      </c>
      <c r="G4791" s="7" t="str">
        <f t="shared" si="26"/>
        <v>Direct</v>
      </c>
      <c r="H4791" s="7" t="s">
        <v>1337</v>
      </c>
    </row>
    <row r="4792" spans="1:8" x14ac:dyDescent="0.2">
      <c r="A4792" s="5" t="s">
        <v>27</v>
      </c>
      <c r="B4792" s="6" t="s">
        <v>19</v>
      </c>
      <c r="C4792" s="7" t="s">
        <v>5366</v>
      </c>
      <c r="D4792" s="7"/>
      <c r="E4792" s="8">
        <v>-1.1398458</v>
      </c>
      <c r="F4792" s="8">
        <v>-1.8815512999999999</v>
      </c>
      <c r="G4792" s="7" t="str">
        <f t="shared" si="26"/>
        <v>Direct</v>
      </c>
      <c r="H4792" s="7" t="s">
        <v>1276</v>
      </c>
    </row>
    <row r="4793" spans="1:8" x14ac:dyDescent="0.2">
      <c r="A4793" s="5" t="s">
        <v>27</v>
      </c>
      <c r="B4793" s="6" t="s">
        <v>19</v>
      </c>
      <c r="C4793" s="7" t="s">
        <v>5367</v>
      </c>
      <c r="D4793" s="7"/>
      <c r="E4793" s="8">
        <v>-1.3357336</v>
      </c>
      <c r="F4793" s="8">
        <v>-2.7073312</v>
      </c>
      <c r="G4793" s="7" t="str">
        <f t="shared" si="26"/>
        <v>Direct</v>
      </c>
      <c r="H4793" s="7" t="s">
        <v>606</v>
      </c>
    </row>
    <row r="4794" spans="1:8" x14ac:dyDescent="0.2">
      <c r="A4794" s="5" t="s">
        <v>27</v>
      </c>
      <c r="B4794" s="6" t="s">
        <v>19</v>
      </c>
      <c r="C4794" s="7" t="s">
        <v>5368</v>
      </c>
      <c r="D4794" s="7"/>
      <c r="E4794" s="8">
        <v>-1.0404203999999999</v>
      </c>
      <c r="F4794" s="8">
        <v>-2.4165703000000001</v>
      </c>
      <c r="G4794" s="7" t="str">
        <f t="shared" si="26"/>
        <v>Direct</v>
      </c>
      <c r="H4794" s="7" t="s">
        <v>2102</v>
      </c>
    </row>
    <row r="4795" spans="1:8" x14ac:dyDescent="0.2">
      <c r="A4795" s="5" t="s">
        <v>27</v>
      </c>
      <c r="B4795" s="6" t="s">
        <v>19</v>
      </c>
      <c r="C4795" s="7" t="s">
        <v>5369</v>
      </c>
      <c r="D4795" s="7"/>
      <c r="E4795" s="8">
        <v>1.13864071</v>
      </c>
      <c r="F4795" s="8">
        <v>1.03867887</v>
      </c>
      <c r="G4795" s="7" t="str">
        <f t="shared" si="26"/>
        <v>Direct</v>
      </c>
      <c r="H4795" s="7" t="s">
        <v>5370</v>
      </c>
    </row>
    <row r="4796" spans="1:8" x14ac:dyDescent="0.2">
      <c r="A4796" s="5" t="s">
        <v>27</v>
      </c>
      <c r="B4796" s="6" t="s">
        <v>19</v>
      </c>
      <c r="C4796" s="7" t="s">
        <v>5371</v>
      </c>
      <c r="D4796" s="7"/>
      <c r="E4796" s="8">
        <v>-1.2997019999999999</v>
      </c>
      <c r="F4796" s="8">
        <v>-2.8233503999999998</v>
      </c>
      <c r="G4796" s="7" t="str">
        <f t="shared" si="26"/>
        <v>Direct</v>
      </c>
      <c r="H4796" s="7" t="s">
        <v>5372</v>
      </c>
    </row>
    <row r="4797" spans="1:8" x14ac:dyDescent="0.2">
      <c r="A4797" s="5" t="s">
        <v>27</v>
      </c>
      <c r="B4797" s="6" t="s">
        <v>19</v>
      </c>
      <c r="C4797" s="7" t="s">
        <v>5373</v>
      </c>
      <c r="D4797" s="7"/>
      <c r="E4797" s="8">
        <v>1.2027238099999999</v>
      </c>
      <c r="F4797" s="8">
        <v>1.2297382800000001</v>
      </c>
      <c r="G4797" s="7" t="str">
        <f t="shared" si="26"/>
        <v>Direct</v>
      </c>
      <c r="H4797" s="7" t="s">
        <v>2298</v>
      </c>
    </row>
    <row r="4798" spans="1:8" x14ac:dyDescent="0.2">
      <c r="A4798" s="5" t="s">
        <v>27</v>
      </c>
      <c r="B4798" s="6" t="s">
        <v>19</v>
      </c>
      <c r="C4798" s="7" t="s">
        <v>5374</v>
      </c>
      <c r="D4798" s="7"/>
      <c r="E4798" s="8">
        <v>1.70642903</v>
      </c>
      <c r="F4798" s="8">
        <v>1.78384331</v>
      </c>
      <c r="G4798" s="7" t="str">
        <f t="shared" si="26"/>
        <v>Direct</v>
      </c>
      <c r="H4798" s="7" t="s">
        <v>16</v>
      </c>
    </row>
    <row r="4799" spans="1:8" x14ac:dyDescent="0.2">
      <c r="A4799" s="5" t="s">
        <v>27</v>
      </c>
      <c r="B4799" s="6" t="s">
        <v>19</v>
      </c>
      <c r="C4799" s="7" t="s">
        <v>5375</v>
      </c>
      <c r="D4799" s="7"/>
      <c r="E4799" s="8">
        <v>-1.0822153999999999</v>
      </c>
      <c r="F4799" s="8">
        <v>-1.2091000000000001</v>
      </c>
      <c r="G4799" s="7" t="str">
        <f t="shared" si="26"/>
        <v>Direct</v>
      </c>
      <c r="H4799" s="7" t="s">
        <v>5376</v>
      </c>
    </row>
    <row r="4800" spans="1:8" x14ac:dyDescent="0.2">
      <c r="A4800" s="5" t="s">
        <v>27</v>
      </c>
      <c r="B4800" s="6" t="s">
        <v>19</v>
      </c>
      <c r="C4800" s="7" t="s">
        <v>5377</v>
      </c>
      <c r="D4800" s="7"/>
      <c r="E4800" s="8">
        <v>2.5891031</v>
      </c>
      <c r="F4800" s="8">
        <v>2.7286585900000002</v>
      </c>
      <c r="G4800" s="7" t="str">
        <f t="shared" si="26"/>
        <v>Direct</v>
      </c>
      <c r="H4800" s="7" t="s">
        <v>16</v>
      </c>
    </row>
    <row r="4801" spans="1:8" x14ac:dyDescent="0.2">
      <c r="A4801" s="5" t="s">
        <v>27</v>
      </c>
      <c r="B4801" s="6" t="s">
        <v>19</v>
      </c>
      <c r="C4801" s="7" t="s">
        <v>5378</v>
      </c>
      <c r="D4801" s="7"/>
      <c r="E4801" s="8">
        <v>-1.4261401</v>
      </c>
      <c r="F4801" s="8">
        <v>-3.3011876999999998</v>
      </c>
      <c r="G4801" s="7" t="str">
        <f t="shared" si="26"/>
        <v>Direct</v>
      </c>
      <c r="H4801" s="7" t="s">
        <v>16</v>
      </c>
    </row>
    <row r="4802" spans="1:8" x14ac:dyDescent="0.2">
      <c r="A4802" s="5" t="s">
        <v>27</v>
      </c>
      <c r="B4802" s="6" t="s">
        <v>19</v>
      </c>
      <c r="C4802" s="7" t="s">
        <v>4163</v>
      </c>
      <c r="D4802" s="7"/>
      <c r="E4802" s="8">
        <v>1.5027451999999999</v>
      </c>
      <c r="F4802" s="8">
        <v>1.4513752799999999</v>
      </c>
      <c r="G4802" s="7" t="str">
        <f t="shared" si="26"/>
        <v>Direct</v>
      </c>
      <c r="H4802" s="7" t="s">
        <v>16</v>
      </c>
    </row>
    <row r="4803" spans="1:8" x14ac:dyDescent="0.2">
      <c r="A4803" s="5" t="s">
        <v>27</v>
      </c>
      <c r="B4803" s="6" t="s">
        <v>19</v>
      </c>
      <c r="C4803" s="7" t="s">
        <v>5379</v>
      </c>
      <c r="D4803" s="7"/>
      <c r="E4803" s="8">
        <v>3.8837304700000002</v>
      </c>
      <c r="F4803" s="8">
        <v>3.3413206400000002</v>
      </c>
      <c r="G4803" s="7" t="str">
        <f t="shared" si="26"/>
        <v>Direct</v>
      </c>
      <c r="H4803" s="7" t="s">
        <v>16</v>
      </c>
    </row>
    <row r="4804" spans="1:8" x14ac:dyDescent="0.2">
      <c r="A4804" s="5" t="s">
        <v>27</v>
      </c>
      <c r="B4804" s="6" t="s">
        <v>19</v>
      </c>
      <c r="C4804" s="7" t="s">
        <v>5380</v>
      </c>
      <c r="D4804" s="7"/>
      <c r="E4804" s="8">
        <v>1.16561914</v>
      </c>
      <c r="F4804" s="8">
        <v>1.1488611099999999</v>
      </c>
      <c r="G4804" s="7" t="str">
        <f t="shared" si="26"/>
        <v>Direct</v>
      </c>
      <c r="H4804" s="7" t="s">
        <v>5381</v>
      </c>
    </row>
    <row r="4805" spans="1:8" x14ac:dyDescent="0.2">
      <c r="A4805" s="5" t="s">
        <v>27</v>
      </c>
      <c r="B4805" s="6" t="s">
        <v>19</v>
      </c>
      <c r="C4805" s="7" t="s">
        <v>5382</v>
      </c>
      <c r="D4805" s="7"/>
      <c r="E4805" s="8">
        <v>-3.0322518999999999</v>
      </c>
      <c r="F4805" s="8">
        <v>-5.5870398000000003</v>
      </c>
      <c r="G4805" s="7" t="str">
        <f t="shared" si="26"/>
        <v>Direct</v>
      </c>
      <c r="H4805" s="7" t="s">
        <v>16</v>
      </c>
    </row>
    <row r="4806" spans="1:8" x14ac:dyDescent="0.2">
      <c r="A4806" s="5" t="s">
        <v>27</v>
      </c>
      <c r="B4806" s="6" t="s">
        <v>19</v>
      </c>
      <c r="C4806" s="7" t="s">
        <v>5383</v>
      </c>
      <c r="D4806" s="7"/>
      <c r="E4806" s="8">
        <v>-1.6082358999999999</v>
      </c>
      <c r="F4806" s="8">
        <v>-1.6145882</v>
      </c>
      <c r="G4806" s="7" t="str">
        <f t="shared" si="26"/>
        <v>Direct</v>
      </c>
      <c r="H4806" s="7" t="s">
        <v>16</v>
      </c>
    </row>
    <row r="4807" spans="1:8" x14ac:dyDescent="0.2">
      <c r="A4807" s="5" t="s">
        <v>27</v>
      </c>
      <c r="B4807" s="6" t="s">
        <v>19</v>
      </c>
      <c r="C4807" s="7" t="s">
        <v>5384</v>
      </c>
      <c r="D4807" s="7"/>
      <c r="E4807" s="8">
        <v>-2.1226938</v>
      </c>
      <c r="F4807" s="8">
        <v>-1.7798383</v>
      </c>
      <c r="G4807" s="7" t="str">
        <f t="shared" si="26"/>
        <v>Direct</v>
      </c>
      <c r="H4807" s="7" t="s">
        <v>16</v>
      </c>
    </row>
    <row r="4808" spans="1:8" x14ac:dyDescent="0.2">
      <c r="A4808" s="5" t="s">
        <v>27</v>
      </c>
      <c r="B4808" s="6" t="s">
        <v>19</v>
      </c>
      <c r="C4808" s="7" t="s">
        <v>5385</v>
      </c>
      <c r="D4808" s="7"/>
      <c r="E4808" s="8">
        <v>2.3077352000000002</v>
      </c>
      <c r="F4808" s="8">
        <v>2.35776488</v>
      </c>
      <c r="G4808" s="7" t="str">
        <f t="shared" si="26"/>
        <v>Direct</v>
      </c>
      <c r="H4808" s="7" t="s">
        <v>16</v>
      </c>
    </row>
    <row r="4809" spans="1:8" x14ac:dyDescent="0.2">
      <c r="A4809" s="5" t="s">
        <v>27</v>
      </c>
      <c r="B4809" s="6" t="s">
        <v>19</v>
      </c>
      <c r="C4809" s="7" t="s">
        <v>5386</v>
      </c>
      <c r="D4809" s="7"/>
      <c r="E4809" s="8">
        <v>6.98904836</v>
      </c>
      <c r="F4809" s="8">
        <v>9.1269485499999998</v>
      </c>
      <c r="G4809" s="7" t="str">
        <f t="shared" si="26"/>
        <v>Direct</v>
      </c>
      <c r="H4809" s="7" t="s">
        <v>16</v>
      </c>
    </row>
    <row r="4810" spans="1:8" x14ac:dyDescent="0.2">
      <c r="A4810" s="5" t="s">
        <v>27</v>
      </c>
      <c r="B4810" s="6" t="s">
        <v>19</v>
      </c>
      <c r="C4810" s="7" t="s">
        <v>5387</v>
      </c>
      <c r="D4810" s="7"/>
      <c r="E4810" s="8">
        <v>3.2822784</v>
      </c>
      <c r="F4810" s="8">
        <v>3.3837217100000001</v>
      </c>
      <c r="G4810" s="7" t="str">
        <f t="shared" si="26"/>
        <v>Direct</v>
      </c>
      <c r="H4810" s="7" t="s">
        <v>16</v>
      </c>
    </row>
    <row r="4811" spans="1:8" x14ac:dyDescent="0.2">
      <c r="A4811" s="5" t="s">
        <v>27</v>
      </c>
      <c r="B4811" s="6" t="s">
        <v>19</v>
      </c>
      <c r="C4811" s="7" t="s">
        <v>5388</v>
      </c>
      <c r="D4811" s="7"/>
      <c r="E4811" s="8">
        <v>4.8169110899999996</v>
      </c>
      <c r="F4811" s="8">
        <v>4.53766625</v>
      </c>
      <c r="G4811" s="7" t="str">
        <f t="shared" si="26"/>
        <v>Direct</v>
      </c>
      <c r="H4811" s="7" t="s">
        <v>16</v>
      </c>
    </row>
    <row r="4812" spans="1:8" x14ac:dyDescent="0.2">
      <c r="A4812" s="5" t="s">
        <v>27</v>
      </c>
      <c r="B4812" s="6" t="s">
        <v>19</v>
      </c>
      <c r="C4812" s="7" t="s">
        <v>5389</v>
      </c>
      <c r="D4812" s="7"/>
      <c r="E4812" s="8">
        <v>-1.843548</v>
      </c>
      <c r="F4812" s="8">
        <v>-1.1868405</v>
      </c>
      <c r="G4812" s="7" t="str">
        <f t="shared" si="26"/>
        <v>Direct</v>
      </c>
      <c r="H4812" s="7" t="s">
        <v>4292</v>
      </c>
    </row>
    <row r="4813" spans="1:8" x14ac:dyDescent="0.2">
      <c r="A4813" s="5" t="s">
        <v>27</v>
      </c>
      <c r="B4813" s="6" t="s">
        <v>19</v>
      </c>
      <c r="C4813" s="7" t="s">
        <v>5390</v>
      </c>
      <c r="D4813" s="7"/>
      <c r="E4813" s="8">
        <v>-2.4051046999999999</v>
      </c>
      <c r="F4813" s="8">
        <v>-2.4699721000000001</v>
      </c>
      <c r="G4813" s="7" t="str">
        <f t="shared" si="26"/>
        <v>Direct</v>
      </c>
      <c r="H4813" s="7" t="s">
        <v>5391</v>
      </c>
    </row>
    <row r="4814" spans="1:8" x14ac:dyDescent="0.2">
      <c r="A4814" s="5" t="s">
        <v>27</v>
      </c>
      <c r="B4814" s="6" t="s">
        <v>19</v>
      </c>
      <c r="C4814" s="7" t="s">
        <v>5392</v>
      </c>
      <c r="D4814" s="7"/>
      <c r="E4814" s="8">
        <v>1.15809696</v>
      </c>
      <c r="F4814" s="8">
        <v>1.0801264800000001</v>
      </c>
      <c r="G4814" s="7" t="str">
        <f t="shared" si="26"/>
        <v>Direct</v>
      </c>
      <c r="H4814" s="7" t="s">
        <v>5393</v>
      </c>
    </row>
    <row r="4815" spans="1:8" x14ac:dyDescent="0.2">
      <c r="A4815" s="5" t="s">
        <v>27</v>
      </c>
      <c r="B4815" s="6" t="s">
        <v>19</v>
      </c>
      <c r="C4815" s="7" t="s">
        <v>5394</v>
      </c>
      <c r="D4815" s="7"/>
      <c r="E4815" s="8">
        <v>-1.8663236999999999</v>
      </c>
      <c r="F4815" s="8">
        <v>-2.6610095</v>
      </c>
      <c r="G4815" s="7" t="str">
        <f t="shared" si="26"/>
        <v>Direct</v>
      </c>
      <c r="H4815" s="7" t="s">
        <v>1641</v>
      </c>
    </row>
    <row r="4816" spans="1:8" x14ac:dyDescent="0.2">
      <c r="A4816" s="5" t="s">
        <v>27</v>
      </c>
      <c r="B4816" s="6" t="s">
        <v>19</v>
      </c>
      <c r="C4816" s="7" t="s">
        <v>5395</v>
      </c>
      <c r="D4816" s="7"/>
      <c r="E4816" s="8">
        <v>3.4292300999999998</v>
      </c>
      <c r="F4816" s="8">
        <v>4.5871864200000001</v>
      </c>
      <c r="G4816" s="7" t="str">
        <f t="shared" si="26"/>
        <v>Direct</v>
      </c>
      <c r="H4816" s="7" t="s">
        <v>16</v>
      </c>
    </row>
    <row r="4817" spans="1:8" x14ac:dyDescent="0.2">
      <c r="A4817" s="5" t="s">
        <v>27</v>
      </c>
      <c r="B4817" s="6" t="s">
        <v>19</v>
      </c>
      <c r="C4817" s="7" t="s">
        <v>5396</v>
      </c>
      <c r="D4817" s="7"/>
      <c r="E4817" s="8">
        <v>4.2065245100000004</v>
      </c>
      <c r="F4817" s="8">
        <v>4.5214756100000004</v>
      </c>
      <c r="G4817" s="7" t="str">
        <f t="shared" si="26"/>
        <v>Direct</v>
      </c>
      <c r="H4817" s="7" t="s">
        <v>1337</v>
      </c>
    </row>
    <row r="4818" spans="1:8" x14ac:dyDescent="0.2">
      <c r="A4818" s="5" t="s">
        <v>27</v>
      </c>
      <c r="B4818" s="6" t="s">
        <v>19</v>
      </c>
      <c r="C4818" s="7" t="s">
        <v>5397</v>
      </c>
      <c r="D4818" s="7"/>
      <c r="E4818" s="8">
        <v>7.0629907699999999</v>
      </c>
      <c r="F4818" s="8">
        <v>7.93555235</v>
      </c>
      <c r="G4818" s="7" t="str">
        <f t="shared" si="26"/>
        <v>Direct</v>
      </c>
      <c r="H4818" s="7" t="s">
        <v>2349</v>
      </c>
    </row>
    <row r="4819" spans="1:8" x14ac:dyDescent="0.2">
      <c r="A4819" s="5" t="s">
        <v>27</v>
      </c>
      <c r="B4819" s="6" t="s">
        <v>19</v>
      </c>
      <c r="C4819" s="7" t="s">
        <v>5398</v>
      </c>
      <c r="D4819" s="7"/>
      <c r="E4819" s="8">
        <v>-1.0191357999999999</v>
      </c>
      <c r="F4819" s="8">
        <v>-3.2443922000000001</v>
      </c>
      <c r="G4819" s="7" t="str">
        <f t="shared" si="26"/>
        <v>Direct</v>
      </c>
      <c r="H4819" s="7" t="s">
        <v>1337</v>
      </c>
    </row>
    <row r="4820" spans="1:8" x14ac:dyDescent="0.2">
      <c r="A4820" s="5" t="s">
        <v>27</v>
      </c>
      <c r="B4820" s="6" t="s">
        <v>19</v>
      </c>
      <c r="C4820" s="7" t="s">
        <v>5399</v>
      </c>
      <c r="D4820" s="7"/>
      <c r="E4820" s="8">
        <v>-1.7154305000000001</v>
      </c>
      <c r="F4820" s="8">
        <v>-1.4538576000000001</v>
      </c>
      <c r="G4820" s="7" t="str">
        <f t="shared" si="26"/>
        <v>Direct</v>
      </c>
      <c r="H4820" s="7" t="s">
        <v>5400</v>
      </c>
    </row>
    <row r="4821" spans="1:8" x14ac:dyDescent="0.2">
      <c r="A4821" s="5" t="s">
        <v>27</v>
      </c>
      <c r="B4821" s="6" t="s">
        <v>19</v>
      </c>
      <c r="C4821" s="7" t="s">
        <v>5401</v>
      </c>
      <c r="D4821" s="7"/>
      <c r="E4821" s="8">
        <v>-1.0833664999999999</v>
      </c>
      <c r="F4821" s="8">
        <v>-1.0885309999999999</v>
      </c>
      <c r="G4821" s="7" t="str">
        <f t="shared" si="26"/>
        <v>Direct</v>
      </c>
      <c r="H4821" s="7" t="s">
        <v>5402</v>
      </c>
    </row>
    <row r="4822" spans="1:8" x14ac:dyDescent="0.2">
      <c r="A4822" s="5" t="s">
        <v>27</v>
      </c>
      <c r="B4822" s="6" t="s">
        <v>19</v>
      </c>
      <c r="C4822" s="7" t="s">
        <v>4164</v>
      </c>
      <c r="D4822" s="7"/>
      <c r="E4822" s="8">
        <v>3.37889018</v>
      </c>
      <c r="F4822" s="8">
        <v>3.2095260699999999</v>
      </c>
      <c r="G4822" s="7" t="str">
        <f t="shared" si="26"/>
        <v>Direct</v>
      </c>
      <c r="H4822" s="7" t="s">
        <v>16</v>
      </c>
    </row>
    <row r="4823" spans="1:8" x14ac:dyDescent="0.2">
      <c r="A4823" s="5" t="s">
        <v>27</v>
      </c>
      <c r="B4823" s="6" t="s">
        <v>19</v>
      </c>
      <c r="C4823" s="7" t="s">
        <v>5403</v>
      </c>
      <c r="D4823" s="7"/>
      <c r="E4823" s="8">
        <v>14.8326473</v>
      </c>
      <c r="F4823" s="8">
        <v>16.635204900000002</v>
      </c>
      <c r="G4823" s="7" t="str">
        <f t="shared" si="26"/>
        <v>Direct</v>
      </c>
      <c r="H4823" s="7" t="s">
        <v>543</v>
      </c>
    </row>
    <row r="4824" spans="1:8" x14ac:dyDescent="0.2">
      <c r="A4824" s="5" t="s">
        <v>27</v>
      </c>
      <c r="B4824" s="6" t="s">
        <v>19</v>
      </c>
      <c r="C4824" s="7" t="s">
        <v>5404</v>
      </c>
      <c r="D4824" s="7"/>
      <c r="E4824" s="8">
        <v>5.0977792900000001</v>
      </c>
      <c r="F4824" s="8">
        <v>6.3673490199999998</v>
      </c>
      <c r="G4824" s="7" t="str">
        <f t="shared" si="26"/>
        <v>Direct</v>
      </c>
      <c r="H4824" s="7" t="s">
        <v>543</v>
      </c>
    </row>
    <row r="4825" spans="1:8" x14ac:dyDescent="0.2">
      <c r="A4825" s="5" t="s">
        <v>27</v>
      </c>
      <c r="B4825" s="6" t="s">
        <v>19</v>
      </c>
      <c r="C4825" s="7" t="s">
        <v>5405</v>
      </c>
      <c r="D4825" s="7"/>
      <c r="E4825" s="8">
        <v>6.3355356900000004</v>
      </c>
      <c r="F4825" s="8">
        <v>4.9928076099999998</v>
      </c>
      <c r="G4825" s="7" t="str">
        <f t="shared" si="26"/>
        <v>Direct</v>
      </c>
      <c r="H4825" s="7" t="s">
        <v>5163</v>
      </c>
    </row>
    <row r="4826" spans="1:8" x14ac:dyDescent="0.2">
      <c r="A4826" s="5" t="s">
        <v>27</v>
      </c>
      <c r="B4826" s="6" t="s">
        <v>19</v>
      </c>
      <c r="C4826" s="7" t="s">
        <v>5406</v>
      </c>
      <c r="D4826" s="7"/>
      <c r="E4826" s="8">
        <v>3.3246672099999999</v>
      </c>
      <c r="F4826" s="8">
        <v>3.7120122800000002</v>
      </c>
      <c r="G4826" s="7" t="str">
        <f t="shared" si="26"/>
        <v>Direct</v>
      </c>
      <c r="H4826" s="7" t="s">
        <v>4933</v>
      </c>
    </row>
    <row r="4827" spans="1:8" x14ac:dyDescent="0.2">
      <c r="A4827" s="5" t="s">
        <v>27</v>
      </c>
      <c r="B4827" s="6" t="s">
        <v>19</v>
      </c>
      <c r="C4827" s="7" t="s">
        <v>5407</v>
      </c>
      <c r="D4827" s="7"/>
      <c r="E4827" s="8">
        <v>-2.0608955</v>
      </c>
      <c r="F4827" s="8">
        <v>-1.3455037000000001</v>
      </c>
      <c r="G4827" s="7" t="str">
        <f t="shared" si="26"/>
        <v>Direct</v>
      </c>
      <c r="H4827" s="7" t="s">
        <v>16</v>
      </c>
    </row>
    <row r="4828" spans="1:8" x14ac:dyDescent="0.2">
      <c r="A4828" s="5" t="s">
        <v>27</v>
      </c>
      <c r="B4828" s="6" t="s">
        <v>19</v>
      </c>
      <c r="C4828" s="7" t="s">
        <v>5408</v>
      </c>
      <c r="D4828" s="7"/>
      <c r="E4828" s="8">
        <v>-1.8371043</v>
      </c>
      <c r="F4828" s="8">
        <v>-1.4489301000000001</v>
      </c>
      <c r="G4828" s="7" t="str">
        <f t="shared" si="26"/>
        <v>Direct</v>
      </c>
      <c r="H4828" s="7" t="s">
        <v>5409</v>
      </c>
    </row>
    <row r="4829" spans="1:8" x14ac:dyDescent="0.2">
      <c r="A4829" s="5" t="s">
        <v>27</v>
      </c>
      <c r="B4829" s="6" t="s">
        <v>19</v>
      </c>
      <c r="C4829" s="7" t="s">
        <v>4165</v>
      </c>
      <c r="D4829" s="7"/>
      <c r="E4829" s="8">
        <v>4.7262262599999998</v>
      </c>
      <c r="F4829" s="8">
        <v>7.2279739300000001</v>
      </c>
      <c r="G4829" s="7" t="str">
        <f t="shared" si="26"/>
        <v>Direct</v>
      </c>
      <c r="H4829" s="7" t="s">
        <v>16</v>
      </c>
    </row>
    <row r="4830" spans="1:8" x14ac:dyDescent="0.2">
      <c r="A4830" s="5" t="s">
        <v>27</v>
      </c>
      <c r="B4830" s="6" t="s">
        <v>19</v>
      </c>
      <c r="C4830" s="7" t="s">
        <v>5410</v>
      </c>
      <c r="D4830" s="7"/>
      <c r="E4830" s="8">
        <v>1.76142679</v>
      </c>
      <c r="F4830" s="8">
        <v>1.68333037</v>
      </c>
      <c r="G4830" s="7" t="str">
        <f t="shared" si="26"/>
        <v>Direct</v>
      </c>
      <c r="H4830" s="7" t="s">
        <v>5411</v>
      </c>
    </row>
    <row r="4831" spans="1:8" x14ac:dyDescent="0.2">
      <c r="A4831" s="5" t="s">
        <v>27</v>
      </c>
      <c r="B4831" s="6" t="s">
        <v>19</v>
      </c>
      <c r="C4831" s="7" t="s">
        <v>5412</v>
      </c>
      <c r="D4831" s="7"/>
      <c r="E4831" s="8">
        <v>-2.6943583000000002</v>
      </c>
      <c r="F4831" s="8">
        <v>-1.3885624000000001</v>
      </c>
      <c r="G4831" s="7" t="str">
        <f t="shared" si="26"/>
        <v>Direct</v>
      </c>
      <c r="H4831" s="7" t="s">
        <v>16</v>
      </c>
    </row>
    <row r="4832" spans="1:8" x14ac:dyDescent="0.2">
      <c r="A4832" s="5" t="s">
        <v>27</v>
      </c>
      <c r="B4832" s="6" t="s">
        <v>19</v>
      </c>
      <c r="C4832" s="7" t="s">
        <v>5413</v>
      </c>
      <c r="D4832" s="7"/>
      <c r="E4832" s="8">
        <v>-1.6842010999999999</v>
      </c>
      <c r="F4832" s="8">
        <v>-4.8535836000000003</v>
      </c>
      <c r="G4832" s="7" t="str">
        <f t="shared" si="26"/>
        <v>Direct</v>
      </c>
      <c r="H4832" s="7" t="s">
        <v>16</v>
      </c>
    </row>
    <row r="4833" spans="1:8" x14ac:dyDescent="0.2">
      <c r="A4833" s="5" t="s">
        <v>27</v>
      </c>
      <c r="B4833" s="6" t="s">
        <v>19</v>
      </c>
      <c r="C4833" s="7" t="s">
        <v>5414</v>
      </c>
      <c r="D4833" s="7"/>
      <c r="E4833" s="8">
        <v>1.9331554900000001</v>
      </c>
      <c r="F4833" s="8">
        <v>2.7830540699999999</v>
      </c>
      <c r="G4833" s="7" t="str">
        <f t="shared" si="26"/>
        <v>Direct</v>
      </c>
      <c r="H4833" s="7" t="s">
        <v>112</v>
      </c>
    </row>
    <row r="4834" spans="1:8" x14ac:dyDescent="0.2">
      <c r="A4834" s="5" t="s">
        <v>27</v>
      </c>
      <c r="B4834" s="6" t="s">
        <v>19</v>
      </c>
      <c r="C4834" s="7" t="s">
        <v>5415</v>
      </c>
      <c r="D4834" s="7"/>
      <c r="E4834" s="8">
        <v>-1.6061572</v>
      </c>
      <c r="F4834" s="8">
        <v>-2.6514093000000001</v>
      </c>
      <c r="G4834" s="7" t="str">
        <f t="shared" si="26"/>
        <v>Direct</v>
      </c>
      <c r="H4834" s="7" t="s">
        <v>351</v>
      </c>
    </row>
    <row r="4835" spans="1:8" x14ac:dyDescent="0.2">
      <c r="A4835" s="5" t="s">
        <v>27</v>
      </c>
      <c r="B4835" s="6" t="s">
        <v>19</v>
      </c>
      <c r="C4835" s="7" t="s">
        <v>4166</v>
      </c>
      <c r="D4835" s="7"/>
      <c r="E4835" s="8">
        <v>1.9320198</v>
      </c>
      <c r="F4835" s="8">
        <v>2.9270031599999999</v>
      </c>
      <c r="G4835" s="7" t="str">
        <f t="shared" si="26"/>
        <v>Direct</v>
      </c>
      <c r="H4835" s="7" t="s">
        <v>4167</v>
      </c>
    </row>
    <row r="4836" spans="1:8" x14ac:dyDescent="0.2">
      <c r="A4836" s="5" t="s">
        <v>27</v>
      </c>
      <c r="B4836" s="6" t="s">
        <v>19</v>
      </c>
      <c r="C4836" s="7" t="s">
        <v>4168</v>
      </c>
      <c r="D4836" s="7"/>
      <c r="E4836" s="8">
        <v>2.1975483200000001</v>
      </c>
      <c r="F4836" s="8">
        <v>4.0313604999999999</v>
      </c>
      <c r="G4836" s="7" t="str">
        <f t="shared" si="26"/>
        <v>Direct</v>
      </c>
      <c r="H4836" s="7" t="s">
        <v>2435</v>
      </c>
    </row>
    <row r="4837" spans="1:8" x14ac:dyDescent="0.2">
      <c r="A4837" s="5" t="s">
        <v>27</v>
      </c>
      <c r="B4837" s="6" t="s">
        <v>19</v>
      </c>
      <c r="C4837" s="7" t="s">
        <v>5416</v>
      </c>
      <c r="D4837" s="7"/>
      <c r="E4837" s="8">
        <v>1.3197919499999999</v>
      </c>
      <c r="F4837" s="8">
        <v>1.1042941900000001</v>
      </c>
      <c r="G4837" s="7" t="str">
        <f t="shared" si="26"/>
        <v>Direct</v>
      </c>
      <c r="H4837" s="7" t="s">
        <v>16</v>
      </c>
    </row>
    <row r="4838" spans="1:8" x14ac:dyDescent="0.2">
      <c r="A4838" s="5" t="s">
        <v>27</v>
      </c>
      <c r="B4838" s="6" t="s">
        <v>19</v>
      </c>
      <c r="C4838" s="7" t="s">
        <v>5417</v>
      </c>
      <c r="D4838" s="7"/>
      <c r="E4838" s="8">
        <v>9.4048675100000008</v>
      </c>
      <c r="F4838" s="8">
        <v>1.56595712</v>
      </c>
      <c r="G4838" s="7" t="str">
        <f t="shared" si="26"/>
        <v>Direct</v>
      </c>
      <c r="H4838" s="7" t="s">
        <v>16</v>
      </c>
    </row>
    <row r="4839" spans="1:8" x14ac:dyDescent="0.2">
      <c r="A4839" s="5" t="s">
        <v>27</v>
      </c>
      <c r="B4839" s="6" t="s">
        <v>19</v>
      </c>
      <c r="C4839" s="7" t="s">
        <v>4169</v>
      </c>
      <c r="D4839" s="7"/>
      <c r="E4839" s="8">
        <v>2.7627841200000001</v>
      </c>
      <c r="F4839" s="8">
        <v>1.54358704</v>
      </c>
      <c r="G4839" s="7" t="str">
        <f t="shared" si="26"/>
        <v>Direct</v>
      </c>
      <c r="H4839" s="7" t="s">
        <v>2509</v>
      </c>
    </row>
    <row r="4840" spans="1:8" x14ac:dyDescent="0.2">
      <c r="A4840" s="5" t="s">
        <v>27</v>
      </c>
      <c r="B4840" s="6" t="s">
        <v>19</v>
      </c>
      <c r="C4840" s="7" t="s">
        <v>5418</v>
      </c>
      <c r="D4840" s="7"/>
      <c r="E4840" s="8">
        <v>1.8566931499999999</v>
      </c>
      <c r="F4840" s="8">
        <v>2.13827832</v>
      </c>
      <c r="G4840" s="7" t="str">
        <f t="shared" si="26"/>
        <v>Direct</v>
      </c>
      <c r="H4840" s="7" t="s">
        <v>16</v>
      </c>
    </row>
    <row r="4841" spans="1:8" x14ac:dyDescent="0.2">
      <c r="A4841" s="5" t="s">
        <v>27</v>
      </c>
      <c r="B4841" s="6" t="s">
        <v>19</v>
      </c>
      <c r="C4841" s="7" t="s">
        <v>5419</v>
      </c>
      <c r="D4841" s="7"/>
      <c r="E4841" s="8">
        <v>2.28593526</v>
      </c>
      <c r="F4841" s="8">
        <v>2.6026568299999999</v>
      </c>
      <c r="G4841" s="7" t="str">
        <f t="shared" si="26"/>
        <v>Direct</v>
      </c>
      <c r="H4841" s="7" t="s">
        <v>5175</v>
      </c>
    </row>
    <row r="4842" spans="1:8" x14ac:dyDescent="0.2">
      <c r="A4842" s="5" t="s">
        <v>27</v>
      </c>
      <c r="B4842" s="6" t="s">
        <v>19</v>
      </c>
      <c r="C4842" s="7" t="s">
        <v>5420</v>
      </c>
      <c r="D4842" s="7"/>
      <c r="E4842" s="8">
        <v>2.2565288699999999</v>
      </c>
      <c r="F4842" s="8">
        <v>1.6253675700000001</v>
      </c>
      <c r="G4842" s="7" t="str">
        <f t="shared" si="26"/>
        <v>Direct</v>
      </c>
      <c r="H4842" s="7" t="s">
        <v>125</v>
      </c>
    </row>
    <row r="4843" spans="1:8" x14ac:dyDescent="0.2">
      <c r="A4843" s="5" t="s">
        <v>27</v>
      </c>
      <c r="B4843" s="6" t="s">
        <v>19</v>
      </c>
      <c r="C4843" s="7" t="s">
        <v>5421</v>
      </c>
      <c r="D4843" s="7"/>
      <c r="E4843" s="8">
        <v>-1.5029501000000001</v>
      </c>
      <c r="F4843" s="8">
        <v>-5.6586188999999996</v>
      </c>
      <c r="G4843" s="7" t="str">
        <f t="shared" si="26"/>
        <v>Direct</v>
      </c>
      <c r="H4843" s="7" t="s">
        <v>5422</v>
      </c>
    </row>
    <row r="4844" spans="1:8" x14ac:dyDescent="0.2">
      <c r="A4844" s="5" t="s">
        <v>27</v>
      </c>
      <c r="B4844" s="6" t="s">
        <v>19</v>
      </c>
      <c r="C4844" s="7" t="s">
        <v>4172</v>
      </c>
      <c r="D4844" s="7"/>
      <c r="E4844" s="8">
        <v>1.21653897</v>
      </c>
      <c r="F4844" s="8">
        <v>2.3544323500000002</v>
      </c>
      <c r="G4844" s="7" t="str">
        <f t="shared" si="26"/>
        <v>Direct</v>
      </c>
      <c r="H4844" s="7" t="s">
        <v>16</v>
      </c>
    </row>
    <row r="4845" spans="1:8" x14ac:dyDescent="0.2">
      <c r="A4845" s="5" t="s">
        <v>27</v>
      </c>
      <c r="B4845" s="6" t="s">
        <v>19</v>
      </c>
      <c r="C4845" s="7" t="s">
        <v>5423</v>
      </c>
      <c r="D4845" s="7"/>
      <c r="E4845" s="8">
        <v>1.62837878</v>
      </c>
      <c r="F4845" s="8">
        <v>1.3432177300000001</v>
      </c>
      <c r="G4845" s="7" t="str">
        <f t="shared" si="26"/>
        <v>Direct</v>
      </c>
      <c r="H4845" s="7" t="s">
        <v>5424</v>
      </c>
    </row>
    <row r="4846" spans="1:8" x14ac:dyDescent="0.2">
      <c r="A4846" s="5" t="s">
        <v>27</v>
      </c>
      <c r="B4846" s="6" t="s">
        <v>19</v>
      </c>
      <c r="C4846" s="7" t="s">
        <v>5425</v>
      </c>
      <c r="D4846" s="7"/>
      <c r="E4846" s="8">
        <v>1.8311782000000001</v>
      </c>
      <c r="F4846" s="8">
        <v>3.3554442099999999</v>
      </c>
      <c r="G4846" s="7" t="str">
        <f t="shared" si="26"/>
        <v>Direct</v>
      </c>
      <c r="H4846" s="7" t="s">
        <v>2245</v>
      </c>
    </row>
    <row r="4847" spans="1:8" x14ac:dyDescent="0.2">
      <c r="A4847" s="5" t="s">
        <v>27</v>
      </c>
      <c r="B4847" s="6" t="s">
        <v>19</v>
      </c>
      <c r="C4847" s="7" t="s">
        <v>4174</v>
      </c>
      <c r="D4847" s="7"/>
      <c r="E4847" s="8">
        <v>3.12004993</v>
      </c>
      <c r="F4847" s="8">
        <v>4.3057158600000003</v>
      </c>
      <c r="G4847" s="7" t="str">
        <f t="shared" si="26"/>
        <v>Direct</v>
      </c>
      <c r="H4847" s="7" t="s">
        <v>3544</v>
      </c>
    </row>
    <row r="4848" spans="1:8" x14ac:dyDescent="0.2">
      <c r="A4848" s="5" t="s">
        <v>27</v>
      </c>
      <c r="B4848" s="6" t="s">
        <v>19</v>
      </c>
      <c r="C4848" s="7" t="s">
        <v>5426</v>
      </c>
      <c r="D4848" s="7"/>
      <c r="E4848" s="8">
        <v>-1.4888713</v>
      </c>
      <c r="F4848" s="8">
        <v>-1.8070136000000001</v>
      </c>
      <c r="G4848" s="7" t="str">
        <f t="shared" si="26"/>
        <v>Direct</v>
      </c>
      <c r="H4848" s="7" t="s">
        <v>2203</v>
      </c>
    </row>
    <row r="4849" spans="1:8" x14ac:dyDescent="0.2">
      <c r="A4849" s="5" t="s">
        <v>27</v>
      </c>
      <c r="B4849" s="6" t="s">
        <v>19</v>
      </c>
      <c r="C4849" s="7" t="s">
        <v>5427</v>
      </c>
      <c r="D4849" s="7"/>
      <c r="E4849" s="8">
        <v>6.0069273799999996</v>
      </c>
      <c r="F4849" s="8">
        <v>8.7212260399999995</v>
      </c>
      <c r="G4849" s="7" t="str">
        <f t="shared" si="26"/>
        <v>Direct</v>
      </c>
      <c r="H4849" s="7" t="s">
        <v>5428</v>
      </c>
    </row>
    <row r="4850" spans="1:8" x14ac:dyDescent="0.2">
      <c r="A4850" s="5" t="s">
        <v>27</v>
      </c>
      <c r="B4850" s="6" t="s">
        <v>19</v>
      </c>
      <c r="C4850" s="7" t="s">
        <v>5429</v>
      </c>
      <c r="D4850" s="7"/>
      <c r="E4850" s="8">
        <v>1.8101640800000001</v>
      </c>
      <c r="F4850" s="8">
        <v>3.2584161200000001</v>
      </c>
      <c r="G4850" s="7" t="str">
        <f t="shared" si="26"/>
        <v>Direct</v>
      </c>
      <c r="H4850" s="7" t="s">
        <v>5430</v>
      </c>
    </row>
    <row r="4851" spans="1:8" x14ac:dyDescent="0.2">
      <c r="A4851" s="5" t="s">
        <v>27</v>
      </c>
      <c r="B4851" s="6" t="s">
        <v>19</v>
      </c>
      <c r="C4851" s="7" t="s">
        <v>4175</v>
      </c>
      <c r="D4851" s="7"/>
      <c r="E4851" s="8">
        <v>2.56151748</v>
      </c>
      <c r="F4851" s="8">
        <v>3.3488748500000001</v>
      </c>
      <c r="G4851" s="7" t="str">
        <f t="shared" si="26"/>
        <v>Direct</v>
      </c>
      <c r="H4851" s="7" t="s">
        <v>543</v>
      </c>
    </row>
    <row r="4852" spans="1:8" x14ac:dyDescent="0.2">
      <c r="A4852" s="5" t="s">
        <v>27</v>
      </c>
      <c r="B4852" s="6" t="s">
        <v>19</v>
      </c>
      <c r="C4852" s="7" t="s">
        <v>4176</v>
      </c>
      <c r="D4852" s="7"/>
      <c r="E4852" s="8">
        <v>4.8125358900000004</v>
      </c>
      <c r="F4852" s="8">
        <v>5.1041723899999996</v>
      </c>
      <c r="G4852" s="7" t="str">
        <f t="shared" si="26"/>
        <v>Direct</v>
      </c>
      <c r="H4852" s="7" t="s">
        <v>16</v>
      </c>
    </row>
    <row r="4853" spans="1:8" x14ac:dyDescent="0.2">
      <c r="A4853" s="5" t="s">
        <v>27</v>
      </c>
      <c r="B4853" s="6" t="s">
        <v>19</v>
      </c>
      <c r="C4853" s="7" t="s">
        <v>5431</v>
      </c>
      <c r="D4853" s="7"/>
      <c r="E4853" s="8">
        <v>-3.8140424999999998</v>
      </c>
      <c r="F4853" s="8">
        <v>-3.8427365999999998</v>
      </c>
      <c r="G4853" s="7" t="str">
        <f t="shared" si="26"/>
        <v>Direct</v>
      </c>
      <c r="H4853" s="7" t="s">
        <v>2137</v>
      </c>
    </row>
    <row r="4854" spans="1:8" x14ac:dyDescent="0.2">
      <c r="A4854" s="5" t="s">
        <v>27</v>
      </c>
      <c r="B4854" s="6" t="s">
        <v>19</v>
      </c>
      <c r="C4854" s="7" t="s">
        <v>5432</v>
      </c>
      <c r="D4854" s="7"/>
      <c r="E4854" s="8">
        <v>3.1420641900000001</v>
      </c>
      <c r="F4854" s="8">
        <v>2.9706767100000002</v>
      </c>
      <c r="G4854" s="7" t="str">
        <f t="shared" si="26"/>
        <v>Direct</v>
      </c>
      <c r="H4854" s="7" t="s">
        <v>16</v>
      </c>
    </row>
    <row r="4855" spans="1:8" x14ac:dyDescent="0.2">
      <c r="A4855" s="5" t="s">
        <v>27</v>
      </c>
      <c r="B4855" s="6" t="s">
        <v>19</v>
      </c>
      <c r="C4855" s="7" t="s">
        <v>5433</v>
      </c>
      <c r="D4855" s="7"/>
      <c r="E4855" s="8">
        <v>-3.2193703999999999</v>
      </c>
      <c r="F4855" s="8">
        <v>-4.3144498000000002</v>
      </c>
      <c r="G4855" s="7" t="str">
        <f t="shared" si="26"/>
        <v>Direct</v>
      </c>
      <c r="H4855" s="7" t="s">
        <v>16</v>
      </c>
    </row>
    <row r="4856" spans="1:8" x14ac:dyDescent="0.2">
      <c r="A4856" s="5" t="s">
        <v>27</v>
      </c>
      <c r="B4856" s="6" t="s">
        <v>19</v>
      </c>
      <c r="C4856" s="7" t="s">
        <v>5434</v>
      </c>
      <c r="D4856" s="7"/>
      <c r="E4856" s="8">
        <v>-1.7556929999999999</v>
      </c>
      <c r="F4856" s="8">
        <v>-2.0785230000000001</v>
      </c>
      <c r="G4856" s="7" t="str">
        <f t="shared" si="26"/>
        <v>Direct</v>
      </c>
      <c r="H4856" s="7" t="s">
        <v>16</v>
      </c>
    </row>
    <row r="4857" spans="1:8" x14ac:dyDescent="0.2">
      <c r="A4857" s="5" t="s">
        <v>27</v>
      </c>
      <c r="B4857" s="6" t="s">
        <v>19</v>
      </c>
      <c r="C4857" s="7" t="s">
        <v>5435</v>
      </c>
      <c r="D4857" s="7"/>
      <c r="E4857" s="8">
        <v>-3.7451565000000002</v>
      </c>
      <c r="F4857" s="8">
        <v>-6.7320703999999996</v>
      </c>
      <c r="G4857" s="7" t="str">
        <f t="shared" si="26"/>
        <v>Direct</v>
      </c>
      <c r="H4857" s="7" t="s">
        <v>5436</v>
      </c>
    </row>
    <row r="4858" spans="1:8" x14ac:dyDescent="0.2">
      <c r="A4858" s="5" t="s">
        <v>27</v>
      </c>
      <c r="B4858" s="6" t="s">
        <v>19</v>
      </c>
      <c r="C4858" s="7" t="s">
        <v>4177</v>
      </c>
      <c r="D4858" s="7"/>
      <c r="E4858" s="8">
        <v>2.7311530500000001</v>
      </c>
      <c r="F4858" s="8">
        <v>3.4013148499999999</v>
      </c>
      <c r="G4858" s="7" t="str">
        <f t="shared" si="26"/>
        <v>Direct</v>
      </c>
      <c r="H4858" s="7" t="s">
        <v>16</v>
      </c>
    </row>
    <row r="4859" spans="1:8" x14ac:dyDescent="0.2">
      <c r="A4859" s="5" t="s">
        <v>27</v>
      </c>
      <c r="B4859" s="6" t="s">
        <v>19</v>
      </c>
      <c r="C4859" s="7" t="s">
        <v>5437</v>
      </c>
      <c r="D4859" s="7"/>
      <c r="E4859" s="8">
        <v>11.0178998</v>
      </c>
      <c r="F4859" s="8">
        <v>11.647672399999999</v>
      </c>
      <c r="G4859" s="7" t="str">
        <f t="shared" si="26"/>
        <v>Direct</v>
      </c>
      <c r="H4859" s="7" t="s">
        <v>16</v>
      </c>
    </row>
    <row r="4860" spans="1:8" x14ac:dyDescent="0.2">
      <c r="A4860" s="5" t="s">
        <v>27</v>
      </c>
      <c r="B4860" s="6" t="s">
        <v>19</v>
      </c>
      <c r="C4860" s="7" t="s">
        <v>5438</v>
      </c>
      <c r="D4860" s="7"/>
      <c r="E4860" s="8">
        <v>2.5413149499999999</v>
      </c>
      <c r="F4860" s="8">
        <v>1.15637787</v>
      </c>
      <c r="G4860" s="7" t="str">
        <f t="shared" si="26"/>
        <v>Direct</v>
      </c>
      <c r="H4860" s="7" t="s">
        <v>16</v>
      </c>
    </row>
    <row r="4861" spans="1:8" x14ac:dyDescent="0.2">
      <c r="A4861" s="5" t="s">
        <v>27</v>
      </c>
      <c r="B4861" s="6" t="s">
        <v>19</v>
      </c>
      <c r="C4861" s="7" t="s">
        <v>4178</v>
      </c>
      <c r="D4861" s="7"/>
      <c r="E4861" s="8">
        <v>2.3520538700000002</v>
      </c>
      <c r="F4861" s="8">
        <v>1.8359055399999999</v>
      </c>
      <c r="G4861" s="7" t="str">
        <f t="shared" si="26"/>
        <v>Direct</v>
      </c>
      <c r="H4861" s="7" t="s">
        <v>16</v>
      </c>
    </row>
    <row r="4862" spans="1:8" x14ac:dyDescent="0.2">
      <c r="A4862" s="5" t="s">
        <v>27</v>
      </c>
      <c r="B4862" s="6" t="s">
        <v>19</v>
      </c>
      <c r="C4862" s="7" t="s">
        <v>5439</v>
      </c>
      <c r="D4862" s="7"/>
      <c r="E4862" s="8">
        <v>-5.7524974000000002</v>
      </c>
      <c r="F4862" s="8">
        <v>-7.1582150999999996</v>
      </c>
      <c r="G4862" s="7" t="str">
        <f t="shared" si="26"/>
        <v>Direct</v>
      </c>
      <c r="H4862" s="7" t="s">
        <v>5440</v>
      </c>
    </row>
    <row r="4863" spans="1:8" x14ac:dyDescent="0.2">
      <c r="A4863" s="5" t="s">
        <v>27</v>
      </c>
      <c r="B4863" s="6" t="s">
        <v>19</v>
      </c>
      <c r="C4863" s="7" t="s">
        <v>5441</v>
      </c>
      <c r="D4863" s="7"/>
      <c r="E4863" s="8">
        <v>-5.6539918</v>
      </c>
      <c r="F4863" s="8">
        <v>-5.2560142000000001</v>
      </c>
      <c r="G4863" s="7" t="str">
        <f t="shared" si="26"/>
        <v>Direct</v>
      </c>
      <c r="H4863" s="7" t="s">
        <v>3164</v>
      </c>
    </row>
    <row r="4864" spans="1:8" x14ac:dyDescent="0.2">
      <c r="A4864" s="5" t="s">
        <v>27</v>
      </c>
      <c r="B4864" s="6" t="s">
        <v>19</v>
      </c>
      <c r="C4864" s="7" t="s">
        <v>5442</v>
      </c>
      <c r="D4864" s="7"/>
      <c r="E4864" s="8">
        <v>1.3278865799999999</v>
      </c>
      <c r="F4864" s="8">
        <v>2.3274293799999999</v>
      </c>
      <c r="G4864" s="7" t="str">
        <f t="shared" si="26"/>
        <v>Direct</v>
      </c>
      <c r="H4864" s="7" t="s">
        <v>3161</v>
      </c>
    </row>
    <row r="4865" spans="1:8" x14ac:dyDescent="0.2">
      <c r="A4865" s="5" t="s">
        <v>27</v>
      </c>
      <c r="B4865" s="6" t="s">
        <v>19</v>
      </c>
      <c r="C4865" s="7" t="s">
        <v>5443</v>
      </c>
      <c r="D4865" s="7"/>
      <c r="E4865" s="8">
        <v>-2.5154163999999999</v>
      </c>
      <c r="F4865" s="8">
        <v>-1.124457</v>
      </c>
      <c r="G4865" s="7" t="str">
        <f t="shared" si="26"/>
        <v>Direct</v>
      </c>
      <c r="H4865" s="7" t="s">
        <v>16</v>
      </c>
    </row>
    <row r="4866" spans="1:8" x14ac:dyDescent="0.2">
      <c r="A4866" s="5" t="s">
        <v>27</v>
      </c>
      <c r="B4866" s="6" t="s">
        <v>19</v>
      </c>
      <c r="C4866" s="7" t="s">
        <v>5444</v>
      </c>
      <c r="D4866" s="7"/>
      <c r="E4866" s="8">
        <v>1.2783352800000001</v>
      </c>
      <c r="F4866" s="8">
        <v>1.47601889</v>
      </c>
      <c r="G4866" s="7" t="str">
        <f t="shared" si="26"/>
        <v>Direct</v>
      </c>
      <c r="H4866" s="7" t="s">
        <v>16</v>
      </c>
    </row>
    <row r="4867" spans="1:8" x14ac:dyDescent="0.2">
      <c r="A4867" s="5" t="s">
        <v>27</v>
      </c>
      <c r="B4867" s="6" t="s">
        <v>19</v>
      </c>
      <c r="C4867" s="7" t="s">
        <v>5445</v>
      </c>
      <c r="D4867" s="7"/>
      <c r="E4867" s="8">
        <v>3.48516315</v>
      </c>
      <c r="F4867" s="8">
        <v>3.3328521499999999</v>
      </c>
      <c r="G4867" s="7" t="str">
        <f t="shared" si="26"/>
        <v>Direct</v>
      </c>
      <c r="H4867" s="7" t="s">
        <v>5446</v>
      </c>
    </row>
    <row r="4868" spans="1:8" x14ac:dyDescent="0.2">
      <c r="A4868" s="5" t="s">
        <v>27</v>
      </c>
      <c r="B4868" s="6" t="s">
        <v>19</v>
      </c>
      <c r="C4868" s="7" t="s">
        <v>5447</v>
      </c>
      <c r="D4868" s="7"/>
      <c r="E4868" s="8">
        <v>6.7801301900000004</v>
      </c>
      <c r="F4868" s="8">
        <v>9.7479371100000005</v>
      </c>
      <c r="G4868" s="7" t="str">
        <f t="shared" si="26"/>
        <v>Direct</v>
      </c>
      <c r="H4868" s="7" t="s">
        <v>5446</v>
      </c>
    </row>
    <row r="4869" spans="1:8" x14ac:dyDescent="0.2">
      <c r="A4869" s="5" t="s">
        <v>27</v>
      </c>
      <c r="B4869" s="6" t="s">
        <v>19</v>
      </c>
      <c r="C4869" s="7" t="s">
        <v>5448</v>
      </c>
      <c r="D4869" s="7"/>
      <c r="E4869" s="8">
        <v>15.7729134</v>
      </c>
      <c r="F4869" s="8">
        <v>15.5741374</v>
      </c>
      <c r="G4869" s="7" t="str">
        <f t="shared" si="26"/>
        <v>Direct</v>
      </c>
      <c r="H4869" s="7" t="s">
        <v>16</v>
      </c>
    </row>
    <row r="4870" spans="1:8" x14ac:dyDescent="0.2">
      <c r="A4870" s="5" t="s">
        <v>27</v>
      </c>
      <c r="B4870" s="6" t="s">
        <v>19</v>
      </c>
      <c r="C4870" s="7" t="s">
        <v>5449</v>
      </c>
      <c r="D4870" s="7"/>
      <c r="E4870" s="8">
        <v>15.2840144</v>
      </c>
      <c r="F4870" s="8">
        <v>16.635204900000002</v>
      </c>
      <c r="G4870" s="7" t="str">
        <f t="shared" si="26"/>
        <v>Direct</v>
      </c>
      <c r="H4870" s="7" t="s">
        <v>3006</v>
      </c>
    </row>
    <row r="4871" spans="1:8" x14ac:dyDescent="0.2">
      <c r="A4871" s="5" t="s">
        <v>27</v>
      </c>
      <c r="B4871" s="6" t="s">
        <v>19</v>
      </c>
      <c r="C4871" s="7" t="s">
        <v>5450</v>
      </c>
      <c r="D4871" s="7"/>
      <c r="E4871" s="8">
        <v>8.7601249400000007</v>
      </c>
      <c r="F4871" s="8">
        <v>8.2634547000000005</v>
      </c>
      <c r="G4871" s="7" t="str">
        <f t="shared" si="26"/>
        <v>Direct</v>
      </c>
      <c r="H4871" s="7" t="s">
        <v>3155</v>
      </c>
    </row>
    <row r="4872" spans="1:8" x14ac:dyDescent="0.2">
      <c r="A4872" s="5" t="s">
        <v>27</v>
      </c>
      <c r="B4872" s="6" t="s">
        <v>19</v>
      </c>
      <c r="C4872" s="7" t="s">
        <v>4179</v>
      </c>
      <c r="D4872" s="7"/>
      <c r="E4872" s="8">
        <v>2.7018541200000001</v>
      </c>
      <c r="F4872" s="8">
        <v>2.9172311199999998</v>
      </c>
      <c r="G4872" s="7" t="str">
        <f t="shared" si="26"/>
        <v>Direct</v>
      </c>
      <c r="H4872" s="7" t="s">
        <v>16</v>
      </c>
    </row>
    <row r="4873" spans="1:8" x14ac:dyDescent="0.2">
      <c r="A4873" s="5" t="s">
        <v>27</v>
      </c>
      <c r="B4873" s="6" t="s">
        <v>19</v>
      </c>
      <c r="C4873" s="7" t="s">
        <v>5451</v>
      </c>
      <c r="D4873" s="7"/>
      <c r="E4873" s="8">
        <v>1.06064577</v>
      </c>
      <c r="F4873" s="8">
        <v>2.07528479</v>
      </c>
      <c r="G4873" s="7" t="str">
        <f t="shared" si="26"/>
        <v>Direct</v>
      </c>
      <c r="H4873" s="7" t="s">
        <v>16</v>
      </c>
    </row>
    <row r="4874" spans="1:8" x14ac:dyDescent="0.2">
      <c r="A4874" s="5" t="s">
        <v>27</v>
      </c>
      <c r="B4874" s="6" t="s">
        <v>19</v>
      </c>
      <c r="C4874" s="7" t="s">
        <v>5452</v>
      </c>
      <c r="D4874" s="7"/>
      <c r="E4874" s="8">
        <v>-2.1738735999999999</v>
      </c>
      <c r="F4874" s="8">
        <v>-1.6532260999999999</v>
      </c>
      <c r="G4874" s="7" t="str">
        <f t="shared" si="26"/>
        <v>Direct</v>
      </c>
      <c r="H4874" s="7" t="s">
        <v>16</v>
      </c>
    </row>
    <row r="4875" spans="1:8" x14ac:dyDescent="0.2">
      <c r="A4875" s="5" t="s">
        <v>27</v>
      </c>
      <c r="B4875" s="6" t="s">
        <v>19</v>
      </c>
      <c r="C4875" s="7" t="s">
        <v>5453</v>
      </c>
      <c r="D4875" s="7"/>
      <c r="E4875" s="8">
        <v>-2.1326101999999998</v>
      </c>
      <c r="F4875" s="8">
        <v>-1.0597725</v>
      </c>
      <c r="G4875" s="7" t="str">
        <f t="shared" si="26"/>
        <v>Direct</v>
      </c>
      <c r="H4875" s="7" t="s">
        <v>16</v>
      </c>
    </row>
    <row r="4876" spans="1:8" x14ac:dyDescent="0.2">
      <c r="A4876" s="5" t="s">
        <v>27</v>
      </c>
      <c r="B4876" s="6" t="s">
        <v>19</v>
      </c>
      <c r="C4876" s="7" t="s">
        <v>5454</v>
      </c>
      <c r="D4876" s="7"/>
      <c r="E4876" s="8">
        <v>-4.3408965999999998</v>
      </c>
      <c r="F4876" s="8">
        <v>-6.0435144000000003</v>
      </c>
      <c r="G4876" s="7" t="str">
        <f t="shared" si="26"/>
        <v>Direct</v>
      </c>
      <c r="H4876" s="7" t="s">
        <v>3120</v>
      </c>
    </row>
    <row r="4877" spans="1:8" x14ac:dyDescent="0.2">
      <c r="A4877" s="5" t="s">
        <v>27</v>
      </c>
      <c r="B4877" s="6" t="s">
        <v>19</v>
      </c>
      <c r="C4877" s="7" t="s">
        <v>5455</v>
      </c>
      <c r="D4877" s="7"/>
      <c r="E4877" s="8">
        <v>-1.8841334000000001</v>
      </c>
      <c r="F4877" s="8">
        <v>-1.9113553999999999</v>
      </c>
      <c r="G4877" s="7" t="str">
        <f t="shared" si="26"/>
        <v>Direct</v>
      </c>
      <c r="H4877" s="7" t="s">
        <v>820</v>
      </c>
    </row>
    <row r="4878" spans="1:8" x14ac:dyDescent="0.2">
      <c r="A4878" s="5" t="s">
        <v>27</v>
      </c>
      <c r="B4878" s="6" t="s">
        <v>19</v>
      </c>
      <c r="C4878" s="7" t="s">
        <v>5456</v>
      </c>
      <c r="D4878" s="7"/>
      <c r="E4878" s="8">
        <v>1.80933247</v>
      </c>
      <c r="F4878" s="8">
        <v>1.9620522199999999</v>
      </c>
      <c r="G4878" s="7" t="str">
        <f t="shared" si="26"/>
        <v>Direct</v>
      </c>
      <c r="H4878" s="7" t="s">
        <v>3953</v>
      </c>
    </row>
    <row r="4879" spans="1:8" x14ac:dyDescent="0.2">
      <c r="A4879" s="5" t="s">
        <v>27</v>
      </c>
      <c r="B4879" s="6" t="s">
        <v>19</v>
      </c>
      <c r="C4879" s="7" t="s">
        <v>5457</v>
      </c>
      <c r="D4879" s="7"/>
      <c r="E4879" s="8">
        <v>3.0415607499999999</v>
      </c>
      <c r="F4879" s="8">
        <v>1.13440265</v>
      </c>
      <c r="G4879" s="7" t="str">
        <f t="shared" si="26"/>
        <v>Direct</v>
      </c>
      <c r="H4879" s="7" t="s">
        <v>5458</v>
      </c>
    </row>
    <row r="4880" spans="1:8" x14ac:dyDescent="0.2">
      <c r="A4880" s="5" t="s">
        <v>27</v>
      </c>
      <c r="B4880" s="6" t="s">
        <v>19</v>
      </c>
      <c r="C4880" s="7" t="s">
        <v>5459</v>
      </c>
      <c r="D4880" s="7"/>
      <c r="E4880" s="8">
        <v>3.87584756</v>
      </c>
      <c r="F4880" s="8">
        <v>2.4373548199999999</v>
      </c>
      <c r="G4880" s="7" t="str">
        <f t="shared" si="26"/>
        <v>Direct</v>
      </c>
      <c r="H4880" s="7" t="s">
        <v>16</v>
      </c>
    </row>
    <row r="4881" spans="1:8" x14ac:dyDescent="0.2">
      <c r="A4881" s="5" t="s">
        <v>27</v>
      </c>
      <c r="B4881" s="6" t="s">
        <v>19</v>
      </c>
      <c r="C4881" s="7" t="s">
        <v>5460</v>
      </c>
      <c r="D4881" s="7"/>
      <c r="E4881" s="8">
        <v>-1.9202286</v>
      </c>
      <c r="F4881" s="8">
        <v>-1.5795973000000001</v>
      </c>
      <c r="G4881" s="7" t="str">
        <f t="shared" si="26"/>
        <v>Direct</v>
      </c>
      <c r="H4881" s="7" t="s">
        <v>5120</v>
      </c>
    </row>
    <row r="4882" spans="1:8" x14ac:dyDescent="0.2">
      <c r="A4882" s="5" t="s">
        <v>27</v>
      </c>
      <c r="B4882" s="6" t="s">
        <v>19</v>
      </c>
      <c r="C4882" s="7" t="s">
        <v>5461</v>
      </c>
      <c r="D4882" s="7"/>
      <c r="E4882" s="8">
        <v>-1.7318764</v>
      </c>
      <c r="F4882" s="8">
        <v>-6.5636517999999997</v>
      </c>
      <c r="G4882" s="7" t="str">
        <f t="shared" si="26"/>
        <v>Direct</v>
      </c>
      <c r="H4882" s="7" t="s">
        <v>3114</v>
      </c>
    </row>
    <row r="4883" spans="1:8" x14ac:dyDescent="0.2">
      <c r="A4883" s="5" t="s">
        <v>27</v>
      </c>
      <c r="B4883" s="6" t="s">
        <v>19</v>
      </c>
      <c r="C4883" s="7" t="s">
        <v>5462</v>
      </c>
      <c r="D4883" s="7"/>
      <c r="E4883" s="8">
        <v>-2.136377</v>
      </c>
      <c r="F4883" s="8">
        <v>-3.7587326000000001</v>
      </c>
      <c r="G4883" s="7" t="str">
        <f t="shared" si="26"/>
        <v>Direct</v>
      </c>
      <c r="H4883" s="7" t="s">
        <v>563</v>
      </c>
    </row>
    <row r="4884" spans="1:8" x14ac:dyDescent="0.2">
      <c r="A4884" s="5" t="s">
        <v>27</v>
      </c>
      <c r="B4884" s="6" t="s">
        <v>19</v>
      </c>
      <c r="C4884" s="7" t="s">
        <v>5463</v>
      </c>
      <c r="D4884" s="7"/>
      <c r="E4884" s="8">
        <v>-1.1611511999999999</v>
      </c>
      <c r="F4884" s="8">
        <v>-3.2999019000000001</v>
      </c>
      <c r="G4884" s="7" t="str">
        <f t="shared" si="26"/>
        <v>Direct</v>
      </c>
      <c r="H4884" s="7" t="s">
        <v>5464</v>
      </c>
    </row>
    <row r="4885" spans="1:8" x14ac:dyDescent="0.2">
      <c r="A4885" s="5" t="s">
        <v>27</v>
      </c>
      <c r="B4885" s="6" t="s">
        <v>19</v>
      </c>
      <c r="C4885" s="7" t="s">
        <v>5465</v>
      </c>
      <c r="D4885" s="7"/>
      <c r="E4885" s="8">
        <v>3.1223287100000001</v>
      </c>
      <c r="F4885" s="8">
        <v>1.2919076300000001</v>
      </c>
      <c r="G4885" s="7" t="str">
        <f t="shared" si="26"/>
        <v>Direct</v>
      </c>
      <c r="H4885" s="7" t="s">
        <v>4662</v>
      </c>
    </row>
    <row r="4886" spans="1:8" x14ac:dyDescent="0.2">
      <c r="A4886" s="5" t="s">
        <v>27</v>
      </c>
      <c r="B4886" s="6" t="s">
        <v>19</v>
      </c>
      <c r="C4886" s="7" t="s">
        <v>5466</v>
      </c>
      <c r="D4886" s="7"/>
      <c r="E4886" s="8">
        <v>-4.2606210999999998</v>
      </c>
      <c r="F4886" s="8">
        <v>-3.6703977999999999</v>
      </c>
      <c r="G4886" s="7" t="str">
        <f t="shared" si="26"/>
        <v>Direct</v>
      </c>
      <c r="H4886" s="7" t="s">
        <v>5467</v>
      </c>
    </row>
    <row r="4887" spans="1:8" x14ac:dyDescent="0.2">
      <c r="A4887" s="5" t="s">
        <v>27</v>
      </c>
      <c r="B4887" s="6" t="s">
        <v>19</v>
      </c>
      <c r="C4887" s="7" t="s">
        <v>5468</v>
      </c>
      <c r="D4887" s="7"/>
      <c r="E4887" s="8">
        <v>-7.4651448</v>
      </c>
      <c r="F4887" s="8">
        <v>-6.3424689000000001</v>
      </c>
      <c r="G4887" s="7" t="str">
        <f t="shared" si="26"/>
        <v>Direct</v>
      </c>
      <c r="H4887" s="7" t="s">
        <v>16</v>
      </c>
    </row>
    <row r="4888" spans="1:8" x14ac:dyDescent="0.2">
      <c r="A4888" s="5" t="s">
        <v>27</v>
      </c>
      <c r="B4888" s="6" t="s">
        <v>19</v>
      </c>
      <c r="C4888" s="7" t="s">
        <v>5469</v>
      </c>
      <c r="D4888" s="7"/>
      <c r="E4888" s="8">
        <v>-1.3112883</v>
      </c>
      <c r="F4888" s="8">
        <v>-1.1269175</v>
      </c>
      <c r="G4888" s="7" t="str">
        <f t="shared" si="26"/>
        <v>Direct</v>
      </c>
      <c r="H4888" s="7" t="s">
        <v>5470</v>
      </c>
    </row>
    <row r="4889" spans="1:8" x14ac:dyDescent="0.2">
      <c r="A4889" s="5" t="s">
        <v>27</v>
      </c>
      <c r="B4889" s="6" t="s">
        <v>19</v>
      </c>
      <c r="C4889" s="7" t="s">
        <v>5471</v>
      </c>
      <c r="D4889" s="7"/>
      <c r="E4889" s="8">
        <v>-4.6750533000000001</v>
      </c>
      <c r="F4889" s="8">
        <v>-2.6091535000000001</v>
      </c>
      <c r="G4889" s="7" t="str">
        <f t="shared" si="26"/>
        <v>Direct</v>
      </c>
      <c r="H4889" s="7" t="s">
        <v>5472</v>
      </c>
    </row>
    <row r="4890" spans="1:8" x14ac:dyDescent="0.2">
      <c r="A4890" s="5" t="s">
        <v>27</v>
      </c>
      <c r="B4890" s="6" t="s">
        <v>19</v>
      </c>
      <c r="C4890" s="7" t="s">
        <v>4180</v>
      </c>
      <c r="D4890" s="7"/>
      <c r="E4890" s="8">
        <v>-1.7078111</v>
      </c>
      <c r="F4890" s="8">
        <v>-2.2125319999999999</v>
      </c>
      <c r="G4890" s="7" t="str">
        <f t="shared" si="26"/>
        <v>Direct</v>
      </c>
      <c r="H4890" s="7" t="s">
        <v>4091</v>
      </c>
    </row>
    <row r="4891" spans="1:8" x14ac:dyDescent="0.2">
      <c r="A4891" s="5" t="s">
        <v>27</v>
      </c>
      <c r="B4891" s="6" t="s">
        <v>19</v>
      </c>
      <c r="C4891" s="7" t="s">
        <v>5473</v>
      </c>
      <c r="D4891" s="7"/>
      <c r="E4891" s="8">
        <v>-1.7815977999999999</v>
      </c>
      <c r="F4891" s="8">
        <v>-1.8783639999999999</v>
      </c>
      <c r="G4891" s="7" t="str">
        <f t="shared" si="26"/>
        <v>Direct</v>
      </c>
      <c r="H4891" s="7" t="s">
        <v>92</v>
      </c>
    </row>
    <row r="4892" spans="1:8" x14ac:dyDescent="0.2">
      <c r="A4892" s="5" t="s">
        <v>27</v>
      </c>
      <c r="B4892" s="6" t="s">
        <v>19</v>
      </c>
      <c r="C4892" s="7" t="s">
        <v>5474</v>
      </c>
      <c r="D4892" s="7"/>
      <c r="E4892" s="8">
        <v>-3.4574809000000002</v>
      </c>
      <c r="F4892" s="8">
        <v>-4.0748072000000004</v>
      </c>
      <c r="G4892" s="7" t="str">
        <f t="shared" si="26"/>
        <v>Direct</v>
      </c>
      <c r="H4892" s="7" t="s">
        <v>2353</v>
      </c>
    </row>
    <row r="4893" spans="1:8" x14ac:dyDescent="0.2">
      <c r="A4893" s="5" t="s">
        <v>27</v>
      </c>
      <c r="B4893" s="6" t="s">
        <v>19</v>
      </c>
      <c r="C4893" s="7" t="s">
        <v>5475</v>
      </c>
      <c r="D4893" s="7"/>
      <c r="E4893" s="8">
        <v>-1.1930035000000001</v>
      </c>
      <c r="F4893" s="8">
        <v>-1.0693686</v>
      </c>
      <c r="G4893" s="7" t="str">
        <f t="shared" si="26"/>
        <v>Direct</v>
      </c>
      <c r="H4893" s="7" t="s">
        <v>5476</v>
      </c>
    </row>
    <row r="4894" spans="1:8" x14ac:dyDescent="0.2">
      <c r="A4894" s="5" t="s">
        <v>27</v>
      </c>
      <c r="B4894" s="6" t="s">
        <v>19</v>
      </c>
      <c r="C4894" s="7" t="s">
        <v>5477</v>
      </c>
      <c r="D4894" s="7"/>
      <c r="E4894" s="8">
        <v>-1.5316733</v>
      </c>
      <c r="F4894" s="8">
        <v>-3.4645728999999998</v>
      </c>
      <c r="G4894" s="7" t="str">
        <f t="shared" si="26"/>
        <v>Direct</v>
      </c>
      <c r="H4894" s="7" t="s">
        <v>5478</v>
      </c>
    </row>
    <row r="4895" spans="1:8" x14ac:dyDescent="0.2">
      <c r="A4895" s="5" t="s">
        <v>27</v>
      </c>
      <c r="B4895" s="6" t="s">
        <v>19</v>
      </c>
      <c r="C4895" s="7" t="s">
        <v>5479</v>
      </c>
      <c r="D4895" s="7"/>
      <c r="E4895" s="8">
        <v>4.66305353</v>
      </c>
      <c r="F4895" s="8">
        <v>5.6384310600000003</v>
      </c>
      <c r="G4895" s="7" t="str">
        <f t="shared" si="26"/>
        <v>Direct</v>
      </c>
      <c r="H4895" s="7" t="s">
        <v>5480</v>
      </c>
    </row>
    <row r="4896" spans="1:8" x14ac:dyDescent="0.2">
      <c r="A4896" s="5" t="s">
        <v>27</v>
      </c>
      <c r="B4896" s="6" t="s">
        <v>19</v>
      </c>
      <c r="C4896" s="7" t="s">
        <v>4181</v>
      </c>
      <c r="D4896" s="7"/>
      <c r="E4896" s="8">
        <v>1.0746188000000001</v>
      </c>
      <c r="F4896" s="8">
        <v>1.4227927899999999</v>
      </c>
      <c r="G4896" s="7" t="str">
        <f t="shared" si="26"/>
        <v>Direct</v>
      </c>
      <c r="H4896" s="7" t="s">
        <v>2213</v>
      </c>
    </row>
    <row r="4897" spans="1:8" x14ac:dyDescent="0.2">
      <c r="A4897" s="5" t="s">
        <v>27</v>
      </c>
      <c r="B4897" s="6" t="s">
        <v>19</v>
      </c>
      <c r="C4897" s="7" t="s">
        <v>4182</v>
      </c>
      <c r="D4897" s="7"/>
      <c r="E4897" s="8">
        <v>-1.2082265000000001</v>
      </c>
      <c r="F4897" s="8">
        <v>-1.9683101999999999</v>
      </c>
      <c r="G4897" s="7" t="str">
        <f t="shared" si="26"/>
        <v>Direct</v>
      </c>
      <c r="H4897" s="7" t="s">
        <v>2360</v>
      </c>
    </row>
    <row r="4898" spans="1:8" x14ac:dyDescent="0.2">
      <c r="A4898" s="5" t="s">
        <v>27</v>
      </c>
      <c r="B4898" s="6" t="s">
        <v>19</v>
      </c>
      <c r="C4898" s="7" t="s">
        <v>5481</v>
      </c>
      <c r="D4898" s="7"/>
      <c r="E4898" s="8">
        <v>-2.6847601999999999</v>
      </c>
      <c r="F4898" s="8">
        <v>-2.9548378999999998</v>
      </c>
      <c r="G4898" s="7" t="str">
        <f t="shared" si="26"/>
        <v>Direct</v>
      </c>
      <c r="H4898" s="7" t="s">
        <v>16</v>
      </c>
    </row>
    <row r="4899" spans="1:8" x14ac:dyDescent="0.2">
      <c r="A4899" s="5" t="s">
        <v>27</v>
      </c>
      <c r="B4899" s="6" t="s">
        <v>19</v>
      </c>
      <c r="C4899" s="7" t="s">
        <v>4183</v>
      </c>
      <c r="D4899" s="7"/>
      <c r="E4899" s="8">
        <v>3.2867876599999999</v>
      </c>
      <c r="F4899" s="8">
        <v>3.85912107</v>
      </c>
      <c r="G4899" s="7" t="str">
        <f t="shared" si="26"/>
        <v>Direct</v>
      </c>
      <c r="H4899" s="7" t="s">
        <v>16</v>
      </c>
    </row>
    <row r="4900" spans="1:8" x14ac:dyDescent="0.2">
      <c r="A4900" s="5" t="s">
        <v>27</v>
      </c>
      <c r="B4900" s="6" t="s">
        <v>19</v>
      </c>
      <c r="C4900" s="7" t="s">
        <v>5482</v>
      </c>
      <c r="D4900" s="7"/>
      <c r="E4900" s="8">
        <v>1.92535798</v>
      </c>
      <c r="F4900" s="8">
        <v>2.2402647600000001</v>
      </c>
      <c r="G4900" s="7" t="str">
        <f t="shared" si="26"/>
        <v>Direct</v>
      </c>
      <c r="H4900" s="7" t="s">
        <v>5483</v>
      </c>
    </row>
    <row r="4901" spans="1:8" x14ac:dyDescent="0.2">
      <c r="A4901" s="5" t="s">
        <v>27</v>
      </c>
      <c r="B4901" s="6" t="s">
        <v>19</v>
      </c>
      <c r="C4901" s="7" t="s">
        <v>5484</v>
      </c>
      <c r="D4901" s="7"/>
      <c r="E4901" s="8">
        <v>-3.6245212000000002</v>
      </c>
      <c r="F4901" s="8">
        <v>-1.4260600000000001</v>
      </c>
      <c r="G4901" s="7" t="str">
        <f t="shared" si="26"/>
        <v>Direct</v>
      </c>
      <c r="H4901" s="7" t="s">
        <v>5485</v>
      </c>
    </row>
    <row r="4902" spans="1:8" x14ac:dyDescent="0.2">
      <c r="A4902" s="5" t="s">
        <v>27</v>
      </c>
      <c r="B4902" s="6" t="s">
        <v>19</v>
      </c>
      <c r="C4902" s="7" t="s">
        <v>5486</v>
      </c>
      <c r="D4902" s="7"/>
      <c r="E4902" s="8">
        <v>1.28651315</v>
      </c>
      <c r="F4902" s="8">
        <v>1.51248005</v>
      </c>
      <c r="G4902" s="7" t="str">
        <f t="shared" si="26"/>
        <v>Direct</v>
      </c>
      <c r="H4902" s="7" t="s">
        <v>5487</v>
      </c>
    </row>
    <row r="4903" spans="1:8" x14ac:dyDescent="0.2">
      <c r="A4903" s="5" t="s">
        <v>27</v>
      </c>
      <c r="B4903" s="6" t="s">
        <v>19</v>
      </c>
      <c r="C4903" s="7" t="s">
        <v>5488</v>
      </c>
      <c r="D4903" s="7"/>
      <c r="E4903" s="8">
        <v>-1.843548</v>
      </c>
      <c r="F4903" s="8">
        <v>-1.6702623999999999</v>
      </c>
      <c r="G4903" s="7" t="str">
        <f t="shared" si="26"/>
        <v>Direct</v>
      </c>
      <c r="H4903" s="7" t="s">
        <v>5489</v>
      </c>
    </row>
    <row r="4904" spans="1:8" x14ac:dyDescent="0.2">
      <c r="A4904" s="5" t="s">
        <v>27</v>
      </c>
      <c r="B4904" s="6" t="s">
        <v>19</v>
      </c>
      <c r="C4904" s="7" t="s">
        <v>5490</v>
      </c>
      <c r="D4904" s="7"/>
      <c r="E4904" s="8">
        <v>1.1792583699999999</v>
      </c>
      <c r="F4904" s="8">
        <v>1.3051068699999999</v>
      </c>
      <c r="G4904" s="7" t="str">
        <f t="shared" si="26"/>
        <v>Direct</v>
      </c>
      <c r="H4904" s="7" t="s">
        <v>5491</v>
      </c>
    </row>
    <row r="4905" spans="1:8" x14ac:dyDescent="0.2">
      <c r="A4905" s="5" t="s">
        <v>27</v>
      </c>
      <c r="B4905" s="6" t="s">
        <v>19</v>
      </c>
      <c r="C4905" s="7" t="s">
        <v>5492</v>
      </c>
      <c r="D4905" s="7"/>
      <c r="E4905" s="8">
        <v>-1.6020224000000001</v>
      </c>
      <c r="F4905" s="8">
        <v>-2.3869264000000001</v>
      </c>
      <c r="G4905" s="7" t="str">
        <f t="shared" si="26"/>
        <v>Direct</v>
      </c>
      <c r="H4905" s="7" t="s">
        <v>5493</v>
      </c>
    </row>
    <row r="4906" spans="1:8" x14ac:dyDescent="0.2">
      <c r="A4906" s="5" t="s">
        <v>27</v>
      </c>
      <c r="B4906" s="6" t="s">
        <v>19</v>
      </c>
      <c r="C4906" s="7" t="s">
        <v>5494</v>
      </c>
      <c r="D4906" s="7"/>
      <c r="E4906" s="8">
        <v>2.6077274199999998</v>
      </c>
      <c r="F4906" s="8">
        <v>2.3874843100000001</v>
      </c>
      <c r="G4906" s="7" t="str">
        <f t="shared" si="26"/>
        <v>Direct</v>
      </c>
      <c r="H4906" s="7" t="s">
        <v>16</v>
      </c>
    </row>
    <row r="4907" spans="1:8" x14ac:dyDescent="0.2">
      <c r="A4907" s="5" t="s">
        <v>27</v>
      </c>
      <c r="B4907" s="6" t="s">
        <v>19</v>
      </c>
      <c r="C4907" s="7" t="s">
        <v>5495</v>
      </c>
      <c r="D4907" s="7"/>
      <c r="E4907" s="8">
        <v>-4.4029885999999996</v>
      </c>
      <c r="F4907" s="8">
        <v>-2.9805492</v>
      </c>
      <c r="G4907" s="7" t="str">
        <f t="shared" si="26"/>
        <v>Direct</v>
      </c>
      <c r="H4907" s="7" t="s">
        <v>3138</v>
      </c>
    </row>
    <row r="4908" spans="1:8" x14ac:dyDescent="0.2">
      <c r="A4908" s="5" t="s">
        <v>27</v>
      </c>
      <c r="B4908" s="6" t="s">
        <v>19</v>
      </c>
      <c r="C4908" s="7" t="s">
        <v>5496</v>
      </c>
      <c r="D4908" s="7"/>
      <c r="E4908" s="8">
        <v>-3.6666664</v>
      </c>
      <c r="F4908" s="8">
        <v>-4.2818962000000003</v>
      </c>
      <c r="G4908" s="7" t="str">
        <f t="shared" si="26"/>
        <v>Direct</v>
      </c>
      <c r="H4908" s="7" t="s">
        <v>5497</v>
      </c>
    </row>
    <row r="4909" spans="1:8" x14ac:dyDescent="0.2">
      <c r="A4909" s="5" t="s">
        <v>27</v>
      </c>
      <c r="B4909" s="6" t="s">
        <v>19</v>
      </c>
      <c r="C4909" s="7" t="s">
        <v>5498</v>
      </c>
      <c r="D4909" s="7"/>
      <c r="E4909" s="8">
        <v>1.0228949000000001</v>
      </c>
      <c r="F4909" s="8">
        <v>2.2059789900000002</v>
      </c>
      <c r="G4909" s="7" t="str">
        <f t="shared" si="26"/>
        <v>Direct</v>
      </c>
      <c r="H4909" s="7" t="s">
        <v>5499</v>
      </c>
    </row>
    <row r="4910" spans="1:8" x14ac:dyDescent="0.2">
      <c r="A4910" s="5" t="s">
        <v>27</v>
      </c>
      <c r="B4910" s="6" t="s">
        <v>19</v>
      </c>
      <c r="C4910" s="7" t="s">
        <v>5500</v>
      </c>
      <c r="D4910" s="7"/>
      <c r="E4910" s="8">
        <v>-3.0582341</v>
      </c>
      <c r="F4910" s="8">
        <v>-3.5196079999999998</v>
      </c>
      <c r="G4910" s="7" t="str">
        <f t="shared" si="26"/>
        <v>Direct</v>
      </c>
      <c r="H4910" s="7" t="s">
        <v>5501</v>
      </c>
    </row>
    <row r="4911" spans="1:8" x14ac:dyDescent="0.2">
      <c r="A4911" s="5" t="s">
        <v>27</v>
      </c>
      <c r="B4911" s="6" t="s">
        <v>19</v>
      </c>
      <c r="C4911" s="7" t="s">
        <v>5502</v>
      </c>
      <c r="D4911" s="7"/>
      <c r="E4911" s="8">
        <v>-1.2996160999999999</v>
      </c>
      <c r="F4911" s="8">
        <v>-1.0532170000000001</v>
      </c>
      <c r="G4911" s="7" t="str">
        <f t="shared" si="26"/>
        <v>Direct</v>
      </c>
      <c r="H4911" s="7" t="s">
        <v>5503</v>
      </c>
    </row>
    <row r="4912" spans="1:8" x14ac:dyDescent="0.2">
      <c r="A4912" s="5" t="s">
        <v>27</v>
      </c>
      <c r="B4912" s="6" t="s">
        <v>19</v>
      </c>
      <c r="C4912" s="7" t="s">
        <v>5504</v>
      </c>
      <c r="D4912" s="7"/>
      <c r="E4912" s="8">
        <v>-2.5867239999999998</v>
      </c>
      <c r="F4912" s="8">
        <v>-1.3519211</v>
      </c>
      <c r="G4912" s="7" t="str">
        <f t="shared" si="26"/>
        <v>Direct</v>
      </c>
      <c r="H4912" s="7" t="s">
        <v>4842</v>
      </c>
    </row>
    <row r="4913" spans="1:8" x14ac:dyDescent="0.2">
      <c r="A4913" s="5" t="s">
        <v>27</v>
      </c>
      <c r="B4913" s="6" t="s">
        <v>19</v>
      </c>
      <c r="C4913" s="7" t="s">
        <v>5505</v>
      </c>
      <c r="D4913" s="7"/>
      <c r="E4913" s="8">
        <v>3.0632496100000002</v>
      </c>
      <c r="F4913" s="8">
        <v>2.2749203599999999</v>
      </c>
      <c r="G4913" s="7" t="str">
        <f t="shared" si="26"/>
        <v>Direct</v>
      </c>
      <c r="H4913" s="7" t="s">
        <v>5506</v>
      </c>
    </row>
    <row r="4914" spans="1:8" x14ac:dyDescent="0.2">
      <c r="A4914" s="5" t="s">
        <v>27</v>
      </c>
      <c r="B4914" s="6" t="s">
        <v>19</v>
      </c>
      <c r="C4914" s="7" t="s">
        <v>5507</v>
      </c>
      <c r="D4914" s="7"/>
      <c r="E4914" s="8">
        <v>-3.4597715999999998</v>
      </c>
      <c r="F4914" s="8">
        <v>-3.2175256999999999</v>
      </c>
      <c r="G4914" s="7" t="str">
        <f t="shared" si="26"/>
        <v>Direct</v>
      </c>
      <c r="H4914" s="7" t="s">
        <v>16</v>
      </c>
    </row>
    <row r="4915" spans="1:8" x14ac:dyDescent="0.2">
      <c r="A4915" s="5" t="s">
        <v>27</v>
      </c>
      <c r="B4915" s="6" t="s">
        <v>19</v>
      </c>
      <c r="C4915" s="7" t="s">
        <v>5508</v>
      </c>
      <c r="D4915" s="7"/>
      <c r="E4915" s="8">
        <v>1.1596492700000001</v>
      </c>
      <c r="F4915" s="8">
        <v>2.5265857999999999</v>
      </c>
      <c r="G4915" s="7" t="str">
        <f t="shared" si="26"/>
        <v>Direct</v>
      </c>
      <c r="H4915" s="7" t="s">
        <v>5509</v>
      </c>
    </row>
    <row r="4916" spans="1:8" x14ac:dyDescent="0.2">
      <c r="A4916" s="5" t="s">
        <v>27</v>
      </c>
      <c r="B4916" s="6" t="s">
        <v>19</v>
      </c>
      <c r="C4916" s="7" t="s">
        <v>5510</v>
      </c>
      <c r="D4916" s="7"/>
      <c r="E4916" s="8">
        <v>1.40513376</v>
      </c>
      <c r="F4916" s="8">
        <v>1.1900224800000001</v>
      </c>
      <c r="G4916" s="7" t="str">
        <f t="shared" si="26"/>
        <v>Direct</v>
      </c>
      <c r="H4916" s="7" t="s">
        <v>5511</v>
      </c>
    </row>
    <row r="4917" spans="1:8" x14ac:dyDescent="0.2">
      <c r="A4917" s="5" t="s">
        <v>27</v>
      </c>
      <c r="B4917" s="6" t="s">
        <v>19</v>
      </c>
      <c r="C4917" s="7" t="s">
        <v>4184</v>
      </c>
      <c r="D4917" s="7"/>
      <c r="E4917" s="8">
        <v>-3.3501143999999998</v>
      </c>
      <c r="F4917" s="8">
        <v>-3.7489433999999999</v>
      </c>
      <c r="G4917" s="7" t="str">
        <f t="shared" si="26"/>
        <v>Direct</v>
      </c>
      <c r="H4917" s="7" t="s">
        <v>663</v>
      </c>
    </row>
    <row r="4918" spans="1:8" x14ac:dyDescent="0.2">
      <c r="A4918" s="5" t="s">
        <v>27</v>
      </c>
      <c r="B4918" s="6" t="s">
        <v>19</v>
      </c>
      <c r="C4918" s="7" t="s">
        <v>5512</v>
      </c>
      <c r="D4918" s="7"/>
      <c r="E4918" s="8">
        <v>-1.2424812999999999</v>
      </c>
      <c r="F4918" s="8">
        <v>-1.1747706</v>
      </c>
      <c r="G4918" s="7" t="str">
        <f t="shared" si="26"/>
        <v>Direct</v>
      </c>
      <c r="H4918" s="7" t="s">
        <v>5513</v>
      </c>
    </row>
    <row r="4919" spans="1:8" x14ac:dyDescent="0.2">
      <c r="A4919" s="5" t="s">
        <v>27</v>
      </c>
      <c r="B4919" s="6" t="s">
        <v>19</v>
      </c>
      <c r="C4919" s="7" t="s">
        <v>5514</v>
      </c>
      <c r="D4919" s="7"/>
      <c r="E4919" s="8">
        <v>-2.6198502000000001</v>
      </c>
      <c r="F4919" s="8">
        <v>-1.6576222</v>
      </c>
      <c r="G4919" s="7" t="str">
        <f t="shared" si="26"/>
        <v>Direct</v>
      </c>
      <c r="H4919" s="7" t="s">
        <v>16</v>
      </c>
    </row>
    <row r="4920" spans="1:8" x14ac:dyDescent="0.2">
      <c r="A4920" s="5" t="s">
        <v>27</v>
      </c>
      <c r="B4920" s="6" t="s">
        <v>19</v>
      </c>
      <c r="C4920" s="7" t="s">
        <v>5515</v>
      </c>
      <c r="D4920" s="7"/>
      <c r="E4920" s="8">
        <v>2.7209865600000001</v>
      </c>
      <c r="F4920" s="8">
        <v>2.0850347500000002</v>
      </c>
      <c r="G4920" s="7" t="str">
        <f t="shared" si="26"/>
        <v>Direct</v>
      </c>
      <c r="H4920" s="7" t="s">
        <v>16</v>
      </c>
    </row>
    <row r="4921" spans="1:8" x14ac:dyDescent="0.2">
      <c r="A4921" s="5" t="s">
        <v>27</v>
      </c>
      <c r="B4921" s="6" t="s">
        <v>19</v>
      </c>
      <c r="C4921" s="7" t="s">
        <v>5516</v>
      </c>
      <c r="D4921" s="7"/>
      <c r="E4921" s="8">
        <v>1.15194997</v>
      </c>
      <c r="F4921" s="8">
        <v>1.1065432799999999</v>
      </c>
      <c r="G4921" s="7" t="str">
        <f t="shared" si="26"/>
        <v>Direct</v>
      </c>
      <c r="H4921" s="7" t="s">
        <v>16</v>
      </c>
    </row>
    <row r="4922" spans="1:8" x14ac:dyDescent="0.2">
      <c r="A4922" s="5" t="s">
        <v>27</v>
      </c>
      <c r="B4922" s="6" t="s">
        <v>19</v>
      </c>
      <c r="C4922" s="7" t="s">
        <v>5517</v>
      </c>
      <c r="D4922" s="7"/>
      <c r="E4922" s="8">
        <v>1.0601219799999999</v>
      </c>
      <c r="F4922" s="8">
        <v>1.2848363199999999</v>
      </c>
      <c r="G4922" s="7" t="str">
        <f t="shared" si="26"/>
        <v>Direct</v>
      </c>
      <c r="H4922" s="7" t="s">
        <v>5518</v>
      </c>
    </row>
    <row r="4923" spans="1:8" x14ac:dyDescent="0.2">
      <c r="A4923" s="5" t="s">
        <v>27</v>
      </c>
      <c r="B4923" s="6" t="s">
        <v>19</v>
      </c>
      <c r="C4923" s="7" t="s">
        <v>5519</v>
      </c>
      <c r="D4923" s="7"/>
      <c r="E4923" s="8">
        <v>-2.3022963999999999</v>
      </c>
      <c r="F4923" s="8">
        <v>-1.1460056000000001</v>
      </c>
      <c r="G4923" s="7" t="str">
        <f t="shared" si="26"/>
        <v>Direct</v>
      </c>
      <c r="H4923" s="7" t="s">
        <v>5520</v>
      </c>
    </row>
    <row r="4924" spans="1:8" x14ac:dyDescent="0.2">
      <c r="A4924" s="5" t="s">
        <v>27</v>
      </c>
      <c r="B4924" s="6" t="s">
        <v>19</v>
      </c>
      <c r="C4924" s="7" t="s">
        <v>5521</v>
      </c>
      <c r="D4924" s="7"/>
      <c r="E4924" s="8">
        <v>1.03424943</v>
      </c>
      <c r="F4924" s="8">
        <v>1.15586667</v>
      </c>
      <c r="G4924" s="7" t="str">
        <f t="shared" si="26"/>
        <v>Direct</v>
      </c>
      <c r="H4924" s="7" t="s">
        <v>16</v>
      </c>
    </row>
    <row r="4925" spans="1:8" x14ac:dyDescent="0.2">
      <c r="A4925" s="5" t="s">
        <v>27</v>
      </c>
      <c r="B4925" s="6" t="s">
        <v>19</v>
      </c>
      <c r="C4925" s="7" t="s">
        <v>5522</v>
      </c>
      <c r="D4925" s="7"/>
      <c r="E4925" s="8">
        <v>-1.3283450999999999</v>
      </c>
      <c r="F4925" s="8">
        <v>-2.3929431999999999</v>
      </c>
      <c r="G4925" s="7" t="str">
        <f t="shared" si="26"/>
        <v>Direct</v>
      </c>
      <c r="H4925" s="7" t="s">
        <v>5523</v>
      </c>
    </row>
    <row r="4926" spans="1:8" x14ac:dyDescent="0.2">
      <c r="A4926" s="5" t="s">
        <v>27</v>
      </c>
      <c r="B4926" s="6" t="s">
        <v>19</v>
      </c>
      <c r="C4926" s="7" t="s">
        <v>5524</v>
      </c>
      <c r="D4926" s="7"/>
      <c r="E4926" s="8">
        <v>-1.2610258999999999</v>
      </c>
      <c r="F4926" s="8">
        <v>-1.3117258999999999</v>
      </c>
      <c r="G4926" s="7" t="str">
        <f t="shared" si="26"/>
        <v>Direct</v>
      </c>
      <c r="H4926" s="7" t="s">
        <v>5525</v>
      </c>
    </row>
    <row r="4927" spans="1:8" x14ac:dyDescent="0.2">
      <c r="A4927" s="5" t="s">
        <v>27</v>
      </c>
      <c r="B4927" s="6" t="s">
        <v>19</v>
      </c>
      <c r="C4927" s="7" t="s">
        <v>5526</v>
      </c>
      <c r="D4927" s="7"/>
      <c r="E4927" s="8">
        <v>-4.8347350000000002</v>
      </c>
      <c r="F4927" s="8">
        <v>-3.7645979999999999</v>
      </c>
      <c r="G4927" s="7" t="str">
        <f t="shared" si="26"/>
        <v>Direct</v>
      </c>
      <c r="H4927" s="7" t="s">
        <v>16</v>
      </c>
    </row>
    <row r="4928" spans="1:8" x14ac:dyDescent="0.2">
      <c r="A4928" s="5" t="s">
        <v>27</v>
      </c>
      <c r="B4928" s="6" t="s">
        <v>19</v>
      </c>
      <c r="C4928" s="7" t="s">
        <v>5527</v>
      </c>
      <c r="D4928" s="7"/>
      <c r="E4928" s="8">
        <v>1.4170304600000001</v>
      </c>
      <c r="F4928" s="8">
        <v>2.0524462699999999</v>
      </c>
      <c r="G4928" s="7" t="str">
        <f t="shared" si="26"/>
        <v>Direct</v>
      </c>
      <c r="H4928" s="7" t="s">
        <v>5528</v>
      </c>
    </row>
    <row r="4929" spans="1:8" x14ac:dyDescent="0.2">
      <c r="A4929" s="5" t="s">
        <v>27</v>
      </c>
      <c r="B4929" s="6" t="s">
        <v>19</v>
      </c>
      <c r="C4929" s="7" t="s">
        <v>5529</v>
      </c>
      <c r="D4929" s="7"/>
      <c r="E4929" s="8">
        <v>-7.6636113000000003</v>
      </c>
      <c r="F4929" s="8">
        <v>-6.4515352000000004</v>
      </c>
      <c r="G4929" s="7" t="str">
        <f t="shared" si="26"/>
        <v>Direct</v>
      </c>
      <c r="H4929" s="7" t="s">
        <v>5530</v>
      </c>
    </row>
    <row r="4930" spans="1:8" x14ac:dyDescent="0.2">
      <c r="A4930" s="5" t="s">
        <v>27</v>
      </c>
      <c r="B4930" s="6" t="s">
        <v>19</v>
      </c>
      <c r="C4930" s="7" t="s">
        <v>5531</v>
      </c>
      <c r="D4930" s="7"/>
      <c r="E4930" s="8">
        <v>1.39462698</v>
      </c>
      <c r="F4930" s="8">
        <v>1.09117021</v>
      </c>
      <c r="G4930" s="7" t="str">
        <f t="shared" si="26"/>
        <v>Direct</v>
      </c>
      <c r="H4930" s="7" t="s">
        <v>532</v>
      </c>
    </row>
    <row r="4931" spans="1:8" x14ac:dyDescent="0.2">
      <c r="A4931" s="5" t="s">
        <v>27</v>
      </c>
      <c r="B4931" s="6" t="s">
        <v>19</v>
      </c>
      <c r="C4931" s="7" t="s">
        <v>5532</v>
      </c>
      <c r="D4931" s="7"/>
      <c r="E4931" s="8">
        <v>-3.4204952999999998</v>
      </c>
      <c r="F4931" s="8">
        <v>-5.0741639000000003</v>
      </c>
      <c r="G4931" s="7" t="str">
        <f t="shared" si="26"/>
        <v>Direct</v>
      </c>
      <c r="H4931" s="7" t="s">
        <v>5533</v>
      </c>
    </row>
    <row r="4932" spans="1:8" x14ac:dyDescent="0.2">
      <c r="A4932" s="5" t="s">
        <v>27</v>
      </c>
      <c r="B4932" s="6" t="s">
        <v>19</v>
      </c>
      <c r="C4932" s="7" t="s">
        <v>5534</v>
      </c>
      <c r="D4932" s="7"/>
      <c r="E4932" s="8">
        <v>1.3206496599999999</v>
      </c>
      <c r="F4932" s="8">
        <v>1.1672993899999999</v>
      </c>
      <c r="G4932" s="7" t="str">
        <f t="shared" si="26"/>
        <v>Direct</v>
      </c>
      <c r="H4932" s="7" t="s">
        <v>5535</v>
      </c>
    </row>
    <row r="4933" spans="1:8" x14ac:dyDescent="0.2">
      <c r="A4933" s="5" t="s">
        <v>27</v>
      </c>
      <c r="B4933" s="6" t="s">
        <v>19</v>
      </c>
      <c r="C4933" s="7" t="s">
        <v>4187</v>
      </c>
      <c r="D4933" s="7"/>
      <c r="E4933" s="8">
        <v>-1.8261404000000001</v>
      </c>
      <c r="F4933" s="8">
        <v>-2.423921</v>
      </c>
      <c r="G4933" s="7" t="str">
        <f t="shared" si="26"/>
        <v>Direct</v>
      </c>
      <c r="H4933" s="7" t="s">
        <v>4188</v>
      </c>
    </row>
    <row r="4934" spans="1:8" x14ac:dyDescent="0.2">
      <c r="A4934" s="5" t="s">
        <v>27</v>
      </c>
      <c r="B4934" s="6" t="s">
        <v>19</v>
      </c>
      <c r="C4934" s="7" t="s">
        <v>5536</v>
      </c>
      <c r="D4934" s="7"/>
      <c r="E4934" s="8">
        <v>2.62315845</v>
      </c>
      <c r="F4934" s="8">
        <v>1.08103964</v>
      </c>
      <c r="G4934" s="7" t="str">
        <f t="shared" si="26"/>
        <v>Direct</v>
      </c>
      <c r="H4934" s="7" t="s">
        <v>5537</v>
      </c>
    </row>
    <row r="4935" spans="1:8" x14ac:dyDescent="0.2">
      <c r="A4935" s="5" t="s">
        <v>27</v>
      </c>
      <c r="B4935" s="6" t="s">
        <v>19</v>
      </c>
      <c r="C4935" s="7" t="s">
        <v>5538</v>
      </c>
      <c r="D4935" s="7"/>
      <c r="E4935" s="8">
        <v>-9.9470644999999998</v>
      </c>
      <c r="F4935" s="8">
        <v>-12.849026</v>
      </c>
      <c r="G4935" s="7" t="str">
        <f t="shared" si="26"/>
        <v>Direct</v>
      </c>
      <c r="H4935" s="7" t="s">
        <v>3136</v>
      </c>
    </row>
    <row r="4936" spans="1:8" x14ac:dyDescent="0.2">
      <c r="A4936" s="5" t="s">
        <v>27</v>
      </c>
      <c r="B4936" s="6" t="s">
        <v>19</v>
      </c>
      <c r="C4936" s="7" t="s">
        <v>5539</v>
      </c>
      <c r="D4936" s="7"/>
      <c r="E4936" s="8">
        <v>1.2475930900000001</v>
      </c>
      <c r="F4936" s="8">
        <v>1.7552831900000001</v>
      </c>
      <c r="G4936" s="7" t="str">
        <f t="shared" si="26"/>
        <v>Direct</v>
      </c>
      <c r="H4936" s="7" t="s">
        <v>5540</v>
      </c>
    </row>
    <row r="4937" spans="1:8" x14ac:dyDescent="0.2">
      <c r="A4937" s="5" t="s">
        <v>27</v>
      </c>
      <c r="B4937" s="6" t="s">
        <v>19</v>
      </c>
      <c r="C4937" s="7" t="s">
        <v>5541</v>
      </c>
      <c r="D4937" s="7"/>
      <c r="E4937" s="8">
        <v>3.6599275100000002</v>
      </c>
      <c r="F4937" s="8">
        <v>3.4206596500000002</v>
      </c>
      <c r="G4937" s="7" t="str">
        <f t="shared" si="26"/>
        <v>Direct</v>
      </c>
      <c r="H4937" s="7" t="s">
        <v>16</v>
      </c>
    </row>
    <row r="4938" spans="1:8" x14ac:dyDescent="0.2">
      <c r="A4938" s="5" t="s">
        <v>27</v>
      </c>
      <c r="B4938" s="6" t="s">
        <v>19</v>
      </c>
      <c r="C4938" s="7" t="s">
        <v>4190</v>
      </c>
      <c r="D4938" s="7"/>
      <c r="E4938" s="8">
        <v>1.6752047999999999</v>
      </c>
      <c r="F4938" s="8">
        <v>1.18619969</v>
      </c>
      <c r="G4938" s="7" t="str">
        <f t="shared" si="26"/>
        <v>Direct</v>
      </c>
      <c r="H4938" s="7" t="s">
        <v>16</v>
      </c>
    </row>
    <row r="4939" spans="1:8" x14ac:dyDescent="0.2">
      <c r="A4939" s="5" t="s">
        <v>27</v>
      </c>
      <c r="B4939" s="6" t="s">
        <v>19</v>
      </c>
      <c r="C4939" s="7" t="s">
        <v>5542</v>
      </c>
      <c r="D4939" s="7"/>
      <c r="E4939" s="8">
        <v>-3.5374137999999999</v>
      </c>
      <c r="F4939" s="8">
        <v>-2.4850647000000001</v>
      </c>
      <c r="G4939" s="7" t="str">
        <f t="shared" si="26"/>
        <v>Direct</v>
      </c>
      <c r="H4939" s="7" t="s">
        <v>16</v>
      </c>
    </row>
    <row r="4940" spans="1:8" x14ac:dyDescent="0.2">
      <c r="A4940" s="5" t="s">
        <v>27</v>
      </c>
      <c r="B4940" s="6" t="s">
        <v>19</v>
      </c>
      <c r="C4940" s="7" t="s">
        <v>5543</v>
      </c>
      <c r="D4940" s="7"/>
      <c r="E4940" s="8">
        <v>-1.2296509</v>
      </c>
      <c r="F4940" s="8">
        <v>-3.6612792000000001</v>
      </c>
      <c r="G4940" s="7" t="str">
        <f t="shared" si="26"/>
        <v>Direct</v>
      </c>
      <c r="H4940" s="7" t="s">
        <v>5544</v>
      </c>
    </row>
    <row r="4941" spans="1:8" x14ac:dyDescent="0.2">
      <c r="A4941" s="5" t="s">
        <v>27</v>
      </c>
      <c r="B4941" s="6" t="s">
        <v>19</v>
      </c>
      <c r="C4941" s="7" t="s">
        <v>5545</v>
      </c>
      <c r="D4941" s="7"/>
      <c r="E4941" s="8">
        <v>-2.1685742000000001</v>
      </c>
      <c r="F4941" s="8">
        <v>-2.7187667000000002</v>
      </c>
      <c r="G4941" s="7" t="str">
        <f t="shared" si="26"/>
        <v>Direct</v>
      </c>
      <c r="H4941" s="7" t="s">
        <v>957</v>
      </c>
    </row>
    <row r="4942" spans="1:8" x14ac:dyDescent="0.2">
      <c r="A4942" s="5" t="s">
        <v>27</v>
      </c>
      <c r="B4942" s="6" t="s">
        <v>19</v>
      </c>
      <c r="C4942" s="7" t="s">
        <v>5546</v>
      </c>
      <c r="D4942" s="7"/>
      <c r="E4942" s="8">
        <v>-1.4436918000000001</v>
      </c>
      <c r="F4942" s="8">
        <v>-1.2518752</v>
      </c>
      <c r="G4942" s="7" t="str">
        <f t="shared" si="26"/>
        <v>Direct</v>
      </c>
      <c r="H4942" s="7" t="s">
        <v>5547</v>
      </c>
    </row>
    <row r="4943" spans="1:8" x14ac:dyDescent="0.2">
      <c r="A4943" s="5" t="s">
        <v>27</v>
      </c>
      <c r="B4943" s="6" t="s">
        <v>19</v>
      </c>
      <c r="C4943" s="7" t="s">
        <v>4191</v>
      </c>
      <c r="D4943" s="7"/>
      <c r="E4943" s="8">
        <v>-8.7179164</v>
      </c>
      <c r="F4943" s="8">
        <v>-8.1037371</v>
      </c>
      <c r="G4943" s="7" t="str">
        <f t="shared" si="26"/>
        <v>Direct</v>
      </c>
      <c r="H4943" s="7" t="s">
        <v>3214</v>
      </c>
    </row>
    <row r="4944" spans="1:8" x14ac:dyDescent="0.2">
      <c r="A4944" s="5" t="s">
        <v>27</v>
      </c>
      <c r="B4944" s="6" t="s">
        <v>19</v>
      </c>
      <c r="C4944" s="7" t="s">
        <v>5548</v>
      </c>
      <c r="D4944" s="7"/>
      <c r="E4944" s="8">
        <v>-2.9409245999999998</v>
      </c>
      <c r="F4944" s="8">
        <v>-4.7335846000000004</v>
      </c>
      <c r="G4944" s="7" t="str">
        <f t="shared" si="26"/>
        <v>Direct</v>
      </c>
      <c r="H4944" s="7" t="s">
        <v>5549</v>
      </c>
    </row>
    <row r="4945" spans="1:8" x14ac:dyDescent="0.2">
      <c r="A4945" s="5" t="s">
        <v>27</v>
      </c>
      <c r="B4945" s="6" t="s">
        <v>19</v>
      </c>
      <c r="C4945" s="7" t="s">
        <v>5550</v>
      </c>
      <c r="D4945" s="7"/>
      <c r="E4945" s="8">
        <v>-2.8585373000000001</v>
      </c>
      <c r="F4945" s="8">
        <v>-3.4335696000000002</v>
      </c>
      <c r="G4945" s="7" t="str">
        <f t="shared" si="26"/>
        <v>Direct</v>
      </c>
      <c r="H4945" s="7" t="s">
        <v>349</v>
      </c>
    </row>
    <row r="4946" spans="1:8" x14ac:dyDescent="0.2">
      <c r="A4946" s="5" t="s">
        <v>27</v>
      </c>
      <c r="B4946" s="6" t="s">
        <v>19</v>
      </c>
      <c r="C4946" s="7" t="s">
        <v>5551</v>
      </c>
      <c r="D4946" s="7"/>
      <c r="E4946" s="8">
        <v>2.6037495100000001</v>
      </c>
      <c r="F4946" s="8">
        <v>2.3998890500000001</v>
      </c>
      <c r="G4946" s="7" t="str">
        <f t="shared" si="26"/>
        <v>Direct</v>
      </c>
      <c r="H4946" s="7" t="s">
        <v>820</v>
      </c>
    </row>
    <row r="4947" spans="1:8" x14ac:dyDescent="0.2">
      <c r="A4947" s="5" t="s">
        <v>27</v>
      </c>
      <c r="B4947" s="6" t="s">
        <v>19</v>
      </c>
      <c r="C4947" s="7" t="s">
        <v>5552</v>
      </c>
      <c r="D4947" s="7"/>
      <c r="E4947" s="8">
        <v>1.0559186599999999</v>
      </c>
      <c r="F4947" s="8">
        <v>1.2151656799999999</v>
      </c>
      <c r="G4947" s="7" t="str">
        <f t="shared" si="26"/>
        <v>Direct</v>
      </c>
      <c r="H4947" s="7" t="s">
        <v>728</v>
      </c>
    </row>
    <row r="4948" spans="1:8" x14ac:dyDescent="0.2">
      <c r="A4948" s="5" t="s">
        <v>27</v>
      </c>
      <c r="B4948" s="6" t="s">
        <v>19</v>
      </c>
      <c r="C4948" s="7" t="s">
        <v>5553</v>
      </c>
      <c r="D4948" s="7"/>
      <c r="E4948" s="8">
        <v>-2.1777562000000001</v>
      </c>
      <c r="F4948" s="8">
        <v>-1.7009736</v>
      </c>
      <c r="G4948" s="7" t="str">
        <f t="shared" si="26"/>
        <v>Direct</v>
      </c>
      <c r="H4948" s="7" t="s">
        <v>16</v>
      </c>
    </row>
    <row r="4949" spans="1:8" x14ac:dyDescent="0.2">
      <c r="A4949" s="5" t="s">
        <v>27</v>
      </c>
      <c r="B4949" s="6" t="s">
        <v>19</v>
      </c>
      <c r="C4949" s="7" t="s">
        <v>5554</v>
      </c>
      <c r="D4949" s="7"/>
      <c r="E4949" s="8">
        <v>-1.3190436999999999</v>
      </c>
      <c r="F4949" s="8">
        <v>-1.7370308999999999</v>
      </c>
      <c r="G4949" s="7" t="str">
        <f t="shared" si="26"/>
        <v>Direct</v>
      </c>
      <c r="H4949" s="7" t="s">
        <v>1839</v>
      </c>
    </row>
    <row r="4950" spans="1:8" x14ac:dyDescent="0.2">
      <c r="A4950" s="5" t="s">
        <v>27</v>
      </c>
      <c r="B4950" s="6" t="s">
        <v>19</v>
      </c>
      <c r="C4950" s="7" t="s">
        <v>5555</v>
      </c>
      <c r="D4950" s="7"/>
      <c r="E4950" s="8">
        <v>-1.5099742</v>
      </c>
      <c r="F4950" s="8">
        <v>-4.9227014000000002</v>
      </c>
      <c r="G4950" s="7" t="str">
        <f t="shared" si="26"/>
        <v>Direct</v>
      </c>
      <c r="H4950" s="7" t="s">
        <v>5556</v>
      </c>
    </row>
    <row r="4951" spans="1:8" x14ac:dyDescent="0.2">
      <c r="A4951" s="5" t="s">
        <v>27</v>
      </c>
      <c r="B4951" s="6" t="s">
        <v>19</v>
      </c>
      <c r="C4951" s="7" t="s">
        <v>5557</v>
      </c>
      <c r="D4951" s="7"/>
      <c r="E4951" s="8">
        <v>-1.8538551000000001</v>
      </c>
      <c r="F4951" s="8">
        <v>-1.4130684</v>
      </c>
      <c r="G4951" s="7" t="str">
        <f t="shared" si="26"/>
        <v>Direct</v>
      </c>
      <c r="H4951" s="7" t="s">
        <v>5558</v>
      </c>
    </row>
    <row r="4952" spans="1:8" x14ac:dyDescent="0.2">
      <c r="A4952" s="5" t="s">
        <v>27</v>
      </c>
      <c r="B4952" s="6" t="s">
        <v>19</v>
      </c>
      <c r="C4952" s="7" t="s">
        <v>5559</v>
      </c>
      <c r="D4952" s="7"/>
      <c r="E4952" s="8">
        <v>5.0168353100000003</v>
      </c>
      <c r="F4952" s="8">
        <v>2.0900383499999999</v>
      </c>
      <c r="G4952" s="7" t="str">
        <f t="shared" si="26"/>
        <v>Direct</v>
      </c>
      <c r="H4952" s="7" t="s">
        <v>2137</v>
      </c>
    </row>
    <row r="4953" spans="1:8" x14ac:dyDescent="0.2">
      <c r="A4953" s="5" t="s">
        <v>27</v>
      </c>
      <c r="B4953" s="6" t="s">
        <v>19</v>
      </c>
      <c r="C4953" s="7" t="s">
        <v>5560</v>
      </c>
      <c r="D4953" s="7"/>
      <c r="E4953" s="8">
        <v>1.46510338</v>
      </c>
      <c r="F4953" s="8">
        <v>2.5507347399999998</v>
      </c>
      <c r="G4953" s="7" t="str">
        <f t="shared" si="26"/>
        <v>Direct</v>
      </c>
      <c r="H4953" s="7" t="s">
        <v>3322</v>
      </c>
    </row>
    <row r="4954" spans="1:8" x14ac:dyDescent="0.2">
      <c r="A4954" s="5" t="s">
        <v>27</v>
      </c>
      <c r="B4954" s="6" t="s">
        <v>19</v>
      </c>
      <c r="C4954" s="7" t="s">
        <v>5561</v>
      </c>
      <c r="D4954" s="7"/>
      <c r="E4954" s="8">
        <v>-2.4465064000000001</v>
      </c>
      <c r="F4954" s="8">
        <v>-4.0095513</v>
      </c>
      <c r="G4954" s="7" t="str">
        <f t="shared" si="26"/>
        <v>Direct</v>
      </c>
      <c r="H4954" s="7" t="s">
        <v>5562</v>
      </c>
    </row>
    <row r="4955" spans="1:8" x14ac:dyDescent="0.2">
      <c r="A4955" s="5" t="s">
        <v>27</v>
      </c>
      <c r="B4955" s="6" t="s">
        <v>19</v>
      </c>
      <c r="C4955" s="7" t="s">
        <v>5563</v>
      </c>
      <c r="D4955" s="7"/>
      <c r="E4955" s="8">
        <v>-1.0155833999999999</v>
      </c>
      <c r="F4955" s="8">
        <v>-1.7570863999999999</v>
      </c>
      <c r="G4955" s="7" t="str">
        <f t="shared" si="26"/>
        <v>Direct</v>
      </c>
      <c r="H4955" s="7" t="s">
        <v>5564</v>
      </c>
    </row>
    <row r="4956" spans="1:8" x14ac:dyDescent="0.2">
      <c r="A4956" s="5" t="s">
        <v>27</v>
      </c>
      <c r="B4956" s="6" t="s">
        <v>19</v>
      </c>
      <c r="C4956" s="7" t="s">
        <v>5565</v>
      </c>
      <c r="D4956" s="7"/>
      <c r="E4956" s="8">
        <v>-8.2444179999999996</v>
      </c>
      <c r="F4956" s="8">
        <v>-6.0029691999999999</v>
      </c>
      <c r="G4956" s="7" t="str">
        <f t="shared" si="26"/>
        <v>Direct</v>
      </c>
      <c r="H4956" s="7" t="s">
        <v>3345</v>
      </c>
    </row>
    <row r="4957" spans="1:8" x14ac:dyDescent="0.2">
      <c r="A4957" s="5" t="s">
        <v>27</v>
      </c>
      <c r="B4957" s="6" t="s">
        <v>19</v>
      </c>
      <c r="C4957" s="7" t="s">
        <v>5566</v>
      </c>
      <c r="D4957" s="7"/>
      <c r="E4957" s="8">
        <v>2.1991227100000001</v>
      </c>
      <c r="F4957" s="8">
        <v>2.7903019900000001</v>
      </c>
      <c r="G4957" s="7" t="str">
        <f t="shared" si="26"/>
        <v>Direct</v>
      </c>
      <c r="H4957" s="7" t="s">
        <v>5567</v>
      </c>
    </row>
    <row r="4958" spans="1:8" x14ac:dyDescent="0.2">
      <c r="A4958" s="5" t="s">
        <v>27</v>
      </c>
      <c r="B4958" s="6" t="s">
        <v>19</v>
      </c>
      <c r="C4958" s="7" t="s">
        <v>4195</v>
      </c>
      <c r="D4958" s="7"/>
      <c r="E4958" s="8">
        <v>3.4049171999999999</v>
      </c>
      <c r="F4958" s="8">
        <v>3.3413206400000002</v>
      </c>
      <c r="G4958" s="7" t="str">
        <f t="shared" si="26"/>
        <v>Direct</v>
      </c>
      <c r="H4958" s="7" t="s">
        <v>16</v>
      </c>
    </row>
    <row r="4959" spans="1:8" x14ac:dyDescent="0.2">
      <c r="A4959" s="5" t="s">
        <v>27</v>
      </c>
      <c r="B4959" s="6" t="s">
        <v>19</v>
      </c>
      <c r="C4959" s="7" t="s">
        <v>5568</v>
      </c>
      <c r="D4959" s="7"/>
      <c r="E4959" s="8">
        <v>2.0443253499999998</v>
      </c>
      <c r="F4959" s="8">
        <v>1.6079761299999999</v>
      </c>
      <c r="G4959" s="7" t="str">
        <f t="shared" si="26"/>
        <v>Direct</v>
      </c>
      <c r="H4959" s="7" t="s">
        <v>5569</v>
      </c>
    </row>
    <row r="4960" spans="1:8" x14ac:dyDescent="0.2">
      <c r="A4960" s="5" t="s">
        <v>27</v>
      </c>
      <c r="B4960" s="6" t="s">
        <v>19</v>
      </c>
      <c r="C4960" s="7" t="s">
        <v>5570</v>
      </c>
      <c r="D4960" s="7"/>
      <c r="E4960" s="8">
        <v>-4.3370179999999996</v>
      </c>
      <c r="F4960" s="8">
        <v>-4.571955</v>
      </c>
      <c r="G4960" s="7" t="str">
        <f t="shared" si="26"/>
        <v>Direct</v>
      </c>
      <c r="H4960" s="7" t="s">
        <v>5571</v>
      </c>
    </row>
    <row r="4961" spans="1:8" x14ac:dyDescent="0.2">
      <c r="A4961" s="5" t="s">
        <v>27</v>
      </c>
      <c r="B4961" s="6" t="s">
        <v>19</v>
      </c>
      <c r="C4961" s="7" t="s">
        <v>5572</v>
      </c>
      <c r="D4961" s="7"/>
      <c r="E4961" s="8">
        <v>-2.0286024</v>
      </c>
      <c r="F4961" s="8">
        <v>-1.0460400000000001</v>
      </c>
      <c r="G4961" s="7" t="str">
        <f t="shared" si="26"/>
        <v>Direct</v>
      </c>
      <c r="H4961" s="7" t="s">
        <v>848</v>
      </c>
    </row>
    <row r="4962" spans="1:8" x14ac:dyDescent="0.2">
      <c r="A4962" s="5" t="s">
        <v>27</v>
      </c>
      <c r="B4962" s="6" t="s">
        <v>19</v>
      </c>
      <c r="C4962" s="7" t="s">
        <v>5573</v>
      </c>
      <c r="D4962" s="7"/>
      <c r="E4962" s="8">
        <v>-1.7687219999999999</v>
      </c>
      <c r="F4962" s="8">
        <v>-2.2482123999999999</v>
      </c>
      <c r="G4962" s="7" t="str">
        <f t="shared" si="26"/>
        <v>Direct</v>
      </c>
      <c r="H4962" s="7" t="s">
        <v>5574</v>
      </c>
    </row>
    <row r="4963" spans="1:8" x14ac:dyDescent="0.2">
      <c r="A4963" s="5" t="s">
        <v>27</v>
      </c>
      <c r="B4963" s="6" t="s">
        <v>19</v>
      </c>
      <c r="C4963" s="7" t="s">
        <v>5575</v>
      </c>
      <c r="D4963" s="7"/>
      <c r="E4963" s="8">
        <v>1.8818596299999999</v>
      </c>
      <c r="F4963" s="8">
        <v>1.7738627199999999</v>
      </c>
      <c r="G4963" s="7" t="str">
        <f t="shared" si="26"/>
        <v>Direct</v>
      </c>
      <c r="H4963" s="7" t="s">
        <v>16</v>
      </c>
    </row>
    <row r="4964" spans="1:8" x14ac:dyDescent="0.2">
      <c r="A4964" s="5" t="s">
        <v>27</v>
      </c>
      <c r="B4964" s="6" t="s">
        <v>19</v>
      </c>
      <c r="C4964" s="7" t="s">
        <v>5576</v>
      </c>
      <c r="D4964" s="7"/>
      <c r="E4964" s="8">
        <v>2.3695299799999998</v>
      </c>
      <c r="F4964" s="8">
        <v>2.0093034400000001</v>
      </c>
      <c r="G4964" s="7" t="str">
        <f t="shared" si="26"/>
        <v>Direct</v>
      </c>
      <c r="H4964" s="7" t="s">
        <v>1006</v>
      </c>
    </row>
    <row r="4965" spans="1:8" x14ac:dyDescent="0.2">
      <c r="A4965" s="5" t="s">
        <v>27</v>
      </c>
      <c r="B4965" s="6" t="s">
        <v>19</v>
      </c>
      <c r="C4965" s="7" t="s">
        <v>5577</v>
      </c>
      <c r="D4965" s="7"/>
      <c r="E4965" s="8">
        <v>4.5040719899999999</v>
      </c>
      <c r="F4965" s="8">
        <v>3.1046710100000001</v>
      </c>
      <c r="G4965" s="7" t="str">
        <f t="shared" si="26"/>
        <v>Direct</v>
      </c>
      <c r="H4965" s="7" t="s">
        <v>5578</v>
      </c>
    </row>
    <row r="4966" spans="1:8" x14ac:dyDescent="0.2">
      <c r="A4966" s="5" t="s">
        <v>27</v>
      </c>
      <c r="B4966" s="6" t="s">
        <v>19</v>
      </c>
      <c r="C4966" s="7" t="s">
        <v>5579</v>
      </c>
      <c r="D4966" s="7"/>
      <c r="E4966" s="8">
        <v>5.9759807900000004</v>
      </c>
      <c r="F4966" s="8">
        <v>4.5156356400000002</v>
      </c>
      <c r="G4966" s="7" t="str">
        <f t="shared" si="26"/>
        <v>Direct</v>
      </c>
      <c r="H4966" s="7" t="s">
        <v>2095</v>
      </c>
    </row>
    <row r="4967" spans="1:8" x14ac:dyDescent="0.2">
      <c r="A4967" s="5" t="s">
        <v>27</v>
      </c>
      <c r="B4967" s="6" t="s">
        <v>19</v>
      </c>
      <c r="C4967" s="7" t="s">
        <v>5580</v>
      </c>
      <c r="D4967" s="7"/>
      <c r="E4967" s="8">
        <v>-1.5577802000000001</v>
      </c>
      <c r="F4967" s="8">
        <v>-1.0192186000000001</v>
      </c>
      <c r="G4967" s="7" t="str">
        <f t="shared" si="26"/>
        <v>Direct</v>
      </c>
      <c r="H4967" s="7" t="s">
        <v>16</v>
      </c>
    </row>
    <row r="4968" spans="1:8" x14ac:dyDescent="0.2">
      <c r="A4968" s="5" t="s">
        <v>27</v>
      </c>
      <c r="B4968" s="6" t="s">
        <v>19</v>
      </c>
      <c r="C4968" s="7" t="s">
        <v>5581</v>
      </c>
      <c r="D4968" s="7"/>
      <c r="E4968" s="8">
        <v>-1.843548</v>
      </c>
      <c r="F4968" s="8">
        <v>-1.5305306999999999</v>
      </c>
      <c r="G4968" s="7" t="str">
        <f t="shared" si="26"/>
        <v>Direct</v>
      </c>
      <c r="H4968" s="7" t="s">
        <v>349</v>
      </c>
    </row>
    <row r="4969" spans="1:8" x14ac:dyDescent="0.2">
      <c r="A4969" s="5" t="s">
        <v>27</v>
      </c>
      <c r="B4969" s="6" t="s">
        <v>19</v>
      </c>
      <c r="C4969" s="7" t="s">
        <v>5582</v>
      </c>
      <c r="D4969" s="7"/>
      <c r="E4969" s="8">
        <v>-8.9034294999999997</v>
      </c>
      <c r="F4969" s="8">
        <v>-9.4368122000000003</v>
      </c>
      <c r="G4969" s="7" t="str">
        <f t="shared" si="26"/>
        <v>Direct</v>
      </c>
      <c r="H4969" s="7" t="s">
        <v>349</v>
      </c>
    </row>
    <row r="4970" spans="1:8" x14ac:dyDescent="0.2">
      <c r="A4970" s="5" t="s">
        <v>27</v>
      </c>
      <c r="B4970" s="6" t="s">
        <v>19</v>
      </c>
      <c r="C4970" s="7" t="s">
        <v>5583</v>
      </c>
      <c r="D4970" s="7"/>
      <c r="E4970" s="8">
        <v>-1.1115889000000001</v>
      </c>
      <c r="F4970" s="8">
        <v>-1.1065433</v>
      </c>
      <c r="G4970" s="7" t="str">
        <f t="shared" si="26"/>
        <v>Direct</v>
      </c>
      <c r="H4970" s="7" t="s">
        <v>325</v>
      </c>
    </row>
    <row r="4971" spans="1:8" x14ac:dyDescent="0.2">
      <c r="A4971" s="5" t="s">
        <v>27</v>
      </c>
      <c r="B4971" s="6" t="s">
        <v>19</v>
      </c>
      <c r="C4971" s="7" t="s">
        <v>5584</v>
      </c>
      <c r="D4971" s="7"/>
      <c r="E4971" s="8">
        <v>4.0821043899999996</v>
      </c>
      <c r="F4971" s="8">
        <v>4.1864174099999998</v>
      </c>
      <c r="G4971" s="7" t="str">
        <f t="shared" si="26"/>
        <v>Direct</v>
      </c>
      <c r="H4971" s="7" t="s">
        <v>16</v>
      </c>
    </row>
    <row r="4972" spans="1:8" x14ac:dyDescent="0.2">
      <c r="A4972" s="5" t="s">
        <v>27</v>
      </c>
      <c r="B4972" s="6" t="s">
        <v>19</v>
      </c>
      <c r="C4972" s="7" t="s">
        <v>5585</v>
      </c>
      <c r="D4972" s="7"/>
      <c r="E4972" s="8">
        <v>-1.4741827000000001</v>
      </c>
      <c r="F4972" s="8">
        <v>-1.2039913</v>
      </c>
      <c r="G4972" s="7" t="str">
        <f t="shared" si="26"/>
        <v>Direct</v>
      </c>
      <c r="H4972" s="7" t="s">
        <v>16</v>
      </c>
    </row>
    <row r="4973" spans="1:8" x14ac:dyDescent="0.2">
      <c r="A4973" s="5" t="s">
        <v>27</v>
      </c>
      <c r="B4973" s="6" t="s">
        <v>19</v>
      </c>
      <c r="C4973" s="7" t="s">
        <v>5586</v>
      </c>
      <c r="D4973" s="7"/>
      <c r="E4973" s="8">
        <v>-2.7006146000000002</v>
      </c>
      <c r="F4973" s="8">
        <v>-4.2171652000000002</v>
      </c>
      <c r="G4973" s="7" t="str">
        <f t="shared" si="26"/>
        <v>Direct</v>
      </c>
      <c r="H4973" s="7" t="s">
        <v>1285</v>
      </c>
    </row>
    <row r="4974" spans="1:8" x14ac:dyDescent="0.2">
      <c r="A4974" s="5" t="s">
        <v>27</v>
      </c>
      <c r="B4974" s="6" t="s">
        <v>19</v>
      </c>
      <c r="C4974" s="7" t="s">
        <v>5587</v>
      </c>
      <c r="D4974" s="7"/>
      <c r="E4974" s="8">
        <v>1.9364262999999999</v>
      </c>
      <c r="F4974" s="8">
        <v>1.4171634900000001</v>
      </c>
      <c r="G4974" s="7" t="str">
        <f t="shared" si="26"/>
        <v>Direct</v>
      </c>
      <c r="H4974" s="7" t="s">
        <v>5430</v>
      </c>
    </row>
    <row r="4975" spans="1:8" x14ac:dyDescent="0.2">
      <c r="A4975" s="5" t="s">
        <v>27</v>
      </c>
      <c r="B4975" s="6" t="s">
        <v>19</v>
      </c>
      <c r="C4975" s="7" t="s">
        <v>5588</v>
      </c>
      <c r="D4975" s="7"/>
      <c r="E4975" s="8">
        <v>-1.1806677000000001</v>
      </c>
      <c r="F4975" s="8">
        <v>-1.4130684</v>
      </c>
      <c r="G4975" s="7" t="str">
        <f t="shared" si="26"/>
        <v>Direct</v>
      </c>
      <c r="H4975" s="7" t="s">
        <v>5589</v>
      </c>
    </row>
    <row r="4976" spans="1:8" x14ac:dyDescent="0.2">
      <c r="A4976" s="5" t="s">
        <v>27</v>
      </c>
      <c r="B4976" s="6" t="s">
        <v>19</v>
      </c>
      <c r="C4976" s="7" t="s">
        <v>5590</v>
      </c>
      <c r="D4976" s="7"/>
      <c r="E4976" s="8">
        <v>-4.9955442000000003</v>
      </c>
      <c r="F4976" s="8">
        <v>-1.2134031000000001</v>
      </c>
      <c r="G4976" s="7" t="str">
        <f t="shared" si="26"/>
        <v>Direct</v>
      </c>
      <c r="H4976" s="7" t="s">
        <v>16</v>
      </c>
    </row>
    <row r="4977" spans="1:8" x14ac:dyDescent="0.2">
      <c r="A4977" s="5" t="s">
        <v>27</v>
      </c>
      <c r="B4977" s="6" t="s">
        <v>19</v>
      </c>
      <c r="C4977" s="7" t="s">
        <v>5591</v>
      </c>
      <c r="D4977" s="7"/>
      <c r="E4977" s="8">
        <v>2.8758537999999998</v>
      </c>
      <c r="F4977" s="8">
        <v>2.1262220200000002</v>
      </c>
      <c r="G4977" s="7" t="str">
        <f t="shared" ref="G4977:G5231" si="27">IF(OR(AND(E4977&gt;0,F4977&gt;0),AND(E4977&lt;0,F4977&lt;0)),"Direct","Inverse")</f>
        <v>Direct</v>
      </c>
      <c r="H4977" s="7" t="s">
        <v>1615</v>
      </c>
    </row>
    <row r="4978" spans="1:8" x14ac:dyDescent="0.2">
      <c r="A4978" s="5" t="s">
        <v>27</v>
      </c>
      <c r="B4978" s="6" t="s">
        <v>19</v>
      </c>
      <c r="C4978" s="7" t="s">
        <v>5592</v>
      </c>
      <c r="D4978" s="7"/>
      <c r="E4978" s="8">
        <v>4.2293438500000002</v>
      </c>
      <c r="F4978" s="8">
        <v>1.50036546</v>
      </c>
      <c r="G4978" s="7" t="str">
        <f t="shared" si="27"/>
        <v>Direct</v>
      </c>
      <c r="H4978" s="7" t="s">
        <v>5593</v>
      </c>
    </row>
    <row r="4979" spans="1:8" x14ac:dyDescent="0.2">
      <c r="A4979" s="5" t="s">
        <v>27</v>
      </c>
      <c r="B4979" s="6" t="s">
        <v>19</v>
      </c>
      <c r="C4979" s="7" t="s">
        <v>5594</v>
      </c>
      <c r="D4979" s="7"/>
      <c r="E4979" s="8">
        <v>-14.276999999999999</v>
      </c>
      <c r="F4979" s="8">
        <v>-14.290407999999999</v>
      </c>
      <c r="G4979" s="7" t="str">
        <f t="shared" si="27"/>
        <v>Direct</v>
      </c>
      <c r="H4979" s="7" t="s">
        <v>5595</v>
      </c>
    </row>
    <row r="4980" spans="1:8" x14ac:dyDescent="0.2">
      <c r="A4980" s="5" t="s">
        <v>27</v>
      </c>
      <c r="B4980" s="6" t="s">
        <v>19</v>
      </c>
      <c r="C4980" s="7" t="s">
        <v>5596</v>
      </c>
      <c r="D4980" s="7"/>
      <c r="E4980" s="8">
        <v>-1.0249710000000001</v>
      </c>
      <c r="F4980" s="8">
        <v>-2.0922025999999998</v>
      </c>
      <c r="G4980" s="7" t="str">
        <f t="shared" si="27"/>
        <v>Direct</v>
      </c>
      <c r="H4980" s="7" t="s">
        <v>16</v>
      </c>
    </row>
    <row r="4981" spans="1:8" x14ac:dyDescent="0.2">
      <c r="A4981" s="5" t="s">
        <v>27</v>
      </c>
      <c r="B4981" s="6" t="s">
        <v>19</v>
      </c>
      <c r="C4981" s="7" t="s">
        <v>5597</v>
      </c>
      <c r="D4981" s="7"/>
      <c r="E4981" s="8">
        <v>7.3843212400000002</v>
      </c>
      <c r="F4981" s="8">
        <v>10.0507037</v>
      </c>
      <c r="G4981" s="7" t="str">
        <f t="shared" si="27"/>
        <v>Direct</v>
      </c>
      <c r="H4981" s="7" t="s">
        <v>5598</v>
      </c>
    </row>
    <row r="4982" spans="1:8" x14ac:dyDescent="0.2">
      <c r="A4982" s="5" t="s">
        <v>27</v>
      </c>
      <c r="B4982" s="6" t="s">
        <v>19</v>
      </c>
      <c r="C4982" s="7" t="s">
        <v>5599</v>
      </c>
      <c r="D4982" s="7"/>
      <c r="E4982" s="8">
        <v>-1.4817663000000001</v>
      </c>
      <c r="F4982" s="8">
        <v>-1.4260676000000001</v>
      </c>
      <c r="G4982" s="7" t="str">
        <f t="shared" si="27"/>
        <v>Direct</v>
      </c>
      <c r="H4982" s="7" t="s">
        <v>5600</v>
      </c>
    </row>
    <row r="4983" spans="1:8" x14ac:dyDescent="0.2">
      <c r="A4983" s="5" t="s">
        <v>27</v>
      </c>
      <c r="B4983" s="6" t="s">
        <v>19</v>
      </c>
      <c r="C4983" s="7" t="s">
        <v>4196</v>
      </c>
      <c r="D4983" s="7"/>
      <c r="E4983" s="8">
        <v>1.6577182800000001</v>
      </c>
      <c r="F4983" s="8">
        <v>2.0130599899999999</v>
      </c>
      <c r="G4983" s="7" t="str">
        <f t="shared" si="27"/>
        <v>Direct</v>
      </c>
      <c r="H4983" s="7" t="s">
        <v>4197</v>
      </c>
    </row>
    <row r="4984" spans="1:8" x14ac:dyDescent="0.2">
      <c r="A4984" s="5" t="s">
        <v>27</v>
      </c>
      <c r="B4984" s="6" t="s">
        <v>19</v>
      </c>
      <c r="C4984" s="7" t="s">
        <v>4198</v>
      </c>
      <c r="D4984" s="7"/>
      <c r="E4984" s="8">
        <v>-7.5484952999999999</v>
      </c>
      <c r="F4984" s="8">
        <v>-9.9334933999999997</v>
      </c>
      <c r="G4984" s="7" t="str">
        <f t="shared" si="27"/>
        <v>Direct</v>
      </c>
      <c r="H4984" s="7" t="s">
        <v>4199</v>
      </c>
    </row>
    <row r="4985" spans="1:8" x14ac:dyDescent="0.2">
      <c r="A4985" s="5" t="s">
        <v>27</v>
      </c>
      <c r="B4985" s="6" t="s">
        <v>19</v>
      </c>
      <c r="C4985" s="7" t="s">
        <v>5601</v>
      </c>
      <c r="D4985" s="7"/>
      <c r="E4985" s="8">
        <v>1.9186501899999999</v>
      </c>
      <c r="F4985" s="8">
        <v>1.78059492</v>
      </c>
      <c r="G4985" s="7" t="str">
        <f t="shared" si="27"/>
        <v>Direct</v>
      </c>
      <c r="H4985" s="7" t="s">
        <v>16</v>
      </c>
    </row>
    <row r="4986" spans="1:8" x14ac:dyDescent="0.2">
      <c r="A4986" s="5" t="s">
        <v>27</v>
      </c>
      <c r="B4986" s="6" t="s">
        <v>19</v>
      </c>
      <c r="C4986" s="7" t="s">
        <v>5602</v>
      </c>
      <c r="D4986" s="7"/>
      <c r="E4986" s="8">
        <v>-1.1101916000000001</v>
      </c>
      <c r="F4986" s="8">
        <v>-1.0304218000000001</v>
      </c>
      <c r="G4986" s="7" t="str">
        <f t="shared" si="27"/>
        <v>Direct</v>
      </c>
      <c r="H4986" s="7" t="s">
        <v>5603</v>
      </c>
    </row>
    <row r="4987" spans="1:8" x14ac:dyDescent="0.2">
      <c r="A4987" s="5" t="s">
        <v>27</v>
      </c>
      <c r="B4987" s="6" t="s">
        <v>19</v>
      </c>
      <c r="C4987" s="7" t="s">
        <v>5604</v>
      </c>
      <c r="D4987" s="7"/>
      <c r="E4987" s="8">
        <v>-5.9313313000000001</v>
      </c>
      <c r="F4987" s="8">
        <v>-4.7556919999999998</v>
      </c>
      <c r="G4987" s="7" t="str">
        <f t="shared" si="27"/>
        <v>Direct</v>
      </c>
      <c r="H4987" s="7" t="s">
        <v>16</v>
      </c>
    </row>
    <row r="4988" spans="1:8" x14ac:dyDescent="0.2">
      <c r="A4988" s="5" t="s">
        <v>27</v>
      </c>
      <c r="B4988" s="6" t="s">
        <v>19</v>
      </c>
      <c r="C4988" s="7" t="s">
        <v>5605</v>
      </c>
      <c r="D4988" s="7"/>
      <c r="E4988" s="8">
        <v>2.2877503799999999</v>
      </c>
      <c r="F4988" s="8">
        <v>1.26847972</v>
      </c>
      <c r="G4988" s="7" t="str">
        <f t="shared" si="27"/>
        <v>Direct</v>
      </c>
      <c r="H4988" s="7" t="s">
        <v>139</v>
      </c>
    </row>
    <row r="4989" spans="1:8" x14ac:dyDescent="0.2">
      <c r="A4989" s="5" t="s">
        <v>27</v>
      </c>
      <c r="B4989" s="6" t="s">
        <v>19</v>
      </c>
      <c r="C4989" s="7" t="s">
        <v>5606</v>
      </c>
      <c r="D4989" s="7"/>
      <c r="E4989" s="8">
        <v>-3.0233827999999998</v>
      </c>
      <c r="F4989" s="8">
        <v>-2.487438</v>
      </c>
      <c r="G4989" s="7" t="str">
        <f t="shared" si="27"/>
        <v>Direct</v>
      </c>
      <c r="H4989" s="7" t="s">
        <v>16</v>
      </c>
    </row>
    <row r="4990" spans="1:8" x14ac:dyDescent="0.2">
      <c r="A4990" s="5" t="s">
        <v>27</v>
      </c>
      <c r="B4990" s="6" t="s">
        <v>19</v>
      </c>
      <c r="C4990" s="7" t="s">
        <v>5607</v>
      </c>
      <c r="D4990" s="7"/>
      <c r="E4990" s="8">
        <v>1.84913985</v>
      </c>
      <c r="F4990" s="8">
        <v>1.4015055999999999</v>
      </c>
      <c r="G4990" s="7" t="str">
        <f t="shared" si="27"/>
        <v>Direct</v>
      </c>
      <c r="H4990" s="7" t="s">
        <v>40</v>
      </c>
    </row>
    <row r="4991" spans="1:8" x14ac:dyDescent="0.2">
      <c r="A4991" s="5" t="s">
        <v>27</v>
      </c>
      <c r="B4991" s="6" t="s">
        <v>19</v>
      </c>
      <c r="C4991" s="7" t="s">
        <v>5608</v>
      </c>
      <c r="D4991" s="7"/>
      <c r="E4991" s="8">
        <v>3.0632496100000002</v>
      </c>
      <c r="F4991" s="8">
        <v>3.81773359</v>
      </c>
      <c r="G4991" s="7" t="str">
        <f t="shared" si="27"/>
        <v>Direct</v>
      </c>
      <c r="H4991" s="7" t="s">
        <v>4167</v>
      </c>
    </row>
    <row r="4992" spans="1:8" x14ac:dyDescent="0.2">
      <c r="A4992" s="5" t="s">
        <v>27</v>
      </c>
      <c r="B4992" s="6" t="s">
        <v>19</v>
      </c>
      <c r="C4992" s="7" t="s">
        <v>4200</v>
      </c>
      <c r="D4992" s="7"/>
      <c r="E4992" s="8">
        <v>1.31802832</v>
      </c>
      <c r="F4992" s="8">
        <v>1.3938386599999999</v>
      </c>
      <c r="G4992" s="7" t="str">
        <f t="shared" si="27"/>
        <v>Direct</v>
      </c>
      <c r="H4992" s="7" t="s">
        <v>4201</v>
      </c>
    </row>
    <row r="4993" spans="1:8" x14ac:dyDescent="0.2">
      <c r="A4993" s="5" t="s">
        <v>27</v>
      </c>
      <c r="B4993" s="6" t="s">
        <v>19</v>
      </c>
      <c r="C4993" s="7" t="s">
        <v>5609</v>
      </c>
      <c r="D4993" s="7"/>
      <c r="E4993" s="8">
        <v>-4.8125359000000003</v>
      </c>
      <c r="F4993" s="8">
        <v>-3.5317056</v>
      </c>
      <c r="G4993" s="7" t="str">
        <f t="shared" si="27"/>
        <v>Direct</v>
      </c>
      <c r="H4993" s="7" t="s">
        <v>1325</v>
      </c>
    </row>
    <row r="4994" spans="1:8" x14ac:dyDescent="0.2">
      <c r="A4994" s="5" t="s">
        <v>27</v>
      </c>
      <c r="B4994" s="6" t="s">
        <v>19</v>
      </c>
      <c r="C4994" s="7" t="s">
        <v>5610</v>
      </c>
      <c r="D4994" s="7"/>
      <c r="E4994" s="8">
        <v>1.4008479300000001</v>
      </c>
      <c r="F4994" s="8">
        <v>2.2328058099999999</v>
      </c>
      <c r="G4994" s="7" t="str">
        <f t="shared" si="27"/>
        <v>Direct</v>
      </c>
      <c r="H4994" s="7" t="s">
        <v>351</v>
      </c>
    </row>
    <row r="4995" spans="1:8" x14ac:dyDescent="0.2">
      <c r="A4995" s="5" t="s">
        <v>27</v>
      </c>
      <c r="B4995" s="6" t="s">
        <v>19</v>
      </c>
      <c r="C4995" s="7" t="s">
        <v>5611</v>
      </c>
      <c r="D4995" s="7"/>
      <c r="E4995" s="8">
        <v>-2.1903923000000001</v>
      </c>
      <c r="F4995" s="8">
        <v>-1.1545331000000001</v>
      </c>
      <c r="G4995" s="7" t="str">
        <f t="shared" si="27"/>
        <v>Direct</v>
      </c>
      <c r="H4995" s="7" t="s">
        <v>5333</v>
      </c>
    </row>
    <row r="4996" spans="1:8" x14ac:dyDescent="0.2">
      <c r="A4996" s="5" t="s">
        <v>27</v>
      </c>
      <c r="B4996" s="6" t="s">
        <v>19</v>
      </c>
      <c r="C4996" s="7" t="s">
        <v>5612</v>
      </c>
      <c r="D4996" s="7"/>
      <c r="E4996" s="8">
        <v>9.6706822399999997</v>
      </c>
      <c r="F4996" s="8">
        <v>3.5538149899999998</v>
      </c>
      <c r="G4996" s="7" t="str">
        <f t="shared" si="27"/>
        <v>Direct</v>
      </c>
      <c r="H4996" s="7" t="s">
        <v>5613</v>
      </c>
    </row>
    <row r="4997" spans="1:8" x14ac:dyDescent="0.2">
      <c r="A4997" s="5" t="s">
        <v>27</v>
      </c>
      <c r="B4997" s="6" t="s">
        <v>19</v>
      </c>
      <c r="C4997" s="7" t="s">
        <v>5614</v>
      </c>
      <c r="D4997" s="7"/>
      <c r="E4997" s="8">
        <v>-4.2473815999999998</v>
      </c>
      <c r="F4997" s="8">
        <v>-3.4505515999999998</v>
      </c>
      <c r="G4997" s="7" t="str">
        <f t="shared" si="27"/>
        <v>Direct</v>
      </c>
      <c r="H4997" s="7" t="s">
        <v>848</v>
      </c>
    </row>
    <row r="4998" spans="1:8" x14ac:dyDescent="0.2">
      <c r="A4998" s="5" t="s">
        <v>27</v>
      </c>
      <c r="B4998" s="6" t="s">
        <v>19</v>
      </c>
      <c r="C4998" s="7" t="s">
        <v>5615</v>
      </c>
      <c r="D4998" s="7"/>
      <c r="E4998" s="8">
        <v>-1.577445</v>
      </c>
      <c r="F4998" s="8">
        <v>-4.3381004000000001</v>
      </c>
      <c r="G4998" s="7" t="str">
        <f t="shared" si="27"/>
        <v>Direct</v>
      </c>
      <c r="H4998" s="7" t="s">
        <v>2975</v>
      </c>
    </row>
    <row r="4999" spans="1:8" x14ac:dyDescent="0.2">
      <c r="A4999" s="5" t="s">
        <v>27</v>
      </c>
      <c r="B4999" s="6" t="s">
        <v>19</v>
      </c>
      <c r="C4999" s="7" t="s">
        <v>4202</v>
      </c>
      <c r="D4999" s="7"/>
      <c r="E4999" s="8">
        <v>3.6073185200000002</v>
      </c>
      <c r="F4999" s="8">
        <v>2.2854254699999998</v>
      </c>
      <c r="G4999" s="7" t="str">
        <f t="shared" si="27"/>
        <v>Direct</v>
      </c>
      <c r="H4999" s="7" t="s">
        <v>1111</v>
      </c>
    </row>
    <row r="5000" spans="1:8" x14ac:dyDescent="0.2">
      <c r="A5000" s="5" t="s">
        <v>27</v>
      </c>
      <c r="B5000" s="6" t="s">
        <v>19</v>
      </c>
      <c r="C5000" s="7" t="s">
        <v>5616</v>
      </c>
      <c r="D5000" s="7"/>
      <c r="E5000" s="8">
        <v>1.04647818</v>
      </c>
      <c r="F5000" s="8">
        <v>1.38164891</v>
      </c>
      <c r="G5000" s="7" t="str">
        <f t="shared" si="27"/>
        <v>Direct</v>
      </c>
      <c r="H5000" s="7" t="s">
        <v>1304</v>
      </c>
    </row>
    <row r="5001" spans="1:8" x14ac:dyDescent="0.2">
      <c r="A5001" s="5" t="s">
        <v>27</v>
      </c>
      <c r="B5001" s="6" t="s">
        <v>19</v>
      </c>
      <c r="C5001" s="7" t="s">
        <v>4203</v>
      </c>
      <c r="D5001" s="7"/>
      <c r="E5001" s="8">
        <v>2.9308396499999998</v>
      </c>
      <c r="F5001" s="8">
        <v>1.9411704000000001</v>
      </c>
      <c r="G5001" s="7" t="str">
        <f t="shared" si="27"/>
        <v>Direct</v>
      </c>
      <c r="H5001" s="7" t="s">
        <v>16</v>
      </c>
    </row>
    <row r="5002" spans="1:8" x14ac:dyDescent="0.2">
      <c r="A5002" s="5" t="s">
        <v>27</v>
      </c>
      <c r="B5002" s="6" t="s">
        <v>19</v>
      </c>
      <c r="C5002" s="7" t="s">
        <v>5617</v>
      </c>
      <c r="D5002" s="7"/>
      <c r="E5002" s="8">
        <v>2.1280292200000002</v>
      </c>
      <c r="F5002" s="8">
        <v>1.1548596799999999</v>
      </c>
      <c r="G5002" s="7" t="str">
        <f t="shared" si="27"/>
        <v>Direct</v>
      </c>
      <c r="H5002" s="7" t="s">
        <v>3595</v>
      </c>
    </row>
    <row r="5003" spans="1:8" x14ac:dyDescent="0.2">
      <c r="A5003" s="5" t="s">
        <v>27</v>
      </c>
      <c r="B5003" s="6" t="s">
        <v>19</v>
      </c>
      <c r="C5003" s="7" t="s">
        <v>5618</v>
      </c>
      <c r="D5003" s="7"/>
      <c r="E5003" s="8">
        <v>-2.2671372999999999</v>
      </c>
      <c r="F5003" s="8">
        <v>-2.1762630999999999</v>
      </c>
      <c r="G5003" s="7" t="str">
        <f t="shared" si="27"/>
        <v>Direct</v>
      </c>
      <c r="H5003" s="7" t="s">
        <v>543</v>
      </c>
    </row>
    <row r="5004" spans="1:8" x14ac:dyDescent="0.2">
      <c r="A5004" s="5" t="s">
        <v>27</v>
      </c>
      <c r="B5004" s="6" t="s">
        <v>19</v>
      </c>
      <c r="C5004" s="7" t="s">
        <v>5619</v>
      </c>
      <c r="D5004" s="7"/>
      <c r="E5004" s="8">
        <v>1.75434183</v>
      </c>
      <c r="F5004" s="8">
        <v>1.51018914</v>
      </c>
      <c r="G5004" s="7" t="str">
        <f t="shared" si="27"/>
        <v>Direct</v>
      </c>
      <c r="H5004" s="7" t="s">
        <v>5620</v>
      </c>
    </row>
    <row r="5005" spans="1:8" x14ac:dyDescent="0.2">
      <c r="A5005" s="5" t="s">
        <v>27</v>
      </c>
      <c r="B5005" s="6" t="s">
        <v>19</v>
      </c>
      <c r="C5005" s="7" t="s">
        <v>5621</v>
      </c>
      <c r="D5005" s="7"/>
      <c r="E5005" s="8">
        <v>-2.2877504000000002</v>
      </c>
      <c r="F5005" s="8">
        <v>-2.3044004999999999</v>
      </c>
      <c r="G5005" s="7" t="str">
        <f t="shared" si="27"/>
        <v>Direct</v>
      </c>
      <c r="H5005" s="7" t="s">
        <v>5622</v>
      </c>
    </row>
    <row r="5006" spans="1:8" x14ac:dyDescent="0.2">
      <c r="A5006" s="5" t="s">
        <v>27</v>
      </c>
      <c r="B5006" s="6" t="s">
        <v>19</v>
      </c>
      <c r="C5006" s="7" t="s">
        <v>5623</v>
      </c>
      <c r="D5006" s="7"/>
      <c r="E5006" s="8">
        <v>-1.4952544999999999</v>
      </c>
      <c r="F5006" s="8">
        <v>-2.4591343000000001</v>
      </c>
      <c r="G5006" s="7" t="str">
        <f t="shared" si="27"/>
        <v>Direct</v>
      </c>
      <c r="H5006" s="7" t="s">
        <v>2954</v>
      </c>
    </row>
    <row r="5007" spans="1:8" x14ac:dyDescent="0.2">
      <c r="A5007" s="5" t="s">
        <v>27</v>
      </c>
      <c r="B5007" s="6" t="s">
        <v>19</v>
      </c>
      <c r="C5007" s="7" t="s">
        <v>5624</v>
      </c>
      <c r="D5007" s="7"/>
      <c r="E5007" s="8">
        <v>-4.4541401</v>
      </c>
      <c r="F5007" s="8">
        <v>-1.6975849000000001</v>
      </c>
      <c r="G5007" s="7" t="str">
        <f t="shared" si="27"/>
        <v>Direct</v>
      </c>
      <c r="H5007" s="7" t="s">
        <v>5625</v>
      </c>
    </row>
    <row r="5008" spans="1:8" x14ac:dyDescent="0.2">
      <c r="A5008" s="5" t="s">
        <v>27</v>
      </c>
      <c r="B5008" s="6" t="s">
        <v>19</v>
      </c>
      <c r="C5008" s="7" t="s">
        <v>5626</v>
      </c>
      <c r="D5008" s="7"/>
      <c r="E5008" s="8">
        <v>-1.286951</v>
      </c>
      <c r="F5008" s="8">
        <v>-1.0609538000000001</v>
      </c>
      <c r="G5008" s="7" t="str">
        <f t="shared" si="27"/>
        <v>Direct</v>
      </c>
      <c r="H5008" s="7" t="s">
        <v>2385</v>
      </c>
    </row>
    <row r="5009" spans="1:8" x14ac:dyDescent="0.2">
      <c r="A5009" s="5" t="s">
        <v>27</v>
      </c>
      <c r="B5009" s="6" t="s">
        <v>19</v>
      </c>
      <c r="C5009" s="7" t="s">
        <v>5627</v>
      </c>
      <c r="D5009" s="7"/>
      <c r="E5009" s="8">
        <v>-5.1139520999999997</v>
      </c>
      <c r="F5009" s="8">
        <v>-6.4486552000000001</v>
      </c>
      <c r="G5009" s="7" t="str">
        <f t="shared" si="27"/>
        <v>Direct</v>
      </c>
      <c r="H5009" s="7" t="s">
        <v>1469</v>
      </c>
    </row>
    <row r="5010" spans="1:8" x14ac:dyDescent="0.2">
      <c r="A5010" s="5" t="s">
        <v>27</v>
      </c>
      <c r="B5010" s="6" t="s">
        <v>19</v>
      </c>
      <c r="C5010" s="7" t="s">
        <v>5628</v>
      </c>
      <c r="D5010" s="7"/>
      <c r="E5010" s="8">
        <v>-6.6985640000000002</v>
      </c>
      <c r="F5010" s="8">
        <v>-5.0273636000000002</v>
      </c>
      <c r="G5010" s="7" t="str">
        <f t="shared" si="27"/>
        <v>Direct</v>
      </c>
      <c r="H5010" s="7" t="s">
        <v>1475</v>
      </c>
    </row>
    <row r="5011" spans="1:8" x14ac:dyDescent="0.2">
      <c r="A5011" s="5" t="s">
        <v>27</v>
      </c>
      <c r="B5011" s="6" t="s">
        <v>19</v>
      </c>
      <c r="C5011" s="7" t="s">
        <v>5629</v>
      </c>
      <c r="D5011" s="7"/>
      <c r="E5011" s="8">
        <v>-2.7879689999999999</v>
      </c>
      <c r="F5011" s="8">
        <v>-1.0194466</v>
      </c>
      <c r="G5011" s="7" t="str">
        <f t="shared" si="27"/>
        <v>Direct</v>
      </c>
      <c r="H5011" s="7" t="s">
        <v>1473</v>
      </c>
    </row>
    <row r="5012" spans="1:8" x14ac:dyDescent="0.2">
      <c r="A5012" s="5" t="s">
        <v>27</v>
      </c>
      <c r="B5012" s="6" t="s">
        <v>19</v>
      </c>
      <c r="C5012" s="7" t="s">
        <v>5630</v>
      </c>
      <c r="D5012" s="7"/>
      <c r="E5012" s="8">
        <v>-1.0954499</v>
      </c>
      <c r="F5012" s="8">
        <v>-1.9189316000000001</v>
      </c>
      <c r="G5012" s="7" t="str">
        <f t="shared" si="27"/>
        <v>Direct</v>
      </c>
      <c r="H5012" s="7" t="s">
        <v>1351</v>
      </c>
    </row>
    <row r="5013" spans="1:8" x14ac:dyDescent="0.2">
      <c r="A5013" s="5" t="s">
        <v>27</v>
      </c>
      <c r="B5013" s="6" t="s">
        <v>19</v>
      </c>
      <c r="C5013" s="7" t="s">
        <v>5631</v>
      </c>
      <c r="D5013" s="7"/>
      <c r="E5013" s="8">
        <v>-1.0222872999999999</v>
      </c>
      <c r="F5013" s="8">
        <v>-1.2532114000000001</v>
      </c>
      <c r="G5013" s="7" t="str">
        <f t="shared" si="27"/>
        <v>Direct</v>
      </c>
      <c r="H5013" s="7" t="s">
        <v>16</v>
      </c>
    </row>
    <row r="5014" spans="1:8" x14ac:dyDescent="0.2">
      <c r="A5014" s="5" t="s">
        <v>27</v>
      </c>
      <c r="B5014" s="6" t="s">
        <v>19</v>
      </c>
      <c r="C5014" s="7" t="s">
        <v>5632</v>
      </c>
      <c r="D5014" s="7"/>
      <c r="E5014" s="8">
        <v>1.6828249</v>
      </c>
      <c r="F5014" s="8">
        <v>1.32289542</v>
      </c>
      <c r="G5014" s="7" t="str">
        <f t="shared" si="27"/>
        <v>Direct</v>
      </c>
      <c r="H5014" s="7" t="s">
        <v>16</v>
      </c>
    </row>
    <row r="5015" spans="1:8" x14ac:dyDescent="0.2">
      <c r="A5015" s="5" t="s">
        <v>27</v>
      </c>
      <c r="B5015" s="6" t="s">
        <v>19</v>
      </c>
      <c r="C5015" s="7" t="s">
        <v>5633</v>
      </c>
      <c r="D5015" s="7"/>
      <c r="E5015" s="8">
        <v>2.9549254299999999</v>
      </c>
      <c r="F5015" s="8">
        <v>4.4363599599999999</v>
      </c>
      <c r="G5015" s="7" t="str">
        <f t="shared" si="27"/>
        <v>Direct</v>
      </c>
      <c r="H5015" s="7" t="s">
        <v>5634</v>
      </c>
    </row>
    <row r="5016" spans="1:8" x14ac:dyDescent="0.2">
      <c r="A5016" s="5" t="s">
        <v>27</v>
      </c>
      <c r="B5016" s="6" t="s">
        <v>19</v>
      </c>
      <c r="C5016" s="7" t="s">
        <v>4204</v>
      </c>
      <c r="D5016" s="7"/>
      <c r="E5016" s="8">
        <v>1.0643857400000001</v>
      </c>
      <c r="F5016" s="8">
        <v>2.3270571699999998</v>
      </c>
      <c r="G5016" s="7" t="str">
        <f t="shared" si="27"/>
        <v>Direct</v>
      </c>
      <c r="H5016" s="7" t="s">
        <v>4205</v>
      </c>
    </row>
    <row r="5017" spans="1:8" x14ac:dyDescent="0.2">
      <c r="A5017" s="5" t="s">
        <v>27</v>
      </c>
      <c r="B5017" s="6" t="s">
        <v>19</v>
      </c>
      <c r="C5017" s="7" t="s">
        <v>5635</v>
      </c>
      <c r="D5017" s="7"/>
      <c r="E5017" s="8">
        <v>6.21141144</v>
      </c>
      <c r="F5017" s="8">
        <v>5.6798600199999996</v>
      </c>
      <c r="G5017" s="7" t="str">
        <f t="shared" si="27"/>
        <v>Direct</v>
      </c>
      <c r="H5017" s="7" t="s">
        <v>16</v>
      </c>
    </row>
    <row r="5018" spans="1:8" x14ac:dyDescent="0.2">
      <c r="A5018" s="5" t="s">
        <v>27</v>
      </c>
      <c r="B5018" s="6" t="s">
        <v>19</v>
      </c>
      <c r="C5018" s="7" t="s">
        <v>5636</v>
      </c>
      <c r="D5018" s="7"/>
      <c r="E5018" s="8">
        <v>-3.5167411999999998</v>
      </c>
      <c r="F5018" s="8">
        <v>-2.8330820999999999</v>
      </c>
      <c r="G5018" s="7" t="str">
        <f t="shared" si="27"/>
        <v>Direct</v>
      </c>
      <c r="H5018" s="7" t="s">
        <v>5637</v>
      </c>
    </row>
    <row r="5019" spans="1:8" x14ac:dyDescent="0.2">
      <c r="A5019" s="5" t="s">
        <v>27</v>
      </c>
      <c r="B5019" s="6" t="s">
        <v>19</v>
      </c>
      <c r="C5019" s="7" t="s">
        <v>5638</v>
      </c>
      <c r="D5019" s="7"/>
      <c r="E5019" s="8">
        <v>7.48366679</v>
      </c>
      <c r="F5019" s="8">
        <v>8.7998641000000006</v>
      </c>
      <c r="G5019" s="7" t="str">
        <f t="shared" si="27"/>
        <v>Direct</v>
      </c>
      <c r="H5019" s="7" t="s">
        <v>5639</v>
      </c>
    </row>
    <row r="5020" spans="1:8" x14ac:dyDescent="0.2">
      <c r="A5020" s="5" t="s">
        <v>27</v>
      </c>
      <c r="B5020" s="6" t="s">
        <v>19</v>
      </c>
      <c r="C5020" s="7" t="s">
        <v>4206</v>
      </c>
      <c r="D5020" s="7"/>
      <c r="E5020" s="8">
        <v>1.1315354900000001</v>
      </c>
      <c r="F5020" s="8">
        <v>4.4272286999999997</v>
      </c>
      <c r="G5020" s="7" t="str">
        <f t="shared" si="27"/>
        <v>Direct</v>
      </c>
      <c r="H5020" s="7" t="s">
        <v>4207</v>
      </c>
    </row>
    <row r="5021" spans="1:8" x14ac:dyDescent="0.2">
      <c r="A5021" s="5" t="s">
        <v>27</v>
      </c>
      <c r="B5021" s="6" t="s">
        <v>19</v>
      </c>
      <c r="C5021" s="7" t="s">
        <v>5640</v>
      </c>
      <c r="D5021" s="7"/>
      <c r="E5021" s="8">
        <v>2.1657304499999999</v>
      </c>
      <c r="F5021" s="8">
        <v>1.24024661</v>
      </c>
      <c r="G5021" s="7" t="str">
        <f t="shared" si="27"/>
        <v>Direct</v>
      </c>
      <c r="H5021" s="7" t="s">
        <v>2799</v>
      </c>
    </row>
    <row r="5022" spans="1:8" x14ac:dyDescent="0.2">
      <c r="A5022" s="5" t="s">
        <v>27</v>
      </c>
      <c r="B5022" s="6" t="s">
        <v>19</v>
      </c>
      <c r="C5022" s="7" t="s">
        <v>5641</v>
      </c>
      <c r="D5022" s="7"/>
      <c r="E5022" s="8">
        <v>-2.1752836000000002</v>
      </c>
      <c r="F5022" s="8">
        <v>-5.1842271999999996</v>
      </c>
      <c r="G5022" s="7" t="str">
        <f t="shared" si="27"/>
        <v>Direct</v>
      </c>
      <c r="H5022" s="7" t="s">
        <v>5642</v>
      </c>
    </row>
    <row r="5023" spans="1:8" x14ac:dyDescent="0.2">
      <c r="A5023" s="5" t="s">
        <v>27</v>
      </c>
      <c r="B5023" s="6" t="s">
        <v>19</v>
      </c>
      <c r="C5023" s="7" t="s">
        <v>5643</v>
      </c>
      <c r="D5023" s="7"/>
      <c r="E5023" s="8">
        <v>1.04641842</v>
      </c>
      <c r="F5023" s="8">
        <v>1.2546726399999999</v>
      </c>
      <c r="G5023" s="7" t="str">
        <f t="shared" si="27"/>
        <v>Direct</v>
      </c>
      <c r="H5023" s="7" t="s">
        <v>16</v>
      </c>
    </row>
    <row r="5024" spans="1:8" x14ac:dyDescent="0.2">
      <c r="A5024" s="5" t="s">
        <v>27</v>
      </c>
      <c r="B5024" s="6" t="s">
        <v>19</v>
      </c>
      <c r="C5024" s="7" t="s">
        <v>5644</v>
      </c>
      <c r="D5024" s="7"/>
      <c r="E5024" s="8">
        <v>-1.5089427</v>
      </c>
      <c r="F5024" s="8">
        <v>-2.5501211000000001</v>
      </c>
      <c r="G5024" s="7" t="str">
        <f t="shared" si="27"/>
        <v>Direct</v>
      </c>
      <c r="H5024" s="7" t="s">
        <v>5645</v>
      </c>
    </row>
    <row r="5025" spans="1:8" x14ac:dyDescent="0.2">
      <c r="A5025" s="5" t="s">
        <v>27</v>
      </c>
      <c r="B5025" s="6" t="s">
        <v>19</v>
      </c>
      <c r="C5025" s="7" t="s">
        <v>5646</v>
      </c>
      <c r="D5025" s="7"/>
      <c r="E5025" s="8">
        <v>-6.1605692000000003</v>
      </c>
      <c r="F5025" s="8">
        <v>-6.0653876000000002</v>
      </c>
      <c r="G5025" s="7" t="str">
        <f t="shared" si="27"/>
        <v>Direct</v>
      </c>
      <c r="H5025" s="7" t="s">
        <v>16</v>
      </c>
    </row>
    <row r="5026" spans="1:8" x14ac:dyDescent="0.2">
      <c r="A5026" s="5" t="s">
        <v>27</v>
      </c>
      <c r="B5026" s="6" t="s">
        <v>19</v>
      </c>
      <c r="C5026" s="7" t="s">
        <v>5647</v>
      </c>
      <c r="D5026" s="7"/>
      <c r="E5026" s="8">
        <v>-5.5780609999999999</v>
      </c>
      <c r="F5026" s="8">
        <v>-8.9059729999999995</v>
      </c>
      <c r="G5026" s="7" t="str">
        <f t="shared" si="27"/>
        <v>Direct</v>
      </c>
      <c r="H5026" s="7" t="s">
        <v>1262</v>
      </c>
    </row>
    <row r="5027" spans="1:8" x14ac:dyDescent="0.2">
      <c r="A5027" s="5" t="s">
        <v>27</v>
      </c>
      <c r="B5027" s="6" t="s">
        <v>19</v>
      </c>
      <c r="C5027" s="7" t="s">
        <v>5648</v>
      </c>
      <c r="D5027" s="7"/>
      <c r="E5027" s="8">
        <v>2.1414672800000001</v>
      </c>
      <c r="F5027" s="8">
        <v>4.8389048299999997</v>
      </c>
      <c r="G5027" s="7" t="str">
        <f t="shared" si="27"/>
        <v>Direct</v>
      </c>
      <c r="H5027" s="7" t="s">
        <v>1234</v>
      </c>
    </row>
    <row r="5028" spans="1:8" x14ac:dyDescent="0.2">
      <c r="A5028" s="5" t="s">
        <v>27</v>
      </c>
      <c r="B5028" s="6" t="s">
        <v>19</v>
      </c>
      <c r="C5028" s="7" t="s">
        <v>5649</v>
      </c>
      <c r="D5028" s="7"/>
      <c r="E5028" s="8">
        <v>-4.0821044000000004</v>
      </c>
      <c r="F5028" s="8">
        <v>-3.9829482</v>
      </c>
      <c r="G5028" s="7" t="str">
        <f t="shared" si="27"/>
        <v>Direct</v>
      </c>
      <c r="H5028" s="7" t="s">
        <v>1232</v>
      </c>
    </row>
    <row r="5029" spans="1:8" x14ac:dyDescent="0.2">
      <c r="A5029" s="5" t="s">
        <v>27</v>
      </c>
      <c r="B5029" s="6" t="s">
        <v>19</v>
      </c>
      <c r="C5029" s="7" t="s">
        <v>5650</v>
      </c>
      <c r="D5029" s="7"/>
      <c r="E5029" s="8">
        <v>1.6061571800000001</v>
      </c>
      <c r="F5029" s="8">
        <v>1.7320745399999999</v>
      </c>
      <c r="G5029" s="7" t="str">
        <f t="shared" si="27"/>
        <v>Direct</v>
      </c>
      <c r="H5029" s="7" t="s">
        <v>5651</v>
      </c>
    </row>
    <row r="5030" spans="1:8" x14ac:dyDescent="0.2">
      <c r="A5030" s="5" t="s">
        <v>27</v>
      </c>
      <c r="B5030" s="6" t="s">
        <v>19</v>
      </c>
      <c r="C5030" s="7" t="s">
        <v>5652</v>
      </c>
      <c r="D5030" s="7"/>
      <c r="E5030" s="8">
        <v>1.04279828</v>
      </c>
      <c r="F5030" s="8">
        <v>1.19338799</v>
      </c>
      <c r="G5030" s="7" t="str">
        <f t="shared" si="27"/>
        <v>Direct</v>
      </c>
      <c r="H5030" s="7" t="s">
        <v>142</v>
      </c>
    </row>
    <row r="5031" spans="1:8" x14ac:dyDescent="0.2">
      <c r="A5031" s="5" t="s">
        <v>27</v>
      </c>
      <c r="B5031" s="6" t="s">
        <v>19</v>
      </c>
      <c r="C5031" s="7" t="s">
        <v>5653</v>
      </c>
      <c r="D5031" s="7"/>
      <c r="E5031" s="8">
        <v>-1.9768158</v>
      </c>
      <c r="F5031" s="8">
        <v>-2.5621141000000001</v>
      </c>
      <c r="G5031" s="7" t="str">
        <f t="shared" si="27"/>
        <v>Direct</v>
      </c>
      <c r="H5031" s="7" t="s">
        <v>16</v>
      </c>
    </row>
    <row r="5032" spans="1:8" x14ac:dyDescent="0.2">
      <c r="A5032" s="5" t="s">
        <v>27</v>
      </c>
      <c r="B5032" s="6" t="s">
        <v>19</v>
      </c>
      <c r="C5032" s="7" t="s">
        <v>5654</v>
      </c>
      <c r="D5032" s="7"/>
      <c r="E5032" s="8">
        <v>-1.9243458</v>
      </c>
      <c r="F5032" s="8">
        <v>-1.9672604</v>
      </c>
      <c r="G5032" s="7" t="str">
        <f t="shared" si="27"/>
        <v>Direct</v>
      </c>
      <c r="H5032" s="7" t="s">
        <v>16</v>
      </c>
    </row>
    <row r="5033" spans="1:8" x14ac:dyDescent="0.2">
      <c r="A5033" s="5" t="s">
        <v>27</v>
      </c>
      <c r="B5033" s="6" t="s">
        <v>19</v>
      </c>
      <c r="C5033" s="7" t="s">
        <v>5655</v>
      </c>
      <c r="D5033" s="7"/>
      <c r="E5033" s="8">
        <v>-2.3992415999999999</v>
      </c>
      <c r="F5033" s="8">
        <v>-2.5331579999999998</v>
      </c>
      <c r="G5033" s="7" t="str">
        <f t="shared" si="27"/>
        <v>Direct</v>
      </c>
      <c r="H5033" s="7" t="s">
        <v>5656</v>
      </c>
    </row>
    <row r="5034" spans="1:8" x14ac:dyDescent="0.2">
      <c r="A5034" s="5" t="s">
        <v>27</v>
      </c>
      <c r="B5034" s="6" t="s">
        <v>19</v>
      </c>
      <c r="C5034" s="7" t="s">
        <v>5657</v>
      </c>
      <c r="D5034" s="7"/>
      <c r="E5034" s="8">
        <v>-1.1473377</v>
      </c>
      <c r="F5034" s="8">
        <v>-3.6433884000000001</v>
      </c>
      <c r="G5034" s="7" t="str">
        <f t="shared" si="27"/>
        <v>Direct</v>
      </c>
      <c r="H5034" s="7" t="s">
        <v>5656</v>
      </c>
    </row>
    <row r="5035" spans="1:8" x14ac:dyDescent="0.2">
      <c r="A5035" s="5" t="s">
        <v>27</v>
      </c>
      <c r="B5035" s="6" t="s">
        <v>19</v>
      </c>
      <c r="C5035" s="7" t="s">
        <v>5658</v>
      </c>
      <c r="D5035" s="7"/>
      <c r="E5035" s="8">
        <v>-15.154221</v>
      </c>
      <c r="F5035" s="8">
        <v>-19.525714000000001</v>
      </c>
      <c r="G5035" s="7" t="str">
        <f t="shared" si="27"/>
        <v>Direct</v>
      </c>
      <c r="H5035" s="7" t="s">
        <v>5659</v>
      </c>
    </row>
    <row r="5036" spans="1:8" x14ac:dyDescent="0.2">
      <c r="A5036" s="5" t="s">
        <v>27</v>
      </c>
      <c r="B5036" s="6" t="s">
        <v>19</v>
      </c>
      <c r="C5036" s="7" t="s">
        <v>5660</v>
      </c>
      <c r="D5036" s="7"/>
      <c r="E5036" s="8">
        <v>-4.2105892999999996</v>
      </c>
      <c r="F5036" s="8">
        <v>-1.0733716</v>
      </c>
      <c r="G5036" s="7" t="str">
        <f t="shared" si="27"/>
        <v>Direct</v>
      </c>
      <c r="H5036" s="7" t="s">
        <v>2389</v>
      </c>
    </row>
    <row r="5037" spans="1:8" x14ac:dyDescent="0.2">
      <c r="A5037" s="5" t="s">
        <v>27</v>
      </c>
      <c r="B5037" s="6" t="s">
        <v>19</v>
      </c>
      <c r="C5037" s="7" t="s">
        <v>5661</v>
      </c>
      <c r="D5037" s="7"/>
      <c r="E5037" s="8">
        <v>1.30201547</v>
      </c>
      <c r="F5037" s="8">
        <v>1.08915363</v>
      </c>
      <c r="G5037" s="7" t="str">
        <f t="shared" si="27"/>
        <v>Direct</v>
      </c>
      <c r="H5037" s="7" t="s">
        <v>16</v>
      </c>
    </row>
    <row r="5038" spans="1:8" x14ac:dyDescent="0.2">
      <c r="A5038" s="5" t="s">
        <v>27</v>
      </c>
      <c r="B5038" s="6" t="s">
        <v>19</v>
      </c>
      <c r="C5038" s="7" t="s">
        <v>5662</v>
      </c>
      <c r="D5038" s="7"/>
      <c r="E5038" s="8">
        <v>-13.993631000000001</v>
      </c>
      <c r="F5038" s="8">
        <v>-6.9371330000000002</v>
      </c>
      <c r="G5038" s="7" t="str">
        <f t="shared" si="27"/>
        <v>Direct</v>
      </c>
      <c r="H5038" s="7" t="s">
        <v>5663</v>
      </c>
    </row>
    <row r="5039" spans="1:8" x14ac:dyDescent="0.2">
      <c r="A5039" s="5" t="s">
        <v>27</v>
      </c>
      <c r="B5039" s="6" t="s">
        <v>19</v>
      </c>
      <c r="C5039" s="7" t="s">
        <v>5664</v>
      </c>
      <c r="D5039" s="7"/>
      <c r="E5039" s="8">
        <v>2.3298481799999999</v>
      </c>
      <c r="F5039" s="8">
        <v>2.4797477799999998</v>
      </c>
      <c r="G5039" s="7" t="str">
        <f t="shared" si="27"/>
        <v>Direct</v>
      </c>
      <c r="H5039" s="7" t="s">
        <v>5665</v>
      </c>
    </row>
    <row r="5040" spans="1:8" x14ac:dyDescent="0.2">
      <c r="A5040" s="5" t="s">
        <v>27</v>
      </c>
      <c r="B5040" s="6" t="s">
        <v>19</v>
      </c>
      <c r="C5040" s="7" t="s">
        <v>5666</v>
      </c>
      <c r="D5040" s="7"/>
      <c r="E5040" s="8">
        <v>-1.1398458</v>
      </c>
      <c r="F5040" s="8">
        <v>-1.7460614000000001</v>
      </c>
      <c r="G5040" s="7" t="str">
        <f t="shared" si="27"/>
        <v>Direct</v>
      </c>
      <c r="H5040" s="7" t="s">
        <v>5667</v>
      </c>
    </row>
    <row r="5041" spans="1:8" x14ac:dyDescent="0.2">
      <c r="A5041" s="5" t="s">
        <v>27</v>
      </c>
      <c r="B5041" s="6" t="s">
        <v>19</v>
      </c>
      <c r="C5041" s="7" t="s">
        <v>5668</v>
      </c>
      <c r="D5041" s="7"/>
      <c r="E5041" s="8">
        <v>-1.3712124000000001</v>
      </c>
      <c r="F5041" s="8">
        <v>-2.1407137999999999</v>
      </c>
      <c r="G5041" s="7" t="str">
        <f t="shared" si="27"/>
        <v>Direct</v>
      </c>
      <c r="H5041" s="7" t="s">
        <v>2401</v>
      </c>
    </row>
    <row r="5042" spans="1:8" x14ac:dyDescent="0.2">
      <c r="A5042" s="5" t="s">
        <v>27</v>
      </c>
      <c r="B5042" s="6" t="s">
        <v>19</v>
      </c>
      <c r="C5042" s="7" t="s">
        <v>5669</v>
      </c>
      <c r="D5042" s="7"/>
      <c r="E5042" s="8">
        <v>1.3395321</v>
      </c>
      <c r="F5042" s="8">
        <v>1.1806908199999999</v>
      </c>
      <c r="G5042" s="7" t="str">
        <f t="shared" si="27"/>
        <v>Direct</v>
      </c>
      <c r="H5042" s="7" t="s">
        <v>5670</v>
      </c>
    </row>
    <row r="5043" spans="1:8" x14ac:dyDescent="0.2">
      <c r="A5043" s="5" t="s">
        <v>27</v>
      </c>
      <c r="B5043" s="6" t="s">
        <v>19</v>
      </c>
      <c r="C5043" s="7" t="s">
        <v>5671</v>
      </c>
      <c r="D5043" s="7"/>
      <c r="E5043" s="8">
        <v>-2.7351162000000002</v>
      </c>
      <c r="F5043" s="8">
        <v>-2.3237428000000002</v>
      </c>
      <c r="G5043" s="7" t="str">
        <f t="shared" si="27"/>
        <v>Direct</v>
      </c>
      <c r="H5043" s="7" t="s">
        <v>5672</v>
      </c>
    </row>
    <row r="5044" spans="1:8" x14ac:dyDescent="0.2">
      <c r="A5044" s="5" t="s">
        <v>27</v>
      </c>
      <c r="B5044" s="6" t="s">
        <v>19</v>
      </c>
      <c r="C5044" s="7" t="s">
        <v>5673</v>
      </c>
      <c r="D5044" s="7"/>
      <c r="E5044" s="8">
        <v>-1.1001847</v>
      </c>
      <c r="F5044" s="8">
        <v>-1.6952438000000001</v>
      </c>
      <c r="G5044" s="7" t="str">
        <f t="shared" si="27"/>
        <v>Direct</v>
      </c>
      <c r="H5044" s="7" t="s">
        <v>5674</v>
      </c>
    </row>
    <row r="5045" spans="1:8" x14ac:dyDescent="0.2">
      <c r="A5045" s="5" t="s">
        <v>27</v>
      </c>
      <c r="B5045" s="6" t="s">
        <v>19</v>
      </c>
      <c r="C5045" s="7" t="s">
        <v>5675</v>
      </c>
      <c r="D5045" s="7"/>
      <c r="E5045" s="8">
        <v>-1.5312030999999999</v>
      </c>
      <c r="F5045" s="8">
        <v>-2.8063221</v>
      </c>
      <c r="G5045" s="7" t="str">
        <f t="shared" si="27"/>
        <v>Direct</v>
      </c>
      <c r="H5045" s="7" t="s">
        <v>274</v>
      </c>
    </row>
    <row r="5046" spans="1:8" x14ac:dyDescent="0.2">
      <c r="A5046" s="5" t="s">
        <v>27</v>
      </c>
      <c r="B5046" s="6" t="s">
        <v>19</v>
      </c>
      <c r="C5046" s="7" t="s">
        <v>5676</v>
      </c>
      <c r="D5046" s="7"/>
      <c r="E5046" s="8">
        <v>-3.3721147</v>
      </c>
      <c r="F5046" s="8">
        <v>-1.4992224000000001</v>
      </c>
      <c r="G5046" s="7" t="str">
        <f t="shared" si="27"/>
        <v>Direct</v>
      </c>
      <c r="H5046" s="7" t="s">
        <v>5677</v>
      </c>
    </row>
    <row r="5047" spans="1:8" x14ac:dyDescent="0.2">
      <c r="A5047" s="5" t="s">
        <v>27</v>
      </c>
      <c r="B5047" s="6" t="s">
        <v>19</v>
      </c>
      <c r="C5047" s="7" t="s">
        <v>5678</v>
      </c>
      <c r="D5047" s="7"/>
      <c r="E5047" s="8">
        <v>-1.9190305000000001</v>
      </c>
      <c r="F5047" s="8">
        <v>-2.1160044999999998</v>
      </c>
      <c r="G5047" s="7" t="str">
        <f t="shared" si="27"/>
        <v>Direct</v>
      </c>
      <c r="H5047" s="7" t="s">
        <v>5679</v>
      </c>
    </row>
    <row r="5048" spans="1:8" x14ac:dyDescent="0.2">
      <c r="A5048" s="5" t="s">
        <v>27</v>
      </c>
      <c r="B5048" s="6" t="s">
        <v>19</v>
      </c>
      <c r="C5048" s="7" t="s">
        <v>5680</v>
      </c>
      <c r="D5048" s="7"/>
      <c r="E5048" s="8">
        <v>-1.4463501000000001</v>
      </c>
      <c r="F5048" s="8">
        <v>-1.7498066999999999</v>
      </c>
      <c r="G5048" s="7" t="str">
        <f t="shared" si="27"/>
        <v>Direct</v>
      </c>
      <c r="H5048" s="7" t="s">
        <v>16</v>
      </c>
    </row>
    <row r="5049" spans="1:8" x14ac:dyDescent="0.2">
      <c r="A5049" s="5" t="s">
        <v>27</v>
      </c>
      <c r="B5049" s="6" t="s">
        <v>19</v>
      </c>
      <c r="C5049" s="7" t="s">
        <v>5681</v>
      </c>
      <c r="D5049" s="7"/>
      <c r="E5049" s="8">
        <v>-1.7543418</v>
      </c>
      <c r="F5049" s="8">
        <v>-1.4247590000000001</v>
      </c>
      <c r="G5049" s="7" t="str">
        <f t="shared" si="27"/>
        <v>Direct</v>
      </c>
      <c r="H5049" s="7" t="s">
        <v>16</v>
      </c>
    </row>
    <row r="5050" spans="1:8" x14ac:dyDescent="0.2">
      <c r="A5050" s="5" t="s">
        <v>27</v>
      </c>
      <c r="B5050" s="6" t="s">
        <v>19</v>
      </c>
      <c r="C5050" s="7" t="s">
        <v>5682</v>
      </c>
      <c r="D5050" s="7"/>
      <c r="E5050" s="8">
        <v>-2.1870687000000002</v>
      </c>
      <c r="F5050" s="8">
        <v>-3.6236088</v>
      </c>
      <c r="G5050" s="7" t="str">
        <f t="shared" si="27"/>
        <v>Direct</v>
      </c>
      <c r="H5050" s="7" t="s">
        <v>16</v>
      </c>
    </row>
    <row r="5051" spans="1:8" x14ac:dyDescent="0.2">
      <c r="A5051" s="5" t="s">
        <v>27</v>
      </c>
      <c r="B5051" s="6" t="s">
        <v>19</v>
      </c>
      <c r="C5051" s="7" t="s">
        <v>5683</v>
      </c>
      <c r="D5051" s="7"/>
      <c r="E5051" s="8">
        <v>1.3283610699999999</v>
      </c>
      <c r="F5051" s="8">
        <v>1.6005100999999999</v>
      </c>
      <c r="G5051" s="7" t="str">
        <f t="shared" si="27"/>
        <v>Direct</v>
      </c>
      <c r="H5051" s="7" t="s">
        <v>543</v>
      </c>
    </row>
    <row r="5052" spans="1:8" x14ac:dyDescent="0.2">
      <c r="A5052" s="5" t="s">
        <v>27</v>
      </c>
      <c r="B5052" s="6" t="s">
        <v>19</v>
      </c>
      <c r="C5052" s="7" t="s">
        <v>5684</v>
      </c>
      <c r="D5052" s="7"/>
      <c r="E5052" s="8">
        <v>-1.9327116</v>
      </c>
      <c r="F5052" s="8">
        <v>-3.8707373</v>
      </c>
      <c r="G5052" s="7" t="str">
        <f t="shared" si="27"/>
        <v>Direct</v>
      </c>
      <c r="H5052" s="7" t="s">
        <v>16</v>
      </c>
    </row>
    <row r="5053" spans="1:8" x14ac:dyDescent="0.2">
      <c r="A5053" s="5" t="s">
        <v>27</v>
      </c>
      <c r="B5053" s="6" t="s">
        <v>19</v>
      </c>
      <c r="C5053" s="7" t="s">
        <v>5685</v>
      </c>
      <c r="D5053" s="7"/>
      <c r="E5053" s="8">
        <v>1.89106934</v>
      </c>
      <c r="F5053" s="8">
        <v>2.5484825799999999</v>
      </c>
      <c r="G5053" s="7" t="str">
        <f t="shared" si="27"/>
        <v>Direct</v>
      </c>
      <c r="H5053" s="7" t="s">
        <v>16</v>
      </c>
    </row>
    <row r="5054" spans="1:8" x14ac:dyDescent="0.2">
      <c r="A5054" s="5" t="s">
        <v>27</v>
      </c>
      <c r="B5054" s="6" t="s">
        <v>19</v>
      </c>
      <c r="C5054" s="7" t="s">
        <v>5686</v>
      </c>
      <c r="D5054" s="7"/>
      <c r="E5054" s="8">
        <v>-3.2317575999999999</v>
      </c>
      <c r="F5054" s="8">
        <v>-2.6073800999999999</v>
      </c>
      <c r="G5054" s="7" t="str">
        <f t="shared" si="27"/>
        <v>Direct</v>
      </c>
      <c r="H5054" s="7" t="s">
        <v>16</v>
      </c>
    </row>
    <row r="5055" spans="1:8" x14ac:dyDescent="0.2">
      <c r="A5055" s="5" t="s">
        <v>27</v>
      </c>
      <c r="B5055" s="6" t="s">
        <v>19</v>
      </c>
      <c r="C5055" s="7" t="s">
        <v>4208</v>
      </c>
      <c r="D5055" s="7"/>
      <c r="E5055" s="8">
        <v>3.1685894999999999</v>
      </c>
      <c r="F5055" s="8">
        <v>3.3141016400000001</v>
      </c>
      <c r="G5055" s="7" t="str">
        <f t="shared" si="27"/>
        <v>Direct</v>
      </c>
      <c r="H5055" s="7" t="s">
        <v>4209</v>
      </c>
    </row>
    <row r="5056" spans="1:8" x14ac:dyDescent="0.2">
      <c r="A5056" s="5" t="s">
        <v>27</v>
      </c>
      <c r="B5056" s="6" t="s">
        <v>19</v>
      </c>
      <c r="C5056" s="7" t="s">
        <v>5687</v>
      </c>
      <c r="D5056" s="7"/>
      <c r="E5056" s="8">
        <v>1.9006685800000001</v>
      </c>
      <c r="F5056" s="8">
        <v>3.1782310800000002</v>
      </c>
      <c r="G5056" s="7" t="str">
        <f t="shared" si="27"/>
        <v>Direct</v>
      </c>
      <c r="H5056" s="7" t="s">
        <v>5688</v>
      </c>
    </row>
    <row r="5057" spans="1:8" x14ac:dyDescent="0.2">
      <c r="A5057" s="5" t="s">
        <v>27</v>
      </c>
      <c r="B5057" s="6" t="s">
        <v>19</v>
      </c>
      <c r="C5057" s="7" t="s">
        <v>5689</v>
      </c>
      <c r="D5057" s="7"/>
      <c r="E5057" s="8">
        <v>-1.7199686000000001</v>
      </c>
      <c r="F5057" s="8">
        <v>-1.5155231</v>
      </c>
      <c r="G5057" s="7" t="str">
        <f t="shared" si="27"/>
        <v>Direct</v>
      </c>
      <c r="H5057" s="7" t="s">
        <v>16</v>
      </c>
    </row>
    <row r="5058" spans="1:8" x14ac:dyDescent="0.2">
      <c r="A5058" s="5" t="s">
        <v>27</v>
      </c>
      <c r="B5058" s="6" t="s">
        <v>19</v>
      </c>
      <c r="C5058" s="7" t="s">
        <v>5690</v>
      </c>
      <c r="D5058" s="7"/>
      <c r="E5058" s="8">
        <v>-1.6358652</v>
      </c>
      <c r="F5058" s="8">
        <v>-1.1065433</v>
      </c>
      <c r="G5058" s="7" t="str">
        <f t="shared" si="27"/>
        <v>Direct</v>
      </c>
      <c r="H5058" s="7" t="s">
        <v>16</v>
      </c>
    </row>
    <row r="5059" spans="1:8" x14ac:dyDescent="0.2">
      <c r="A5059" s="5" t="s">
        <v>27</v>
      </c>
      <c r="B5059" s="6" t="s">
        <v>19</v>
      </c>
      <c r="C5059" s="7" t="s">
        <v>5691</v>
      </c>
      <c r="D5059" s="7"/>
      <c r="E5059" s="8">
        <v>-7.5067608999999997</v>
      </c>
      <c r="F5059" s="8">
        <v>-4.9481225999999996</v>
      </c>
      <c r="G5059" s="7" t="str">
        <f t="shared" si="27"/>
        <v>Direct</v>
      </c>
      <c r="H5059" s="7" t="s">
        <v>5692</v>
      </c>
    </row>
    <row r="5060" spans="1:8" x14ac:dyDescent="0.2">
      <c r="A5060" s="5" t="s">
        <v>27</v>
      </c>
      <c r="B5060" s="6" t="s">
        <v>19</v>
      </c>
      <c r="C5060" s="7" t="s">
        <v>5693</v>
      </c>
      <c r="D5060" s="7"/>
      <c r="E5060" s="8">
        <v>-1.940755</v>
      </c>
      <c r="F5060" s="8">
        <v>-2.4778726</v>
      </c>
      <c r="G5060" s="7" t="str">
        <f t="shared" si="27"/>
        <v>Direct</v>
      </c>
      <c r="H5060" s="7" t="s">
        <v>16</v>
      </c>
    </row>
    <row r="5061" spans="1:8" x14ac:dyDescent="0.2">
      <c r="A5061" s="5" t="s">
        <v>27</v>
      </c>
      <c r="B5061" s="6" t="s">
        <v>19</v>
      </c>
      <c r="C5061" s="7" t="s">
        <v>5694</v>
      </c>
      <c r="D5061" s="7"/>
      <c r="E5061" s="8">
        <v>-8.2672343000000001</v>
      </c>
      <c r="F5061" s="8">
        <v>-12.451983</v>
      </c>
      <c r="G5061" s="7" t="str">
        <f t="shared" si="27"/>
        <v>Direct</v>
      </c>
      <c r="H5061" s="7" t="s">
        <v>2607</v>
      </c>
    </row>
    <row r="5062" spans="1:8" x14ac:dyDescent="0.2">
      <c r="A5062" s="5" t="s">
        <v>27</v>
      </c>
      <c r="B5062" s="6" t="s">
        <v>19</v>
      </c>
      <c r="C5062" s="7" t="s">
        <v>4210</v>
      </c>
      <c r="D5062" s="7"/>
      <c r="E5062" s="8">
        <v>-1.1397056000000001</v>
      </c>
      <c r="F5062" s="8">
        <v>-1.3765923</v>
      </c>
      <c r="G5062" s="7" t="str">
        <f t="shared" si="27"/>
        <v>Direct</v>
      </c>
      <c r="H5062" s="7" t="s">
        <v>1358</v>
      </c>
    </row>
    <row r="5063" spans="1:8" x14ac:dyDescent="0.2">
      <c r="A5063" s="5" t="s">
        <v>27</v>
      </c>
      <c r="B5063" s="6" t="s">
        <v>19</v>
      </c>
      <c r="C5063" s="7" t="s">
        <v>5695</v>
      </c>
      <c r="D5063" s="7"/>
      <c r="E5063" s="8">
        <v>-1.3422498</v>
      </c>
      <c r="F5063" s="8">
        <v>-1.238151</v>
      </c>
      <c r="G5063" s="7" t="str">
        <f t="shared" si="27"/>
        <v>Direct</v>
      </c>
      <c r="H5063" s="7" t="s">
        <v>5696</v>
      </c>
    </row>
    <row r="5064" spans="1:8" x14ac:dyDescent="0.2">
      <c r="A5064" s="5" t="s">
        <v>27</v>
      </c>
      <c r="B5064" s="6" t="s">
        <v>19</v>
      </c>
      <c r="C5064" s="7" t="s">
        <v>5697</v>
      </c>
      <c r="D5064" s="7"/>
      <c r="E5064" s="8">
        <v>-5.7282506</v>
      </c>
      <c r="F5064" s="8">
        <v>-8.6824537999999993</v>
      </c>
      <c r="G5064" s="7" t="str">
        <f t="shared" si="27"/>
        <v>Direct</v>
      </c>
      <c r="H5064" s="7" t="s">
        <v>1997</v>
      </c>
    </row>
    <row r="5065" spans="1:8" x14ac:dyDescent="0.2">
      <c r="A5065" s="5" t="s">
        <v>27</v>
      </c>
      <c r="B5065" s="6" t="s">
        <v>19</v>
      </c>
      <c r="C5065" s="7" t="s">
        <v>5698</v>
      </c>
      <c r="D5065" s="7"/>
      <c r="E5065" s="8">
        <v>1.4851526900000001</v>
      </c>
      <c r="F5065" s="8">
        <v>1.89729452</v>
      </c>
      <c r="G5065" s="7" t="str">
        <f t="shared" si="27"/>
        <v>Direct</v>
      </c>
      <c r="H5065" s="7" t="s">
        <v>1906</v>
      </c>
    </row>
    <row r="5066" spans="1:8" x14ac:dyDescent="0.2">
      <c r="A5066" s="5" t="s">
        <v>27</v>
      </c>
      <c r="B5066" s="6" t="s">
        <v>19</v>
      </c>
      <c r="C5066" s="7" t="s">
        <v>4211</v>
      </c>
      <c r="D5066" s="7"/>
      <c r="E5066" s="8">
        <v>-3.001728</v>
      </c>
      <c r="F5066" s="8">
        <v>-4.1434898000000002</v>
      </c>
      <c r="G5066" s="7" t="str">
        <f t="shared" si="27"/>
        <v>Direct</v>
      </c>
      <c r="H5066" s="7" t="s">
        <v>142</v>
      </c>
    </row>
    <row r="5067" spans="1:8" x14ac:dyDescent="0.2">
      <c r="A5067" s="5" t="s">
        <v>27</v>
      </c>
      <c r="B5067" s="6" t="s">
        <v>19</v>
      </c>
      <c r="C5067" s="7" t="s">
        <v>5699</v>
      </c>
      <c r="D5067" s="7"/>
      <c r="E5067" s="8">
        <v>-3.1817161999999999</v>
      </c>
      <c r="F5067" s="8">
        <v>-3.7065975999999998</v>
      </c>
      <c r="G5067" s="7" t="str">
        <f t="shared" si="27"/>
        <v>Direct</v>
      </c>
      <c r="H5067" s="7" t="s">
        <v>5700</v>
      </c>
    </row>
    <row r="5068" spans="1:8" x14ac:dyDescent="0.2">
      <c r="A5068" s="5" t="s">
        <v>27</v>
      </c>
      <c r="B5068" s="6" t="s">
        <v>19</v>
      </c>
      <c r="C5068" s="7" t="s">
        <v>5701</v>
      </c>
      <c r="D5068" s="7"/>
      <c r="E5068" s="8">
        <v>-1.1792583999999999</v>
      </c>
      <c r="F5068" s="8">
        <v>-1.7744631</v>
      </c>
      <c r="G5068" s="7" t="str">
        <f t="shared" si="27"/>
        <v>Direct</v>
      </c>
      <c r="H5068" s="7" t="s">
        <v>16</v>
      </c>
    </row>
    <row r="5069" spans="1:8" x14ac:dyDescent="0.2">
      <c r="A5069" s="5" t="s">
        <v>27</v>
      </c>
      <c r="B5069" s="6" t="s">
        <v>19</v>
      </c>
      <c r="C5069" s="7" t="s">
        <v>5702</v>
      </c>
      <c r="D5069" s="7"/>
      <c r="E5069" s="8">
        <v>-7.4226542999999996</v>
      </c>
      <c r="F5069" s="8">
        <v>-11.995799999999999</v>
      </c>
      <c r="G5069" s="7" t="str">
        <f t="shared" si="27"/>
        <v>Direct</v>
      </c>
      <c r="H5069" s="7" t="s">
        <v>58</v>
      </c>
    </row>
    <row r="5070" spans="1:8" x14ac:dyDescent="0.2">
      <c r="A5070" s="5" t="s">
        <v>27</v>
      </c>
      <c r="B5070" s="6" t="s">
        <v>19</v>
      </c>
      <c r="C5070" s="7" t="s">
        <v>5703</v>
      </c>
      <c r="D5070" s="7"/>
      <c r="E5070" s="8">
        <v>1.21668697</v>
      </c>
      <c r="F5070" s="8">
        <v>1.51557024</v>
      </c>
      <c r="G5070" s="7" t="str">
        <f t="shared" si="27"/>
        <v>Direct</v>
      </c>
      <c r="H5070" s="7" t="s">
        <v>16</v>
      </c>
    </row>
    <row r="5071" spans="1:8" x14ac:dyDescent="0.2">
      <c r="A5071" s="5" t="s">
        <v>27</v>
      </c>
      <c r="B5071" s="6" t="s">
        <v>19</v>
      </c>
      <c r="C5071" s="7" t="s">
        <v>5704</v>
      </c>
      <c r="D5071" s="7"/>
      <c r="E5071" s="8">
        <v>1.2783352800000001</v>
      </c>
      <c r="F5071" s="8">
        <v>1.1044681300000001</v>
      </c>
      <c r="G5071" s="7" t="str">
        <f t="shared" si="27"/>
        <v>Direct</v>
      </c>
      <c r="H5071" s="7" t="s">
        <v>16</v>
      </c>
    </row>
    <row r="5072" spans="1:8" x14ac:dyDescent="0.2">
      <c r="A5072" s="5" t="s">
        <v>27</v>
      </c>
      <c r="B5072" s="6" t="s">
        <v>19</v>
      </c>
      <c r="C5072" s="7" t="s">
        <v>5705</v>
      </c>
      <c r="D5072" s="7"/>
      <c r="E5072" s="8">
        <v>4.1845635999999997</v>
      </c>
      <c r="F5072" s="8">
        <v>8.5062825100000001</v>
      </c>
      <c r="G5072" s="7" t="str">
        <f t="shared" si="27"/>
        <v>Direct</v>
      </c>
      <c r="H5072" s="7" t="s">
        <v>16</v>
      </c>
    </row>
    <row r="5073" spans="1:8" x14ac:dyDescent="0.2">
      <c r="A5073" s="5" t="s">
        <v>27</v>
      </c>
      <c r="B5073" s="6" t="s">
        <v>19</v>
      </c>
      <c r="C5073" s="7" t="s">
        <v>5706</v>
      </c>
      <c r="D5073" s="7"/>
      <c r="E5073" s="8">
        <v>-1.9838629999999999</v>
      </c>
      <c r="F5073" s="8">
        <v>-1.6005100999999999</v>
      </c>
      <c r="G5073" s="7" t="str">
        <f t="shared" si="27"/>
        <v>Direct</v>
      </c>
      <c r="H5073" s="7" t="s">
        <v>16</v>
      </c>
    </row>
    <row r="5074" spans="1:8" x14ac:dyDescent="0.2">
      <c r="A5074" s="5" t="s">
        <v>27</v>
      </c>
      <c r="B5074" s="6" t="s">
        <v>19</v>
      </c>
      <c r="C5074" s="7" t="s">
        <v>5707</v>
      </c>
      <c r="D5074" s="7"/>
      <c r="E5074" s="8">
        <v>6.2308174899999997</v>
      </c>
      <c r="F5074" s="8">
        <v>6.4512948899999998</v>
      </c>
      <c r="G5074" s="7" t="str">
        <f t="shared" si="27"/>
        <v>Direct</v>
      </c>
      <c r="H5074" s="7" t="s">
        <v>5708</v>
      </c>
    </row>
    <row r="5075" spans="1:8" x14ac:dyDescent="0.2">
      <c r="A5075" s="5" t="s">
        <v>27</v>
      </c>
      <c r="B5075" s="6" t="s">
        <v>19</v>
      </c>
      <c r="C5075" s="7" t="s">
        <v>5709</v>
      </c>
      <c r="D5075" s="7"/>
      <c r="E5075" s="8">
        <v>3.8687509499999999</v>
      </c>
      <c r="F5075" s="8">
        <v>2.6370531800000001</v>
      </c>
      <c r="G5075" s="7" t="str">
        <f t="shared" si="27"/>
        <v>Direct</v>
      </c>
      <c r="H5075" s="7" t="s">
        <v>5710</v>
      </c>
    </row>
    <row r="5076" spans="1:8" x14ac:dyDescent="0.2">
      <c r="A5076" s="5" t="s">
        <v>27</v>
      </c>
      <c r="B5076" s="6" t="s">
        <v>19</v>
      </c>
      <c r="C5076" s="7" t="s">
        <v>4212</v>
      </c>
      <c r="D5076" s="7"/>
      <c r="E5076" s="8">
        <v>8.4227492399999999</v>
      </c>
      <c r="F5076" s="8">
        <v>7.2882224899999999</v>
      </c>
      <c r="G5076" s="7" t="str">
        <f t="shared" si="27"/>
        <v>Direct</v>
      </c>
      <c r="H5076" s="7" t="s">
        <v>4213</v>
      </c>
    </row>
    <row r="5077" spans="1:8" x14ac:dyDescent="0.2">
      <c r="A5077" s="5" t="s">
        <v>27</v>
      </c>
      <c r="B5077" s="6" t="s">
        <v>19</v>
      </c>
      <c r="C5077" s="7" t="s">
        <v>5711</v>
      </c>
      <c r="D5077" s="7"/>
      <c r="E5077" s="8">
        <v>1.32383769</v>
      </c>
      <c r="F5077" s="8">
        <v>2.2264411499999999</v>
      </c>
      <c r="G5077" s="7" t="str">
        <f t="shared" si="27"/>
        <v>Direct</v>
      </c>
      <c r="H5077" s="7" t="s">
        <v>5712</v>
      </c>
    </row>
    <row r="5078" spans="1:8" x14ac:dyDescent="0.2">
      <c r="A5078" s="5" t="s">
        <v>27</v>
      </c>
      <c r="B5078" s="6" t="s">
        <v>19</v>
      </c>
      <c r="C5078" s="7" t="s">
        <v>5713</v>
      </c>
      <c r="D5078" s="7"/>
      <c r="E5078" s="8">
        <v>-1.2610258999999999</v>
      </c>
      <c r="F5078" s="8">
        <v>-2.6044432</v>
      </c>
      <c r="G5078" s="7" t="str">
        <f t="shared" si="27"/>
        <v>Direct</v>
      </c>
      <c r="H5078" s="7" t="s">
        <v>5714</v>
      </c>
    </row>
    <row r="5079" spans="1:8" x14ac:dyDescent="0.2">
      <c r="A5079" s="5" t="s">
        <v>27</v>
      </c>
      <c r="B5079" s="6" t="s">
        <v>19</v>
      </c>
      <c r="C5079" s="7" t="s">
        <v>4214</v>
      </c>
      <c r="D5079" s="7"/>
      <c r="E5079" s="8">
        <v>2.1981066199999999</v>
      </c>
      <c r="F5079" s="8">
        <v>2.54166815</v>
      </c>
      <c r="G5079" s="7" t="str">
        <f t="shared" si="27"/>
        <v>Direct</v>
      </c>
      <c r="H5079" s="7" t="s">
        <v>16</v>
      </c>
    </row>
    <row r="5080" spans="1:8" x14ac:dyDescent="0.2">
      <c r="A5080" s="5" t="s">
        <v>27</v>
      </c>
      <c r="B5080" s="6" t="s">
        <v>19</v>
      </c>
      <c r="C5080" s="7" t="s">
        <v>5715</v>
      </c>
      <c r="D5080" s="7"/>
      <c r="E5080" s="8">
        <v>2.4498252300000001</v>
      </c>
      <c r="F5080" s="8">
        <v>2.7067494999999999</v>
      </c>
      <c r="G5080" s="7" t="str">
        <f t="shared" si="27"/>
        <v>Direct</v>
      </c>
      <c r="H5080" s="7" t="s">
        <v>5716</v>
      </c>
    </row>
    <row r="5081" spans="1:8" x14ac:dyDescent="0.2">
      <c r="A5081" s="5" t="s">
        <v>27</v>
      </c>
      <c r="B5081" s="6" t="s">
        <v>19</v>
      </c>
      <c r="C5081" s="7" t="s">
        <v>5717</v>
      </c>
      <c r="D5081" s="7"/>
      <c r="E5081" s="8">
        <v>1.8861421199999999</v>
      </c>
      <c r="F5081" s="8">
        <v>1.7126035399999999</v>
      </c>
      <c r="G5081" s="7" t="str">
        <f t="shared" si="27"/>
        <v>Direct</v>
      </c>
      <c r="H5081" s="7" t="s">
        <v>5718</v>
      </c>
    </row>
    <row r="5082" spans="1:8" x14ac:dyDescent="0.2">
      <c r="A5082" s="5" t="s">
        <v>27</v>
      </c>
      <c r="B5082" s="6" t="s">
        <v>19</v>
      </c>
      <c r="C5082" s="7" t="s">
        <v>5719</v>
      </c>
      <c r="D5082" s="7"/>
      <c r="E5082" s="8">
        <v>-1.9122612000000001</v>
      </c>
      <c r="F5082" s="8">
        <v>-2.5076499000000001</v>
      </c>
      <c r="G5082" s="7" t="str">
        <f t="shared" si="27"/>
        <v>Direct</v>
      </c>
      <c r="H5082" s="7" t="s">
        <v>5720</v>
      </c>
    </row>
    <row r="5083" spans="1:8" x14ac:dyDescent="0.2">
      <c r="A5083" s="5" t="s">
        <v>27</v>
      </c>
      <c r="B5083" s="6" t="s">
        <v>19</v>
      </c>
      <c r="C5083" s="7" t="s">
        <v>5721</v>
      </c>
      <c r="D5083" s="7"/>
      <c r="E5083" s="8">
        <v>6.5045741799999997</v>
      </c>
      <c r="F5083" s="8">
        <v>5.7248135700000002</v>
      </c>
      <c r="G5083" s="7" t="str">
        <f t="shared" si="27"/>
        <v>Direct</v>
      </c>
      <c r="H5083" s="7" t="s">
        <v>5722</v>
      </c>
    </row>
    <row r="5084" spans="1:8" x14ac:dyDescent="0.2">
      <c r="A5084" s="5" t="s">
        <v>27</v>
      </c>
      <c r="B5084" s="6" t="s">
        <v>19</v>
      </c>
      <c r="C5084" s="7" t="s">
        <v>5723</v>
      </c>
      <c r="D5084" s="7"/>
      <c r="E5084" s="8">
        <v>1.28824918</v>
      </c>
      <c r="F5084" s="8">
        <v>1.3331339900000001</v>
      </c>
      <c r="G5084" s="7" t="str">
        <f t="shared" si="27"/>
        <v>Direct</v>
      </c>
      <c r="H5084" s="7" t="s">
        <v>5722</v>
      </c>
    </row>
    <row r="5085" spans="1:8" x14ac:dyDescent="0.2">
      <c r="A5085" s="5" t="s">
        <v>27</v>
      </c>
      <c r="B5085" s="6" t="s">
        <v>19</v>
      </c>
      <c r="C5085" s="7" t="s">
        <v>5724</v>
      </c>
      <c r="D5085" s="7"/>
      <c r="E5085" s="8">
        <v>3.80706963</v>
      </c>
      <c r="F5085" s="8">
        <v>1.7966767299999999</v>
      </c>
      <c r="G5085" s="7" t="str">
        <f t="shared" si="27"/>
        <v>Direct</v>
      </c>
      <c r="H5085" s="7" t="s">
        <v>5725</v>
      </c>
    </row>
    <row r="5086" spans="1:8" x14ac:dyDescent="0.2">
      <c r="A5086" s="5" t="s">
        <v>27</v>
      </c>
      <c r="B5086" s="6" t="s">
        <v>19</v>
      </c>
      <c r="C5086" s="7" t="s">
        <v>5726</v>
      </c>
      <c r="D5086" s="7"/>
      <c r="E5086" s="8">
        <v>1.4896938900000001</v>
      </c>
      <c r="F5086" s="8">
        <v>1.76035443</v>
      </c>
      <c r="G5086" s="7" t="str">
        <f t="shared" si="27"/>
        <v>Direct</v>
      </c>
      <c r="H5086" s="7" t="s">
        <v>5355</v>
      </c>
    </row>
    <row r="5087" spans="1:8" x14ac:dyDescent="0.2">
      <c r="A5087" s="5" t="s">
        <v>27</v>
      </c>
      <c r="B5087" s="6" t="s">
        <v>19</v>
      </c>
      <c r="C5087" s="7" t="s">
        <v>5727</v>
      </c>
      <c r="D5087" s="7"/>
      <c r="E5087" s="8">
        <v>-1.9832540000000001</v>
      </c>
      <c r="F5087" s="8">
        <v>-1.5450284000000001</v>
      </c>
      <c r="G5087" s="7" t="str">
        <f t="shared" si="27"/>
        <v>Direct</v>
      </c>
      <c r="H5087" s="7" t="s">
        <v>3610</v>
      </c>
    </row>
    <row r="5088" spans="1:8" x14ac:dyDescent="0.2">
      <c r="A5088" s="5" t="s">
        <v>27</v>
      </c>
      <c r="B5088" s="6" t="s">
        <v>19</v>
      </c>
      <c r="C5088" s="7" t="s">
        <v>5728</v>
      </c>
      <c r="D5088" s="7"/>
      <c r="E5088" s="8">
        <v>2.6721877200000002</v>
      </c>
      <c r="F5088" s="8">
        <v>2.3691723599999999</v>
      </c>
      <c r="G5088" s="7" t="str">
        <f t="shared" si="27"/>
        <v>Direct</v>
      </c>
      <c r="H5088" s="7" t="s">
        <v>16</v>
      </c>
    </row>
    <row r="5089" spans="1:8" x14ac:dyDescent="0.2">
      <c r="A5089" s="5" t="s">
        <v>27</v>
      </c>
      <c r="B5089" s="6" t="s">
        <v>19</v>
      </c>
      <c r="C5089" s="7" t="s">
        <v>5729</v>
      </c>
      <c r="D5089" s="7"/>
      <c r="E5089" s="8">
        <v>2.9075075300000002</v>
      </c>
      <c r="F5089" s="8">
        <v>3.67355483</v>
      </c>
      <c r="G5089" s="7" t="str">
        <f t="shared" si="27"/>
        <v>Direct</v>
      </c>
      <c r="H5089" s="7" t="s">
        <v>5730</v>
      </c>
    </row>
    <row r="5090" spans="1:8" x14ac:dyDescent="0.2">
      <c r="A5090" s="5" t="s">
        <v>27</v>
      </c>
      <c r="B5090" s="6" t="s">
        <v>19</v>
      </c>
      <c r="C5090" s="7" t="s">
        <v>5731</v>
      </c>
      <c r="D5090" s="7"/>
      <c r="E5090" s="8">
        <v>-3.4598950999999998</v>
      </c>
      <c r="F5090" s="8">
        <v>-4.1360843000000003</v>
      </c>
      <c r="G5090" s="7" t="str">
        <f t="shared" si="27"/>
        <v>Direct</v>
      </c>
      <c r="H5090" s="7" t="s">
        <v>16</v>
      </c>
    </row>
    <row r="5091" spans="1:8" x14ac:dyDescent="0.2">
      <c r="A5091" s="5" t="s">
        <v>27</v>
      </c>
      <c r="B5091" s="6" t="s">
        <v>19</v>
      </c>
      <c r="C5091" s="7" t="s">
        <v>5732</v>
      </c>
      <c r="D5091" s="7"/>
      <c r="E5091" s="8">
        <v>-3.8330587</v>
      </c>
      <c r="F5091" s="8">
        <v>-2.5867868999999999</v>
      </c>
      <c r="G5091" s="7" t="str">
        <f t="shared" si="27"/>
        <v>Direct</v>
      </c>
      <c r="H5091" s="7" t="s">
        <v>2975</v>
      </c>
    </row>
    <row r="5092" spans="1:8" x14ac:dyDescent="0.2">
      <c r="A5092" s="5" t="s">
        <v>27</v>
      </c>
      <c r="B5092" s="6" t="s">
        <v>19</v>
      </c>
      <c r="C5092" s="7" t="s">
        <v>5733</v>
      </c>
      <c r="D5092" s="7"/>
      <c r="E5092" s="8">
        <v>-2.2118365</v>
      </c>
      <c r="F5092" s="8">
        <v>-6.6224629999999998</v>
      </c>
      <c r="G5092" s="7" t="str">
        <f t="shared" si="27"/>
        <v>Direct</v>
      </c>
      <c r="H5092" s="7" t="s">
        <v>321</v>
      </c>
    </row>
    <row r="5093" spans="1:8" x14ac:dyDescent="0.2">
      <c r="A5093" s="5" t="s">
        <v>27</v>
      </c>
      <c r="B5093" s="6" t="s">
        <v>19</v>
      </c>
      <c r="C5093" s="7" t="s">
        <v>5734</v>
      </c>
      <c r="D5093" s="7"/>
      <c r="E5093" s="8">
        <v>1.38924662</v>
      </c>
      <c r="F5093" s="8">
        <v>2.9671869100000001</v>
      </c>
      <c r="G5093" s="7" t="str">
        <f t="shared" si="27"/>
        <v>Direct</v>
      </c>
      <c r="H5093" s="7" t="s">
        <v>16</v>
      </c>
    </row>
    <row r="5094" spans="1:8" x14ac:dyDescent="0.2">
      <c r="A5094" s="5" t="s">
        <v>27</v>
      </c>
      <c r="B5094" s="6" t="s">
        <v>19</v>
      </c>
      <c r="C5094" s="7" t="s">
        <v>4215</v>
      </c>
      <c r="D5094" s="7"/>
      <c r="E5094" s="8">
        <v>-1.7186322000000001</v>
      </c>
      <c r="F5094" s="8">
        <v>-2.5780370000000001</v>
      </c>
      <c r="G5094" s="7" t="str">
        <f t="shared" si="27"/>
        <v>Direct</v>
      </c>
      <c r="H5094" s="7" t="s">
        <v>1601</v>
      </c>
    </row>
    <row r="5095" spans="1:8" x14ac:dyDescent="0.2">
      <c r="A5095" s="5" t="s">
        <v>27</v>
      </c>
      <c r="B5095" s="6" t="s">
        <v>19</v>
      </c>
      <c r="C5095" s="7" t="s">
        <v>5735</v>
      </c>
      <c r="D5095" s="7"/>
      <c r="E5095" s="8">
        <v>-1.0106149</v>
      </c>
      <c r="F5095" s="8">
        <v>-1.2474517000000001</v>
      </c>
      <c r="G5095" s="7" t="str">
        <f t="shared" si="27"/>
        <v>Direct</v>
      </c>
      <c r="H5095" s="7" t="s">
        <v>2067</v>
      </c>
    </row>
    <row r="5096" spans="1:8" x14ac:dyDescent="0.2">
      <c r="A5096" s="5" t="s">
        <v>27</v>
      </c>
      <c r="B5096" s="6" t="s">
        <v>19</v>
      </c>
      <c r="C5096" s="7" t="s">
        <v>5736</v>
      </c>
      <c r="D5096" s="7"/>
      <c r="E5096" s="8">
        <v>2.3326530399999998</v>
      </c>
      <c r="F5096" s="8">
        <v>1.2638492100000001</v>
      </c>
      <c r="G5096" s="7" t="str">
        <f t="shared" si="27"/>
        <v>Direct</v>
      </c>
      <c r="H5096" s="7" t="s">
        <v>5737</v>
      </c>
    </row>
    <row r="5097" spans="1:8" x14ac:dyDescent="0.2">
      <c r="A5097" s="5" t="s">
        <v>27</v>
      </c>
      <c r="B5097" s="6" t="s">
        <v>19</v>
      </c>
      <c r="C5097" s="7" t="s">
        <v>5738</v>
      </c>
      <c r="D5097" s="7"/>
      <c r="E5097" s="8">
        <v>1.2345901699999999</v>
      </c>
      <c r="F5097" s="8">
        <v>1.22488979</v>
      </c>
      <c r="G5097" s="7" t="str">
        <f t="shared" si="27"/>
        <v>Direct</v>
      </c>
      <c r="H5097" s="7" t="s">
        <v>5739</v>
      </c>
    </row>
    <row r="5098" spans="1:8" x14ac:dyDescent="0.2">
      <c r="A5098" s="5" t="s">
        <v>27</v>
      </c>
      <c r="B5098" s="6" t="s">
        <v>19</v>
      </c>
      <c r="C5098" s="7" t="s">
        <v>5740</v>
      </c>
      <c r="D5098" s="7"/>
      <c r="E5098" s="8">
        <v>-1.15195</v>
      </c>
      <c r="F5098" s="8">
        <v>-1.2485466999999999</v>
      </c>
      <c r="G5098" s="7" t="str">
        <f t="shared" si="27"/>
        <v>Direct</v>
      </c>
      <c r="H5098" s="7" t="s">
        <v>2789</v>
      </c>
    </row>
    <row r="5099" spans="1:8" x14ac:dyDescent="0.2">
      <c r="A5099" s="5" t="s">
        <v>27</v>
      </c>
      <c r="B5099" s="6" t="s">
        <v>19</v>
      </c>
      <c r="C5099" s="7" t="s">
        <v>5741</v>
      </c>
      <c r="D5099" s="7"/>
      <c r="E5099" s="8">
        <v>-5.9389633000000002</v>
      </c>
      <c r="F5099" s="8">
        <v>-12.213371</v>
      </c>
      <c r="G5099" s="7" t="str">
        <f t="shared" si="27"/>
        <v>Direct</v>
      </c>
      <c r="H5099" s="7" t="s">
        <v>2102</v>
      </c>
    </row>
    <row r="5100" spans="1:8" x14ac:dyDescent="0.2">
      <c r="A5100" s="5" t="s">
        <v>27</v>
      </c>
      <c r="B5100" s="6" t="s">
        <v>19</v>
      </c>
      <c r="C5100" s="7" t="s">
        <v>4216</v>
      </c>
      <c r="D5100" s="7"/>
      <c r="E5100" s="8">
        <v>5.87131267</v>
      </c>
      <c r="F5100" s="8">
        <v>7.2919749899999999</v>
      </c>
      <c r="G5100" s="7" t="str">
        <f t="shared" si="27"/>
        <v>Direct</v>
      </c>
      <c r="H5100" s="7" t="s">
        <v>16</v>
      </c>
    </row>
    <row r="5101" spans="1:8" x14ac:dyDescent="0.2">
      <c r="A5101" s="5" t="s">
        <v>27</v>
      </c>
      <c r="B5101" s="6" t="s">
        <v>19</v>
      </c>
      <c r="C5101" s="7" t="s">
        <v>5742</v>
      </c>
      <c r="D5101" s="7"/>
      <c r="E5101" s="8">
        <v>1.5749066700000001</v>
      </c>
      <c r="F5101" s="8">
        <v>1.15586667</v>
      </c>
      <c r="G5101" s="7" t="str">
        <f t="shared" si="27"/>
        <v>Direct</v>
      </c>
      <c r="H5101" s="7" t="s">
        <v>243</v>
      </c>
    </row>
    <row r="5102" spans="1:8" x14ac:dyDescent="0.2">
      <c r="A5102" s="5" t="s">
        <v>27</v>
      </c>
      <c r="B5102" s="6" t="s">
        <v>19</v>
      </c>
      <c r="C5102" s="7" t="s">
        <v>5743</v>
      </c>
      <c r="D5102" s="7"/>
      <c r="E5102" s="8">
        <v>-1.3856018999999999</v>
      </c>
      <c r="F5102" s="8">
        <v>-1.1344026</v>
      </c>
      <c r="G5102" s="7" t="str">
        <f t="shared" si="27"/>
        <v>Direct</v>
      </c>
      <c r="H5102" s="7" t="s">
        <v>5744</v>
      </c>
    </row>
    <row r="5103" spans="1:8" x14ac:dyDescent="0.2">
      <c r="A5103" s="5" t="s">
        <v>27</v>
      </c>
      <c r="B5103" s="6" t="s">
        <v>19</v>
      </c>
      <c r="C5103" s="7" t="s">
        <v>5745</v>
      </c>
      <c r="D5103" s="7"/>
      <c r="E5103" s="8">
        <v>-5.0733153</v>
      </c>
      <c r="F5103" s="8">
        <v>-6.4486552000000001</v>
      </c>
      <c r="G5103" s="7" t="str">
        <f t="shared" si="27"/>
        <v>Direct</v>
      </c>
      <c r="H5103" s="7" t="s">
        <v>1803</v>
      </c>
    </row>
    <row r="5104" spans="1:8" x14ac:dyDescent="0.2">
      <c r="A5104" s="5" t="s">
        <v>27</v>
      </c>
      <c r="B5104" s="6" t="s">
        <v>19</v>
      </c>
      <c r="C5104" s="7" t="s">
        <v>5746</v>
      </c>
      <c r="D5104" s="7"/>
      <c r="E5104" s="8">
        <v>2.58759015</v>
      </c>
      <c r="F5104" s="8">
        <v>3.6943607900000002</v>
      </c>
      <c r="G5104" s="7" t="str">
        <f t="shared" si="27"/>
        <v>Direct</v>
      </c>
      <c r="H5104" s="7" t="s">
        <v>1801</v>
      </c>
    </row>
    <row r="5105" spans="1:8" x14ac:dyDescent="0.2">
      <c r="A5105" s="5" t="s">
        <v>27</v>
      </c>
      <c r="B5105" s="6" t="s">
        <v>19</v>
      </c>
      <c r="C5105" s="7" t="s">
        <v>5747</v>
      </c>
      <c r="D5105" s="7"/>
      <c r="E5105" s="8">
        <v>1.8588320899999999</v>
      </c>
      <c r="F5105" s="8">
        <v>2.0900383499999999</v>
      </c>
      <c r="G5105" s="7" t="str">
        <f t="shared" si="27"/>
        <v>Direct</v>
      </c>
      <c r="H5105" s="7" t="s">
        <v>1017</v>
      </c>
    </row>
    <row r="5106" spans="1:8" x14ac:dyDescent="0.2">
      <c r="A5106" s="5" t="s">
        <v>27</v>
      </c>
      <c r="B5106" s="6" t="s">
        <v>19</v>
      </c>
      <c r="C5106" s="7" t="s">
        <v>5748</v>
      </c>
      <c r="D5106" s="7"/>
      <c r="E5106" s="8">
        <v>-3.7357673</v>
      </c>
      <c r="F5106" s="8">
        <v>-4.1513682999999997</v>
      </c>
      <c r="G5106" s="7" t="str">
        <f t="shared" si="27"/>
        <v>Direct</v>
      </c>
      <c r="H5106" s="7" t="s">
        <v>5749</v>
      </c>
    </row>
    <row r="5107" spans="1:8" x14ac:dyDescent="0.2">
      <c r="A5107" s="5" t="s">
        <v>27</v>
      </c>
      <c r="B5107" s="6" t="s">
        <v>19</v>
      </c>
      <c r="C5107" s="7" t="s">
        <v>5750</v>
      </c>
      <c r="D5107" s="7"/>
      <c r="E5107" s="8">
        <v>-1.5563285</v>
      </c>
      <c r="F5107" s="8">
        <v>-2.5935516000000001</v>
      </c>
      <c r="G5107" s="7" t="str">
        <f t="shared" si="27"/>
        <v>Direct</v>
      </c>
      <c r="H5107" s="7" t="s">
        <v>5751</v>
      </c>
    </row>
    <row r="5108" spans="1:8" x14ac:dyDescent="0.2">
      <c r="A5108" s="5" t="s">
        <v>27</v>
      </c>
      <c r="B5108" s="6" t="s">
        <v>19</v>
      </c>
      <c r="C5108" s="7" t="s">
        <v>5752</v>
      </c>
      <c r="D5108" s="7"/>
      <c r="E5108" s="8">
        <v>1.06064577</v>
      </c>
      <c r="F5108" s="8">
        <v>1.3051068699999999</v>
      </c>
      <c r="G5108" s="7" t="str">
        <f t="shared" si="27"/>
        <v>Direct</v>
      </c>
      <c r="H5108" s="7" t="s">
        <v>16</v>
      </c>
    </row>
    <row r="5109" spans="1:8" x14ac:dyDescent="0.2">
      <c r="A5109" s="5" t="s">
        <v>27</v>
      </c>
      <c r="B5109" s="6" t="s">
        <v>19</v>
      </c>
      <c r="C5109" s="7" t="s">
        <v>5753</v>
      </c>
      <c r="D5109" s="7"/>
      <c r="E5109" s="8">
        <v>2.2303880399999998</v>
      </c>
      <c r="F5109" s="8">
        <v>1.51552306</v>
      </c>
      <c r="G5109" s="7" t="str">
        <f t="shared" si="27"/>
        <v>Direct</v>
      </c>
      <c r="H5109" s="7" t="s">
        <v>16</v>
      </c>
    </row>
    <row r="5110" spans="1:8" x14ac:dyDescent="0.2">
      <c r="A5110" s="5" t="s">
        <v>27</v>
      </c>
      <c r="B5110" s="6" t="s">
        <v>19</v>
      </c>
      <c r="C5110" s="7" t="s">
        <v>5754</v>
      </c>
      <c r="D5110" s="7"/>
      <c r="E5110" s="8">
        <v>-2.2671372999999999</v>
      </c>
      <c r="F5110" s="8">
        <v>-1.0033443</v>
      </c>
      <c r="G5110" s="7" t="str">
        <f t="shared" si="27"/>
        <v>Direct</v>
      </c>
      <c r="H5110" s="7" t="s">
        <v>5755</v>
      </c>
    </row>
    <row r="5111" spans="1:8" x14ac:dyDescent="0.2">
      <c r="A5111" s="5" t="s">
        <v>27</v>
      </c>
      <c r="B5111" s="6" t="s">
        <v>19</v>
      </c>
      <c r="C5111" s="7" t="s">
        <v>5756</v>
      </c>
      <c r="D5111" s="7"/>
      <c r="E5111" s="8">
        <v>1.3213897699999999</v>
      </c>
      <c r="F5111" s="8">
        <v>1.1703109</v>
      </c>
      <c r="G5111" s="7" t="str">
        <f t="shared" si="27"/>
        <v>Direct</v>
      </c>
      <c r="H5111" s="7" t="s">
        <v>16</v>
      </c>
    </row>
    <row r="5112" spans="1:8" x14ac:dyDescent="0.2">
      <c r="A5112" s="5" t="s">
        <v>27</v>
      </c>
      <c r="B5112" s="6" t="s">
        <v>19</v>
      </c>
      <c r="C5112" s="7" t="s">
        <v>5757</v>
      </c>
      <c r="D5112" s="7"/>
      <c r="E5112" s="8">
        <v>2.4240984000000001</v>
      </c>
      <c r="F5112" s="8">
        <v>2.2743298699999999</v>
      </c>
      <c r="G5112" s="7" t="str">
        <f t="shared" si="27"/>
        <v>Direct</v>
      </c>
      <c r="H5112" s="7" t="s">
        <v>973</v>
      </c>
    </row>
    <row r="5113" spans="1:8" x14ac:dyDescent="0.2">
      <c r="A5113" s="5" t="s">
        <v>27</v>
      </c>
      <c r="B5113" s="6" t="s">
        <v>19</v>
      </c>
      <c r="C5113" s="7" t="s">
        <v>5758</v>
      </c>
      <c r="D5113" s="7"/>
      <c r="E5113" s="8">
        <v>-3.1939405000000001</v>
      </c>
      <c r="F5113" s="8">
        <v>-3.8802550999999998</v>
      </c>
      <c r="G5113" s="7" t="str">
        <f t="shared" si="27"/>
        <v>Direct</v>
      </c>
      <c r="H5113" s="7" t="s">
        <v>16</v>
      </c>
    </row>
    <row r="5114" spans="1:8" x14ac:dyDescent="0.2">
      <c r="A5114" s="5" t="s">
        <v>27</v>
      </c>
      <c r="B5114" s="6" t="s">
        <v>19</v>
      </c>
      <c r="C5114" s="7" t="s">
        <v>5759</v>
      </c>
      <c r="D5114" s="7"/>
      <c r="E5114" s="8">
        <v>-1.9439226000000001</v>
      </c>
      <c r="F5114" s="8">
        <v>-3.0717778999999998</v>
      </c>
      <c r="G5114" s="7" t="str">
        <f t="shared" si="27"/>
        <v>Direct</v>
      </c>
      <c r="H5114" s="7" t="s">
        <v>5760</v>
      </c>
    </row>
    <row r="5115" spans="1:8" x14ac:dyDescent="0.2">
      <c r="A5115" s="5" t="s">
        <v>27</v>
      </c>
      <c r="B5115" s="6" t="s">
        <v>19</v>
      </c>
      <c r="C5115" s="7" t="s">
        <v>4217</v>
      </c>
      <c r="D5115" s="7"/>
      <c r="E5115" s="8">
        <v>7.99267124</v>
      </c>
      <c r="F5115" s="8">
        <v>7.8052210500000001</v>
      </c>
      <c r="G5115" s="7" t="str">
        <f t="shared" si="27"/>
        <v>Direct</v>
      </c>
      <c r="H5115" s="7" t="s">
        <v>4218</v>
      </c>
    </row>
    <row r="5116" spans="1:8" x14ac:dyDescent="0.2">
      <c r="A5116" s="5" t="s">
        <v>27</v>
      </c>
      <c r="B5116" s="6" t="s">
        <v>19</v>
      </c>
      <c r="C5116" s="7" t="s">
        <v>5761</v>
      </c>
      <c r="D5116" s="7"/>
      <c r="E5116" s="8">
        <v>4.6437087100000003</v>
      </c>
      <c r="F5116" s="8">
        <v>6.8827425399999997</v>
      </c>
      <c r="G5116" s="7" t="str">
        <f t="shared" si="27"/>
        <v>Direct</v>
      </c>
      <c r="H5116" s="7" t="s">
        <v>16</v>
      </c>
    </row>
    <row r="5117" spans="1:8" x14ac:dyDescent="0.2">
      <c r="A5117" s="5" t="s">
        <v>27</v>
      </c>
      <c r="B5117" s="6" t="s">
        <v>19</v>
      </c>
      <c r="C5117" s="7" t="s">
        <v>5762</v>
      </c>
      <c r="D5117" s="7"/>
      <c r="E5117" s="8">
        <v>1.07090219</v>
      </c>
      <c r="F5117" s="8">
        <v>1.7438719899999999</v>
      </c>
      <c r="G5117" s="7" t="str">
        <f t="shared" si="27"/>
        <v>Direct</v>
      </c>
      <c r="H5117" s="7" t="s">
        <v>16</v>
      </c>
    </row>
    <row r="5118" spans="1:8" x14ac:dyDescent="0.2">
      <c r="A5118" s="5" t="s">
        <v>27</v>
      </c>
      <c r="B5118" s="6" t="s">
        <v>19</v>
      </c>
      <c r="C5118" s="7" t="s">
        <v>5763</v>
      </c>
      <c r="D5118" s="7"/>
      <c r="E5118" s="8">
        <v>1.4109246</v>
      </c>
      <c r="F5118" s="8">
        <v>1.5757899900000001</v>
      </c>
      <c r="G5118" s="7" t="str">
        <f t="shared" si="27"/>
        <v>Direct</v>
      </c>
      <c r="H5118" s="7" t="s">
        <v>5764</v>
      </c>
    </row>
    <row r="5119" spans="1:8" x14ac:dyDescent="0.2">
      <c r="A5119" s="5" t="s">
        <v>27</v>
      </c>
      <c r="B5119" s="6" t="s">
        <v>19</v>
      </c>
      <c r="C5119" s="7" t="s">
        <v>5765</v>
      </c>
      <c r="D5119" s="7"/>
      <c r="E5119" s="8">
        <v>-4.1066946</v>
      </c>
      <c r="F5119" s="8">
        <v>-3.2631777999999998</v>
      </c>
      <c r="G5119" s="7" t="str">
        <f t="shared" si="27"/>
        <v>Direct</v>
      </c>
      <c r="H5119" s="7" t="s">
        <v>16</v>
      </c>
    </row>
    <row r="5120" spans="1:8" x14ac:dyDescent="0.2">
      <c r="A5120" s="5" t="s">
        <v>27</v>
      </c>
      <c r="B5120" s="6" t="s">
        <v>19</v>
      </c>
      <c r="C5120" s="7" t="s">
        <v>5766</v>
      </c>
      <c r="D5120" s="7"/>
      <c r="E5120" s="8">
        <v>-1.4817315</v>
      </c>
      <c r="F5120" s="8">
        <v>-1.4111585</v>
      </c>
      <c r="G5120" s="7" t="str">
        <f t="shared" si="27"/>
        <v>Direct</v>
      </c>
      <c r="H5120" s="7" t="s">
        <v>16</v>
      </c>
    </row>
    <row r="5121" spans="1:8" x14ac:dyDescent="0.2">
      <c r="A5121" s="5" t="s">
        <v>27</v>
      </c>
      <c r="B5121" s="6" t="s">
        <v>19</v>
      </c>
      <c r="C5121" s="7" t="s">
        <v>5767</v>
      </c>
      <c r="D5121" s="7"/>
      <c r="E5121" s="8">
        <v>3.9910132200000001</v>
      </c>
      <c r="F5121" s="8">
        <v>6.4753856699999996</v>
      </c>
      <c r="G5121" s="7" t="str">
        <f t="shared" si="27"/>
        <v>Direct</v>
      </c>
      <c r="H5121" s="7" t="s">
        <v>16</v>
      </c>
    </row>
    <row r="5122" spans="1:8" x14ac:dyDescent="0.2">
      <c r="A5122" s="5" t="s">
        <v>27</v>
      </c>
      <c r="B5122" s="6" t="s">
        <v>19</v>
      </c>
      <c r="C5122" s="7" t="s">
        <v>5768</v>
      </c>
      <c r="D5122" s="7"/>
      <c r="E5122" s="8">
        <v>-2.5758863000000001</v>
      </c>
      <c r="F5122" s="8">
        <v>-3.6226918000000001</v>
      </c>
      <c r="G5122" s="7" t="str">
        <f t="shared" si="27"/>
        <v>Direct</v>
      </c>
      <c r="H5122" s="7" t="s">
        <v>822</v>
      </c>
    </row>
    <row r="5123" spans="1:8" x14ac:dyDescent="0.2">
      <c r="A5123" s="5" t="s">
        <v>27</v>
      </c>
      <c r="B5123" s="6" t="s">
        <v>19</v>
      </c>
      <c r="C5123" s="7" t="s">
        <v>5769</v>
      </c>
      <c r="D5123" s="7"/>
      <c r="E5123" s="8">
        <v>-1.3539334999999999</v>
      </c>
      <c r="F5123" s="8">
        <v>-2.5247068000000001</v>
      </c>
      <c r="G5123" s="7" t="str">
        <f t="shared" si="27"/>
        <v>Direct</v>
      </c>
      <c r="H5123" s="7" t="s">
        <v>442</v>
      </c>
    </row>
    <row r="5124" spans="1:8" x14ac:dyDescent="0.2">
      <c r="A5124" s="5" t="s">
        <v>27</v>
      </c>
      <c r="B5124" s="6" t="s">
        <v>19</v>
      </c>
      <c r="C5124" s="7" t="s">
        <v>5770</v>
      </c>
      <c r="D5124" s="7"/>
      <c r="E5124" s="8">
        <v>-3.1756994999999999</v>
      </c>
      <c r="F5124" s="8">
        <v>-1.6991244999999999</v>
      </c>
      <c r="G5124" s="7" t="str">
        <f t="shared" si="27"/>
        <v>Direct</v>
      </c>
      <c r="H5124" s="7" t="s">
        <v>16</v>
      </c>
    </row>
    <row r="5125" spans="1:8" x14ac:dyDescent="0.2">
      <c r="A5125" s="5" t="s">
        <v>27</v>
      </c>
      <c r="B5125" s="6" t="s">
        <v>19</v>
      </c>
      <c r="C5125" s="7" t="s">
        <v>5771</v>
      </c>
      <c r="D5125" s="7"/>
      <c r="E5125" s="8">
        <v>-1.5473124</v>
      </c>
      <c r="F5125" s="8">
        <v>-2.2612306000000002</v>
      </c>
      <c r="G5125" s="7" t="str">
        <f t="shared" si="27"/>
        <v>Direct</v>
      </c>
      <c r="H5125" s="7" t="s">
        <v>5772</v>
      </c>
    </row>
    <row r="5126" spans="1:8" x14ac:dyDescent="0.2">
      <c r="A5126" s="5" t="s">
        <v>27</v>
      </c>
      <c r="B5126" s="6" t="s">
        <v>19</v>
      </c>
      <c r="C5126" s="7" t="s">
        <v>5773</v>
      </c>
      <c r="D5126" s="7"/>
      <c r="E5126" s="8">
        <v>5.4230477099999996</v>
      </c>
      <c r="F5126" s="8">
        <v>2.7659637799999999</v>
      </c>
      <c r="G5126" s="7" t="str">
        <f t="shared" si="27"/>
        <v>Direct</v>
      </c>
      <c r="H5126" s="7" t="s">
        <v>1050</v>
      </c>
    </row>
    <row r="5127" spans="1:8" x14ac:dyDescent="0.2">
      <c r="A5127" s="5" t="s">
        <v>27</v>
      </c>
      <c r="B5127" s="6" t="s">
        <v>19</v>
      </c>
      <c r="C5127" s="7" t="s">
        <v>5774</v>
      </c>
      <c r="D5127" s="7"/>
      <c r="E5127" s="8">
        <v>-2.1661296999999999</v>
      </c>
      <c r="F5127" s="8">
        <v>-1.4565813999999999</v>
      </c>
      <c r="G5127" s="7" t="str">
        <f t="shared" si="27"/>
        <v>Direct</v>
      </c>
      <c r="H5127" s="7" t="s">
        <v>16</v>
      </c>
    </row>
    <row r="5128" spans="1:8" x14ac:dyDescent="0.2">
      <c r="A5128" s="5" t="s">
        <v>27</v>
      </c>
      <c r="B5128" s="6" t="s">
        <v>19</v>
      </c>
      <c r="C5128" s="7" t="s">
        <v>5775</v>
      </c>
      <c r="D5128" s="7"/>
      <c r="E5128" s="8">
        <v>-1.3078974999999999</v>
      </c>
      <c r="F5128" s="8">
        <v>-1.261404</v>
      </c>
      <c r="G5128" s="7" t="str">
        <f t="shared" si="27"/>
        <v>Direct</v>
      </c>
      <c r="H5128" s="7" t="s">
        <v>16</v>
      </c>
    </row>
    <row r="5129" spans="1:8" x14ac:dyDescent="0.2">
      <c r="A5129" s="5" t="s">
        <v>27</v>
      </c>
      <c r="B5129" s="6" t="s">
        <v>19</v>
      </c>
      <c r="C5129" s="7" t="s">
        <v>5776</v>
      </c>
      <c r="D5129" s="7"/>
      <c r="E5129" s="8">
        <v>-1.4793065999999999</v>
      </c>
      <c r="F5129" s="8">
        <v>-2.7649805999999999</v>
      </c>
      <c r="G5129" s="7" t="str">
        <f t="shared" si="27"/>
        <v>Direct</v>
      </c>
      <c r="H5129" s="7" t="s">
        <v>5777</v>
      </c>
    </row>
    <row r="5130" spans="1:8" x14ac:dyDescent="0.2">
      <c r="A5130" s="5" t="s">
        <v>27</v>
      </c>
      <c r="B5130" s="6" t="s">
        <v>19</v>
      </c>
      <c r="C5130" s="7" t="s">
        <v>5778</v>
      </c>
      <c r="D5130" s="7"/>
      <c r="E5130" s="8">
        <v>1.0489329999999999</v>
      </c>
      <c r="F5130" s="8">
        <v>1.49889125</v>
      </c>
      <c r="G5130" s="7" t="str">
        <f t="shared" si="27"/>
        <v>Direct</v>
      </c>
      <c r="H5130" s="7" t="s">
        <v>16</v>
      </c>
    </row>
    <row r="5131" spans="1:8" x14ac:dyDescent="0.2">
      <c r="A5131" s="5" t="s">
        <v>27</v>
      </c>
      <c r="B5131" s="6" t="s">
        <v>19</v>
      </c>
      <c r="C5131" s="7" t="s">
        <v>5779</v>
      </c>
      <c r="D5131" s="7"/>
      <c r="E5131" s="8">
        <v>1.3159467300000001</v>
      </c>
      <c r="F5131" s="8">
        <v>1.37258331</v>
      </c>
      <c r="G5131" s="7" t="str">
        <f t="shared" si="27"/>
        <v>Direct</v>
      </c>
      <c r="H5131" s="7" t="s">
        <v>16</v>
      </c>
    </row>
    <row r="5132" spans="1:8" x14ac:dyDescent="0.2">
      <c r="A5132" s="5" t="s">
        <v>27</v>
      </c>
      <c r="B5132" s="6" t="s">
        <v>19</v>
      </c>
      <c r="C5132" s="7" t="s">
        <v>5780</v>
      </c>
      <c r="D5132" s="7"/>
      <c r="E5132" s="8">
        <v>19.013351499999999</v>
      </c>
      <c r="F5132" s="8">
        <v>9.6768982300000008</v>
      </c>
      <c r="G5132" s="7" t="str">
        <f t="shared" si="27"/>
        <v>Direct</v>
      </c>
      <c r="H5132" s="7" t="s">
        <v>16</v>
      </c>
    </row>
    <row r="5133" spans="1:8" x14ac:dyDescent="0.2">
      <c r="A5133" s="5" t="s">
        <v>27</v>
      </c>
      <c r="B5133" s="6" t="s">
        <v>19</v>
      </c>
      <c r="C5133" s="7" t="s">
        <v>5781</v>
      </c>
      <c r="D5133" s="7"/>
      <c r="E5133" s="8">
        <v>3.11333905</v>
      </c>
      <c r="F5133" s="8">
        <v>5.2763696800000002</v>
      </c>
      <c r="G5133" s="7" t="str">
        <f t="shared" si="27"/>
        <v>Direct</v>
      </c>
      <c r="H5133" s="7" t="s">
        <v>5782</v>
      </c>
    </row>
    <row r="5134" spans="1:8" x14ac:dyDescent="0.2">
      <c r="A5134" s="5" t="s">
        <v>27</v>
      </c>
      <c r="B5134" s="6" t="s">
        <v>19</v>
      </c>
      <c r="C5134" s="7" t="s">
        <v>5783</v>
      </c>
      <c r="D5134" s="7"/>
      <c r="E5134" s="8">
        <v>-2.313971</v>
      </c>
      <c r="F5134" s="8">
        <v>-3.6621497000000001</v>
      </c>
      <c r="G5134" s="7" t="str">
        <f t="shared" si="27"/>
        <v>Direct</v>
      </c>
      <c r="H5134" s="7" t="s">
        <v>5784</v>
      </c>
    </row>
    <row r="5135" spans="1:8" x14ac:dyDescent="0.2">
      <c r="A5135" s="5" t="s">
        <v>27</v>
      </c>
      <c r="B5135" s="6" t="s">
        <v>19</v>
      </c>
      <c r="C5135" s="7" t="s">
        <v>4219</v>
      </c>
      <c r="D5135" s="7"/>
      <c r="E5135" s="8">
        <v>1.24656751</v>
      </c>
      <c r="F5135" s="8">
        <v>1.08915363</v>
      </c>
      <c r="G5135" s="7" t="str">
        <f t="shared" si="27"/>
        <v>Direct</v>
      </c>
      <c r="H5135" s="7" t="s">
        <v>16</v>
      </c>
    </row>
    <row r="5136" spans="1:8" x14ac:dyDescent="0.2">
      <c r="A5136" s="5" t="s">
        <v>27</v>
      </c>
      <c r="B5136" s="6" t="s">
        <v>19</v>
      </c>
      <c r="C5136" s="7" t="s">
        <v>4220</v>
      </c>
      <c r="D5136" s="7"/>
      <c r="E5136" s="8">
        <v>6.8848763499999999</v>
      </c>
      <c r="F5136" s="8">
        <v>5.6384310600000003</v>
      </c>
      <c r="G5136" s="7" t="str">
        <f t="shared" si="27"/>
        <v>Direct</v>
      </c>
      <c r="H5136" s="7" t="s">
        <v>16</v>
      </c>
    </row>
    <row r="5137" spans="1:8" x14ac:dyDescent="0.2">
      <c r="A5137" s="5" t="s">
        <v>27</v>
      </c>
      <c r="B5137" s="6" t="s">
        <v>19</v>
      </c>
      <c r="C5137" s="7" t="s">
        <v>4221</v>
      </c>
      <c r="D5137" s="7"/>
      <c r="E5137" s="8">
        <v>1.2066506400000001</v>
      </c>
      <c r="F5137" s="8">
        <v>2.0032860299999999</v>
      </c>
      <c r="G5137" s="7" t="str">
        <f t="shared" si="27"/>
        <v>Direct</v>
      </c>
      <c r="H5137" s="7" t="s">
        <v>4222</v>
      </c>
    </row>
    <row r="5138" spans="1:8" x14ac:dyDescent="0.2">
      <c r="A5138" s="5" t="s">
        <v>27</v>
      </c>
      <c r="B5138" s="6" t="s">
        <v>19</v>
      </c>
      <c r="C5138" s="7" t="s">
        <v>5785</v>
      </c>
      <c r="D5138" s="7"/>
      <c r="E5138" s="8">
        <v>-7.6636113000000003</v>
      </c>
      <c r="F5138" s="8">
        <v>-5.1159730999999997</v>
      </c>
      <c r="G5138" s="7" t="str">
        <f t="shared" si="27"/>
        <v>Direct</v>
      </c>
      <c r="H5138" s="7" t="s">
        <v>2223</v>
      </c>
    </row>
    <row r="5139" spans="1:8" x14ac:dyDescent="0.2">
      <c r="A5139" s="5" t="s">
        <v>27</v>
      </c>
      <c r="B5139" s="6" t="s">
        <v>19</v>
      </c>
      <c r="C5139" s="7" t="s">
        <v>5786</v>
      </c>
      <c r="D5139" s="7"/>
      <c r="E5139" s="8">
        <v>3.5651686800000002</v>
      </c>
      <c r="F5139" s="8">
        <v>3.8914950199999998</v>
      </c>
      <c r="G5139" s="7" t="str">
        <f t="shared" si="27"/>
        <v>Direct</v>
      </c>
      <c r="H5139" s="7" t="s">
        <v>5787</v>
      </c>
    </row>
    <row r="5140" spans="1:8" x14ac:dyDescent="0.2">
      <c r="A5140" s="5" t="s">
        <v>27</v>
      </c>
      <c r="B5140" s="6" t="s">
        <v>19</v>
      </c>
      <c r="C5140" s="7" t="s">
        <v>5788</v>
      </c>
      <c r="D5140" s="7"/>
      <c r="E5140" s="8">
        <v>-3.2128890000000001</v>
      </c>
      <c r="F5140" s="8">
        <v>-6.8209192999999999</v>
      </c>
      <c r="G5140" s="7" t="str">
        <f t="shared" si="27"/>
        <v>Direct</v>
      </c>
      <c r="H5140" s="7" t="s">
        <v>46</v>
      </c>
    </row>
    <row r="5141" spans="1:8" x14ac:dyDescent="0.2">
      <c r="A5141" s="5" t="s">
        <v>27</v>
      </c>
      <c r="B5141" s="6" t="s">
        <v>19</v>
      </c>
      <c r="C5141" s="7" t="s">
        <v>4223</v>
      </c>
      <c r="D5141" s="7"/>
      <c r="E5141" s="8">
        <v>4.1854313300000001</v>
      </c>
      <c r="F5141" s="8">
        <v>2.7846240400000002</v>
      </c>
      <c r="G5141" s="7" t="str">
        <f t="shared" si="27"/>
        <v>Direct</v>
      </c>
      <c r="H5141" s="7" t="s">
        <v>4224</v>
      </c>
    </row>
    <row r="5142" spans="1:8" x14ac:dyDescent="0.2">
      <c r="A5142" s="5" t="s">
        <v>27</v>
      </c>
      <c r="B5142" s="6" t="s">
        <v>19</v>
      </c>
      <c r="C5142" s="7" t="s">
        <v>5789</v>
      </c>
      <c r="D5142" s="7"/>
      <c r="E5142" s="8">
        <v>-1.3333967</v>
      </c>
      <c r="F5142" s="8">
        <v>-2.1356842</v>
      </c>
      <c r="G5142" s="7" t="str">
        <f t="shared" si="27"/>
        <v>Direct</v>
      </c>
      <c r="H5142" s="7" t="s">
        <v>5790</v>
      </c>
    </row>
    <row r="5143" spans="1:8" x14ac:dyDescent="0.2">
      <c r="A5143" s="5" t="s">
        <v>27</v>
      </c>
      <c r="B5143" s="6" t="s">
        <v>19</v>
      </c>
      <c r="C5143" s="7" t="s">
        <v>5791</v>
      </c>
      <c r="D5143" s="7"/>
      <c r="E5143" s="8">
        <v>-3.6529495000000001</v>
      </c>
      <c r="F5143" s="8">
        <v>-3.3658022000000001</v>
      </c>
      <c r="G5143" s="7" t="str">
        <f t="shared" si="27"/>
        <v>Direct</v>
      </c>
      <c r="H5143" s="7" t="s">
        <v>5792</v>
      </c>
    </row>
    <row r="5144" spans="1:8" x14ac:dyDescent="0.2">
      <c r="A5144" s="5" t="s">
        <v>27</v>
      </c>
      <c r="B5144" s="6" t="s">
        <v>19</v>
      </c>
      <c r="C5144" s="7" t="s">
        <v>4225</v>
      </c>
      <c r="D5144" s="7"/>
      <c r="E5144" s="8">
        <v>1.73770578</v>
      </c>
      <c r="F5144" s="8">
        <v>2.2795601300000001</v>
      </c>
      <c r="G5144" s="7" t="str">
        <f t="shared" si="27"/>
        <v>Direct</v>
      </c>
      <c r="H5144" s="7" t="s">
        <v>16</v>
      </c>
    </row>
    <row r="5145" spans="1:8" x14ac:dyDescent="0.2">
      <c r="A5145" s="5" t="s">
        <v>27</v>
      </c>
      <c r="B5145" s="6" t="s">
        <v>19</v>
      </c>
      <c r="C5145" s="7" t="s">
        <v>5793</v>
      </c>
      <c r="D5145" s="7"/>
      <c r="E5145" s="8">
        <v>-15.772913000000001</v>
      </c>
      <c r="F5145" s="8">
        <v>-21.505223000000001</v>
      </c>
      <c r="G5145" s="7" t="str">
        <f t="shared" si="27"/>
        <v>Direct</v>
      </c>
      <c r="H5145" s="7" t="s">
        <v>580</v>
      </c>
    </row>
    <row r="5146" spans="1:8" x14ac:dyDescent="0.2">
      <c r="A5146" s="5" t="s">
        <v>27</v>
      </c>
      <c r="B5146" s="6" t="s">
        <v>19</v>
      </c>
      <c r="C5146" s="7" t="s">
        <v>5794</v>
      </c>
      <c r="D5146" s="7"/>
      <c r="E5146" s="8">
        <v>2.80177269</v>
      </c>
      <c r="F5146" s="8">
        <v>2.00393987</v>
      </c>
      <c r="G5146" s="7" t="str">
        <f t="shared" si="27"/>
        <v>Direct</v>
      </c>
      <c r="H5146" s="7" t="s">
        <v>5795</v>
      </c>
    </row>
    <row r="5147" spans="1:8" x14ac:dyDescent="0.2">
      <c r="A5147" s="5" t="s">
        <v>27</v>
      </c>
      <c r="B5147" s="6" t="s">
        <v>19</v>
      </c>
      <c r="C5147" s="7" t="s">
        <v>5796</v>
      </c>
      <c r="D5147" s="7"/>
      <c r="E5147" s="8">
        <v>-1.5443597</v>
      </c>
      <c r="F5147" s="8">
        <v>-1.0101929999999999</v>
      </c>
      <c r="G5147" s="7" t="str">
        <f t="shared" si="27"/>
        <v>Direct</v>
      </c>
      <c r="H5147" s="7" t="s">
        <v>16</v>
      </c>
    </row>
    <row r="5148" spans="1:8" x14ac:dyDescent="0.2">
      <c r="A5148" s="5" t="s">
        <v>27</v>
      </c>
      <c r="B5148" s="6" t="s">
        <v>19</v>
      </c>
      <c r="C5148" s="7" t="s">
        <v>4226</v>
      </c>
      <c r="D5148" s="7"/>
      <c r="E5148" s="8">
        <v>-1.2198038</v>
      </c>
      <c r="F5148" s="8">
        <v>-2.2816966999999999</v>
      </c>
      <c r="G5148" s="7" t="str">
        <f t="shared" si="27"/>
        <v>Direct</v>
      </c>
      <c r="H5148" s="7" t="s">
        <v>1348</v>
      </c>
    </row>
    <row r="5149" spans="1:8" x14ac:dyDescent="0.2">
      <c r="A5149" s="5" t="s">
        <v>27</v>
      </c>
      <c r="B5149" s="6" t="s">
        <v>19</v>
      </c>
      <c r="C5149" s="7" t="s">
        <v>4227</v>
      </c>
      <c r="D5149" s="7"/>
      <c r="E5149" s="8">
        <v>1.3395321</v>
      </c>
      <c r="F5149" s="8">
        <v>1.69421825</v>
      </c>
      <c r="G5149" s="7" t="str">
        <f t="shared" si="27"/>
        <v>Direct</v>
      </c>
      <c r="H5149" s="7" t="s">
        <v>4228</v>
      </c>
    </row>
    <row r="5150" spans="1:8" x14ac:dyDescent="0.2">
      <c r="A5150" s="5" t="s">
        <v>27</v>
      </c>
      <c r="B5150" s="6" t="s">
        <v>19</v>
      </c>
      <c r="C5150" s="7" t="s">
        <v>5797</v>
      </c>
      <c r="D5150" s="7"/>
      <c r="E5150" s="8">
        <v>1.39891648</v>
      </c>
      <c r="F5150" s="8">
        <v>1.6400713600000001</v>
      </c>
      <c r="G5150" s="7" t="str">
        <f t="shared" si="27"/>
        <v>Direct</v>
      </c>
      <c r="H5150" s="7" t="s">
        <v>258</v>
      </c>
    </row>
    <row r="5151" spans="1:8" x14ac:dyDescent="0.2">
      <c r="A5151" s="5" t="s">
        <v>27</v>
      </c>
      <c r="B5151" s="6" t="s">
        <v>19</v>
      </c>
      <c r="C5151" s="7" t="s">
        <v>5798</v>
      </c>
      <c r="D5151" s="7"/>
      <c r="E5151" s="8">
        <v>-1.4888713</v>
      </c>
      <c r="F5151" s="8">
        <v>-5.6056533999999996</v>
      </c>
      <c r="G5151" s="7" t="str">
        <f t="shared" si="27"/>
        <v>Direct</v>
      </c>
      <c r="H5151" s="7" t="s">
        <v>1775</v>
      </c>
    </row>
    <row r="5152" spans="1:8" x14ac:dyDescent="0.2">
      <c r="A5152" s="5" t="s">
        <v>27</v>
      </c>
      <c r="B5152" s="6" t="s">
        <v>19</v>
      </c>
      <c r="C5152" s="7" t="s">
        <v>5799</v>
      </c>
      <c r="D5152" s="7"/>
      <c r="E5152" s="8">
        <v>3.3001836199999999</v>
      </c>
      <c r="F5152" s="8">
        <v>4.0362118599999999</v>
      </c>
      <c r="G5152" s="7" t="str">
        <f t="shared" si="27"/>
        <v>Direct</v>
      </c>
      <c r="H5152" s="7" t="s">
        <v>2152</v>
      </c>
    </row>
    <row r="5153" spans="1:8" x14ac:dyDescent="0.2">
      <c r="A5153" s="5" t="s">
        <v>27</v>
      </c>
      <c r="B5153" s="6" t="s">
        <v>19</v>
      </c>
      <c r="C5153" s="7" t="s">
        <v>4229</v>
      </c>
      <c r="D5153" s="7"/>
      <c r="E5153" s="8">
        <v>2.9916871600000001</v>
      </c>
      <c r="F5153" s="8">
        <v>4.1134751500000002</v>
      </c>
      <c r="G5153" s="7" t="str">
        <f t="shared" si="27"/>
        <v>Direct</v>
      </c>
      <c r="H5153" s="7" t="s">
        <v>4230</v>
      </c>
    </row>
    <row r="5154" spans="1:8" x14ac:dyDescent="0.2">
      <c r="A5154" s="5" t="s">
        <v>27</v>
      </c>
      <c r="B5154" s="6" t="s">
        <v>19</v>
      </c>
      <c r="C5154" s="7" t="s">
        <v>4231</v>
      </c>
      <c r="D5154" s="7"/>
      <c r="E5154" s="8">
        <v>5.6046958800000004</v>
      </c>
      <c r="F5154" s="8">
        <v>6.69262479</v>
      </c>
      <c r="G5154" s="7" t="str">
        <f t="shared" si="27"/>
        <v>Direct</v>
      </c>
      <c r="H5154" s="7" t="s">
        <v>4230</v>
      </c>
    </row>
    <row r="5155" spans="1:8" x14ac:dyDescent="0.2">
      <c r="A5155" s="5" t="s">
        <v>27</v>
      </c>
      <c r="B5155" s="6" t="s">
        <v>19</v>
      </c>
      <c r="C5155" s="7" t="s">
        <v>4232</v>
      </c>
      <c r="D5155" s="7"/>
      <c r="E5155" s="8">
        <v>-7.1668802999999999</v>
      </c>
      <c r="F5155" s="8">
        <v>-8.1402608999999995</v>
      </c>
      <c r="G5155" s="7" t="str">
        <f t="shared" si="27"/>
        <v>Direct</v>
      </c>
      <c r="H5155" s="7" t="s">
        <v>16</v>
      </c>
    </row>
    <row r="5156" spans="1:8" x14ac:dyDescent="0.2">
      <c r="A5156" s="5" t="s">
        <v>27</v>
      </c>
      <c r="B5156" s="6" t="s">
        <v>19</v>
      </c>
      <c r="C5156" s="7" t="s">
        <v>5800</v>
      </c>
      <c r="D5156" s="7"/>
      <c r="E5156" s="8">
        <v>-1.7192164000000001</v>
      </c>
      <c r="F5156" s="8">
        <v>-1.0214935999999999</v>
      </c>
      <c r="G5156" s="7" t="str">
        <f t="shared" si="27"/>
        <v>Direct</v>
      </c>
      <c r="H5156" s="7" t="s">
        <v>5801</v>
      </c>
    </row>
    <row r="5157" spans="1:8" x14ac:dyDescent="0.2">
      <c r="A5157" s="5" t="s">
        <v>27</v>
      </c>
      <c r="B5157" s="6" t="s">
        <v>19</v>
      </c>
      <c r="C5157" s="7" t="s">
        <v>5802</v>
      </c>
      <c r="D5157" s="7"/>
      <c r="E5157" s="8">
        <v>-2.3061134999999999</v>
      </c>
      <c r="F5157" s="8">
        <v>-1.1601891</v>
      </c>
      <c r="G5157" s="7" t="str">
        <f t="shared" si="27"/>
        <v>Direct</v>
      </c>
      <c r="H5157" s="7" t="s">
        <v>1778</v>
      </c>
    </row>
    <row r="5158" spans="1:8" x14ac:dyDescent="0.2">
      <c r="A5158" s="5" t="s">
        <v>27</v>
      </c>
      <c r="B5158" s="6" t="s">
        <v>19</v>
      </c>
      <c r="C5158" s="7" t="s">
        <v>5803</v>
      </c>
      <c r="D5158" s="7"/>
      <c r="E5158" s="8">
        <v>-1.4888713</v>
      </c>
      <c r="F5158" s="8">
        <v>-1.8584584</v>
      </c>
      <c r="G5158" s="7" t="str">
        <f t="shared" si="27"/>
        <v>Direct</v>
      </c>
      <c r="H5158" s="7" t="s">
        <v>5804</v>
      </c>
    </row>
    <row r="5159" spans="1:8" x14ac:dyDescent="0.2">
      <c r="A5159" s="5" t="s">
        <v>27</v>
      </c>
      <c r="B5159" s="6" t="s">
        <v>19</v>
      </c>
      <c r="C5159" s="7" t="s">
        <v>5805</v>
      </c>
      <c r="D5159" s="7"/>
      <c r="E5159" s="8">
        <v>-2.6460219</v>
      </c>
      <c r="F5159" s="8">
        <v>-3.6029738</v>
      </c>
      <c r="G5159" s="7" t="str">
        <f t="shared" si="27"/>
        <v>Direct</v>
      </c>
      <c r="H5159" s="7" t="s">
        <v>1780</v>
      </c>
    </row>
    <row r="5160" spans="1:8" x14ac:dyDescent="0.2">
      <c r="A5160" s="5" t="s">
        <v>27</v>
      </c>
      <c r="B5160" s="6" t="s">
        <v>19</v>
      </c>
      <c r="C5160" s="7" t="s">
        <v>4233</v>
      </c>
      <c r="D5160" s="7"/>
      <c r="E5160" s="8">
        <v>3.1817161999999999</v>
      </c>
      <c r="F5160" s="8">
        <v>2.1044654199999999</v>
      </c>
      <c r="G5160" s="7" t="str">
        <f t="shared" si="27"/>
        <v>Direct</v>
      </c>
      <c r="H5160" s="7" t="s">
        <v>4234</v>
      </c>
    </row>
    <row r="5161" spans="1:8" x14ac:dyDescent="0.2">
      <c r="A5161" s="5" t="s">
        <v>27</v>
      </c>
      <c r="B5161" s="6" t="s">
        <v>19</v>
      </c>
      <c r="C5161" s="7" t="s">
        <v>4235</v>
      </c>
      <c r="D5161" s="7"/>
      <c r="E5161" s="8">
        <v>2.8119184100000001</v>
      </c>
      <c r="F5161" s="8">
        <v>1.6079761299999999</v>
      </c>
      <c r="G5161" s="7" t="str">
        <f t="shared" si="27"/>
        <v>Direct</v>
      </c>
      <c r="H5161" s="7" t="s">
        <v>3708</v>
      </c>
    </row>
    <row r="5162" spans="1:8" x14ac:dyDescent="0.2">
      <c r="A5162" s="5" t="s">
        <v>27</v>
      </c>
      <c r="B5162" s="6" t="s">
        <v>19</v>
      </c>
      <c r="C5162" s="7" t="s">
        <v>5806</v>
      </c>
      <c r="D5162" s="7"/>
      <c r="E5162" s="8">
        <v>2.5933196999999999</v>
      </c>
      <c r="F5162" s="8">
        <v>3.12616205</v>
      </c>
      <c r="G5162" s="7" t="str">
        <f t="shared" si="27"/>
        <v>Direct</v>
      </c>
      <c r="H5162" s="7" t="s">
        <v>665</v>
      </c>
    </row>
    <row r="5163" spans="1:8" x14ac:dyDescent="0.2">
      <c r="A5163" s="5" t="s">
        <v>27</v>
      </c>
      <c r="B5163" s="6" t="s">
        <v>19</v>
      </c>
      <c r="C5163" s="7" t="s">
        <v>5807</v>
      </c>
      <c r="D5163" s="7"/>
      <c r="E5163" s="8">
        <v>1.24844249</v>
      </c>
      <c r="F5163" s="8">
        <v>1.0918244500000001</v>
      </c>
      <c r="G5163" s="7" t="str">
        <f t="shared" si="27"/>
        <v>Direct</v>
      </c>
      <c r="H5163" s="7" t="s">
        <v>665</v>
      </c>
    </row>
    <row r="5164" spans="1:8" x14ac:dyDescent="0.2">
      <c r="A5164" s="5" t="s">
        <v>27</v>
      </c>
      <c r="B5164" s="6" t="s">
        <v>19</v>
      </c>
      <c r="C5164" s="7" t="s">
        <v>4236</v>
      </c>
      <c r="D5164" s="7"/>
      <c r="E5164" s="8">
        <v>2.1766210799999999</v>
      </c>
      <c r="F5164" s="8">
        <v>2.54371977</v>
      </c>
      <c r="G5164" s="7" t="str">
        <f t="shared" si="27"/>
        <v>Direct</v>
      </c>
      <c r="H5164" s="7" t="s">
        <v>665</v>
      </c>
    </row>
    <row r="5165" spans="1:8" x14ac:dyDescent="0.2">
      <c r="A5165" s="5" t="s">
        <v>27</v>
      </c>
      <c r="B5165" s="6" t="s">
        <v>19</v>
      </c>
      <c r="C5165" s="7" t="s">
        <v>5808</v>
      </c>
      <c r="D5165" s="7"/>
      <c r="E5165" s="8">
        <v>1.95654152</v>
      </c>
      <c r="F5165" s="8">
        <v>1.54312453</v>
      </c>
      <c r="G5165" s="7" t="str">
        <f t="shared" si="27"/>
        <v>Direct</v>
      </c>
      <c r="H5165" s="7" t="s">
        <v>5809</v>
      </c>
    </row>
    <row r="5166" spans="1:8" x14ac:dyDescent="0.2">
      <c r="A5166" s="5" t="s">
        <v>27</v>
      </c>
      <c r="B5166" s="6" t="s">
        <v>19</v>
      </c>
      <c r="C5166" s="7" t="s">
        <v>5810</v>
      </c>
      <c r="D5166" s="7"/>
      <c r="E5166" s="8">
        <v>1.7080470800000001</v>
      </c>
      <c r="F5166" s="8">
        <v>3.5990453100000002</v>
      </c>
      <c r="G5166" s="7" t="str">
        <f t="shared" si="27"/>
        <v>Direct</v>
      </c>
      <c r="H5166" s="7" t="s">
        <v>5811</v>
      </c>
    </row>
    <row r="5167" spans="1:8" x14ac:dyDescent="0.2">
      <c r="A5167" s="5" t="s">
        <v>27</v>
      </c>
      <c r="B5167" s="6" t="s">
        <v>19</v>
      </c>
      <c r="C5167" s="7" t="s">
        <v>5812</v>
      </c>
      <c r="D5167" s="7"/>
      <c r="E5167" s="8">
        <v>1.13970561</v>
      </c>
      <c r="F5167" s="8">
        <v>2.3908572100000001</v>
      </c>
      <c r="G5167" s="7" t="str">
        <f t="shared" si="27"/>
        <v>Direct</v>
      </c>
      <c r="H5167" s="7" t="s">
        <v>16</v>
      </c>
    </row>
    <row r="5168" spans="1:8" x14ac:dyDescent="0.2">
      <c r="A5168" s="5" t="s">
        <v>27</v>
      </c>
      <c r="B5168" s="6" t="s">
        <v>19</v>
      </c>
      <c r="C5168" s="7" t="s">
        <v>4237</v>
      </c>
      <c r="D5168" s="7"/>
      <c r="E5168" s="8">
        <v>8.4163946099999993</v>
      </c>
      <c r="F5168" s="8">
        <v>5.4200744700000003</v>
      </c>
      <c r="G5168" s="7" t="str">
        <f t="shared" si="27"/>
        <v>Direct</v>
      </c>
      <c r="H5168" s="7" t="s">
        <v>16</v>
      </c>
    </row>
    <row r="5169" spans="1:8" x14ac:dyDescent="0.2">
      <c r="A5169" s="5" t="s">
        <v>27</v>
      </c>
      <c r="B5169" s="6" t="s">
        <v>19</v>
      </c>
      <c r="C5169" s="7" t="s">
        <v>5813</v>
      </c>
      <c r="D5169" s="7"/>
      <c r="E5169" s="8">
        <v>-2.6892971000000001</v>
      </c>
      <c r="F5169" s="8">
        <v>-2.6194747</v>
      </c>
      <c r="G5169" s="7" t="str">
        <f t="shared" si="27"/>
        <v>Direct</v>
      </c>
      <c r="H5169" s="7" t="s">
        <v>2575</v>
      </c>
    </row>
    <row r="5170" spans="1:8" x14ac:dyDescent="0.2">
      <c r="A5170" s="5" t="s">
        <v>27</v>
      </c>
      <c r="B5170" s="6" t="s">
        <v>19</v>
      </c>
      <c r="C5170" s="7" t="s">
        <v>5814</v>
      </c>
      <c r="D5170" s="7"/>
      <c r="E5170" s="8">
        <v>1.77025418</v>
      </c>
      <c r="F5170" s="8">
        <v>1.25831373</v>
      </c>
      <c r="G5170" s="7" t="str">
        <f t="shared" si="27"/>
        <v>Direct</v>
      </c>
      <c r="H5170" s="7" t="s">
        <v>5253</v>
      </c>
    </row>
    <row r="5171" spans="1:8" x14ac:dyDescent="0.2">
      <c r="A5171" s="5" t="s">
        <v>27</v>
      </c>
      <c r="B5171" s="6" t="s">
        <v>19</v>
      </c>
      <c r="C5171" s="7" t="s">
        <v>5815</v>
      </c>
      <c r="D5171" s="7"/>
      <c r="E5171" s="8">
        <v>-2.5939290000000002</v>
      </c>
      <c r="F5171" s="8">
        <v>-3.7943129</v>
      </c>
      <c r="G5171" s="7" t="str">
        <f t="shared" si="27"/>
        <v>Direct</v>
      </c>
      <c r="H5171" s="7" t="s">
        <v>447</v>
      </c>
    </row>
    <row r="5172" spans="1:8" x14ac:dyDescent="0.2">
      <c r="A5172" s="5" t="s">
        <v>27</v>
      </c>
      <c r="B5172" s="6" t="s">
        <v>19</v>
      </c>
      <c r="C5172" s="7" t="s">
        <v>4238</v>
      </c>
      <c r="D5172" s="7"/>
      <c r="E5172" s="8">
        <v>2.6335064400000001</v>
      </c>
      <c r="F5172" s="8">
        <v>2.2364829099999999</v>
      </c>
      <c r="G5172" s="7" t="str">
        <f t="shared" si="27"/>
        <v>Direct</v>
      </c>
      <c r="H5172" s="7" t="s">
        <v>16</v>
      </c>
    </row>
    <row r="5173" spans="1:8" x14ac:dyDescent="0.2">
      <c r="A5173" s="5" t="s">
        <v>27</v>
      </c>
      <c r="B5173" s="6" t="s">
        <v>19</v>
      </c>
      <c r="C5173" s="7" t="s">
        <v>4239</v>
      </c>
      <c r="D5173" s="7"/>
      <c r="E5173" s="8">
        <v>5.3595283</v>
      </c>
      <c r="F5173" s="8">
        <v>4.6365871600000004</v>
      </c>
      <c r="G5173" s="7" t="str">
        <f t="shared" si="27"/>
        <v>Direct</v>
      </c>
      <c r="H5173" s="7" t="s">
        <v>606</v>
      </c>
    </row>
    <row r="5174" spans="1:8" x14ac:dyDescent="0.2">
      <c r="A5174" s="5" t="s">
        <v>27</v>
      </c>
      <c r="B5174" s="6" t="s">
        <v>19</v>
      </c>
      <c r="C5174" s="7" t="s">
        <v>5816</v>
      </c>
      <c r="D5174" s="7"/>
      <c r="E5174" s="8">
        <v>1.84880369</v>
      </c>
      <c r="F5174" s="8">
        <v>1.9703356700000001</v>
      </c>
      <c r="G5174" s="7" t="str">
        <f t="shared" si="27"/>
        <v>Direct</v>
      </c>
      <c r="H5174" s="7" t="s">
        <v>16</v>
      </c>
    </row>
    <row r="5175" spans="1:8" x14ac:dyDescent="0.2">
      <c r="A5175" s="5" t="s">
        <v>27</v>
      </c>
      <c r="B5175" s="6" t="s">
        <v>19</v>
      </c>
      <c r="C5175" s="7" t="s">
        <v>5817</v>
      </c>
      <c r="D5175" s="7"/>
      <c r="E5175" s="8">
        <v>1.24844249</v>
      </c>
      <c r="F5175" s="8">
        <v>1.79448086</v>
      </c>
      <c r="G5175" s="7" t="str">
        <f t="shared" si="27"/>
        <v>Direct</v>
      </c>
      <c r="H5175" s="7" t="s">
        <v>16</v>
      </c>
    </row>
    <row r="5176" spans="1:8" x14ac:dyDescent="0.2">
      <c r="A5176" s="5" t="s">
        <v>27</v>
      </c>
      <c r="B5176" s="6" t="s">
        <v>19</v>
      </c>
      <c r="C5176" s="7" t="s">
        <v>5818</v>
      </c>
      <c r="D5176" s="7"/>
      <c r="E5176" s="8">
        <v>-1.3910484999999999</v>
      </c>
      <c r="F5176" s="8">
        <v>-3.0682455000000002</v>
      </c>
      <c r="G5176" s="7" t="str">
        <f t="shared" si="27"/>
        <v>Direct</v>
      </c>
      <c r="H5176" s="7" t="s">
        <v>5819</v>
      </c>
    </row>
    <row r="5177" spans="1:8" x14ac:dyDescent="0.2">
      <c r="A5177" s="5" t="s">
        <v>27</v>
      </c>
      <c r="B5177" s="6" t="s">
        <v>19</v>
      </c>
      <c r="C5177" s="7" t="s">
        <v>5820</v>
      </c>
      <c r="D5177" s="7"/>
      <c r="E5177" s="8">
        <v>-1.7516368</v>
      </c>
      <c r="F5177" s="8">
        <v>-1.8961075999999999</v>
      </c>
      <c r="G5177" s="7" t="str">
        <f t="shared" si="27"/>
        <v>Direct</v>
      </c>
      <c r="H5177" s="7" t="s">
        <v>5821</v>
      </c>
    </row>
    <row r="5178" spans="1:8" x14ac:dyDescent="0.2">
      <c r="A5178" s="5" t="s">
        <v>27</v>
      </c>
      <c r="B5178" s="6" t="s">
        <v>19</v>
      </c>
      <c r="C5178" s="7" t="s">
        <v>5822</v>
      </c>
      <c r="D5178" s="7"/>
      <c r="E5178" s="8">
        <v>-2.406399</v>
      </c>
      <c r="F5178" s="8">
        <v>-1.9702952</v>
      </c>
      <c r="G5178" s="7" t="str">
        <f t="shared" si="27"/>
        <v>Direct</v>
      </c>
      <c r="H5178" s="7" t="s">
        <v>5821</v>
      </c>
    </row>
    <row r="5179" spans="1:8" x14ac:dyDescent="0.2">
      <c r="A5179" s="5" t="s">
        <v>27</v>
      </c>
      <c r="B5179" s="6" t="s">
        <v>19</v>
      </c>
      <c r="C5179" s="7" t="s">
        <v>5823</v>
      </c>
      <c r="D5179" s="7"/>
      <c r="E5179" s="8">
        <v>2.13338603</v>
      </c>
      <c r="F5179" s="8">
        <v>1.3234809300000001</v>
      </c>
      <c r="G5179" s="7" t="str">
        <f t="shared" si="27"/>
        <v>Direct</v>
      </c>
      <c r="H5179" s="7" t="s">
        <v>2158</v>
      </c>
    </row>
    <row r="5180" spans="1:8" x14ac:dyDescent="0.2">
      <c r="A5180" s="5" t="s">
        <v>27</v>
      </c>
      <c r="B5180" s="6" t="s">
        <v>19</v>
      </c>
      <c r="C5180" s="7" t="s">
        <v>5824</v>
      </c>
      <c r="D5180" s="7"/>
      <c r="E5180" s="8">
        <v>3.7859432900000001</v>
      </c>
      <c r="F5180" s="8">
        <v>2.6806586000000001</v>
      </c>
      <c r="G5180" s="7" t="str">
        <f t="shared" si="27"/>
        <v>Direct</v>
      </c>
      <c r="H5180" s="7" t="s">
        <v>5825</v>
      </c>
    </row>
    <row r="5181" spans="1:8" x14ac:dyDescent="0.2">
      <c r="A5181" s="5" t="s">
        <v>27</v>
      </c>
      <c r="B5181" s="6" t="s">
        <v>19</v>
      </c>
      <c r="C5181" s="7" t="s">
        <v>5826</v>
      </c>
      <c r="D5181" s="7"/>
      <c r="E5181" s="8">
        <v>-2.6130643</v>
      </c>
      <c r="F5181" s="8">
        <v>-7.4885453999999996</v>
      </c>
      <c r="G5181" s="7" t="str">
        <f t="shared" si="27"/>
        <v>Direct</v>
      </c>
      <c r="H5181" s="7" t="s">
        <v>16</v>
      </c>
    </row>
    <row r="5182" spans="1:8" x14ac:dyDescent="0.2">
      <c r="A5182" s="5" t="s">
        <v>27</v>
      </c>
      <c r="B5182" s="6" t="s">
        <v>19</v>
      </c>
      <c r="C5182" s="7" t="s">
        <v>5827</v>
      </c>
      <c r="D5182" s="7"/>
      <c r="E5182" s="8">
        <v>-3.4914907999999998</v>
      </c>
      <c r="F5182" s="8">
        <v>-7.4546884000000002</v>
      </c>
      <c r="G5182" s="7" t="str">
        <f t="shared" si="27"/>
        <v>Direct</v>
      </c>
      <c r="H5182" s="7" t="s">
        <v>2310</v>
      </c>
    </row>
    <row r="5183" spans="1:8" x14ac:dyDescent="0.2">
      <c r="A5183" s="5" t="s">
        <v>27</v>
      </c>
      <c r="B5183" s="6" t="s">
        <v>19</v>
      </c>
      <c r="C5183" s="7" t="s">
        <v>5828</v>
      </c>
      <c r="D5183" s="7"/>
      <c r="E5183" s="8">
        <v>2.3202463799999999</v>
      </c>
      <c r="F5183" s="8">
        <v>1.6579257700000001</v>
      </c>
      <c r="G5183" s="7" t="str">
        <f t="shared" si="27"/>
        <v>Direct</v>
      </c>
      <c r="H5183" s="7" t="s">
        <v>3532</v>
      </c>
    </row>
    <row r="5184" spans="1:8" x14ac:dyDescent="0.2">
      <c r="A5184" s="5" t="s">
        <v>27</v>
      </c>
      <c r="B5184" s="6" t="s">
        <v>19</v>
      </c>
      <c r="C5184" s="7" t="s">
        <v>5829</v>
      </c>
      <c r="D5184" s="7"/>
      <c r="E5184" s="8">
        <v>-1.3395321</v>
      </c>
      <c r="F5184" s="8">
        <v>-3.2266682000000002</v>
      </c>
      <c r="G5184" s="7" t="str">
        <f t="shared" si="27"/>
        <v>Direct</v>
      </c>
      <c r="H5184" s="7" t="s">
        <v>5830</v>
      </c>
    </row>
    <row r="5185" spans="1:8" x14ac:dyDescent="0.2">
      <c r="A5185" s="5" t="s">
        <v>27</v>
      </c>
      <c r="B5185" s="6" t="s">
        <v>19</v>
      </c>
      <c r="C5185" s="7" t="s">
        <v>5831</v>
      </c>
      <c r="D5185" s="7"/>
      <c r="E5185" s="8">
        <v>1.55778018</v>
      </c>
      <c r="F5185" s="8">
        <v>1.1669276500000001</v>
      </c>
      <c r="G5185" s="7" t="str">
        <f t="shared" si="27"/>
        <v>Direct</v>
      </c>
      <c r="H5185" s="7" t="s">
        <v>16</v>
      </c>
    </row>
    <row r="5186" spans="1:8" x14ac:dyDescent="0.2">
      <c r="A5186" s="5" t="s">
        <v>27</v>
      </c>
      <c r="B5186" s="6" t="s">
        <v>19</v>
      </c>
      <c r="C5186" s="7" t="s">
        <v>5832</v>
      </c>
      <c r="D5186" s="7"/>
      <c r="E5186" s="8">
        <v>2.6721877200000002</v>
      </c>
      <c r="F5186" s="8">
        <v>2.4545807700000002</v>
      </c>
      <c r="G5186" s="7" t="str">
        <f t="shared" si="27"/>
        <v>Direct</v>
      </c>
      <c r="H5186" s="7" t="s">
        <v>16</v>
      </c>
    </row>
    <row r="5187" spans="1:8" x14ac:dyDescent="0.2">
      <c r="A5187" s="5" t="s">
        <v>27</v>
      </c>
      <c r="B5187" s="6" t="s">
        <v>19</v>
      </c>
      <c r="C5187" s="7" t="s">
        <v>5833</v>
      </c>
      <c r="D5187" s="7"/>
      <c r="E5187" s="8">
        <v>3.8138411699999999</v>
      </c>
      <c r="F5187" s="8">
        <v>2.7058579100000002</v>
      </c>
      <c r="G5187" s="7" t="str">
        <f t="shared" si="27"/>
        <v>Direct</v>
      </c>
      <c r="H5187" s="7" t="s">
        <v>16</v>
      </c>
    </row>
    <row r="5188" spans="1:8" x14ac:dyDescent="0.2">
      <c r="A5188" s="5" t="s">
        <v>27</v>
      </c>
      <c r="B5188" s="6" t="s">
        <v>19</v>
      </c>
      <c r="C5188" s="7" t="s">
        <v>5834</v>
      </c>
      <c r="D5188" s="7"/>
      <c r="E5188" s="8">
        <v>-3.1881371000000001</v>
      </c>
      <c r="F5188" s="8">
        <v>-3.0572968999999999</v>
      </c>
      <c r="G5188" s="7" t="str">
        <f t="shared" si="27"/>
        <v>Direct</v>
      </c>
      <c r="H5188" s="7" t="s">
        <v>5835</v>
      </c>
    </row>
    <row r="5189" spans="1:8" x14ac:dyDescent="0.2">
      <c r="A5189" s="5" t="s">
        <v>27</v>
      </c>
      <c r="B5189" s="6" t="s">
        <v>19</v>
      </c>
      <c r="C5189" s="7" t="s">
        <v>5836</v>
      </c>
      <c r="D5189" s="7"/>
      <c r="E5189" s="8">
        <v>-1.7154305000000001</v>
      </c>
      <c r="F5189" s="8">
        <v>-1.2975989999999999</v>
      </c>
      <c r="G5189" s="7" t="str">
        <f t="shared" si="27"/>
        <v>Direct</v>
      </c>
      <c r="H5189" s="7" t="s">
        <v>16</v>
      </c>
    </row>
    <row r="5190" spans="1:8" x14ac:dyDescent="0.2">
      <c r="A5190" s="5" t="s">
        <v>27</v>
      </c>
      <c r="B5190" s="6" t="s">
        <v>19</v>
      </c>
      <c r="C5190" s="7" t="s">
        <v>5837</v>
      </c>
      <c r="D5190" s="7"/>
      <c r="E5190" s="8">
        <v>-1.8566931</v>
      </c>
      <c r="F5190" s="8">
        <v>-2.6640809999999999</v>
      </c>
      <c r="G5190" s="7" t="str">
        <f t="shared" si="27"/>
        <v>Direct</v>
      </c>
      <c r="H5190" s="7" t="s">
        <v>325</v>
      </c>
    </row>
    <row r="5191" spans="1:8" x14ac:dyDescent="0.2">
      <c r="A5191" s="5" t="s">
        <v>27</v>
      </c>
      <c r="B5191" s="6" t="s">
        <v>19</v>
      </c>
      <c r="C5191" s="7" t="s">
        <v>5838</v>
      </c>
      <c r="D5191" s="7"/>
      <c r="E5191" s="8">
        <v>-1.6946942</v>
      </c>
      <c r="F5191" s="8">
        <v>-2.5651544999999998</v>
      </c>
      <c r="G5191" s="7" t="str">
        <f t="shared" si="27"/>
        <v>Direct</v>
      </c>
      <c r="H5191" s="7" t="s">
        <v>403</v>
      </c>
    </row>
    <row r="5192" spans="1:8" x14ac:dyDescent="0.2">
      <c r="A5192" s="5" t="s">
        <v>27</v>
      </c>
      <c r="B5192" s="6" t="s">
        <v>19</v>
      </c>
      <c r="C5192" s="7" t="s">
        <v>5839</v>
      </c>
      <c r="D5192" s="7"/>
      <c r="E5192" s="8">
        <v>3.1295365400000001</v>
      </c>
      <c r="F5192" s="8">
        <v>1.96619553</v>
      </c>
      <c r="G5192" s="7" t="str">
        <f t="shared" si="27"/>
        <v>Direct</v>
      </c>
      <c r="H5192" s="7" t="s">
        <v>16</v>
      </c>
    </row>
    <row r="5193" spans="1:8" x14ac:dyDescent="0.2">
      <c r="A5193" s="5" t="s">
        <v>27</v>
      </c>
      <c r="B5193" s="6" t="s">
        <v>19</v>
      </c>
      <c r="C5193" s="7" t="s">
        <v>5840</v>
      </c>
      <c r="D5193" s="7"/>
      <c r="E5193" s="8">
        <v>-2.0777480000000002</v>
      </c>
      <c r="F5193" s="8">
        <v>-1.8635486999999999</v>
      </c>
      <c r="G5193" s="7" t="str">
        <f t="shared" si="27"/>
        <v>Direct</v>
      </c>
      <c r="H5193" s="7" t="s">
        <v>16</v>
      </c>
    </row>
    <row r="5194" spans="1:8" x14ac:dyDescent="0.2">
      <c r="A5194" s="5" t="s">
        <v>27</v>
      </c>
      <c r="B5194" s="6" t="s">
        <v>19</v>
      </c>
      <c r="C5194" s="7" t="s">
        <v>5841</v>
      </c>
      <c r="D5194" s="7"/>
      <c r="E5194" s="8">
        <v>-2.6890212</v>
      </c>
      <c r="F5194" s="8">
        <v>-1.5947252999999999</v>
      </c>
      <c r="G5194" s="7" t="str">
        <f t="shared" si="27"/>
        <v>Direct</v>
      </c>
      <c r="H5194" s="7" t="s">
        <v>5842</v>
      </c>
    </row>
    <row r="5195" spans="1:8" x14ac:dyDescent="0.2">
      <c r="A5195" s="5" t="s">
        <v>27</v>
      </c>
      <c r="B5195" s="6" t="s">
        <v>19</v>
      </c>
      <c r="C5195" s="7" t="s">
        <v>4242</v>
      </c>
      <c r="D5195" s="7"/>
      <c r="E5195" s="8">
        <v>1.68452201</v>
      </c>
      <c r="F5195" s="8">
        <v>1.9691198400000001</v>
      </c>
      <c r="G5195" s="7" t="str">
        <f t="shared" si="27"/>
        <v>Direct</v>
      </c>
      <c r="H5195" s="7" t="s">
        <v>4243</v>
      </c>
    </row>
    <row r="5196" spans="1:8" x14ac:dyDescent="0.2">
      <c r="A5196" s="5" t="s">
        <v>27</v>
      </c>
      <c r="B5196" s="6" t="s">
        <v>19</v>
      </c>
      <c r="C5196" s="7" t="s">
        <v>5843</v>
      </c>
      <c r="D5196" s="7"/>
      <c r="E5196" s="8">
        <v>-1.4293184999999999</v>
      </c>
      <c r="F5196" s="8">
        <v>-1.4407053999999999</v>
      </c>
      <c r="G5196" s="7" t="str">
        <f t="shared" si="27"/>
        <v>Direct</v>
      </c>
      <c r="H5196" s="7" t="s">
        <v>5844</v>
      </c>
    </row>
    <row r="5197" spans="1:8" x14ac:dyDescent="0.2">
      <c r="A5197" s="5" t="s">
        <v>27</v>
      </c>
      <c r="B5197" s="6" t="s">
        <v>19</v>
      </c>
      <c r="C5197" s="7" t="s">
        <v>5845</v>
      </c>
      <c r="D5197" s="7"/>
      <c r="E5197" s="8">
        <v>6.2537997000000001</v>
      </c>
      <c r="F5197" s="8">
        <v>8.1819826899999999</v>
      </c>
      <c r="G5197" s="7" t="str">
        <f t="shared" si="27"/>
        <v>Direct</v>
      </c>
      <c r="H5197" s="7" t="s">
        <v>5846</v>
      </c>
    </row>
    <row r="5198" spans="1:8" x14ac:dyDescent="0.2">
      <c r="A5198" s="5" t="s">
        <v>27</v>
      </c>
      <c r="B5198" s="6" t="s">
        <v>19</v>
      </c>
      <c r="C5198" s="7" t="s">
        <v>5847</v>
      </c>
      <c r="D5198" s="7"/>
      <c r="E5198" s="8">
        <v>-2.4241576999999999</v>
      </c>
      <c r="F5198" s="8">
        <v>-1.5428169</v>
      </c>
      <c r="G5198" s="7" t="str">
        <f t="shared" si="27"/>
        <v>Direct</v>
      </c>
      <c r="H5198" s="7" t="s">
        <v>5848</v>
      </c>
    </row>
    <row r="5199" spans="1:8" x14ac:dyDescent="0.2">
      <c r="A5199" s="5" t="s">
        <v>27</v>
      </c>
      <c r="B5199" s="6" t="s">
        <v>19</v>
      </c>
      <c r="C5199" s="7" t="s">
        <v>5849</v>
      </c>
      <c r="D5199" s="7"/>
      <c r="E5199" s="8">
        <v>-3.5521921000000001</v>
      </c>
      <c r="F5199" s="8">
        <v>-1.744602</v>
      </c>
      <c r="G5199" s="7" t="str">
        <f t="shared" si="27"/>
        <v>Direct</v>
      </c>
      <c r="H5199" s="7" t="s">
        <v>5850</v>
      </c>
    </row>
    <row r="5200" spans="1:8" x14ac:dyDescent="0.2">
      <c r="A5200" s="5" t="s">
        <v>27</v>
      </c>
      <c r="B5200" s="6" t="s">
        <v>19</v>
      </c>
      <c r="C5200" s="7" t="s">
        <v>5851</v>
      </c>
      <c r="D5200" s="7"/>
      <c r="E5200" s="8">
        <v>-2.2044321999999998</v>
      </c>
      <c r="F5200" s="8">
        <v>-1.3166384</v>
      </c>
      <c r="G5200" s="7" t="str">
        <f t="shared" si="27"/>
        <v>Direct</v>
      </c>
      <c r="H5200" s="7" t="s">
        <v>16</v>
      </c>
    </row>
    <row r="5201" spans="1:8" x14ac:dyDescent="0.2">
      <c r="A5201" s="5" t="s">
        <v>27</v>
      </c>
      <c r="B5201" s="6" t="s">
        <v>19</v>
      </c>
      <c r="C5201" s="7" t="s">
        <v>5852</v>
      </c>
      <c r="D5201" s="7"/>
      <c r="E5201" s="8">
        <v>-1.5426321000000001</v>
      </c>
      <c r="F5201" s="8">
        <v>-1.5534865</v>
      </c>
      <c r="G5201" s="7" t="str">
        <f t="shared" si="27"/>
        <v>Direct</v>
      </c>
      <c r="H5201" s="7" t="s">
        <v>5853</v>
      </c>
    </row>
    <row r="5202" spans="1:8" x14ac:dyDescent="0.2">
      <c r="A5202" s="5" t="s">
        <v>27</v>
      </c>
      <c r="B5202" s="6" t="s">
        <v>19</v>
      </c>
      <c r="C5202" s="7" t="s">
        <v>5854</v>
      </c>
      <c r="D5202" s="7"/>
      <c r="E5202" s="8">
        <v>-6.5854647999999996</v>
      </c>
      <c r="F5202" s="8">
        <v>-6.9151758000000001</v>
      </c>
      <c r="G5202" s="7" t="str">
        <f t="shared" si="27"/>
        <v>Direct</v>
      </c>
      <c r="H5202" s="7" t="s">
        <v>5855</v>
      </c>
    </row>
    <row r="5203" spans="1:8" x14ac:dyDescent="0.2">
      <c r="A5203" s="5" t="s">
        <v>27</v>
      </c>
      <c r="B5203" s="6" t="s">
        <v>19</v>
      </c>
      <c r="C5203" s="7" t="s">
        <v>5856</v>
      </c>
      <c r="D5203" s="7"/>
      <c r="E5203" s="8">
        <v>-1.0364967</v>
      </c>
      <c r="F5203" s="8">
        <v>-2.1935011000000002</v>
      </c>
      <c r="G5203" s="7" t="str">
        <f t="shared" si="27"/>
        <v>Direct</v>
      </c>
      <c r="H5203" s="7" t="s">
        <v>3095</v>
      </c>
    </row>
    <row r="5204" spans="1:8" x14ac:dyDescent="0.2">
      <c r="A5204" s="5" t="s">
        <v>27</v>
      </c>
      <c r="B5204" s="6" t="s">
        <v>19</v>
      </c>
      <c r="C5204" s="7" t="s">
        <v>5857</v>
      </c>
      <c r="D5204" s="7"/>
      <c r="E5204" s="8">
        <v>-2.5538983000000002</v>
      </c>
      <c r="F5204" s="8">
        <v>-1.6178195</v>
      </c>
      <c r="G5204" s="7" t="str">
        <f t="shared" si="27"/>
        <v>Direct</v>
      </c>
      <c r="H5204" s="7" t="s">
        <v>5858</v>
      </c>
    </row>
    <row r="5205" spans="1:8" x14ac:dyDescent="0.2">
      <c r="A5205" s="5" t="s">
        <v>27</v>
      </c>
      <c r="B5205" s="6" t="s">
        <v>19</v>
      </c>
      <c r="C5205" s="7" t="s">
        <v>5859</v>
      </c>
      <c r="D5205" s="7"/>
      <c r="E5205" s="8">
        <v>1.0933025599999999</v>
      </c>
      <c r="F5205" s="8">
        <v>1.2488315699999999</v>
      </c>
      <c r="G5205" s="7" t="str">
        <f t="shared" si="27"/>
        <v>Direct</v>
      </c>
      <c r="H5205" s="7" t="s">
        <v>16</v>
      </c>
    </row>
    <row r="5206" spans="1:8" x14ac:dyDescent="0.2">
      <c r="A5206" s="5" t="s">
        <v>27</v>
      </c>
      <c r="B5206" s="6" t="s">
        <v>19</v>
      </c>
      <c r="C5206" s="7" t="s">
        <v>5860</v>
      </c>
      <c r="D5206" s="7"/>
      <c r="E5206" s="8">
        <v>5.04072342</v>
      </c>
      <c r="F5206" s="8">
        <v>4.8681884599999998</v>
      </c>
      <c r="G5206" s="7" t="str">
        <f t="shared" si="27"/>
        <v>Direct</v>
      </c>
      <c r="H5206" s="7" t="s">
        <v>4167</v>
      </c>
    </row>
    <row r="5207" spans="1:8" x14ac:dyDescent="0.2">
      <c r="A5207" s="5" t="s">
        <v>27</v>
      </c>
      <c r="B5207" s="6" t="s">
        <v>19</v>
      </c>
      <c r="C5207" s="7" t="s">
        <v>5861</v>
      </c>
      <c r="D5207" s="7"/>
      <c r="E5207" s="8">
        <v>2.9902355200000001</v>
      </c>
      <c r="F5207" s="8">
        <v>2.74297798</v>
      </c>
      <c r="G5207" s="7" t="str">
        <f t="shared" si="27"/>
        <v>Direct</v>
      </c>
      <c r="H5207" s="7" t="s">
        <v>4167</v>
      </c>
    </row>
    <row r="5208" spans="1:8" x14ac:dyDescent="0.2">
      <c r="A5208" s="5" t="s">
        <v>27</v>
      </c>
      <c r="B5208" s="6" t="s">
        <v>19</v>
      </c>
      <c r="C5208" s="7" t="s">
        <v>5862</v>
      </c>
      <c r="D5208" s="7"/>
      <c r="E5208" s="8">
        <v>1.77735982</v>
      </c>
      <c r="F5208" s="8">
        <v>1.35789523</v>
      </c>
      <c r="G5208" s="7" t="str">
        <f t="shared" si="27"/>
        <v>Direct</v>
      </c>
      <c r="H5208" s="7" t="s">
        <v>4167</v>
      </c>
    </row>
    <row r="5209" spans="1:8" x14ac:dyDescent="0.2">
      <c r="A5209" s="5" t="s">
        <v>27</v>
      </c>
      <c r="B5209" s="6" t="s">
        <v>19</v>
      </c>
      <c r="C5209" s="7" t="s">
        <v>5863</v>
      </c>
      <c r="D5209" s="7"/>
      <c r="E5209" s="8">
        <v>3.08439401</v>
      </c>
      <c r="F5209" s="8">
        <v>1.81878593</v>
      </c>
      <c r="G5209" s="7" t="str">
        <f t="shared" si="27"/>
        <v>Direct</v>
      </c>
      <c r="H5209" s="7" t="s">
        <v>4167</v>
      </c>
    </row>
    <row r="5210" spans="1:8" x14ac:dyDescent="0.2">
      <c r="A5210" s="5" t="s">
        <v>27</v>
      </c>
      <c r="B5210" s="6" t="s">
        <v>19</v>
      </c>
      <c r="C5210" s="7" t="s">
        <v>5864</v>
      </c>
      <c r="D5210" s="7"/>
      <c r="E5210" s="8">
        <v>1.0122678700000001</v>
      </c>
      <c r="F5210" s="8">
        <v>1.0139587699999999</v>
      </c>
      <c r="G5210" s="7" t="str">
        <f t="shared" si="27"/>
        <v>Direct</v>
      </c>
      <c r="H5210" s="7" t="s">
        <v>4167</v>
      </c>
    </row>
    <row r="5211" spans="1:8" x14ac:dyDescent="0.2">
      <c r="A5211" s="5" t="s">
        <v>27</v>
      </c>
      <c r="B5211" s="6" t="s">
        <v>19</v>
      </c>
      <c r="C5211" s="7" t="s">
        <v>5865</v>
      </c>
      <c r="D5211" s="7"/>
      <c r="E5211" s="8">
        <v>-13.837192999999999</v>
      </c>
      <c r="F5211" s="8">
        <v>-13.552839000000001</v>
      </c>
      <c r="G5211" s="7" t="str">
        <f t="shared" si="27"/>
        <v>Direct</v>
      </c>
      <c r="H5211" s="7" t="s">
        <v>349</v>
      </c>
    </row>
    <row r="5212" spans="1:8" x14ac:dyDescent="0.2">
      <c r="A5212" s="5" t="s">
        <v>27</v>
      </c>
      <c r="B5212" s="6" t="s">
        <v>19</v>
      </c>
      <c r="C5212" s="7" t="s">
        <v>5866</v>
      </c>
      <c r="D5212" s="7"/>
      <c r="E5212" s="8">
        <v>-6.7870726000000001</v>
      </c>
      <c r="F5212" s="8">
        <v>-4.9928075999999999</v>
      </c>
      <c r="G5212" s="7" t="str">
        <f t="shared" si="27"/>
        <v>Direct</v>
      </c>
      <c r="H5212" s="7" t="s">
        <v>5867</v>
      </c>
    </row>
    <row r="5213" spans="1:8" x14ac:dyDescent="0.2">
      <c r="A5213" s="5" t="s">
        <v>27</v>
      </c>
      <c r="B5213" s="6" t="s">
        <v>19</v>
      </c>
      <c r="C5213" s="7" t="s">
        <v>5868</v>
      </c>
      <c r="D5213" s="7"/>
      <c r="E5213" s="8">
        <v>-9.8708533999999997</v>
      </c>
      <c r="F5213" s="8">
        <v>-5.4812843000000004</v>
      </c>
      <c r="G5213" s="7" t="str">
        <f t="shared" si="27"/>
        <v>Direct</v>
      </c>
      <c r="H5213" s="7" t="s">
        <v>5869</v>
      </c>
    </row>
    <row r="5214" spans="1:8" x14ac:dyDescent="0.2">
      <c r="A5214" s="5" t="s">
        <v>27</v>
      </c>
      <c r="B5214" s="6" t="s">
        <v>19</v>
      </c>
      <c r="C5214" s="7" t="s">
        <v>5870</v>
      </c>
      <c r="D5214" s="7"/>
      <c r="E5214" s="8">
        <v>-2.1019497</v>
      </c>
      <c r="F5214" s="8">
        <v>-2.3954236999999998</v>
      </c>
      <c r="G5214" s="7" t="str">
        <f t="shared" si="27"/>
        <v>Direct</v>
      </c>
      <c r="H5214" s="7" t="s">
        <v>5871</v>
      </c>
    </row>
    <row r="5215" spans="1:8" x14ac:dyDescent="0.2">
      <c r="A5215" s="5" t="s">
        <v>27</v>
      </c>
      <c r="B5215" s="6" t="s">
        <v>19</v>
      </c>
      <c r="C5215" s="7" t="s">
        <v>5872</v>
      </c>
      <c r="D5215" s="7"/>
      <c r="E5215" s="8">
        <v>-1.9321767000000001</v>
      </c>
      <c r="F5215" s="8">
        <v>-5.0648407999999998</v>
      </c>
      <c r="G5215" s="7" t="str">
        <f t="shared" si="27"/>
        <v>Direct</v>
      </c>
      <c r="H5215" s="7" t="s">
        <v>5873</v>
      </c>
    </row>
    <row r="5216" spans="1:8" x14ac:dyDescent="0.2">
      <c r="A5216" s="5" t="s">
        <v>27</v>
      </c>
      <c r="B5216" s="6" t="s">
        <v>19</v>
      </c>
      <c r="C5216" s="7" t="s">
        <v>5874</v>
      </c>
      <c r="D5216" s="7"/>
      <c r="E5216" s="8">
        <v>1.29447957</v>
      </c>
      <c r="F5216" s="8">
        <v>1.4480610300000001</v>
      </c>
      <c r="G5216" s="7" t="str">
        <f t="shared" si="27"/>
        <v>Direct</v>
      </c>
      <c r="H5216" s="7" t="s">
        <v>16</v>
      </c>
    </row>
    <row r="5217" spans="1:8" x14ac:dyDescent="0.2">
      <c r="A5217" s="5" t="s">
        <v>27</v>
      </c>
      <c r="B5217" s="6" t="s">
        <v>19</v>
      </c>
      <c r="C5217" s="7" t="s">
        <v>5875</v>
      </c>
      <c r="D5217" s="7"/>
      <c r="E5217" s="8">
        <v>1.53167334</v>
      </c>
      <c r="F5217" s="8">
        <v>3.41103391</v>
      </c>
      <c r="G5217" s="7" t="str">
        <f t="shared" si="27"/>
        <v>Direct</v>
      </c>
      <c r="H5217" s="7" t="s">
        <v>1309</v>
      </c>
    </row>
    <row r="5218" spans="1:8" x14ac:dyDescent="0.2">
      <c r="A5218" s="5" t="s">
        <v>27</v>
      </c>
      <c r="B5218" s="6" t="s">
        <v>19</v>
      </c>
      <c r="C5218" s="7" t="s">
        <v>4244</v>
      </c>
      <c r="D5218" s="7"/>
      <c r="E5218" s="8">
        <v>3.01214147</v>
      </c>
      <c r="F5218" s="8">
        <v>3.2338555200000001</v>
      </c>
      <c r="G5218" s="7" t="str">
        <f t="shared" si="27"/>
        <v>Direct</v>
      </c>
      <c r="H5218" s="7" t="s">
        <v>814</v>
      </c>
    </row>
    <row r="5219" spans="1:8" x14ac:dyDescent="0.2">
      <c r="A5219" s="5" t="s">
        <v>27</v>
      </c>
      <c r="B5219" s="6" t="s">
        <v>19</v>
      </c>
      <c r="C5219" s="7" t="s">
        <v>5876</v>
      </c>
      <c r="D5219" s="7"/>
      <c r="E5219" s="8">
        <v>-6.9613262999999996</v>
      </c>
      <c r="F5219" s="8">
        <v>-5.1942542999999999</v>
      </c>
      <c r="G5219" s="7" t="str">
        <f t="shared" si="27"/>
        <v>Direct</v>
      </c>
      <c r="H5219" s="7" t="s">
        <v>5877</v>
      </c>
    </row>
    <row r="5220" spans="1:8" x14ac:dyDescent="0.2">
      <c r="A5220" s="5" t="s">
        <v>27</v>
      </c>
      <c r="B5220" s="6" t="s">
        <v>19</v>
      </c>
      <c r="C5220" s="7" t="s">
        <v>5878</v>
      </c>
      <c r="D5220" s="7"/>
      <c r="E5220" s="8">
        <v>1.97236594</v>
      </c>
      <c r="F5220" s="8">
        <v>1.4020097199999999</v>
      </c>
      <c r="G5220" s="7" t="str">
        <f t="shared" si="27"/>
        <v>Direct</v>
      </c>
      <c r="H5220" s="7" t="s">
        <v>3732</v>
      </c>
    </row>
    <row r="5221" spans="1:8" x14ac:dyDescent="0.2">
      <c r="A5221" s="5" t="s">
        <v>27</v>
      </c>
      <c r="B5221" s="6" t="s">
        <v>19</v>
      </c>
      <c r="C5221" s="7" t="s">
        <v>4245</v>
      </c>
      <c r="D5221" s="7"/>
      <c r="E5221" s="8">
        <v>14.598974399999999</v>
      </c>
      <c r="F5221" s="8">
        <v>21.278112799999999</v>
      </c>
      <c r="G5221" s="7" t="str">
        <f t="shared" si="27"/>
        <v>Direct</v>
      </c>
      <c r="H5221" s="7" t="s">
        <v>16</v>
      </c>
    </row>
    <row r="5222" spans="1:8" x14ac:dyDescent="0.2">
      <c r="A5222" s="5" t="s">
        <v>27</v>
      </c>
      <c r="B5222" s="6" t="s">
        <v>19</v>
      </c>
      <c r="C5222" s="7" t="s">
        <v>5879</v>
      </c>
      <c r="D5222" s="7"/>
      <c r="E5222" s="8">
        <v>-6.0759131000000002</v>
      </c>
      <c r="F5222" s="8">
        <v>-3.9701187</v>
      </c>
      <c r="G5222" s="7" t="str">
        <f t="shared" si="27"/>
        <v>Direct</v>
      </c>
      <c r="H5222" s="7" t="s">
        <v>16</v>
      </c>
    </row>
    <row r="5223" spans="1:8" x14ac:dyDescent="0.2">
      <c r="A5223" s="5" t="s">
        <v>27</v>
      </c>
      <c r="B5223" s="6" t="s">
        <v>19</v>
      </c>
      <c r="C5223" s="7" t="s">
        <v>5880</v>
      </c>
      <c r="D5223" s="7"/>
      <c r="E5223" s="8">
        <v>1.04988755</v>
      </c>
      <c r="F5223" s="8">
        <v>1.11553956</v>
      </c>
      <c r="G5223" s="7" t="str">
        <f t="shared" si="27"/>
        <v>Direct</v>
      </c>
      <c r="H5223" s="7" t="s">
        <v>16</v>
      </c>
    </row>
    <row r="5224" spans="1:8" x14ac:dyDescent="0.2">
      <c r="A5224" s="5" t="s">
        <v>27</v>
      </c>
      <c r="B5224" s="6" t="s">
        <v>19</v>
      </c>
      <c r="C5224" s="7" t="s">
        <v>5881</v>
      </c>
      <c r="D5224" s="7"/>
      <c r="E5224" s="8">
        <v>8.3905790400000004</v>
      </c>
      <c r="F5224" s="8">
        <v>5.5339691799999997</v>
      </c>
      <c r="G5224" s="7" t="str">
        <f t="shared" si="27"/>
        <v>Direct</v>
      </c>
      <c r="H5224" s="7" t="s">
        <v>16</v>
      </c>
    </row>
    <row r="5225" spans="1:8" x14ac:dyDescent="0.2">
      <c r="A5225" s="5" t="s">
        <v>27</v>
      </c>
      <c r="B5225" s="6" t="s">
        <v>19</v>
      </c>
      <c r="C5225" s="7" t="s">
        <v>5882</v>
      </c>
      <c r="D5225" s="7"/>
      <c r="E5225" s="8">
        <v>5.5178527800000001</v>
      </c>
      <c r="F5225" s="8">
        <v>3.5535968100000002</v>
      </c>
      <c r="G5225" s="7" t="str">
        <f t="shared" si="27"/>
        <v>Direct</v>
      </c>
      <c r="H5225" s="7" t="s">
        <v>16</v>
      </c>
    </row>
    <row r="5226" spans="1:8" x14ac:dyDescent="0.2">
      <c r="A5226" s="5" t="s">
        <v>27</v>
      </c>
      <c r="B5226" s="6" t="s">
        <v>19</v>
      </c>
      <c r="C5226" s="7" t="s">
        <v>5883</v>
      </c>
      <c r="D5226" s="7"/>
      <c r="E5226" s="8">
        <v>-1.1245160999999999</v>
      </c>
      <c r="F5226" s="8">
        <v>-2.5418723000000001</v>
      </c>
      <c r="G5226" s="7" t="str">
        <f t="shared" si="27"/>
        <v>Direct</v>
      </c>
      <c r="H5226" s="7" t="s">
        <v>3511</v>
      </c>
    </row>
    <row r="5227" spans="1:8" x14ac:dyDescent="0.2">
      <c r="A5227" s="5" t="s">
        <v>27</v>
      </c>
      <c r="B5227" s="6" t="s">
        <v>19</v>
      </c>
      <c r="C5227" s="7" t="s">
        <v>5884</v>
      </c>
      <c r="D5227" s="7"/>
      <c r="E5227" s="8">
        <v>1.0982215399999999</v>
      </c>
      <c r="F5227" s="8">
        <v>1.29700142</v>
      </c>
      <c r="G5227" s="7" t="str">
        <f t="shared" si="27"/>
        <v>Direct</v>
      </c>
      <c r="H5227" s="7" t="s">
        <v>16</v>
      </c>
    </row>
    <row r="5228" spans="1:8" x14ac:dyDescent="0.2">
      <c r="A5228" s="5" t="s">
        <v>27</v>
      </c>
      <c r="B5228" s="6" t="s">
        <v>19</v>
      </c>
      <c r="C5228" s="7" t="s">
        <v>5885</v>
      </c>
      <c r="D5228" s="7"/>
      <c r="E5228" s="8">
        <v>-1.3539334999999999</v>
      </c>
      <c r="F5228" s="8">
        <v>-1.0095978999999999</v>
      </c>
      <c r="G5228" s="7" t="str">
        <f t="shared" si="27"/>
        <v>Direct</v>
      </c>
      <c r="H5228" s="7" t="s">
        <v>5886</v>
      </c>
    </row>
    <row r="5229" spans="1:8" x14ac:dyDescent="0.2">
      <c r="A5229" s="5" t="s">
        <v>27</v>
      </c>
      <c r="B5229" s="6" t="s">
        <v>19</v>
      </c>
      <c r="C5229" s="7" t="s">
        <v>5887</v>
      </c>
      <c r="D5229" s="7"/>
      <c r="E5229" s="8">
        <v>-3.1914456000000002</v>
      </c>
      <c r="F5229" s="8">
        <v>-2.8936725999999999</v>
      </c>
      <c r="G5229" s="7" t="str">
        <f t="shared" si="27"/>
        <v>Direct</v>
      </c>
      <c r="H5229" s="7" t="s">
        <v>5888</v>
      </c>
    </row>
    <row r="5230" spans="1:8" x14ac:dyDescent="0.2">
      <c r="A5230" s="5" t="s">
        <v>27</v>
      </c>
      <c r="B5230" s="6" t="s">
        <v>19</v>
      </c>
      <c r="C5230" s="7" t="s">
        <v>4246</v>
      </c>
      <c r="D5230" s="7"/>
      <c r="E5230" s="8">
        <v>-3.7352626999999998</v>
      </c>
      <c r="F5230" s="8">
        <v>-1.9242699000000001</v>
      </c>
      <c r="G5230" s="7" t="str">
        <f t="shared" si="27"/>
        <v>Direct</v>
      </c>
      <c r="H5230" s="7" t="s">
        <v>4247</v>
      </c>
    </row>
    <row r="5231" spans="1:8" x14ac:dyDescent="0.2">
      <c r="A5231" s="5" t="s">
        <v>27</v>
      </c>
      <c r="B5231" s="6" t="s">
        <v>19</v>
      </c>
      <c r="C5231" s="7" t="s">
        <v>5889</v>
      </c>
      <c r="D5231" s="7"/>
      <c r="E5231" s="8">
        <v>5.8601985599999997</v>
      </c>
      <c r="F5231" s="8">
        <v>7.7019156300000002</v>
      </c>
      <c r="G5231" s="7" t="str">
        <f t="shared" si="27"/>
        <v>Direct</v>
      </c>
      <c r="H5231" s="7" t="s">
        <v>16</v>
      </c>
    </row>
    <row r="5232" spans="1:8" x14ac:dyDescent="0.2">
      <c r="A5232" s="5" t="s">
        <v>27</v>
      </c>
      <c r="B5232" s="6" t="s">
        <v>19</v>
      </c>
      <c r="C5232" s="7" t="s">
        <v>5890</v>
      </c>
      <c r="D5232" s="7"/>
      <c r="E5232" s="8">
        <v>1.3946603900000001</v>
      </c>
      <c r="F5232" s="8">
        <v>2.1941049800000001</v>
      </c>
      <c r="G5232" s="7" t="str">
        <f t="shared" ref="G5232:G5380" si="28">IF(OR(AND(E5232&gt;0,F5232&gt;0),AND(E5232&lt;0,F5232&lt;0)),"Direct","Inverse")</f>
        <v>Direct</v>
      </c>
      <c r="H5232" s="7" t="s">
        <v>16</v>
      </c>
    </row>
    <row r="5233" spans="1:8" x14ac:dyDescent="0.2">
      <c r="A5233" s="5" t="s">
        <v>27</v>
      </c>
      <c r="B5233" s="6" t="s">
        <v>19</v>
      </c>
      <c r="C5233" s="7" t="s">
        <v>5891</v>
      </c>
      <c r="D5233" s="7"/>
      <c r="E5233" s="8">
        <v>1.7746363300000001</v>
      </c>
      <c r="F5233" s="8">
        <v>1.88147384</v>
      </c>
      <c r="G5233" s="7" t="str">
        <f t="shared" si="28"/>
        <v>Direct</v>
      </c>
      <c r="H5233" s="7" t="s">
        <v>16</v>
      </c>
    </row>
    <row r="5234" spans="1:8" x14ac:dyDescent="0.2">
      <c r="A5234" s="5" t="s">
        <v>27</v>
      </c>
      <c r="B5234" s="6" t="s">
        <v>19</v>
      </c>
      <c r="C5234" s="7" t="s">
        <v>4248</v>
      </c>
      <c r="D5234" s="7"/>
      <c r="E5234" s="8">
        <v>-5.9266889999999997</v>
      </c>
      <c r="F5234" s="8">
        <v>-5.1151681</v>
      </c>
      <c r="G5234" s="7" t="str">
        <f t="shared" si="28"/>
        <v>Direct</v>
      </c>
      <c r="H5234" s="7" t="s">
        <v>2367</v>
      </c>
    </row>
    <row r="5235" spans="1:8" x14ac:dyDescent="0.2">
      <c r="A5235" s="5" t="s">
        <v>27</v>
      </c>
      <c r="B5235" s="6" t="s">
        <v>19</v>
      </c>
      <c r="C5235" s="7" t="s">
        <v>5892</v>
      </c>
      <c r="D5235" s="7"/>
      <c r="E5235" s="8">
        <v>-2.0168667999999998</v>
      </c>
      <c r="F5235" s="8">
        <v>-1.7304837</v>
      </c>
      <c r="G5235" s="7" t="str">
        <f t="shared" si="28"/>
        <v>Direct</v>
      </c>
      <c r="H5235" s="7" t="s">
        <v>5893</v>
      </c>
    </row>
    <row r="5236" spans="1:8" x14ac:dyDescent="0.2">
      <c r="A5236" s="5" t="s">
        <v>27</v>
      </c>
      <c r="B5236" s="6" t="s">
        <v>19</v>
      </c>
      <c r="C5236" s="7" t="s">
        <v>5894</v>
      </c>
      <c r="D5236" s="7"/>
      <c r="E5236" s="8">
        <v>1.1713575000000001</v>
      </c>
      <c r="F5236" s="8">
        <v>1.1990128099999999</v>
      </c>
      <c r="G5236" s="7" t="str">
        <f t="shared" si="28"/>
        <v>Direct</v>
      </c>
      <c r="H5236" s="7" t="s">
        <v>5895</v>
      </c>
    </row>
    <row r="5237" spans="1:8" x14ac:dyDescent="0.2">
      <c r="A5237" s="5" t="s">
        <v>27</v>
      </c>
      <c r="B5237" s="6" t="s">
        <v>19</v>
      </c>
      <c r="C5237" s="7" t="s">
        <v>5896</v>
      </c>
      <c r="D5237" s="7"/>
      <c r="E5237" s="8">
        <v>-2.6387991</v>
      </c>
      <c r="F5237" s="8">
        <v>-1.6909137000000001</v>
      </c>
      <c r="G5237" s="7" t="str">
        <f t="shared" si="28"/>
        <v>Direct</v>
      </c>
      <c r="H5237" s="7" t="s">
        <v>5897</v>
      </c>
    </row>
    <row r="5238" spans="1:8" x14ac:dyDescent="0.2">
      <c r="A5238" s="5" t="s">
        <v>27</v>
      </c>
      <c r="B5238" s="6" t="s">
        <v>19</v>
      </c>
      <c r="C5238" s="7" t="s">
        <v>4249</v>
      </c>
      <c r="D5238" s="7"/>
      <c r="E5238" s="8">
        <v>8.7807228100000003</v>
      </c>
      <c r="F5238" s="8">
        <v>10.794172</v>
      </c>
      <c r="G5238" s="7" t="str">
        <f t="shared" si="28"/>
        <v>Direct</v>
      </c>
      <c r="H5238" s="7" t="s">
        <v>287</v>
      </c>
    </row>
    <row r="5239" spans="1:8" x14ac:dyDescent="0.2">
      <c r="A5239" s="5" t="s">
        <v>27</v>
      </c>
      <c r="B5239" s="6" t="s">
        <v>19</v>
      </c>
      <c r="C5239" s="7" t="s">
        <v>5898</v>
      </c>
      <c r="D5239" s="7"/>
      <c r="E5239" s="8">
        <v>2.0983818300000001</v>
      </c>
      <c r="F5239" s="8">
        <v>2.5665109500000001</v>
      </c>
      <c r="G5239" s="7" t="str">
        <f t="shared" si="28"/>
        <v>Direct</v>
      </c>
      <c r="H5239" s="7" t="s">
        <v>16</v>
      </c>
    </row>
    <row r="5240" spans="1:8" x14ac:dyDescent="0.2">
      <c r="A5240" s="5" t="s">
        <v>27</v>
      </c>
      <c r="B5240" s="6" t="s">
        <v>19</v>
      </c>
      <c r="C5240" s="7" t="s">
        <v>5899</v>
      </c>
      <c r="D5240" s="7"/>
      <c r="E5240" s="8">
        <v>-1.5466529</v>
      </c>
      <c r="F5240" s="8">
        <v>-2.4549039000000001</v>
      </c>
      <c r="G5240" s="7" t="str">
        <f t="shared" si="28"/>
        <v>Direct</v>
      </c>
      <c r="H5240" s="7" t="s">
        <v>5900</v>
      </c>
    </row>
    <row r="5241" spans="1:8" x14ac:dyDescent="0.2">
      <c r="A5241" s="5" t="s">
        <v>27</v>
      </c>
      <c r="B5241" s="6" t="s">
        <v>19</v>
      </c>
      <c r="C5241" s="7" t="s">
        <v>5901</v>
      </c>
      <c r="D5241" s="7"/>
      <c r="E5241" s="8">
        <v>-1.7149247999999999</v>
      </c>
      <c r="F5241" s="8">
        <v>-1.0882423000000001</v>
      </c>
      <c r="G5241" s="7" t="str">
        <f t="shared" si="28"/>
        <v>Direct</v>
      </c>
      <c r="H5241" s="7" t="s">
        <v>5902</v>
      </c>
    </row>
    <row r="5242" spans="1:8" x14ac:dyDescent="0.2">
      <c r="A5242" s="5" t="s">
        <v>27</v>
      </c>
      <c r="B5242" s="6" t="s">
        <v>19</v>
      </c>
      <c r="C5242" s="7" t="s">
        <v>5903</v>
      </c>
      <c r="D5242" s="7"/>
      <c r="E5242" s="8">
        <v>1.37641415</v>
      </c>
      <c r="F5242" s="8">
        <v>1.6991244999999999</v>
      </c>
      <c r="G5242" s="7" t="str">
        <f t="shared" si="28"/>
        <v>Direct</v>
      </c>
      <c r="H5242" s="7" t="s">
        <v>351</v>
      </c>
    </row>
    <row r="5243" spans="1:8" x14ac:dyDescent="0.2">
      <c r="A5243" s="5" t="s">
        <v>27</v>
      </c>
      <c r="B5243" s="6" t="s">
        <v>19</v>
      </c>
      <c r="C5243" s="7" t="s">
        <v>5904</v>
      </c>
      <c r="D5243" s="7"/>
      <c r="E5243" s="8">
        <v>5.8846220599999999</v>
      </c>
      <c r="F5243" s="8">
        <v>9.8314470200000006</v>
      </c>
      <c r="G5243" s="7" t="str">
        <f t="shared" si="28"/>
        <v>Direct</v>
      </c>
      <c r="H5243" s="7" t="s">
        <v>5905</v>
      </c>
    </row>
    <row r="5244" spans="1:8" x14ac:dyDescent="0.2">
      <c r="A5244" s="5" t="s">
        <v>27</v>
      </c>
      <c r="B5244" s="6" t="s">
        <v>19</v>
      </c>
      <c r="C5244" s="7" t="s">
        <v>5906</v>
      </c>
      <c r="D5244" s="7"/>
      <c r="E5244" s="8">
        <v>-6.0718120000000004</v>
      </c>
      <c r="F5244" s="8">
        <v>-3.4581442999999998</v>
      </c>
      <c r="G5244" s="7" t="str">
        <f t="shared" si="28"/>
        <v>Direct</v>
      </c>
      <c r="H5244" s="7" t="s">
        <v>5907</v>
      </c>
    </row>
    <row r="5245" spans="1:8" x14ac:dyDescent="0.2">
      <c r="A5245" s="5" t="s">
        <v>27</v>
      </c>
      <c r="B5245" s="6" t="s">
        <v>19</v>
      </c>
      <c r="C5245" s="7" t="s">
        <v>5908</v>
      </c>
      <c r="D5245" s="7"/>
      <c r="E5245" s="8">
        <v>2.1838826199999999</v>
      </c>
      <c r="F5245" s="8">
        <v>3.3534937299999998</v>
      </c>
      <c r="G5245" s="7" t="str">
        <f t="shared" si="28"/>
        <v>Direct</v>
      </c>
      <c r="H5245" s="7" t="s">
        <v>627</v>
      </c>
    </row>
    <row r="5246" spans="1:8" x14ac:dyDescent="0.2">
      <c r="A5246" s="5" t="s">
        <v>27</v>
      </c>
      <c r="B5246" s="6" t="s">
        <v>19</v>
      </c>
      <c r="C5246" s="7" t="s">
        <v>5909</v>
      </c>
      <c r="D5246" s="7"/>
      <c r="E5246" s="8">
        <v>12.362603200000001</v>
      </c>
      <c r="F5246" s="8">
        <v>10.794172</v>
      </c>
      <c r="G5246" s="7" t="str">
        <f t="shared" si="28"/>
        <v>Direct</v>
      </c>
      <c r="H5246" s="7" t="s">
        <v>1816</v>
      </c>
    </row>
    <row r="5247" spans="1:8" x14ac:dyDescent="0.2">
      <c r="A5247" s="5" t="s">
        <v>27</v>
      </c>
      <c r="B5247" s="6" t="s">
        <v>19</v>
      </c>
      <c r="C5247" s="7" t="s">
        <v>5910</v>
      </c>
      <c r="D5247" s="7"/>
      <c r="E5247" s="8">
        <v>4.0385855099999999</v>
      </c>
      <c r="F5247" s="8">
        <v>6.9077017600000001</v>
      </c>
      <c r="G5247" s="7" t="str">
        <f t="shared" si="28"/>
        <v>Direct</v>
      </c>
      <c r="H5247" s="7" t="s">
        <v>262</v>
      </c>
    </row>
    <row r="5248" spans="1:8" x14ac:dyDescent="0.2">
      <c r="A5248" s="5" t="s">
        <v>27</v>
      </c>
      <c r="B5248" s="6" t="s">
        <v>19</v>
      </c>
      <c r="C5248" s="7" t="s">
        <v>5911</v>
      </c>
      <c r="D5248" s="7"/>
      <c r="E5248" s="8">
        <v>2.2619529599999999</v>
      </c>
      <c r="F5248" s="8">
        <v>2.0604814999999999</v>
      </c>
      <c r="G5248" s="7" t="str">
        <f t="shared" si="28"/>
        <v>Direct</v>
      </c>
      <c r="H5248" s="7" t="s">
        <v>5912</v>
      </c>
    </row>
    <row r="5249" spans="1:8" x14ac:dyDescent="0.2">
      <c r="A5249" s="5" t="s">
        <v>27</v>
      </c>
      <c r="B5249" s="6" t="s">
        <v>19</v>
      </c>
      <c r="C5249" s="7" t="s">
        <v>4250</v>
      </c>
      <c r="D5249" s="7"/>
      <c r="E5249" s="8">
        <v>-8.6213777999999994</v>
      </c>
      <c r="F5249" s="8">
        <v>-9.1480160000000001</v>
      </c>
      <c r="G5249" s="7" t="str">
        <f t="shared" si="28"/>
        <v>Direct</v>
      </c>
      <c r="H5249" s="7" t="s">
        <v>16</v>
      </c>
    </row>
    <row r="5250" spans="1:8" x14ac:dyDescent="0.2">
      <c r="A5250" s="5" t="s">
        <v>27</v>
      </c>
      <c r="B5250" s="6" t="s">
        <v>19</v>
      </c>
      <c r="C5250" s="7" t="s">
        <v>4251</v>
      </c>
      <c r="D5250" s="7"/>
      <c r="E5250" s="8">
        <v>-12.678008999999999</v>
      </c>
      <c r="F5250" s="8">
        <v>-11.595077</v>
      </c>
      <c r="G5250" s="7" t="str">
        <f t="shared" si="28"/>
        <v>Direct</v>
      </c>
      <c r="H5250" s="7" t="s">
        <v>16</v>
      </c>
    </row>
    <row r="5251" spans="1:8" x14ac:dyDescent="0.2">
      <c r="A5251" s="5" t="s">
        <v>27</v>
      </c>
      <c r="B5251" s="6" t="s">
        <v>19</v>
      </c>
      <c r="C5251" s="7" t="s">
        <v>5913</v>
      </c>
      <c r="D5251" s="7"/>
      <c r="E5251" s="8">
        <v>-4.0910242999999999</v>
      </c>
      <c r="F5251" s="8">
        <v>-4.046659</v>
      </c>
      <c r="G5251" s="7" t="str">
        <f t="shared" si="28"/>
        <v>Direct</v>
      </c>
      <c r="H5251" s="7" t="s">
        <v>16</v>
      </c>
    </row>
    <row r="5252" spans="1:8" x14ac:dyDescent="0.2">
      <c r="A5252" s="5" t="s">
        <v>27</v>
      </c>
      <c r="B5252" s="6" t="s">
        <v>19</v>
      </c>
      <c r="C5252" s="7" t="s">
        <v>5914</v>
      </c>
      <c r="D5252" s="7"/>
      <c r="E5252" s="8">
        <v>-5.7766317999999997</v>
      </c>
      <c r="F5252" s="8">
        <v>-5.6464195999999998</v>
      </c>
      <c r="G5252" s="7" t="str">
        <f t="shared" si="28"/>
        <v>Direct</v>
      </c>
      <c r="H5252" s="7" t="s">
        <v>4222</v>
      </c>
    </row>
    <row r="5253" spans="1:8" x14ac:dyDescent="0.2">
      <c r="A5253" s="5" t="s">
        <v>27</v>
      </c>
      <c r="B5253" s="6" t="s">
        <v>19</v>
      </c>
      <c r="C5253" s="7" t="s">
        <v>5915</v>
      </c>
      <c r="D5253" s="7"/>
      <c r="E5253" s="8">
        <v>-1.6955016000000001</v>
      </c>
      <c r="F5253" s="8">
        <v>-2.0387504999999999</v>
      </c>
      <c r="G5253" s="7" t="str">
        <f t="shared" si="28"/>
        <v>Direct</v>
      </c>
      <c r="H5253" s="7" t="s">
        <v>820</v>
      </c>
    </row>
    <row r="5254" spans="1:8" x14ac:dyDescent="0.2">
      <c r="A5254" s="5" t="s">
        <v>27</v>
      </c>
      <c r="B5254" s="6" t="s">
        <v>19</v>
      </c>
      <c r="C5254" s="7" t="s">
        <v>5916</v>
      </c>
      <c r="D5254" s="7"/>
      <c r="E5254" s="8">
        <v>3.9395260200000002</v>
      </c>
      <c r="F5254" s="8">
        <v>5.9178235299999997</v>
      </c>
      <c r="G5254" s="7" t="str">
        <f t="shared" si="28"/>
        <v>Direct</v>
      </c>
      <c r="H5254" s="7" t="s">
        <v>5917</v>
      </c>
    </row>
    <row r="5255" spans="1:8" x14ac:dyDescent="0.2">
      <c r="A5255" s="5" t="s">
        <v>27</v>
      </c>
      <c r="B5255" s="6" t="s">
        <v>19</v>
      </c>
      <c r="C5255" s="7" t="s">
        <v>5918</v>
      </c>
      <c r="D5255" s="7"/>
      <c r="E5255" s="8">
        <v>-1.3071807</v>
      </c>
      <c r="F5255" s="8">
        <v>-2.4004205999999999</v>
      </c>
      <c r="G5255" s="7" t="str">
        <f t="shared" si="28"/>
        <v>Direct</v>
      </c>
      <c r="H5255" s="7" t="s">
        <v>5919</v>
      </c>
    </row>
    <row r="5256" spans="1:8" x14ac:dyDescent="0.2">
      <c r="A5256" s="5" t="s">
        <v>27</v>
      </c>
      <c r="B5256" s="6" t="s">
        <v>19</v>
      </c>
      <c r="C5256" s="7" t="s">
        <v>5920</v>
      </c>
      <c r="D5256" s="7"/>
      <c r="E5256" s="8">
        <v>-8.4175529999999998</v>
      </c>
      <c r="F5256" s="8">
        <v>-6.2303924000000004</v>
      </c>
      <c r="G5256" s="7" t="str">
        <f t="shared" si="28"/>
        <v>Direct</v>
      </c>
      <c r="H5256" s="7" t="s">
        <v>3129</v>
      </c>
    </row>
    <row r="5257" spans="1:8" x14ac:dyDescent="0.2">
      <c r="A5257" s="5" t="s">
        <v>27</v>
      </c>
      <c r="B5257" s="6" t="s">
        <v>19</v>
      </c>
      <c r="C5257" s="7" t="s">
        <v>5921</v>
      </c>
      <c r="D5257" s="7"/>
      <c r="E5257" s="8">
        <v>5.5727155799999997</v>
      </c>
      <c r="F5257" s="8">
        <v>5.9164154599999996</v>
      </c>
      <c r="G5257" s="7" t="str">
        <f t="shared" si="28"/>
        <v>Direct</v>
      </c>
      <c r="H5257" s="7" t="s">
        <v>1733</v>
      </c>
    </row>
    <row r="5258" spans="1:8" x14ac:dyDescent="0.2">
      <c r="A5258" s="5" t="s">
        <v>27</v>
      </c>
      <c r="B5258" s="6" t="s">
        <v>19</v>
      </c>
      <c r="C5258" s="7" t="s">
        <v>5922</v>
      </c>
      <c r="D5258" s="7"/>
      <c r="E5258" s="8">
        <v>-2.2118365</v>
      </c>
      <c r="F5258" s="8">
        <v>-3.3182301999999999</v>
      </c>
      <c r="G5258" s="7" t="str">
        <f t="shared" si="28"/>
        <v>Direct</v>
      </c>
      <c r="H5258" s="7" t="s">
        <v>16</v>
      </c>
    </row>
    <row r="5259" spans="1:8" x14ac:dyDescent="0.2">
      <c r="A5259" s="5" t="s">
        <v>27</v>
      </c>
      <c r="B5259" s="6" t="s">
        <v>19</v>
      </c>
      <c r="C5259" s="7" t="s">
        <v>5923</v>
      </c>
      <c r="D5259" s="7"/>
      <c r="E5259" s="8">
        <v>2.1841642399999999</v>
      </c>
      <c r="F5259" s="8">
        <v>2.9923460199999998</v>
      </c>
      <c r="G5259" s="7" t="str">
        <f t="shared" si="28"/>
        <v>Direct</v>
      </c>
      <c r="H5259" s="7" t="s">
        <v>5924</v>
      </c>
    </row>
    <row r="5260" spans="1:8" x14ac:dyDescent="0.2">
      <c r="A5260" s="5" t="s">
        <v>27</v>
      </c>
      <c r="B5260" s="6" t="s">
        <v>19</v>
      </c>
      <c r="C5260" s="7" t="s">
        <v>5925</v>
      </c>
      <c r="D5260" s="7"/>
      <c r="E5260" s="8">
        <v>-1.3283611</v>
      </c>
      <c r="F5260" s="8">
        <v>-1.1038633</v>
      </c>
      <c r="G5260" s="7" t="str">
        <f t="shared" si="28"/>
        <v>Direct</v>
      </c>
      <c r="H5260" s="7" t="s">
        <v>829</v>
      </c>
    </row>
    <row r="5261" spans="1:8" x14ac:dyDescent="0.2">
      <c r="A5261" s="5" t="s">
        <v>27</v>
      </c>
      <c r="B5261" s="6" t="s">
        <v>19</v>
      </c>
      <c r="C5261" s="7" t="s">
        <v>4252</v>
      </c>
      <c r="D5261" s="7"/>
      <c r="E5261" s="8">
        <v>1.66871127</v>
      </c>
      <c r="F5261" s="8">
        <v>2.8924873999999998</v>
      </c>
      <c r="G5261" s="7" t="str">
        <f t="shared" si="28"/>
        <v>Direct</v>
      </c>
      <c r="H5261" s="7" t="s">
        <v>429</v>
      </c>
    </row>
    <row r="5262" spans="1:8" x14ac:dyDescent="0.2">
      <c r="A5262" s="5" t="s">
        <v>27</v>
      </c>
      <c r="B5262" s="6" t="s">
        <v>19</v>
      </c>
      <c r="C5262" s="7" t="s">
        <v>5926</v>
      </c>
      <c r="D5262" s="7"/>
      <c r="E5262" s="8">
        <v>2.1898991400000001</v>
      </c>
      <c r="F5262" s="8">
        <v>1.7808452800000001</v>
      </c>
      <c r="G5262" s="7" t="str">
        <f t="shared" si="28"/>
        <v>Direct</v>
      </c>
      <c r="H5262" s="7" t="s">
        <v>429</v>
      </c>
    </row>
    <row r="5263" spans="1:8" x14ac:dyDescent="0.2">
      <c r="A5263" s="5" t="s">
        <v>27</v>
      </c>
      <c r="B5263" s="6" t="s">
        <v>19</v>
      </c>
      <c r="C5263" s="7" t="s">
        <v>4253</v>
      </c>
      <c r="D5263" s="7"/>
      <c r="E5263" s="8">
        <v>8.3685025</v>
      </c>
      <c r="F5263" s="8">
        <v>9.7562971800000007</v>
      </c>
      <c r="G5263" s="7" t="str">
        <f t="shared" si="28"/>
        <v>Direct</v>
      </c>
      <c r="H5263" s="7" t="s">
        <v>429</v>
      </c>
    </row>
    <row r="5264" spans="1:8" x14ac:dyDescent="0.2">
      <c r="A5264" s="5" t="s">
        <v>27</v>
      </c>
      <c r="B5264" s="6" t="s">
        <v>19</v>
      </c>
      <c r="C5264" s="7" t="s">
        <v>5927</v>
      </c>
      <c r="D5264" s="7"/>
      <c r="E5264" s="8">
        <v>1.04250172</v>
      </c>
      <c r="F5264" s="8">
        <v>1.0091282699999999</v>
      </c>
      <c r="G5264" s="7" t="str">
        <f t="shared" si="28"/>
        <v>Direct</v>
      </c>
      <c r="H5264" s="7" t="s">
        <v>429</v>
      </c>
    </row>
    <row r="5265" spans="1:8" x14ac:dyDescent="0.2">
      <c r="A5265" s="5" t="s">
        <v>27</v>
      </c>
      <c r="B5265" s="6" t="s">
        <v>19</v>
      </c>
      <c r="C5265" s="7" t="s">
        <v>5928</v>
      </c>
      <c r="D5265" s="7"/>
      <c r="E5265" s="8">
        <v>-1.5617561</v>
      </c>
      <c r="F5265" s="8">
        <v>-3.5147751</v>
      </c>
      <c r="G5265" s="7" t="str">
        <f t="shared" si="28"/>
        <v>Direct</v>
      </c>
      <c r="H5265" s="7" t="s">
        <v>16</v>
      </c>
    </row>
    <row r="5266" spans="1:8" x14ac:dyDescent="0.2">
      <c r="A5266" s="5" t="s">
        <v>27</v>
      </c>
      <c r="B5266" s="6" t="s">
        <v>19</v>
      </c>
      <c r="C5266" s="7" t="s">
        <v>5929</v>
      </c>
      <c r="D5266" s="7"/>
      <c r="E5266" s="8">
        <v>1.41113529</v>
      </c>
      <c r="F5266" s="8">
        <v>1.0460399499999999</v>
      </c>
      <c r="G5266" s="7" t="str">
        <f t="shared" si="28"/>
        <v>Direct</v>
      </c>
      <c r="H5266" s="7" t="s">
        <v>16</v>
      </c>
    </row>
    <row r="5267" spans="1:8" x14ac:dyDescent="0.2">
      <c r="A5267" s="5" t="s">
        <v>27</v>
      </c>
      <c r="B5267" s="6" t="s">
        <v>19</v>
      </c>
      <c r="C5267" s="7" t="s">
        <v>4254</v>
      </c>
      <c r="D5267" s="7"/>
      <c r="E5267" s="8">
        <v>7.25627683</v>
      </c>
      <c r="F5267" s="8">
        <v>13.103262900000001</v>
      </c>
      <c r="G5267" s="7" t="str">
        <f t="shared" si="28"/>
        <v>Direct</v>
      </c>
      <c r="H5267" s="7" t="s">
        <v>16</v>
      </c>
    </row>
    <row r="5268" spans="1:8" x14ac:dyDescent="0.2">
      <c r="A5268" s="5" t="s">
        <v>27</v>
      </c>
      <c r="B5268" s="6" t="s">
        <v>19</v>
      </c>
      <c r="C5268" s="7" t="s">
        <v>5930</v>
      </c>
      <c r="D5268" s="7"/>
      <c r="E5268" s="8">
        <v>-4.8241791000000003</v>
      </c>
      <c r="F5268" s="8">
        <v>-1.5250212999999999</v>
      </c>
      <c r="G5268" s="7" t="str">
        <f t="shared" si="28"/>
        <v>Direct</v>
      </c>
      <c r="H5268" s="7" t="s">
        <v>3781</v>
      </c>
    </row>
    <row r="5269" spans="1:8" x14ac:dyDescent="0.2">
      <c r="A5269" s="5" t="s">
        <v>27</v>
      </c>
      <c r="B5269" s="6" t="s">
        <v>19</v>
      </c>
      <c r="C5269" s="7" t="s">
        <v>5931</v>
      </c>
      <c r="D5269" s="7"/>
      <c r="E5269" s="8">
        <v>-3.1623237999999998</v>
      </c>
      <c r="F5269" s="8">
        <v>-2.5258227999999998</v>
      </c>
      <c r="G5269" s="7" t="str">
        <f t="shared" si="28"/>
        <v>Direct</v>
      </c>
      <c r="H5269" s="7" t="s">
        <v>5932</v>
      </c>
    </row>
    <row r="5270" spans="1:8" x14ac:dyDescent="0.2">
      <c r="A5270" s="5" t="s">
        <v>27</v>
      </c>
      <c r="B5270" s="6" t="s">
        <v>19</v>
      </c>
      <c r="C5270" s="7" t="s">
        <v>5933</v>
      </c>
      <c r="D5270" s="7"/>
      <c r="E5270" s="8">
        <v>-6.3201803999999999</v>
      </c>
      <c r="F5270" s="8">
        <v>-5.9394608</v>
      </c>
      <c r="G5270" s="7" t="str">
        <f t="shared" si="28"/>
        <v>Direct</v>
      </c>
      <c r="H5270" s="7" t="s">
        <v>5934</v>
      </c>
    </row>
    <row r="5271" spans="1:8" x14ac:dyDescent="0.2">
      <c r="A5271" s="5" t="s">
        <v>27</v>
      </c>
      <c r="B5271" s="6" t="s">
        <v>19</v>
      </c>
      <c r="C5271" s="7" t="s">
        <v>5935</v>
      </c>
      <c r="D5271" s="7"/>
      <c r="E5271" s="8">
        <v>-6.4259522999999996</v>
      </c>
      <c r="F5271" s="8">
        <v>-6.5814073999999998</v>
      </c>
      <c r="G5271" s="7" t="str">
        <f t="shared" si="28"/>
        <v>Direct</v>
      </c>
      <c r="H5271" s="7" t="s">
        <v>1309</v>
      </c>
    </row>
    <row r="5272" spans="1:8" x14ac:dyDescent="0.2">
      <c r="A5272" s="5" t="s">
        <v>27</v>
      </c>
      <c r="B5272" s="6" t="s">
        <v>19</v>
      </c>
      <c r="C5272" s="7" t="s">
        <v>5936</v>
      </c>
      <c r="D5272" s="7"/>
      <c r="E5272" s="8">
        <v>-1.5180532</v>
      </c>
      <c r="F5272" s="8">
        <v>-1.0885471</v>
      </c>
      <c r="G5272" s="7" t="str">
        <f t="shared" si="28"/>
        <v>Direct</v>
      </c>
      <c r="H5272" s="7" t="s">
        <v>5937</v>
      </c>
    </row>
    <row r="5273" spans="1:8" x14ac:dyDescent="0.2">
      <c r="A5273" s="5" t="s">
        <v>27</v>
      </c>
      <c r="B5273" s="6" t="s">
        <v>19</v>
      </c>
      <c r="C5273" s="7" t="s">
        <v>5938</v>
      </c>
      <c r="D5273" s="7"/>
      <c r="E5273" s="8">
        <v>1.3935559</v>
      </c>
      <c r="F5273" s="8">
        <v>3.0244245300000001</v>
      </c>
      <c r="G5273" s="7" t="str">
        <f t="shared" si="28"/>
        <v>Direct</v>
      </c>
      <c r="H5273" s="7" t="s">
        <v>16</v>
      </c>
    </row>
    <row r="5274" spans="1:8" x14ac:dyDescent="0.2">
      <c r="A5274" s="5" t="s">
        <v>27</v>
      </c>
      <c r="B5274" s="6" t="s">
        <v>19</v>
      </c>
      <c r="C5274" s="7" t="s">
        <v>5939</v>
      </c>
      <c r="D5274" s="7"/>
      <c r="E5274" s="8">
        <v>1.6149582899999999</v>
      </c>
      <c r="F5274" s="8">
        <v>4.1240248399999997</v>
      </c>
      <c r="G5274" s="7" t="str">
        <f t="shared" si="28"/>
        <v>Direct</v>
      </c>
      <c r="H5274" s="7" t="s">
        <v>16</v>
      </c>
    </row>
    <row r="5275" spans="1:8" x14ac:dyDescent="0.2">
      <c r="A5275" s="5" t="s">
        <v>27</v>
      </c>
      <c r="B5275" s="6" t="s">
        <v>19</v>
      </c>
      <c r="C5275" s="7" t="s">
        <v>5940</v>
      </c>
      <c r="D5275" s="7"/>
      <c r="E5275" s="8">
        <v>-3.7433040000000002</v>
      </c>
      <c r="F5275" s="8">
        <v>-2.8815692999999998</v>
      </c>
      <c r="G5275" s="7" t="str">
        <f t="shared" si="28"/>
        <v>Direct</v>
      </c>
      <c r="H5275" s="7" t="s">
        <v>3105</v>
      </c>
    </row>
    <row r="5276" spans="1:8" x14ac:dyDescent="0.2">
      <c r="A5276" s="5" t="s">
        <v>27</v>
      </c>
      <c r="B5276" s="6" t="s">
        <v>19</v>
      </c>
      <c r="C5276" s="7" t="s">
        <v>5941</v>
      </c>
      <c r="D5276" s="7"/>
      <c r="E5276" s="8">
        <v>-1.3197920000000001</v>
      </c>
      <c r="F5276" s="8">
        <v>-2.8210267999999998</v>
      </c>
      <c r="G5276" s="7" t="str">
        <f t="shared" si="28"/>
        <v>Direct</v>
      </c>
      <c r="H5276" s="7" t="s">
        <v>16</v>
      </c>
    </row>
    <row r="5277" spans="1:8" x14ac:dyDescent="0.2">
      <c r="A5277" s="5" t="s">
        <v>27</v>
      </c>
      <c r="B5277" s="6" t="s">
        <v>19</v>
      </c>
      <c r="C5277" s="7" t="s">
        <v>5942</v>
      </c>
      <c r="D5277" s="7"/>
      <c r="E5277" s="8">
        <v>-8.5297260999999995</v>
      </c>
      <c r="F5277" s="8">
        <v>-9.034319</v>
      </c>
      <c r="G5277" s="7" t="str">
        <f t="shared" si="28"/>
        <v>Direct</v>
      </c>
      <c r="H5277" s="7" t="s">
        <v>3105</v>
      </c>
    </row>
    <row r="5278" spans="1:8" x14ac:dyDescent="0.2">
      <c r="A5278" s="5" t="s">
        <v>27</v>
      </c>
      <c r="B5278" s="6" t="s">
        <v>19</v>
      </c>
      <c r="C5278" s="7" t="s">
        <v>5943</v>
      </c>
      <c r="D5278" s="7"/>
      <c r="E5278" s="8">
        <v>-1.0985376</v>
      </c>
      <c r="F5278" s="8">
        <v>-1.8247177999999999</v>
      </c>
      <c r="G5278" s="7" t="str">
        <f t="shared" si="28"/>
        <v>Direct</v>
      </c>
      <c r="H5278" s="7" t="s">
        <v>5944</v>
      </c>
    </row>
    <row r="5279" spans="1:8" x14ac:dyDescent="0.2">
      <c r="A5279" s="5" t="s">
        <v>27</v>
      </c>
      <c r="B5279" s="6" t="s">
        <v>19</v>
      </c>
      <c r="C5279" s="7" t="s">
        <v>5945</v>
      </c>
      <c r="D5279" s="7"/>
      <c r="E5279" s="8">
        <v>8.2743682300000003</v>
      </c>
      <c r="F5279" s="8">
        <v>7.50648888</v>
      </c>
      <c r="G5279" s="7" t="str">
        <f t="shared" si="28"/>
        <v>Direct</v>
      </c>
      <c r="H5279" s="7" t="s">
        <v>5946</v>
      </c>
    </row>
    <row r="5280" spans="1:8" x14ac:dyDescent="0.2">
      <c r="A5280" s="5" t="s">
        <v>27</v>
      </c>
      <c r="B5280" s="6" t="s">
        <v>19</v>
      </c>
      <c r="C5280" s="7" t="s">
        <v>5947</v>
      </c>
      <c r="D5280" s="7"/>
      <c r="E5280" s="8">
        <v>-15.789624</v>
      </c>
      <c r="F5280" s="8">
        <v>-12.152827</v>
      </c>
      <c r="G5280" s="7" t="str">
        <f t="shared" si="28"/>
        <v>Direct</v>
      </c>
      <c r="H5280" s="7" t="s">
        <v>5948</v>
      </c>
    </row>
    <row r="5281" spans="1:8" x14ac:dyDescent="0.2">
      <c r="A5281" s="5" t="s">
        <v>27</v>
      </c>
      <c r="B5281" s="6" t="s">
        <v>19</v>
      </c>
      <c r="C5281" s="7" t="s">
        <v>5949</v>
      </c>
      <c r="D5281" s="7"/>
      <c r="E5281" s="8">
        <v>-1.4216599999999999</v>
      </c>
      <c r="F5281" s="8">
        <v>-1.6845422999999999</v>
      </c>
      <c r="G5281" s="7" t="str">
        <f t="shared" si="28"/>
        <v>Direct</v>
      </c>
      <c r="H5281" s="7" t="s">
        <v>791</v>
      </c>
    </row>
    <row r="5282" spans="1:8" x14ac:dyDescent="0.2">
      <c r="A5282" s="5" t="s">
        <v>27</v>
      </c>
      <c r="B5282" s="6" t="s">
        <v>19</v>
      </c>
      <c r="C5282" s="7" t="s">
        <v>5950</v>
      </c>
      <c r="D5282" s="7"/>
      <c r="E5282" s="8">
        <v>3.17828562</v>
      </c>
      <c r="F5282" s="8">
        <v>2.5349406800000001</v>
      </c>
      <c r="G5282" s="7" t="str">
        <f t="shared" si="28"/>
        <v>Direct</v>
      </c>
      <c r="H5282" s="7" t="s">
        <v>1808</v>
      </c>
    </row>
    <row r="5283" spans="1:8" x14ac:dyDescent="0.2">
      <c r="A5283" s="5" t="s">
        <v>27</v>
      </c>
      <c r="B5283" s="6" t="s">
        <v>19</v>
      </c>
      <c r="C5283" s="7" t="s">
        <v>5951</v>
      </c>
      <c r="D5283" s="7"/>
      <c r="E5283" s="8">
        <v>1.22044566</v>
      </c>
      <c r="F5283" s="8">
        <v>1.5165278200000001</v>
      </c>
      <c r="G5283" s="7" t="str">
        <f t="shared" si="28"/>
        <v>Direct</v>
      </c>
      <c r="H5283" s="7" t="s">
        <v>16</v>
      </c>
    </row>
    <row r="5284" spans="1:8" x14ac:dyDescent="0.2">
      <c r="A5284" s="5" t="s">
        <v>27</v>
      </c>
      <c r="B5284" s="6" t="s">
        <v>19</v>
      </c>
      <c r="C5284" s="7" t="s">
        <v>5952</v>
      </c>
      <c r="D5284" s="7"/>
      <c r="E5284" s="8">
        <v>-1.0199492999999999</v>
      </c>
      <c r="F5284" s="8">
        <v>-1.0778113</v>
      </c>
      <c r="G5284" s="7" t="str">
        <f t="shared" si="28"/>
        <v>Direct</v>
      </c>
      <c r="H5284" s="7" t="s">
        <v>81</v>
      </c>
    </row>
    <row r="5285" spans="1:8" x14ac:dyDescent="0.2">
      <c r="A5285" s="5" t="s">
        <v>27</v>
      </c>
      <c r="B5285" s="6" t="s">
        <v>19</v>
      </c>
      <c r="C5285" s="7" t="s">
        <v>5953</v>
      </c>
      <c r="D5285" s="7"/>
      <c r="E5285" s="8">
        <v>2.3867899700000001</v>
      </c>
      <c r="F5285" s="8">
        <v>3.5317055900000001</v>
      </c>
      <c r="G5285" s="7" t="str">
        <f t="shared" si="28"/>
        <v>Direct</v>
      </c>
      <c r="H5285" s="7" t="s">
        <v>58</v>
      </c>
    </row>
    <row r="5286" spans="1:8" x14ac:dyDescent="0.2">
      <c r="A5286" s="5" t="s">
        <v>27</v>
      </c>
      <c r="B5286" s="6" t="s">
        <v>19</v>
      </c>
      <c r="C5286" s="7" t="s">
        <v>5954</v>
      </c>
      <c r="D5286" s="7"/>
      <c r="E5286" s="8">
        <v>2.0124093699999999</v>
      </c>
      <c r="F5286" s="8">
        <v>1.04158437</v>
      </c>
      <c r="G5286" s="7" t="str">
        <f t="shared" si="28"/>
        <v>Direct</v>
      </c>
      <c r="H5286" s="7" t="s">
        <v>5955</v>
      </c>
    </row>
    <row r="5287" spans="1:8" x14ac:dyDescent="0.2">
      <c r="A5287" s="5" t="s">
        <v>27</v>
      </c>
      <c r="B5287" s="6" t="s">
        <v>19</v>
      </c>
      <c r="C5287" s="7" t="s">
        <v>5956</v>
      </c>
      <c r="D5287" s="7"/>
      <c r="E5287" s="8">
        <v>1.73285935</v>
      </c>
      <c r="F5287" s="8">
        <v>2.0604814999999999</v>
      </c>
      <c r="G5287" s="7" t="str">
        <f t="shared" si="28"/>
        <v>Direct</v>
      </c>
      <c r="H5287" s="7" t="s">
        <v>5957</v>
      </c>
    </row>
    <row r="5288" spans="1:8" x14ac:dyDescent="0.2">
      <c r="A5288" s="5" t="s">
        <v>27</v>
      </c>
      <c r="B5288" s="6" t="s">
        <v>19</v>
      </c>
      <c r="C5288" s="7" t="s">
        <v>5958</v>
      </c>
      <c r="D5288" s="7"/>
      <c r="E5288" s="8">
        <v>1.36207849</v>
      </c>
      <c r="F5288" s="8">
        <v>1.69031475</v>
      </c>
      <c r="G5288" s="7" t="str">
        <f t="shared" si="28"/>
        <v>Direct</v>
      </c>
      <c r="H5288" s="7" t="s">
        <v>16</v>
      </c>
    </row>
    <row r="5289" spans="1:8" x14ac:dyDescent="0.2">
      <c r="A5289" s="5" t="s">
        <v>27</v>
      </c>
      <c r="B5289" s="6" t="s">
        <v>19</v>
      </c>
      <c r="C5289" s="7" t="s">
        <v>5959</v>
      </c>
      <c r="D5289" s="7"/>
      <c r="E5289" s="8">
        <v>-2.7139764</v>
      </c>
      <c r="F5289" s="8">
        <v>-1.0266925</v>
      </c>
      <c r="G5289" s="7" t="str">
        <f t="shared" si="28"/>
        <v>Direct</v>
      </c>
      <c r="H5289" s="7" t="s">
        <v>820</v>
      </c>
    </row>
    <row r="5290" spans="1:8" x14ac:dyDescent="0.2">
      <c r="A5290" s="5" t="s">
        <v>27</v>
      </c>
      <c r="B5290" s="6" t="s">
        <v>19</v>
      </c>
      <c r="C5290" s="7" t="s">
        <v>5960</v>
      </c>
      <c r="D5290" s="7"/>
      <c r="E5290" s="8">
        <v>1.13869653</v>
      </c>
      <c r="F5290" s="8">
        <v>1.5498758100000001</v>
      </c>
      <c r="G5290" s="7" t="str">
        <f t="shared" si="28"/>
        <v>Direct</v>
      </c>
      <c r="H5290" s="7" t="s">
        <v>16</v>
      </c>
    </row>
    <row r="5291" spans="1:8" x14ac:dyDescent="0.2">
      <c r="A5291" s="5" t="s">
        <v>27</v>
      </c>
      <c r="B5291" s="6" t="s">
        <v>19</v>
      </c>
      <c r="C5291" s="7" t="s">
        <v>5961</v>
      </c>
      <c r="D5291" s="7"/>
      <c r="E5291" s="8">
        <v>1.76555043</v>
      </c>
      <c r="F5291" s="8">
        <v>3.43356956</v>
      </c>
      <c r="G5291" s="7" t="str">
        <f t="shared" si="28"/>
        <v>Direct</v>
      </c>
      <c r="H5291" s="7" t="s">
        <v>16</v>
      </c>
    </row>
    <row r="5292" spans="1:8" x14ac:dyDescent="0.2">
      <c r="A5292" s="5" t="s">
        <v>27</v>
      </c>
      <c r="B5292" s="6" t="s">
        <v>19</v>
      </c>
      <c r="C5292" s="7" t="s">
        <v>5962</v>
      </c>
      <c r="D5292" s="7"/>
      <c r="E5292" s="8">
        <v>-3.0865176999999999</v>
      </c>
      <c r="F5292" s="8">
        <v>-7.8165791999999996</v>
      </c>
      <c r="G5292" s="7" t="str">
        <f t="shared" si="28"/>
        <v>Direct</v>
      </c>
      <c r="H5292" s="7" t="s">
        <v>3711</v>
      </c>
    </row>
    <row r="5293" spans="1:8" x14ac:dyDescent="0.2">
      <c r="A5293" s="5" t="s">
        <v>27</v>
      </c>
      <c r="B5293" s="6" t="s">
        <v>19</v>
      </c>
      <c r="C5293" s="7" t="s">
        <v>5963</v>
      </c>
      <c r="D5293" s="7"/>
      <c r="E5293" s="8">
        <v>-1.3806917000000001</v>
      </c>
      <c r="F5293" s="8">
        <v>-5.8580344000000002</v>
      </c>
      <c r="G5293" s="7" t="str">
        <f t="shared" si="28"/>
        <v>Direct</v>
      </c>
      <c r="H5293" s="7" t="s">
        <v>5964</v>
      </c>
    </row>
    <row r="5294" spans="1:8" x14ac:dyDescent="0.2">
      <c r="A5294" s="5" t="s">
        <v>27</v>
      </c>
      <c r="B5294" s="6" t="s">
        <v>19</v>
      </c>
      <c r="C5294" s="7" t="s">
        <v>5965</v>
      </c>
      <c r="D5294" s="7"/>
      <c r="E5294" s="8">
        <v>2.26324214</v>
      </c>
      <c r="F5294" s="8">
        <v>2.8561371599999998</v>
      </c>
      <c r="G5294" s="7" t="str">
        <f t="shared" si="28"/>
        <v>Direct</v>
      </c>
      <c r="H5294" s="7" t="s">
        <v>5966</v>
      </c>
    </row>
    <row r="5295" spans="1:8" x14ac:dyDescent="0.2">
      <c r="A5295" s="5" t="s">
        <v>27</v>
      </c>
      <c r="B5295" s="6" t="s">
        <v>19</v>
      </c>
      <c r="C5295" s="7" t="s">
        <v>5967</v>
      </c>
      <c r="D5295" s="7"/>
      <c r="E5295" s="8">
        <v>-1.8798196</v>
      </c>
      <c r="F5295" s="8">
        <v>-1.3822816</v>
      </c>
      <c r="G5295" s="7" t="str">
        <f t="shared" si="28"/>
        <v>Direct</v>
      </c>
      <c r="H5295" s="7" t="s">
        <v>5968</v>
      </c>
    </row>
    <row r="5296" spans="1:8" x14ac:dyDescent="0.2">
      <c r="A5296" s="5" t="s">
        <v>27</v>
      </c>
      <c r="B5296" s="6" t="s">
        <v>19</v>
      </c>
      <c r="C5296" s="7" t="s">
        <v>5969</v>
      </c>
      <c r="D5296" s="7"/>
      <c r="E5296" s="8">
        <v>-2.7868843000000001</v>
      </c>
      <c r="F5296" s="8">
        <v>-3.5316938000000002</v>
      </c>
      <c r="G5296" s="7" t="str">
        <f t="shared" si="28"/>
        <v>Direct</v>
      </c>
      <c r="H5296" s="7" t="s">
        <v>16</v>
      </c>
    </row>
    <row r="5297" spans="1:8" x14ac:dyDescent="0.2">
      <c r="A5297" s="5" t="s">
        <v>27</v>
      </c>
      <c r="B5297" s="6" t="s">
        <v>19</v>
      </c>
      <c r="C5297" s="7" t="s">
        <v>5970</v>
      </c>
      <c r="D5297" s="7"/>
      <c r="E5297" s="8">
        <v>-2.5807802</v>
      </c>
      <c r="F5297" s="8">
        <v>-2.3439638</v>
      </c>
      <c r="G5297" s="7" t="str">
        <f t="shared" si="28"/>
        <v>Direct</v>
      </c>
      <c r="H5297" s="7" t="s">
        <v>587</v>
      </c>
    </row>
    <row r="5298" spans="1:8" x14ac:dyDescent="0.2">
      <c r="A5298" s="5" t="s">
        <v>27</v>
      </c>
      <c r="B5298" s="6" t="s">
        <v>19</v>
      </c>
      <c r="C5298" s="7" t="s">
        <v>5971</v>
      </c>
      <c r="D5298" s="7"/>
      <c r="E5298" s="8">
        <v>-1.332228</v>
      </c>
      <c r="F5298" s="8">
        <v>-2.7593926</v>
      </c>
      <c r="G5298" s="7" t="str">
        <f t="shared" si="28"/>
        <v>Direct</v>
      </c>
      <c r="H5298" s="7" t="s">
        <v>5972</v>
      </c>
    </row>
    <row r="5299" spans="1:8" x14ac:dyDescent="0.2">
      <c r="A5299" s="5" t="s">
        <v>27</v>
      </c>
      <c r="B5299" s="6" t="s">
        <v>19</v>
      </c>
      <c r="C5299" s="7" t="s">
        <v>5973</v>
      </c>
      <c r="D5299" s="7"/>
      <c r="E5299" s="8">
        <v>-6.8848763000000002</v>
      </c>
      <c r="F5299" s="8">
        <v>-5.2423565999999999</v>
      </c>
      <c r="G5299" s="7" t="str">
        <f t="shared" si="28"/>
        <v>Direct</v>
      </c>
      <c r="H5299" s="7" t="s">
        <v>5974</v>
      </c>
    </row>
    <row r="5300" spans="1:8" x14ac:dyDescent="0.2">
      <c r="A5300" s="5" t="s">
        <v>27</v>
      </c>
      <c r="B5300" s="6" t="s">
        <v>19</v>
      </c>
      <c r="C5300" s="7" t="s">
        <v>5975</v>
      </c>
      <c r="D5300" s="7"/>
      <c r="E5300" s="8">
        <v>1.1057485</v>
      </c>
      <c r="F5300" s="8">
        <v>1.7830618899999999</v>
      </c>
      <c r="G5300" s="7" t="str">
        <f t="shared" si="28"/>
        <v>Direct</v>
      </c>
      <c r="H5300" s="7" t="s">
        <v>3767</v>
      </c>
    </row>
    <row r="5301" spans="1:8" x14ac:dyDescent="0.2">
      <c r="A5301" s="5" t="s">
        <v>27</v>
      </c>
      <c r="B5301" s="6" t="s">
        <v>19</v>
      </c>
      <c r="C5301" s="7" t="s">
        <v>5976</v>
      </c>
      <c r="D5301" s="7"/>
      <c r="E5301" s="8">
        <v>-2.3731870000000002</v>
      </c>
      <c r="F5301" s="8">
        <v>-1.1460056000000001</v>
      </c>
      <c r="G5301" s="7" t="str">
        <f t="shared" si="28"/>
        <v>Direct</v>
      </c>
      <c r="H5301" s="7" t="s">
        <v>16</v>
      </c>
    </row>
    <row r="5302" spans="1:8" x14ac:dyDescent="0.2">
      <c r="A5302" s="5" t="s">
        <v>27</v>
      </c>
      <c r="B5302" s="6" t="s">
        <v>19</v>
      </c>
      <c r="C5302" s="7" t="s">
        <v>5977</v>
      </c>
      <c r="D5302" s="7"/>
      <c r="E5302" s="8">
        <v>-2.6564291</v>
      </c>
      <c r="F5302" s="8">
        <v>-2.6710075</v>
      </c>
      <c r="G5302" s="7" t="str">
        <f t="shared" si="28"/>
        <v>Direct</v>
      </c>
      <c r="H5302" s="7" t="s">
        <v>445</v>
      </c>
    </row>
    <row r="5303" spans="1:8" x14ac:dyDescent="0.2">
      <c r="A5303" s="5" t="s">
        <v>27</v>
      </c>
      <c r="B5303" s="6" t="s">
        <v>19</v>
      </c>
      <c r="C5303" s="7" t="s">
        <v>5978</v>
      </c>
      <c r="D5303" s="7"/>
      <c r="E5303" s="8">
        <v>-2.5284344999999999</v>
      </c>
      <c r="F5303" s="8">
        <v>-2.3954236999999998</v>
      </c>
      <c r="G5303" s="7" t="str">
        <f t="shared" si="28"/>
        <v>Direct</v>
      </c>
      <c r="H5303" s="7" t="s">
        <v>5979</v>
      </c>
    </row>
    <row r="5304" spans="1:8" x14ac:dyDescent="0.2">
      <c r="A5304" s="5" t="s">
        <v>27</v>
      </c>
      <c r="B5304" s="6" t="s">
        <v>19</v>
      </c>
      <c r="C5304" s="7" t="s">
        <v>5980</v>
      </c>
      <c r="D5304" s="7"/>
      <c r="E5304" s="8">
        <v>3.52801725</v>
      </c>
      <c r="F5304" s="8">
        <v>2.8861096499999999</v>
      </c>
      <c r="G5304" s="7" t="str">
        <f t="shared" si="28"/>
        <v>Direct</v>
      </c>
      <c r="H5304" s="7" t="s">
        <v>3595</v>
      </c>
    </row>
    <row r="5305" spans="1:8" x14ac:dyDescent="0.2">
      <c r="A5305" s="5" t="s">
        <v>27</v>
      </c>
      <c r="B5305" s="6" t="s">
        <v>19</v>
      </c>
      <c r="C5305" s="7" t="s">
        <v>5981</v>
      </c>
      <c r="D5305" s="7"/>
      <c r="E5305" s="8">
        <v>1.53964546</v>
      </c>
      <c r="F5305" s="8">
        <v>1.83495637</v>
      </c>
      <c r="G5305" s="7" t="str">
        <f t="shared" si="28"/>
        <v>Direct</v>
      </c>
      <c r="H5305" s="7" t="s">
        <v>3595</v>
      </c>
    </row>
    <row r="5306" spans="1:8" x14ac:dyDescent="0.2">
      <c r="A5306" s="5" t="s">
        <v>27</v>
      </c>
      <c r="B5306" s="6" t="s">
        <v>19</v>
      </c>
      <c r="C5306" s="7" t="s">
        <v>5982</v>
      </c>
      <c r="D5306" s="7"/>
      <c r="E5306" s="8">
        <v>-3.0399592000000002</v>
      </c>
      <c r="F5306" s="8">
        <v>-2.3361782999999998</v>
      </c>
      <c r="G5306" s="7" t="str">
        <f t="shared" si="28"/>
        <v>Direct</v>
      </c>
      <c r="H5306" s="7" t="s">
        <v>16</v>
      </c>
    </row>
    <row r="5307" spans="1:8" x14ac:dyDescent="0.2">
      <c r="A5307" s="5" t="s">
        <v>27</v>
      </c>
      <c r="B5307" s="6" t="s">
        <v>19</v>
      </c>
      <c r="C5307" s="7" t="s">
        <v>5983</v>
      </c>
      <c r="D5307" s="7"/>
      <c r="E5307" s="8">
        <v>-3.9076165</v>
      </c>
      <c r="F5307" s="8">
        <v>-5.8083007999999996</v>
      </c>
      <c r="G5307" s="7" t="str">
        <f t="shared" si="28"/>
        <v>Direct</v>
      </c>
      <c r="H5307" s="7" t="s">
        <v>1337</v>
      </c>
    </row>
    <row r="5308" spans="1:8" x14ac:dyDescent="0.2">
      <c r="A5308" s="5" t="s">
        <v>27</v>
      </c>
      <c r="B5308" s="6" t="s">
        <v>19</v>
      </c>
      <c r="C5308" s="7" t="s">
        <v>5984</v>
      </c>
      <c r="D5308" s="7"/>
      <c r="E5308" s="8">
        <v>1.8113364199999999</v>
      </c>
      <c r="F5308" s="8">
        <v>1.0311493300000001</v>
      </c>
      <c r="G5308" s="7" t="str">
        <f t="shared" si="28"/>
        <v>Direct</v>
      </c>
      <c r="H5308" s="7" t="s">
        <v>5311</v>
      </c>
    </row>
    <row r="5309" spans="1:8" x14ac:dyDescent="0.2">
      <c r="A5309" s="5" t="s">
        <v>27</v>
      </c>
      <c r="B5309" s="6" t="s">
        <v>19</v>
      </c>
      <c r="C5309" s="7" t="s">
        <v>5985</v>
      </c>
      <c r="D5309" s="7"/>
      <c r="E5309" s="8">
        <v>-1.600128</v>
      </c>
      <c r="F5309" s="8">
        <v>-1.4053026</v>
      </c>
      <c r="G5309" s="7" t="str">
        <f t="shared" si="28"/>
        <v>Direct</v>
      </c>
      <c r="H5309" s="7" t="s">
        <v>5986</v>
      </c>
    </row>
    <row r="5310" spans="1:8" x14ac:dyDescent="0.2">
      <c r="A5310" s="5" t="s">
        <v>27</v>
      </c>
      <c r="B5310" s="6" t="s">
        <v>19</v>
      </c>
      <c r="C5310" s="7" t="s">
        <v>5987</v>
      </c>
      <c r="D5310" s="7"/>
      <c r="E5310" s="8">
        <v>-1.7186322000000001</v>
      </c>
      <c r="F5310" s="8">
        <v>-1.0975424</v>
      </c>
      <c r="G5310" s="7" t="str">
        <f t="shared" si="28"/>
        <v>Direct</v>
      </c>
      <c r="H5310" s="7" t="s">
        <v>351</v>
      </c>
    </row>
    <row r="5311" spans="1:8" x14ac:dyDescent="0.2">
      <c r="A5311" s="5" t="s">
        <v>27</v>
      </c>
      <c r="B5311" s="6" t="s">
        <v>19</v>
      </c>
      <c r="C5311" s="7" t="s">
        <v>5988</v>
      </c>
      <c r="D5311" s="7"/>
      <c r="E5311" s="8">
        <v>1.6272628</v>
      </c>
      <c r="F5311" s="8">
        <v>1.1331513900000001</v>
      </c>
      <c r="G5311" s="7" t="str">
        <f t="shared" si="28"/>
        <v>Direct</v>
      </c>
      <c r="H5311" s="7" t="s">
        <v>4459</v>
      </c>
    </row>
    <row r="5312" spans="1:8" x14ac:dyDescent="0.2">
      <c r="A5312" s="5" t="s">
        <v>27</v>
      </c>
      <c r="B5312" s="6" t="s">
        <v>19</v>
      </c>
      <c r="C5312" s="7" t="s">
        <v>5989</v>
      </c>
      <c r="D5312" s="7"/>
      <c r="E5312" s="8">
        <v>-1.5577802000000001</v>
      </c>
      <c r="F5312" s="8">
        <v>-1.0580426000000001</v>
      </c>
      <c r="G5312" s="7" t="str">
        <f t="shared" si="28"/>
        <v>Direct</v>
      </c>
      <c r="H5312" s="7" t="s">
        <v>1501</v>
      </c>
    </row>
    <row r="5313" spans="1:8" x14ac:dyDescent="0.2">
      <c r="A5313" s="5" t="s">
        <v>27</v>
      </c>
      <c r="B5313" s="6" t="s">
        <v>19</v>
      </c>
      <c r="C5313" s="7" t="s">
        <v>5990</v>
      </c>
      <c r="D5313" s="7"/>
      <c r="E5313" s="8">
        <v>-1.5354406</v>
      </c>
      <c r="F5313" s="8">
        <v>-2.5718169</v>
      </c>
      <c r="G5313" s="7" t="str">
        <f t="shared" si="28"/>
        <v>Direct</v>
      </c>
      <c r="H5313" s="7" t="s">
        <v>16</v>
      </c>
    </row>
    <row r="5314" spans="1:8" x14ac:dyDescent="0.2">
      <c r="A5314" s="5" t="s">
        <v>27</v>
      </c>
      <c r="B5314" s="6" t="s">
        <v>19</v>
      </c>
      <c r="C5314" s="7" t="s">
        <v>5991</v>
      </c>
      <c r="D5314" s="7"/>
      <c r="E5314" s="8">
        <v>1.86639734</v>
      </c>
      <c r="F5314" s="8">
        <v>4.0893666399999997</v>
      </c>
      <c r="G5314" s="7" t="str">
        <f t="shared" si="28"/>
        <v>Direct</v>
      </c>
      <c r="H5314" s="7" t="s">
        <v>1465</v>
      </c>
    </row>
    <row r="5315" spans="1:8" x14ac:dyDescent="0.2">
      <c r="A5315" s="5" t="s">
        <v>27</v>
      </c>
      <c r="B5315" s="6" t="s">
        <v>19</v>
      </c>
      <c r="C5315" s="7" t="s">
        <v>5992</v>
      </c>
      <c r="D5315" s="7"/>
      <c r="E5315" s="8">
        <v>-3.5689758999999999</v>
      </c>
      <c r="F5315" s="8">
        <v>-4.9209947999999999</v>
      </c>
      <c r="G5315" s="7" t="str">
        <f t="shared" si="28"/>
        <v>Direct</v>
      </c>
      <c r="H5315" s="7" t="s">
        <v>1216</v>
      </c>
    </row>
    <row r="5316" spans="1:8" x14ac:dyDescent="0.2">
      <c r="A5316" s="5" t="s">
        <v>27</v>
      </c>
      <c r="B5316" s="6" t="s">
        <v>19</v>
      </c>
      <c r="C5316" s="7" t="s">
        <v>5993</v>
      </c>
      <c r="D5316" s="7"/>
      <c r="E5316" s="8">
        <v>-2.1903760999999999</v>
      </c>
      <c r="F5316" s="8">
        <v>-1.4056732000000001</v>
      </c>
      <c r="G5316" s="7" t="str">
        <f t="shared" si="28"/>
        <v>Direct</v>
      </c>
      <c r="H5316" s="7" t="s">
        <v>1514</v>
      </c>
    </row>
    <row r="5317" spans="1:8" x14ac:dyDescent="0.2">
      <c r="A5317" s="5" t="s">
        <v>27</v>
      </c>
      <c r="B5317" s="6" t="s">
        <v>19</v>
      </c>
      <c r="C5317" s="7" t="s">
        <v>5994</v>
      </c>
      <c r="D5317" s="7"/>
      <c r="E5317" s="8">
        <v>3.58511582</v>
      </c>
      <c r="F5317" s="8">
        <v>2.3402987899999999</v>
      </c>
      <c r="G5317" s="7" t="str">
        <f t="shared" si="28"/>
        <v>Direct</v>
      </c>
      <c r="H5317" s="7" t="s">
        <v>5995</v>
      </c>
    </row>
    <row r="5318" spans="1:8" x14ac:dyDescent="0.2">
      <c r="A5318" s="5" t="s">
        <v>27</v>
      </c>
      <c r="B5318" s="6" t="s">
        <v>19</v>
      </c>
      <c r="C5318" s="7" t="s">
        <v>5996</v>
      </c>
      <c r="D5318" s="7"/>
      <c r="E5318" s="8">
        <v>-8.6825650000000003</v>
      </c>
      <c r="F5318" s="8">
        <v>-7.3999442000000002</v>
      </c>
      <c r="G5318" s="7" t="str">
        <f t="shared" si="28"/>
        <v>Direct</v>
      </c>
      <c r="H5318" s="7" t="s">
        <v>16</v>
      </c>
    </row>
    <row r="5319" spans="1:8" x14ac:dyDescent="0.2">
      <c r="A5319" s="5" t="s">
        <v>27</v>
      </c>
      <c r="B5319" s="6" t="s">
        <v>19</v>
      </c>
      <c r="C5319" s="7" t="s">
        <v>5997</v>
      </c>
      <c r="D5319" s="7"/>
      <c r="E5319" s="8">
        <v>-6.4692870999999998</v>
      </c>
      <c r="F5319" s="8">
        <v>-8.3777288999999993</v>
      </c>
      <c r="G5319" s="7" t="str">
        <f t="shared" si="28"/>
        <v>Direct</v>
      </c>
      <c r="H5319" s="7" t="s">
        <v>5998</v>
      </c>
    </row>
    <row r="5320" spans="1:8" x14ac:dyDescent="0.2">
      <c r="A5320" s="5" t="s">
        <v>27</v>
      </c>
      <c r="B5320" s="6" t="s">
        <v>19</v>
      </c>
      <c r="C5320" s="7" t="s">
        <v>5999</v>
      </c>
      <c r="D5320" s="7"/>
      <c r="E5320" s="8">
        <v>1.9670110000000001</v>
      </c>
      <c r="F5320" s="8">
        <v>1.80681439</v>
      </c>
      <c r="G5320" s="7" t="str">
        <f t="shared" si="28"/>
        <v>Direct</v>
      </c>
      <c r="H5320" s="7" t="s">
        <v>16</v>
      </c>
    </row>
    <row r="5321" spans="1:8" x14ac:dyDescent="0.2">
      <c r="A5321" s="5" t="s">
        <v>27</v>
      </c>
      <c r="B5321" s="6" t="s">
        <v>19</v>
      </c>
      <c r="C5321" s="7" t="s">
        <v>6000</v>
      </c>
      <c r="D5321" s="7"/>
      <c r="E5321" s="8">
        <v>-2.4069794999999998</v>
      </c>
      <c r="F5321" s="8">
        <v>-4.2526435999999999</v>
      </c>
      <c r="G5321" s="7" t="str">
        <f t="shared" si="28"/>
        <v>Direct</v>
      </c>
      <c r="H5321" s="7" t="s">
        <v>6001</v>
      </c>
    </row>
    <row r="5322" spans="1:8" x14ac:dyDescent="0.2">
      <c r="A5322" s="5" t="s">
        <v>27</v>
      </c>
      <c r="B5322" s="6" t="s">
        <v>19</v>
      </c>
      <c r="C5322" s="7" t="s">
        <v>6002</v>
      </c>
      <c r="D5322" s="7"/>
      <c r="E5322" s="8">
        <v>-1.6480395000000001</v>
      </c>
      <c r="F5322" s="8">
        <v>-1.9691198000000001</v>
      </c>
      <c r="G5322" s="7" t="str">
        <f t="shared" si="28"/>
        <v>Direct</v>
      </c>
      <c r="H5322" s="7" t="s">
        <v>6003</v>
      </c>
    </row>
    <row r="5323" spans="1:8" x14ac:dyDescent="0.2">
      <c r="A5323" s="5" t="s">
        <v>27</v>
      </c>
      <c r="B5323" s="6" t="s">
        <v>19</v>
      </c>
      <c r="C5323" s="7" t="s">
        <v>6004</v>
      </c>
      <c r="D5323" s="7"/>
      <c r="E5323" s="8">
        <v>-1.325005</v>
      </c>
      <c r="F5323" s="8">
        <v>-2.3908572000000001</v>
      </c>
      <c r="G5323" s="7" t="str">
        <f t="shared" si="28"/>
        <v>Direct</v>
      </c>
      <c r="H5323" s="7" t="s">
        <v>6005</v>
      </c>
    </row>
    <row r="5324" spans="1:8" x14ac:dyDescent="0.2">
      <c r="A5324" s="5" t="s">
        <v>27</v>
      </c>
      <c r="B5324" s="6" t="s">
        <v>19</v>
      </c>
      <c r="C5324" s="7" t="s">
        <v>6006</v>
      </c>
      <c r="D5324" s="7"/>
      <c r="E5324" s="8">
        <v>2.77428981</v>
      </c>
      <c r="F5324" s="8">
        <v>3.7625817499999998</v>
      </c>
      <c r="G5324" s="7" t="str">
        <f t="shared" si="28"/>
        <v>Direct</v>
      </c>
      <c r="H5324" s="7" t="s">
        <v>16</v>
      </c>
    </row>
    <row r="5325" spans="1:8" x14ac:dyDescent="0.2">
      <c r="A5325" s="5" t="s">
        <v>27</v>
      </c>
      <c r="B5325" s="6" t="s">
        <v>19</v>
      </c>
      <c r="C5325" s="7" t="s">
        <v>6007</v>
      </c>
      <c r="D5325" s="7"/>
      <c r="E5325" s="8">
        <v>3.08085604</v>
      </c>
      <c r="F5325" s="8">
        <v>1.7939524899999999</v>
      </c>
      <c r="G5325" s="7" t="str">
        <f t="shared" si="28"/>
        <v>Direct</v>
      </c>
      <c r="H5325" s="7" t="s">
        <v>6008</v>
      </c>
    </row>
    <row r="5326" spans="1:8" x14ac:dyDescent="0.2">
      <c r="A5326" s="5" t="s">
        <v>27</v>
      </c>
      <c r="B5326" s="6" t="s">
        <v>19</v>
      </c>
      <c r="C5326" s="7" t="s">
        <v>6009</v>
      </c>
      <c r="D5326" s="7"/>
      <c r="E5326" s="8">
        <v>1.6480937</v>
      </c>
      <c r="F5326" s="8">
        <v>1.4016504400000001</v>
      </c>
      <c r="G5326" s="7" t="str">
        <f t="shared" si="28"/>
        <v>Direct</v>
      </c>
      <c r="H5326" s="7" t="s">
        <v>6010</v>
      </c>
    </row>
    <row r="5327" spans="1:8" x14ac:dyDescent="0.2">
      <c r="A5327" s="5" t="s">
        <v>27</v>
      </c>
      <c r="B5327" s="6" t="s">
        <v>19</v>
      </c>
      <c r="C5327" s="7" t="s">
        <v>6011</v>
      </c>
      <c r="D5327" s="7"/>
      <c r="E5327" s="8">
        <v>5.9314285499999997</v>
      </c>
      <c r="F5327" s="8">
        <v>6.0429812600000004</v>
      </c>
      <c r="G5327" s="7" t="str">
        <f t="shared" si="28"/>
        <v>Direct</v>
      </c>
      <c r="H5327" s="7" t="s">
        <v>16</v>
      </c>
    </row>
    <row r="5328" spans="1:8" x14ac:dyDescent="0.2">
      <c r="A5328" s="5" t="s">
        <v>27</v>
      </c>
      <c r="B5328" s="6" t="s">
        <v>19</v>
      </c>
      <c r="C5328" s="7" t="s">
        <v>6012</v>
      </c>
      <c r="D5328" s="7"/>
      <c r="E5328" s="8">
        <v>-4.3335711000000003</v>
      </c>
      <c r="F5328" s="8">
        <v>-5.4324111000000004</v>
      </c>
      <c r="G5328" s="7" t="str">
        <f t="shared" si="28"/>
        <v>Direct</v>
      </c>
      <c r="H5328" s="7" t="s">
        <v>6013</v>
      </c>
    </row>
    <row r="5329" spans="1:8" x14ac:dyDescent="0.2">
      <c r="A5329" s="5" t="s">
        <v>27</v>
      </c>
      <c r="B5329" s="6" t="s">
        <v>19</v>
      </c>
      <c r="C5329" s="7" t="s">
        <v>6014</v>
      </c>
      <c r="D5329" s="7"/>
      <c r="E5329" s="8">
        <v>-1.2689551999999999</v>
      </c>
      <c r="F5329" s="8">
        <v>-2.2414101999999998</v>
      </c>
      <c r="G5329" s="7" t="str">
        <f t="shared" si="28"/>
        <v>Direct</v>
      </c>
      <c r="H5329" s="7" t="s">
        <v>6015</v>
      </c>
    </row>
    <row r="5330" spans="1:8" x14ac:dyDescent="0.2">
      <c r="A5330" s="5" t="s">
        <v>27</v>
      </c>
      <c r="B5330" s="6" t="s">
        <v>19</v>
      </c>
      <c r="C5330" s="7" t="s">
        <v>6016</v>
      </c>
      <c r="D5330" s="7"/>
      <c r="E5330" s="8">
        <v>-1.6982668999999999</v>
      </c>
      <c r="F5330" s="8">
        <v>-5.9670662999999999</v>
      </c>
      <c r="G5330" s="7" t="str">
        <f t="shared" si="28"/>
        <v>Direct</v>
      </c>
      <c r="H5330" s="7" t="s">
        <v>6015</v>
      </c>
    </row>
    <row r="5331" spans="1:8" x14ac:dyDescent="0.2">
      <c r="A5331" s="5" t="s">
        <v>27</v>
      </c>
      <c r="B5331" s="6" t="s">
        <v>19</v>
      </c>
      <c r="C5331" s="7" t="s">
        <v>6017</v>
      </c>
      <c r="D5331" s="7"/>
      <c r="E5331" s="8">
        <v>-1.8910693000000001</v>
      </c>
      <c r="F5331" s="8">
        <v>-1.3037619</v>
      </c>
      <c r="G5331" s="7" t="str">
        <f t="shared" si="28"/>
        <v>Direct</v>
      </c>
      <c r="H5331" s="7" t="s">
        <v>16</v>
      </c>
    </row>
    <row r="5332" spans="1:8" x14ac:dyDescent="0.2">
      <c r="A5332" s="5" t="s">
        <v>27</v>
      </c>
      <c r="B5332" s="6" t="s">
        <v>19</v>
      </c>
      <c r="C5332" s="7" t="s">
        <v>6018</v>
      </c>
      <c r="D5332" s="7"/>
      <c r="E5332" s="8">
        <v>-1.7261738</v>
      </c>
      <c r="F5332" s="8">
        <v>-6.4947112999999996</v>
      </c>
      <c r="G5332" s="7" t="str">
        <f t="shared" si="28"/>
        <v>Direct</v>
      </c>
      <c r="H5332" s="7" t="s">
        <v>172</v>
      </c>
    </row>
    <row r="5333" spans="1:8" x14ac:dyDescent="0.2">
      <c r="A5333" s="5" t="s">
        <v>27</v>
      </c>
      <c r="B5333" s="6" t="s">
        <v>19</v>
      </c>
      <c r="C5333" s="7" t="s">
        <v>6019</v>
      </c>
      <c r="D5333" s="7"/>
      <c r="E5333" s="8">
        <v>-1.8841334000000001</v>
      </c>
      <c r="F5333" s="8">
        <v>-5.361815</v>
      </c>
      <c r="G5333" s="7" t="str">
        <f t="shared" si="28"/>
        <v>Direct</v>
      </c>
      <c r="H5333" s="7" t="s">
        <v>172</v>
      </c>
    </row>
    <row r="5334" spans="1:8" x14ac:dyDescent="0.2">
      <c r="A5334" s="5" t="s">
        <v>27</v>
      </c>
      <c r="B5334" s="6" t="s">
        <v>19</v>
      </c>
      <c r="C5334" s="7" t="s">
        <v>6020</v>
      </c>
      <c r="D5334" s="7"/>
      <c r="E5334" s="8">
        <v>3.1860928899999998</v>
      </c>
      <c r="F5334" s="8">
        <v>3.7186967100000001</v>
      </c>
      <c r="G5334" s="7" t="str">
        <f t="shared" si="28"/>
        <v>Direct</v>
      </c>
      <c r="H5334" s="7" t="s">
        <v>16</v>
      </c>
    </row>
    <row r="5335" spans="1:8" x14ac:dyDescent="0.2">
      <c r="A5335" s="5" t="s">
        <v>27</v>
      </c>
      <c r="B5335" s="6" t="s">
        <v>19</v>
      </c>
      <c r="C5335" s="7" t="s">
        <v>6021</v>
      </c>
      <c r="D5335" s="7"/>
      <c r="E5335" s="8">
        <v>-3.6986772000000001</v>
      </c>
      <c r="F5335" s="8">
        <v>-4.2586043</v>
      </c>
      <c r="G5335" s="7" t="str">
        <f t="shared" si="28"/>
        <v>Direct</v>
      </c>
      <c r="H5335" s="7" t="s">
        <v>220</v>
      </c>
    </row>
    <row r="5336" spans="1:8" x14ac:dyDescent="0.2">
      <c r="A5336" s="5" t="s">
        <v>27</v>
      </c>
      <c r="B5336" s="6" t="s">
        <v>19</v>
      </c>
      <c r="C5336" s="7" t="s">
        <v>6022</v>
      </c>
      <c r="D5336" s="7"/>
      <c r="E5336" s="8">
        <v>-2.5526049</v>
      </c>
      <c r="F5336" s="8">
        <v>-4.2824491</v>
      </c>
      <c r="G5336" s="7" t="str">
        <f t="shared" si="28"/>
        <v>Direct</v>
      </c>
      <c r="H5336" s="7" t="s">
        <v>6023</v>
      </c>
    </row>
    <row r="5337" spans="1:8" x14ac:dyDescent="0.2">
      <c r="A5337" s="5" t="s">
        <v>27</v>
      </c>
      <c r="B5337" s="6" t="s">
        <v>19</v>
      </c>
      <c r="C5337" s="7" t="s">
        <v>6024</v>
      </c>
      <c r="D5337" s="7"/>
      <c r="E5337" s="8">
        <v>1.53167334</v>
      </c>
      <c r="F5337" s="8">
        <v>1.9558873000000001</v>
      </c>
      <c r="G5337" s="7" t="str">
        <f t="shared" si="28"/>
        <v>Direct</v>
      </c>
      <c r="H5337" s="7" t="s">
        <v>6025</v>
      </c>
    </row>
    <row r="5338" spans="1:8" x14ac:dyDescent="0.2">
      <c r="A5338" s="5" t="s">
        <v>27</v>
      </c>
      <c r="B5338" s="6" t="s">
        <v>19</v>
      </c>
      <c r="C5338" s="7" t="s">
        <v>6026</v>
      </c>
      <c r="D5338" s="7"/>
      <c r="E5338" s="8">
        <v>2.5029275100000001</v>
      </c>
      <c r="F5338" s="8">
        <v>2.7846240400000002</v>
      </c>
      <c r="G5338" s="7" t="str">
        <f t="shared" si="28"/>
        <v>Direct</v>
      </c>
      <c r="H5338" s="7" t="s">
        <v>3913</v>
      </c>
    </row>
    <row r="5339" spans="1:8" x14ac:dyDescent="0.2">
      <c r="A5339" s="5" t="s">
        <v>27</v>
      </c>
      <c r="B5339" s="6" t="s">
        <v>19</v>
      </c>
      <c r="C5339" s="7" t="s">
        <v>6027</v>
      </c>
      <c r="D5339" s="7"/>
      <c r="E5339" s="8">
        <v>2.1280292200000002</v>
      </c>
      <c r="F5339" s="8">
        <v>2.1117152099999998</v>
      </c>
      <c r="G5339" s="7" t="str">
        <f t="shared" si="28"/>
        <v>Direct</v>
      </c>
      <c r="H5339" s="7" t="s">
        <v>16</v>
      </c>
    </row>
    <row r="5340" spans="1:8" x14ac:dyDescent="0.2">
      <c r="A5340" s="5" t="s">
        <v>27</v>
      </c>
      <c r="B5340" s="6" t="s">
        <v>19</v>
      </c>
      <c r="C5340" s="7" t="s">
        <v>6028</v>
      </c>
      <c r="D5340" s="7"/>
      <c r="E5340" s="8">
        <v>-1.8111022000000001</v>
      </c>
      <c r="F5340" s="8">
        <v>-2.9967421999999999</v>
      </c>
      <c r="G5340" s="7" t="str">
        <f t="shared" si="28"/>
        <v>Direct</v>
      </c>
      <c r="H5340" s="7" t="s">
        <v>16</v>
      </c>
    </row>
    <row r="5341" spans="1:8" x14ac:dyDescent="0.2">
      <c r="A5341" s="5" t="s">
        <v>27</v>
      </c>
      <c r="B5341" s="6" t="s">
        <v>19</v>
      </c>
      <c r="C5341" s="7" t="s">
        <v>6029</v>
      </c>
      <c r="D5341" s="7"/>
      <c r="E5341" s="8">
        <v>9.6008475499999992</v>
      </c>
      <c r="F5341" s="8">
        <v>8.5137630000000009</v>
      </c>
      <c r="G5341" s="7" t="str">
        <f t="shared" si="28"/>
        <v>Direct</v>
      </c>
      <c r="H5341" s="7" t="s">
        <v>6030</v>
      </c>
    </row>
    <row r="5342" spans="1:8" x14ac:dyDescent="0.2">
      <c r="A5342" s="5" t="s">
        <v>27</v>
      </c>
      <c r="B5342" s="6" t="s">
        <v>19</v>
      </c>
      <c r="C5342" s="7" t="s">
        <v>6031</v>
      </c>
      <c r="D5342" s="7"/>
      <c r="E5342" s="8">
        <v>-1.5847108000000001</v>
      </c>
      <c r="F5342" s="8">
        <v>-1.5061515999999999</v>
      </c>
      <c r="G5342" s="7" t="str">
        <f t="shared" si="28"/>
        <v>Direct</v>
      </c>
      <c r="H5342" s="7" t="s">
        <v>16</v>
      </c>
    </row>
    <row r="5343" spans="1:8" x14ac:dyDescent="0.2">
      <c r="A5343" s="5" t="s">
        <v>27</v>
      </c>
      <c r="B5343" s="6" t="s">
        <v>19</v>
      </c>
      <c r="C5343" s="7" t="s">
        <v>6032</v>
      </c>
      <c r="D5343" s="7"/>
      <c r="E5343" s="8">
        <v>2.0084631000000002</v>
      </c>
      <c r="F5343" s="8">
        <v>3.36474384</v>
      </c>
      <c r="G5343" s="7" t="str">
        <f t="shared" si="28"/>
        <v>Direct</v>
      </c>
      <c r="H5343" s="7" t="s">
        <v>16</v>
      </c>
    </row>
    <row r="5344" spans="1:8" x14ac:dyDescent="0.2">
      <c r="A5344" s="5" t="s">
        <v>27</v>
      </c>
      <c r="B5344" s="6" t="s">
        <v>19</v>
      </c>
      <c r="C5344" s="7" t="s">
        <v>6033</v>
      </c>
      <c r="D5344" s="7"/>
      <c r="E5344" s="8">
        <v>-1.3503905</v>
      </c>
      <c r="F5344" s="8">
        <v>-1.097874</v>
      </c>
      <c r="G5344" s="7" t="str">
        <f t="shared" si="28"/>
        <v>Direct</v>
      </c>
      <c r="H5344" s="7" t="s">
        <v>1948</v>
      </c>
    </row>
    <row r="5345" spans="1:8" x14ac:dyDescent="0.2">
      <c r="A5345" s="5" t="s">
        <v>27</v>
      </c>
      <c r="B5345" s="6" t="s">
        <v>19</v>
      </c>
      <c r="C5345" s="7" t="s">
        <v>6034</v>
      </c>
      <c r="D5345" s="7"/>
      <c r="E5345" s="8">
        <v>-6.0811473999999999</v>
      </c>
      <c r="F5345" s="8">
        <v>-9.8548269000000008</v>
      </c>
      <c r="G5345" s="7" t="str">
        <f t="shared" si="28"/>
        <v>Direct</v>
      </c>
      <c r="H5345" s="7" t="s">
        <v>16</v>
      </c>
    </row>
    <row r="5346" spans="1:8" x14ac:dyDescent="0.2">
      <c r="A5346" s="5" t="s">
        <v>27</v>
      </c>
      <c r="B5346" s="6" t="s">
        <v>19</v>
      </c>
      <c r="C5346" s="7" t="s">
        <v>6035</v>
      </c>
      <c r="D5346" s="7"/>
      <c r="E5346" s="8">
        <v>-1.5077224</v>
      </c>
      <c r="F5346" s="8">
        <v>-2.6758196999999999</v>
      </c>
      <c r="G5346" s="7" t="str">
        <f t="shared" si="28"/>
        <v>Direct</v>
      </c>
      <c r="H5346" s="7" t="s">
        <v>1952</v>
      </c>
    </row>
    <row r="5347" spans="1:8" x14ac:dyDescent="0.2">
      <c r="A5347" s="5" t="s">
        <v>27</v>
      </c>
      <c r="B5347" s="6" t="s">
        <v>19</v>
      </c>
      <c r="C5347" s="7" t="s">
        <v>6036</v>
      </c>
      <c r="D5347" s="7"/>
      <c r="E5347" s="8">
        <v>3.2486033700000001</v>
      </c>
      <c r="F5347" s="8">
        <v>4.21243547</v>
      </c>
      <c r="G5347" s="7" t="str">
        <f t="shared" si="28"/>
        <v>Direct</v>
      </c>
      <c r="H5347" s="7" t="s">
        <v>178</v>
      </c>
    </row>
    <row r="5348" spans="1:8" x14ac:dyDescent="0.2">
      <c r="A5348" s="5" t="s">
        <v>27</v>
      </c>
      <c r="B5348" s="6" t="s">
        <v>19</v>
      </c>
      <c r="C5348" s="7" t="s">
        <v>6037</v>
      </c>
      <c r="D5348" s="7"/>
      <c r="E5348" s="8">
        <v>1.7472535199999999</v>
      </c>
      <c r="F5348" s="8">
        <v>1.9150866200000001</v>
      </c>
      <c r="G5348" s="7" t="str">
        <f t="shared" si="28"/>
        <v>Direct</v>
      </c>
      <c r="H5348" s="7" t="s">
        <v>4167</v>
      </c>
    </row>
    <row r="5349" spans="1:8" x14ac:dyDescent="0.2">
      <c r="A5349" s="5" t="s">
        <v>27</v>
      </c>
      <c r="B5349" s="6" t="s">
        <v>19</v>
      </c>
      <c r="C5349" s="7" t="s">
        <v>6038</v>
      </c>
      <c r="D5349" s="7"/>
      <c r="E5349" s="8">
        <v>-1.5043095</v>
      </c>
      <c r="F5349" s="8">
        <v>-1.3117258999999999</v>
      </c>
      <c r="G5349" s="7" t="str">
        <f t="shared" si="28"/>
        <v>Direct</v>
      </c>
      <c r="H5349" s="7" t="s">
        <v>16</v>
      </c>
    </row>
    <row r="5350" spans="1:8" x14ac:dyDescent="0.2">
      <c r="A5350" s="5" t="s">
        <v>27</v>
      </c>
      <c r="B5350" s="6" t="s">
        <v>19</v>
      </c>
      <c r="C5350" s="7" t="s">
        <v>6039</v>
      </c>
      <c r="D5350" s="7"/>
      <c r="E5350" s="8">
        <v>-3.9910131999999998</v>
      </c>
      <c r="F5350" s="8">
        <v>-4.4444106999999997</v>
      </c>
      <c r="G5350" s="7" t="str">
        <f t="shared" si="28"/>
        <v>Direct</v>
      </c>
      <c r="H5350" s="7" t="s">
        <v>6040</v>
      </c>
    </row>
    <row r="5351" spans="1:8" x14ac:dyDescent="0.2">
      <c r="A5351" s="5" t="s">
        <v>27</v>
      </c>
      <c r="B5351" s="6" t="s">
        <v>19</v>
      </c>
      <c r="C5351" s="7" t="s">
        <v>4255</v>
      </c>
      <c r="D5351" s="7"/>
      <c r="E5351" s="8">
        <v>2.6868210600000002</v>
      </c>
      <c r="F5351" s="8">
        <v>5.2309587500000001</v>
      </c>
      <c r="G5351" s="7" t="str">
        <f t="shared" si="28"/>
        <v>Direct</v>
      </c>
      <c r="H5351" s="7" t="s">
        <v>16</v>
      </c>
    </row>
    <row r="5352" spans="1:8" x14ac:dyDescent="0.2">
      <c r="A5352" s="5" t="s">
        <v>27</v>
      </c>
      <c r="B5352" s="6" t="s">
        <v>19</v>
      </c>
      <c r="C5352" s="7" t="s">
        <v>4256</v>
      </c>
      <c r="D5352" s="7"/>
      <c r="E5352" s="8">
        <v>-1.1362798999999999</v>
      </c>
      <c r="F5352" s="8">
        <v>-1.1350289</v>
      </c>
      <c r="G5352" s="7" t="str">
        <f t="shared" si="28"/>
        <v>Direct</v>
      </c>
      <c r="H5352" s="7" t="s">
        <v>4257</v>
      </c>
    </row>
    <row r="5353" spans="1:8" x14ac:dyDescent="0.2">
      <c r="A5353" s="5" t="s">
        <v>27</v>
      </c>
      <c r="B5353" s="6" t="s">
        <v>19</v>
      </c>
      <c r="C5353" s="7" t="s">
        <v>6041</v>
      </c>
      <c r="D5353" s="7"/>
      <c r="E5353" s="8">
        <v>1.0499582700000001</v>
      </c>
      <c r="F5353" s="8">
        <v>1.2077769199999999</v>
      </c>
      <c r="G5353" s="7" t="str">
        <f t="shared" si="28"/>
        <v>Direct</v>
      </c>
      <c r="H5353" s="7" t="s">
        <v>16</v>
      </c>
    </row>
    <row r="5354" spans="1:8" x14ac:dyDescent="0.2">
      <c r="A5354" s="5" t="s">
        <v>27</v>
      </c>
      <c r="B5354" s="6" t="s">
        <v>19</v>
      </c>
      <c r="C5354" s="7" t="s">
        <v>6042</v>
      </c>
      <c r="D5354" s="7"/>
      <c r="E5354" s="8">
        <v>-1.5886439999999999</v>
      </c>
      <c r="F5354" s="8">
        <v>-1.0129804</v>
      </c>
      <c r="G5354" s="7" t="str">
        <f t="shared" si="28"/>
        <v>Direct</v>
      </c>
      <c r="H5354" s="7" t="s">
        <v>16</v>
      </c>
    </row>
    <row r="5355" spans="1:8" x14ac:dyDescent="0.2">
      <c r="A5355" s="5" t="s">
        <v>27</v>
      </c>
      <c r="B5355" s="6" t="s">
        <v>19</v>
      </c>
      <c r="C5355" s="7" t="s">
        <v>6043</v>
      </c>
      <c r="D5355" s="7"/>
      <c r="E5355" s="8">
        <v>-1.0400474</v>
      </c>
      <c r="F5355" s="8">
        <v>-1.1809425</v>
      </c>
      <c r="G5355" s="7" t="str">
        <f t="shared" si="28"/>
        <v>Direct</v>
      </c>
      <c r="H5355" s="7" t="s">
        <v>16</v>
      </c>
    </row>
    <row r="5356" spans="1:8" x14ac:dyDescent="0.2">
      <c r="A5356" s="5" t="s">
        <v>27</v>
      </c>
      <c r="B5356" s="6" t="s">
        <v>19</v>
      </c>
      <c r="C5356" s="7" t="s">
        <v>6044</v>
      </c>
      <c r="D5356" s="7"/>
      <c r="E5356" s="8">
        <v>-1.6432831999999999</v>
      </c>
      <c r="F5356" s="8">
        <v>-1.3452744999999999</v>
      </c>
      <c r="G5356" s="7" t="str">
        <f t="shared" si="28"/>
        <v>Direct</v>
      </c>
      <c r="H5356" s="7" t="s">
        <v>16</v>
      </c>
    </row>
    <row r="5357" spans="1:8" x14ac:dyDescent="0.2">
      <c r="A5357" s="5" t="s">
        <v>27</v>
      </c>
      <c r="B5357" s="6" t="s">
        <v>19</v>
      </c>
      <c r="C5357" s="7" t="s">
        <v>6045</v>
      </c>
      <c r="D5357" s="7"/>
      <c r="E5357" s="8">
        <v>-1.0574684000000001</v>
      </c>
      <c r="F5357" s="8">
        <v>-1.5792089</v>
      </c>
      <c r="G5357" s="7" t="str">
        <f t="shared" si="28"/>
        <v>Direct</v>
      </c>
      <c r="H5357" s="7" t="s">
        <v>16</v>
      </c>
    </row>
    <row r="5358" spans="1:8" x14ac:dyDescent="0.2">
      <c r="A5358" s="5" t="s">
        <v>27</v>
      </c>
      <c r="B5358" s="6" t="s">
        <v>19</v>
      </c>
      <c r="C5358" s="7" t="s">
        <v>6046</v>
      </c>
      <c r="D5358" s="7"/>
      <c r="E5358" s="8">
        <v>-4.4596682000000003</v>
      </c>
      <c r="F5358" s="8">
        <v>-1.1280762</v>
      </c>
      <c r="G5358" s="7" t="str">
        <f t="shared" si="28"/>
        <v>Direct</v>
      </c>
      <c r="H5358" s="7" t="s">
        <v>172</v>
      </c>
    </row>
    <row r="5359" spans="1:8" x14ac:dyDescent="0.2">
      <c r="A5359" s="5" t="s">
        <v>27</v>
      </c>
      <c r="B5359" s="6" t="s">
        <v>19</v>
      </c>
      <c r="C5359" s="7" t="s">
        <v>6047</v>
      </c>
      <c r="D5359" s="7"/>
      <c r="E5359" s="8">
        <v>2.8489748800000001</v>
      </c>
      <c r="F5359" s="8">
        <v>1.4703738399999999</v>
      </c>
      <c r="G5359" s="7" t="str">
        <f t="shared" si="28"/>
        <v>Direct</v>
      </c>
      <c r="H5359" s="7" t="s">
        <v>206</v>
      </c>
    </row>
    <row r="5360" spans="1:8" x14ac:dyDescent="0.2">
      <c r="A5360" s="5" t="s">
        <v>27</v>
      </c>
      <c r="B5360" s="6" t="s">
        <v>19</v>
      </c>
      <c r="C5360" s="7" t="s">
        <v>4258</v>
      </c>
      <c r="D5360" s="7"/>
      <c r="E5360" s="8">
        <v>3.6442302400000002</v>
      </c>
      <c r="F5360" s="8">
        <v>4.5784134500000002</v>
      </c>
      <c r="G5360" s="7" t="str">
        <f t="shared" si="28"/>
        <v>Direct</v>
      </c>
      <c r="H5360" s="7" t="s">
        <v>139</v>
      </c>
    </row>
    <row r="5361" spans="1:8" x14ac:dyDescent="0.2">
      <c r="A5361" s="5" t="s">
        <v>27</v>
      </c>
      <c r="B5361" s="6" t="s">
        <v>19</v>
      </c>
      <c r="C5361" s="7" t="s">
        <v>6048</v>
      </c>
      <c r="D5361" s="7"/>
      <c r="E5361" s="8">
        <v>3.03190267</v>
      </c>
      <c r="F5361" s="8">
        <v>1.7409161099999999</v>
      </c>
      <c r="G5361" s="7" t="str">
        <f t="shared" si="28"/>
        <v>Direct</v>
      </c>
      <c r="H5361" s="7" t="s">
        <v>532</v>
      </c>
    </row>
    <row r="5362" spans="1:8" x14ac:dyDescent="0.2">
      <c r="A5362" s="5" t="s">
        <v>27</v>
      </c>
      <c r="B5362" s="6" t="s">
        <v>19</v>
      </c>
      <c r="C5362" s="7" t="s">
        <v>6049</v>
      </c>
      <c r="D5362" s="7"/>
      <c r="E5362" s="8">
        <v>1.75269527</v>
      </c>
      <c r="F5362" s="8">
        <v>1.7561646900000001</v>
      </c>
      <c r="G5362" s="7" t="str">
        <f t="shared" si="28"/>
        <v>Direct</v>
      </c>
      <c r="H5362" s="7" t="s">
        <v>6050</v>
      </c>
    </row>
    <row r="5363" spans="1:8" x14ac:dyDescent="0.2">
      <c r="A5363" s="5" t="s">
        <v>27</v>
      </c>
      <c r="B5363" s="6" t="s">
        <v>19</v>
      </c>
      <c r="C5363" s="7" t="s">
        <v>4259</v>
      </c>
      <c r="D5363" s="7"/>
      <c r="E5363" s="8">
        <v>-1.0427093999999999</v>
      </c>
      <c r="F5363" s="8">
        <v>-3.8945180000000001</v>
      </c>
      <c r="G5363" s="7" t="str">
        <f t="shared" si="28"/>
        <v>Direct</v>
      </c>
      <c r="H5363" s="7" t="s">
        <v>16</v>
      </c>
    </row>
    <row r="5364" spans="1:8" x14ac:dyDescent="0.2">
      <c r="A5364" s="5" t="s">
        <v>27</v>
      </c>
      <c r="B5364" s="6" t="s">
        <v>19</v>
      </c>
      <c r="C5364" s="7" t="s">
        <v>6051</v>
      </c>
      <c r="D5364" s="7"/>
      <c r="E5364" s="8">
        <v>1.5426320899999999</v>
      </c>
      <c r="F5364" s="8">
        <v>1.25575332</v>
      </c>
      <c r="G5364" s="7" t="str">
        <f t="shared" si="28"/>
        <v>Direct</v>
      </c>
      <c r="H5364" s="7" t="s">
        <v>16</v>
      </c>
    </row>
    <row r="5365" spans="1:8" x14ac:dyDescent="0.2">
      <c r="A5365" s="5" t="s">
        <v>27</v>
      </c>
      <c r="B5365" s="6" t="s">
        <v>19</v>
      </c>
      <c r="C5365" s="7" t="s">
        <v>4260</v>
      </c>
      <c r="D5365" s="7"/>
      <c r="E5365" s="8">
        <v>1.4888713200000001</v>
      </c>
      <c r="F5365" s="8">
        <v>2.3394773500000001</v>
      </c>
      <c r="G5365" s="7" t="str">
        <f t="shared" si="28"/>
        <v>Direct</v>
      </c>
      <c r="H5365" s="7" t="s">
        <v>16</v>
      </c>
    </row>
    <row r="5366" spans="1:8" x14ac:dyDescent="0.2">
      <c r="A5366" s="5" t="s">
        <v>27</v>
      </c>
      <c r="B5366" s="6" t="s">
        <v>19</v>
      </c>
      <c r="C5366" s="7" t="s">
        <v>4261</v>
      </c>
      <c r="D5366" s="7"/>
      <c r="E5366" s="8">
        <v>1.11019157</v>
      </c>
      <c r="F5366" s="8">
        <v>1.3726554099999999</v>
      </c>
      <c r="G5366" s="7" t="str">
        <f t="shared" si="28"/>
        <v>Direct</v>
      </c>
      <c r="H5366" s="7" t="s">
        <v>16</v>
      </c>
    </row>
    <row r="5367" spans="1:8" x14ac:dyDescent="0.2">
      <c r="A5367" s="5" t="s">
        <v>27</v>
      </c>
      <c r="B5367" s="6" t="s">
        <v>19</v>
      </c>
      <c r="C5367" s="7" t="s">
        <v>6052</v>
      </c>
      <c r="D5367" s="7"/>
      <c r="E5367" s="8">
        <v>2.1552354299999998</v>
      </c>
      <c r="F5367" s="8">
        <v>1.02726334</v>
      </c>
      <c r="G5367" s="7" t="str">
        <f t="shared" si="28"/>
        <v>Direct</v>
      </c>
      <c r="H5367" s="7" t="s">
        <v>6053</v>
      </c>
    </row>
    <row r="5368" spans="1:8" x14ac:dyDescent="0.2">
      <c r="A5368" s="5" t="s">
        <v>27</v>
      </c>
      <c r="B5368" s="6" t="s">
        <v>19</v>
      </c>
      <c r="C5368" s="7" t="s">
        <v>6054</v>
      </c>
      <c r="D5368" s="7"/>
      <c r="E5368" s="8">
        <v>1.3607102600000001</v>
      </c>
      <c r="F5368" s="8">
        <v>1.2995439900000001</v>
      </c>
      <c r="G5368" s="7" t="str">
        <f t="shared" si="28"/>
        <v>Direct</v>
      </c>
      <c r="H5368" s="7" t="s">
        <v>2556</v>
      </c>
    </row>
    <row r="5369" spans="1:8" x14ac:dyDescent="0.2">
      <c r="A5369" s="5" t="s">
        <v>27</v>
      </c>
      <c r="B5369" s="6" t="s">
        <v>19</v>
      </c>
      <c r="C5369" s="7" t="s">
        <v>6055</v>
      </c>
      <c r="D5369" s="7"/>
      <c r="E5369" s="8">
        <v>1.10018474</v>
      </c>
      <c r="F5369" s="8">
        <v>1.4851652</v>
      </c>
      <c r="G5369" s="7" t="str">
        <f t="shared" si="28"/>
        <v>Direct</v>
      </c>
      <c r="H5369" s="7" t="s">
        <v>3991</v>
      </c>
    </row>
    <row r="5370" spans="1:8" x14ac:dyDescent="0.2">
      <c r="A5370" s="5" t="s">
        <v>27</v>
      </c>
      <c r="B5370" s="6" t="s">
        <v>19</v>
      </c>
      <c r="C5370" s="7" t="s">
        <v>6056</v>
      </c>
      <c r="D5370" s="7"/>
      <c r="E5370" s="8">
        <v>1.13970561</v>
      </c>
      <c r="F5370" s="8">
        <v>1.1101179000000001</v>
      </c>
      <c r="G5370" s="7" t="str">
        <f t="shared" si="28"/>
        <v>Direct</v>
      </c>
      <c r="H5370" s="7" t="s">
        <v>2975</v>
      </c>
    </row>
    <row r="5371" spans="1:8" x14ac:dyDescent="0.2">
      <c r="A5371" s="5" t="s">
        <v>27</v>
      </c>
      <c r="B5371" s="6" t="s">
        <v>19</v>
      </c>
      <c r="C5371" s="7" t="s">
        <v>6057</v>
      </c>
      <c r="D5371" s="7"/>
      <c r="E5371" s="8">
        <v>-1.1397056000000001</v>
      </c>
      <c r="F5371" s="8">
        <v>-1.4598742</v>
      </c>
      <c r="G5371" s="7" t="str">
        <f t="shared" si="28"/>
        <v>Direct</v>
      </c>
      <c r="H5371" s="7" t="s">
        <v>3164</v>
      </c>
    </row>
    <row r="5372" spans="1:8" x14ac:dyDescent="0.2">
      <c r="A5372" s="5" t="s">
        <v>27</v>
      </c>
      <c r="B5372" s="6" t="s">
        <v>19</v>
      </c>
      <c r="C5372" s="7" t="s">
        <v>6058</v>
      </c>
      <c r="D5372" s="7"/>
      <c r="E5372" s="8">
        <v>1.5257456700000001</v>
      </c>
      <c r="F5372" s="8">
        <v>3.29622481</v>
      </c>
      <c r="G5372" s="7" t="str">
        <f t="shared" si="28"/>
        <v>Direct</v>
      </c>
      <c r="H5372" s="7" t="s">
        <v>923</v>
      </c>
    </row>
    <row r="5373" spans="1:8" x14ac:dyDescent="0.2">
      <c r="A5373" s="5" t="s">
        <v>27</v>
      </c>
      <c r="B5373" s="6" t="s">
        <v>19</v>
      </c>
      <c r="C5373" s="7" t="s">
        <v>4262</v>
      </c>
      <c r="D5373" s="7"/>
      <c r="E5373" s="8">
        <v>4.2065245100000004</v>
      </c>
      <c r="F5373" s="8">
        <v>5.7394730799999998</v>
      </c>
      <c r="G5373" s="7" t="str">
        <f t="shared" si="28"/>
        <v>Direct</v>
      </c>
      <c r="H5373" s="7" t="s">
        <v>4263</v>
      </c>
    </row>
    <row r="5374" spans="1:8" x14ac:dyDescent="0.2">
      <c r="A5374" s="5" t="s">
        <v>27</v>
      </c>
      <c r="B5374" s="6" t="s">
        <v>19</v>
      </c>
      <c r="C5374" s="7" t="s">
        <v>6059</v>
      </c>
      <c r="D5374" s="7"/>
      <c r="E5374" s="8">
        <v>-1.2816113</v>
      </c>
      <c r="F5374" s="8">
        <v>-1.535434</v>
      </c>
      <c r="G5374" s="7" t="str">
        <f t="shared" si="28"/>
        <v>Direct</v>
      </c>
      <c r="H5374" s="7" t="s">
        <v>16</v>
      </c>
    </row>
    <row r="5375" spans="1:8" x14ac:dyDescent="0.2">
      <c r="A5375" s="5" t="s">
        <v>27</v>
      </c>
      <c r="B5375" s="6" t="s">
        <v>19</v>
      </c>
      <c r="C5375" s="7" t="s">
        <v>4264</v>
      </c>
      <c r="D5375" s="7"/>
      <c r="E5375" s="8">
        <v>6.4876611899999999</v>
      </c>
      <c r="F5375" s="8">
        <v>10.1335009</v>
      </c>
      <c r="G5375" s="7" t="str">
        <f t="shared" si="28"/>
        <v>Direct</v>
      </c>
      <c r="H5375" s="7" t="s">
        <v>16</v>
      </c>
    </row>
    <row r="5376" spans="1:8" x14ac:dyDescent="0.2">
      <c r="A5376" s="5" t="s">
        <v>27</v>
      </c>
      <c r="B5376" s="6" t="s">
        <v>19</v>
      </c>
      <c r="C5376" s="7" t="s">
        <v>6060</v>
      </c>
      <c r="D5376" s="7"/>
      <c r="E5376" s="8">
        <v>-4.9800293</v>
      </c>
      <c r="F5376" s="8">
        <v>-5.1606377999999999</v>
      </c>
      <c r="G5376" s="7" t="str">
        <f t="shared" si="28"/>
        <v>Direct</v>
      </c>
      <c r="H5376" s="7" t="s">
        <v>6061</v>
      </c>
    </row>
    <row r="5377" spans="1:8" x14ac:dyDescent="0.2">
      <c r="A5377" s="5" t="s">
        <v>27</v>
      </c>
      <c r="B5377" s="6" t="s">
        <v>19</v>
      </c>
      <c r="C5377" s="7" t="s">
        <v>6062</v>
      </c>
      <c r="D5377" s="7"/>
      <c r="E5377" s="8">
        <v>-3.9576207999999999</v>
      </c>
      <c r="F5377" s="8">
        <v>-3.5308440999999999</v>
      </c>
      <c r="G5377" s="7" t="str">
        <f t="shared" si="28"/>
        <v>Direct</v>
      </c>
      <c r="H5377" s="7" t="s">
        <v>6063</v>
      </c>
    </row>
    <row r="5378" spans="1:8" x14ac:dyDescent="0.2">
      <c r="A5378" s="5" t="s">
        <v>27</v>
      </c>
      <c r="B5378" s="6" t="s">
        <v>19</v>
      </c>
      <c r="C5378" s="7" t="s">
        <v>6064</v>
      </c>
      <c r="D5378" s="7"/>
      <c r="E5378" s="8">
        <v>3.5556233900000001</v>
      </c>
      <c r="F5378" s="8">
        <v>3.3178701400000001</v>
      </c>
      <c r="G5378" s="7" t="str">
        <f t="shared" si="28"/>
        <v>Direct</v>
      </c>
      <c r="H5378" s="7" t="s">
        <v>16</v>
      </c>
    </row>
    <row r="5379" spans="1:8" x14ac:dyDescent="0.2">
      <c r="A5379" s="5" t="s">
        <v>27</v>
      </c>
      <c r="B5379" s="6" t="s">
        <v>19</v>
      </c>
      <c r="C5379" s="7" t="s">
        <v>6065</v>
      </c>
      <c r="D5379" s="7"/>
      <c r="E5379" s="8">
        <v>1.3744697100000001</v>
      </c>
      <c r="F5379" s="8">
        <v>1.0541676200000001</v>
      </c>
      <c r="G5379" s="7" t="str">
        <f t="shared" si="28"/>
        <v>Direct</v>
      </c>
      <c r="H5379" s="7" t="s">
        <v>16</v>
      </c>
    </row>
    <row r="5380" spans="1:8" x14ac:dyDescent="0.2">
      <c r="A5380" s="5" t="s">
        <v>27</v>
      </c>
      <c r="B5380" s="6" t="s">
        <v>19</v>
      </c>
      <c r="C5380" s="7" t="s">
        <v>6066</v>
      </c>
      <c r="D5380" s="7"/>
      <c r="E5380" s="8">
        <v>-6.2537997000000001</v>
      </c>
      <c r="F5380" s="8">
        <v>-7.1091604000000004</v>
      </c>
      <c r="G5380" s="7" t="str">
        <f t="shared" si="28"/>
        <v>Direct</v>
      </c>
      <c r="H5380" s="7" t="s">
        <v>6067</v>
      </c>
    </row>
  </sheetData>
  <conditionalFormatting sqref="D2:F5380">
    <cfRule type="cellIs" dxfId="1" priority="1" operator="greaterThan">
      <formula>0</formula>
    </cfRule>
    <cfRule type="cellIs" dxfId="0" priority="2" operator="less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Studivan</dc:creator>
  <cp:lastModifiedBy>Michael Studivan</cp:lastModifiedBy>
  <dcterms:created xsi:type="dcterms:W3CDTF">2026-04-03T19:17:28Z</dcterms:created>
  <dcterms:modified xsi:type="dcterms:W3CDTF">2026-04-03T19:17:45Z</dcterms:modified>
</cp:coreProperties>
</file>