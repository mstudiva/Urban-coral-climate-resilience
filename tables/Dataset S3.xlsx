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defaultThemeVersion="202300"/>
  <mc:AlternateContent xmlns:mc="http://schemas.openxmlformats.org/markup-compatibility/2006">
    <mc:Choice Requires="x15">
      <x15ac:absPath xmlns:x15ac="http://schemas.microsoft.com/office/spreadsheetml/2010/11/ac" url="/Users/michael.studivan/Downloads/"/>
    </mc:Choice>
  </mc:AlternateContent>
  <xr:revisionPtr revIDLastSave="0" documentId="8_{4E62074C-750D-9741-9A6A-8C70F2309E53}" xr6:coauthVersionLast="47" xr6:coauthVersionMax="47" xr10:uidLastSave="{00000000-0000-0000-0000-000000000000}"/>
  <bookViews>
    <workbookView xWindow="5580" yWindow="2380" windowWidth="27640" windowHeight="16680" xr2:uid="{4E7BF5DC-6F23-BC4D-8296-54C5D0683548}"/>
  </bookViews>
  <sheets>
    <sheet name="Sheet1" sheetId="1" r:id="rId1"/>
  </sheets>
  <calcPr calcId="181029"/>
  <pivotCaches>
    <pivotCache cacheId="28" r:id="rId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171" i="1" l="1"/>
  <c r="I2171" i="1"/>
  <c r="H2170" i="1"/>
  <c r="H2169" i="1"/>
  <c r="H2168" i="1"/>
  <c r="H2167" i="1"/>
  <c r="H2166" i="1"/>
  <c r="H2165" i="1"/>
  <c r="H2164" i="1"/>
  <c r="H2163" i="1"/>
  <c r="H2162" i="1"/>
  <c r="H2161" i="1"/>
  <c r="H2160" i="1"/>
  <c r="H2159" i="1"/>
  <c r="H2158" i="1"/>
  <c r="H2157" i="1"/>
  <c r="H2156" i="1"/>
  <c r="H2155" i="1"/>
  <c r="H2154" i="1"/>
  <c r="H2153" i="1"/>
  <c r="H2152" i="1"/>
  <c r="H2151" i="1"/>
  <c r="H2150" i="1"/>
  <c r="H2149" i="1"/>
  <c r="H2148" i="1"/>
  <c r="H2147" i="1"/>
  <c r="H2146" i="1"/>
  <c r="H2145" i="1"/>
  <c r="H2144" i="1"/>
  <c r="H2143" i="1"/>
  <c r="H2142" i="1"/>
  <c r="H2141" i="1"/>
  <c r="H2140" i="1"/>
  <c r="H2139" i="1"/>
  <c r="H2138" i="1"/>
  <c r="H2137" i="1"/>
  <c r="H2136" i="1"/>
  <c r="H2135" i="1"/>
  <c r="H2134" i="1"/>
  <c r="H2133" i="1"/>
  <c r="H2132" i="1"/>
  <c r="H2131" i="1"/>
  <c r="H2130" i="1"/>
  <c r="H2129" i="1"/>
  <c r="H2128" i="1"/>
  <c r="H2127" i="1"/>
  <c r="H2126" i="1"/>
  <c r="H2125" i="1"/>
  <c r="H2124" i="1"/>
  <c r="H2123" i="1"/>
  <c r="H2122" i="1"/>
  <c r="H2121" i="1"/>
  <c r="H2120" i="1"/>
  <c r="H2119" i="1"/>
  <c r="H2118" i="1"/>
  <c r="H2117" i="1"/>
  <c r="H2116" i="1"/>
  <c r="H2115" i="1"/>
  <c r="H2114" i="1"/>
  <c r="H2113" i="1"/>
  <c r="H2112" i="1"/>
  <c r="H2111" i="1"/>
  <c r="H2110" i="1"/>
  <c r="H2109" i="1"/>
  <c r="H2108" i="1"/>
  <c r="H2107" i="1"/>
  <c r="H2106" i="1"/>
  <c r="H2105" i="1"/>
  <c r="H2104" i="1"/>
  <c r="H2103" i="1"/>
  <c r="H2102" i="1"/>
  <c r="H2101" i="1"/>
  <c r="H2100" i="1"/>
  <c r="H2099" i="1"/>
  <c r="H2098" i="1"/>
  <c r="H2097" i="1"/>
  <c r="H2096" i="1"/>
  <c r="H2095" i="1"/>
  <c r="H2094" i="1"/>
  <c r="H2093" i="1"/>
  <c r="H2092" i="1"/>
  <c r="H2091" i="1"/>
  <c r="H2090" i="1"/>
  <c r="H2089" i="1"/>
  <c r="H2088" i="1"/>
  <c r="H2087" i="1"/>
  <c r="H2086" i="1"/>
  <c r="H2085" i="1"/>
  <c r="H2084" i="1"/>
  <c r="H2083" i="1"/>
  <c r="H2082" i="1"/>
  <c r="H2081" i="1"/>
  <c r="H2080" i="1"/>
  <c r="H2079" i="1"/>
  <c r="H2078" i="1"/>
  <c r="H2077" i="1"/>
  <c r="H2076" i="1"/>
  <c r="H2075" i="1"/>
  <c r="H2074" i="1"/>
  <c r="H2073" i="1"/>
  <c r="H2072" i="1"/>
  <c r="H2071" i="1"/>
  <c r="H2070" i="1"/>
  <c r="H2069" i="1"/>
  <c r="H2068" i="1"/>
  <c r="H2067" i="1"/>
  <c r="H2066" i="1"/>
  <c r="H2065" i="1"/>
  <c r="H2064" i="1"/>
  <c r="H2063" i="1"/>
  <c r="H2062" i="1"/>
  <c r="H2061" i="1"/>
  <c r="H2060" i="1"/>
  <c r="H2059" i="1"/>
  <c r="H2058" i="1"/>
  <c r="H2057" i="1"/>
  <c r="H2056" i="1"/>
  <c r="H2055" i="1"/>
  <c r="H2054" i="1"/>
  <c r="H2053" i="1"/>
  <c r="H2052" i="1"/>
  <c r="H2051" i="1"/>
  <c r="H2050" i="1"/>
  <c r="H2049" i="1"/>
  <c r="H2048" i="1"/>
  <c r="H2047" i="1"/>
  <c r="H2046" i="1"/>
  <c r="H2045" i="1"/>
  <c r="H2044" i="1"/>
  <c r="H2043" i="1"/>
  <c r="H2042" i="1"/>
  <c r="H2041" i="1"/>
  <c r="H2040" i="1"/>
  <c r="H2039" i="1"/>
  <c r="H2038" i="1"/>
  <c r="H2037" i="1"/>
  <c r="H2036" i="1"/>
  <c r="H2035" i="1"/>
  <c r="H2034" i="1"/>
  <c r="H2033" i="1"/>
  <c r="H2032" i="1"/>
  <c r="H2031" i="1"/>
  <c r="H2030" i="1"/>
  <c r="H2029" i="1"/>
  <c r="H2028" i="1"/>
  <c r="H2027" i="1"/>
  <c r="H2026" i="1"/>
  <c r="H2025" i="1"/>
  <c r="H2024" i="1"/>
  <c r="H2023" i="1"/>
  <c r="H2022" i="1"/>
  <c r="H2021" i="1"/>
  <c r="H2020" i="1"/>
  <c r="H2019" i="1"/>
  <c r="H2018" i="1"/>
  <c r="H2017" i="1"/>
  <c r="H2016" i="1"/>
  <c r="H2015" i="1"/>
  <c r="H2014" i="1"/>
  <c r="H2013" i="1"/>
  <c r="H2012" i="1"/>
  <c r="H2011" i="1"/>
  <c r="H2010" i="1"/>
  <c r="H2009" i="1"/>
  <c r="H2008" i="1"/>
  <c r="H2007" i="1"/>
  <c r="H2006" i="1"/>
  <c r="H2005" i="1"/>
  <c r="H2004" i="1"/>
  <c r="H2003" i="1"/>
  <c r="H2002" i="1"/>
  <c r="H2001" i="1"/>
  <c r="H2000" i="1"/>
  <c r="H1999" i="1"/>
  <c r="H1998" i="1"/>
  <c r="H1997" i="1"/>
  <c r="H1996" i="1"/>
  <c r="H1995" i="1"/>
  <c r="H1994" i="1"/>
  <c r="H1993" i="1"/>
  <c r="H1992" i="1"/>
  <c r="H1991" i="1"/>
  <c r="H1990" i="1"/>
  <c r="H1989" i="1"/>
  <c r="H1988" i="1"/>
  <c r="H1987" i="1"/>
  <c r="H1986" i="1"/>
  <c r="H1985" i="1"/>
  <c r="H1984" i="1"/>
  <c r="H1983" i="1"/>
  <c r="H1982" i="1"/>
  <c r="H1981" i="1"/>
  <c r="H1980" i="1"/>
  <c r="H1979" i="1"/>
  <c r="H1978" i="1"/>
  <c r="H1977" i="1"/>
  <c r="H1976" i="1"/>
  <c r="H1975" i="1"/>
  <c r="H1974" i="1"/>
  <c r="H1973" i="1"/>
  <c r="H1972" i="1"/>
  <c r="H1971" i="1"/>
  <c r="H1970" i="1"/>
  <c r="H1969" i="1"/>
  <c r="H1968" i="1"/>
  <c r="H1967" i="1"/>
  <c r="H1966" i="1"/>
  <c r="H1965" i="1"/>
  <c r="H1964" i="1"/>
  <c r="H1963" i="1"/>
  <c r="H1962" i="1"/>
  <c r="H1961" i="1"/>
  <c r="H1960" i="1"/>
  <c r="H1959" i="1"/>
  <c r="H1958" i="1"/>
  <c r="H1957" i="1"/>
  <c r="H1956" i="1"/>
  <c r="H1955" i="1"/>
  <c r="H1954" i="1"/>
  <c r="H1953" i="1"/>
  <c r="H1952" i="1"/>
  <c r="H1951" i="1"/>
  <c r="H1950" i="1"/>
  <c r="H1949" i="1"/>
  <c r="H1948" i="1"/>
  <c r="H1947" i="1"/>
  <c r="H1946" i="1"/>
  <c r="H1945" i="1"/>
  <c r="H1944" i="1"/>
  <c r="H1943" i="1"/>
  <c r="H1942" i="1"/>
  <c r="H1941" i="1"/>
  <c r="H1940" i="1"/>
  <c r="H1939" i="1"/>
  <c r="H1938" i="1"/>
  <c r="H1937" i="1"/>
  <c r="H1936" i="1"/>
  <c r="H1935" i="1"/>
  <c r="H1934" i="1"/>
  <c r="H1933" i="1"/>
  <c r="H1932" i="1"/>
  <c r="H1931" i="1"/>
  <c r="H1930" i="1"/>
  <c r="H1929" i="1"/>
  <c r="H1928" i="1"/>
  <c r="H1927" i="1"/>
  <c r="H1926" i="1"/>
  <c r="H1925" i="1"/>
  <c r="H1924" i="1"/>
  <c r="H1923" i="1"/>
  <c r="H1922" i="1"/>
  <c r="H1921" i="1"/>
  <c r="H1920" i="1"/>
  <c r="H1919" i="1"/>
  <c r="H1918" i="1"/>
  <c r="H1917" i="1"/>
  <c r="H1916" i="1"/>
  <c r="H1915" i="1"/>
  <c r="H1914" i="1"/>
  <c r="H1913" i="1"/>
  <c r="H1912" i="1"/>
  <c r="H1911" i="1"/>
  <c r="H1910" i="1"/>
  <c r="H1909" i="1"/>
  <c r="H1908" i="1"/>
  <c r="H1907" i="1"/>
  <c r="H1906" i="1"/>
  <c r="H1905" i="1"/>
  <c r="H1904" i="1"/>
  <c r="H1903" i="1"/>
  <c r="H1902" i="1"/>
  <c r="H1901" i="1"/>
  <c r="H1900" i="1"/>
  <c r="H1899" i="1"/>
  <c r="H1898" i="1"/>
  <c r="H1897" i="1"/>
  <c r="H1896" i="1"/>
  <c r="H1895" i="1"/>
  <c r="H1894" i="1"/>
  <c r="H1893" i="1"/>
  <c r="H1892" i="1"/>
  <c r="H1891" i="1"/>
  <c r="H1890" i="1"/>
  <c r="H1889" i="1"/>
  <c r="H1888" i="1"/>
  <c r="H1887" i="1"/>
  <c r="H1886" i="1"/>
  <c r="H1885" i="1"/>
  <c r="H1884" i="1"/>
  <c r="H1883" i="1"/>
  <c r="H1882" i="1"/>
  <c r="H1881" i="1"/>
  <c r="H1880" i="1"/>
  <c r="H1879" i="1"/>
  <c r="H1878" i="1"/>
  <c r="H1877" i="1"/>
  <c r="H1876" i="1"/>
  <c r="H1875" i="1"/>
  <c r="H1874" i="1"/>
  <c r="H1873" i="1"/>
  <c r="H1872" i="1"/>
  <c r="H1871" i="1"/>
  <c r="H1870" i="1"/>
  <c r="H1869" i="1"/>
  <c r="H1868" i="1"/>
  <c r="H1867" i="1"/>
  <c r="H1866" i="1"/>
  <c r="H1865" i="1"/>
  <c r="H1864" i="1"/>
  <c r="H1863" i="1"/>
  <c r="H1862" i="1"/>
  <c r="H1861" i="1"/>
  <c r="H1860" i="1"/>
  <c r="H1859" i="1"/>
  <c r="H1858" i="1"/>
  <c r="H1857" i="1"/>
  <c r="H1856" i="1"/>
  <c r="H1855" i="1"/>
  <c r="H1854" i="1"/>
  <c r="H1853" i="1"/>
  <c r="H1852" i="1"/>
  <c r="H1851" i="1"/>
  <c r="H1850" i="1"/>
  <c r="H1849" i="1"/>
  <c r="H1848" i="1"/>
  <c r="H1847" i="1"/>
  <c r="H1846" i="1"/>
  <c r="H1845" i="1"/>
  <c r="H1844" i="1"/>
  <c r="H1843" i="1"/>
  <c r="H1842" i="1"/>
  <c r="H1841" i="1"/>
  <c r="H1840" i="1"/>
  <c r="H1839" i="1"/>
  <c r="H1838" i="1"/>
  <c r="H1837" i="1"/>
  <c r="H1836" i="1"/>
  <c r="H1835" i="1"/>
  <c r="H1834" i="1"/>
  <c r="H1833" i="1"/>
  <c r="H1832" i="1"/>
  <c r="H1831" i="1"/>
  <c r="H1830" i="1"/>
  <c r="H1829" i="1"/>
  <c r="H1828" i="1"/>
  <c r="H1827" i="1"/>
  <c r="H1826" i="1"/>
  <c r="H1825" i="1"/>
  <c r="H1824" i="1"/>
  <c r="H1823" i="1"/>
  <c r="H1822" i="1"/>
  <c r="H1821" i="1"/>
  <c r="H1820" i="1"/>
  <c r="H1819" i="1"/>
  <c r="H1818" i="1"/>
  <c r="H1817" i="1"/>
  <c r="H1816" i="1"/>
  <c r="H1815" i="1"/>
  <c r="H1814" i="1"/>
  <c r="H1813" i="1"/>
  <c r="H1812" i="1"/>
  <c r="H1811" i="1"/>
  <c r="H1810" i="1"/>
  <c r="H1809" i="1"/>
  <c r="H1808" i="1"/>
  <c r="H1807" i="1"/>
  <c r="H1806" i="1"/>
  <c r="H1805" i="1"/>
  <c r="H1804" i="1"/>
  <c r="H1803" i="1"/>
  <c r="H1802" i="1"/>
  <c r="H1801" i="1"/>
  <c r="H1800" i="1"/>
  <c r="H1799" i="1"/>
  <c r="H1798" i="1"/>
  <c r="H1797" i="1"/>
  <c r="H1796" i="1"/>
  <c r="H1795" i="1"/>
  <c r="H1794" i="1"/>
  <c r="H1793" i="1"/>
  <c r="H1792" i="1"/>
  <c r="H1791" i="1"/>
  <c r="H1790" i="1"/>
  <c r="H1789" i="1"/>
  <c r="H1788" i="1"/>
  <c r="H1787" i="1"/>
  <c r="H1786" i="1"/>
  <c r="H1785" i="1"/>
  <c r="H1784" i="1"/>
  <c r="H1783" i="1"/>
  <c r="H1782" i="1"/>
  <c r="H1781" i="1"/>
  <c r="H1780" i="1"/>
  <c r="H1779" i="1"/>
  <c r="H1778" i="1"/>
  <c r="H1777" i="1"/>
  <c r="H1776" i="1"/>
  <c r="H1775" i="1"/>
  <c r="H1774" i="1"/>
  <c r="H1773" i="1"/>
  <c r="R14" i="1" s="1"/>
  <c r="S14" i="1" s="1"/>
  <c r="H1772" i="1"/>
  <c r="H1771" i="1"/>
  <c r="H1770" i="1"/>
  <c r="H1769" i="1"/>
  <c r="H1768" i="1"/>
  <c r="H1767" i="1"/>
  <c r="H1766" i="1"/>
  <c r="H1765" i="1"/>
  <c r="H1764" i="1"/>
  <c r="H1763" i="1"/>
  <c r="H1762" i="1"/>
  <c r="H1761" i="1"/>
  <c r="H1760" i="1"/>
  <c r="H1759" i="1"/>
  <c r="H1758" i="1"/>
  <c r="H1757" i="1"/>
  <c r="H1756" i="1"/>
  <c r="H1755" i="1"/>
  <c r="H1754" i="1"/>
  <c r="H1753" i="1"/>
  <c r="H1752" i="1"/>
  <c r="H1751" i="1"/>
  <c r="H1750" i="1"/>
  <c r="H1749" i="1"/>
  <c r="H1748" i="1"/>
  <c r="H1747" i="1"/>
  <c r="H1746" i="1"/>
  <c r="H1745" i="1"/>
  <c r="H1744" i="1"/>
  <c r="H1743" i="1"/>
  <c r="H1742" i="1"/>
  <c r="H1741" i="1"/>
  <c r="H1740" i="1"/>
  <c r="H1739" i="1"/>
  <c r="H1738" i="1"/>
  <c r="H1737" i="1"/>
  <c r="H1736" i="1"/>
  <c r="H1735" i="1"/>
  <c r="H1734" i="1"/>
  <c r="H1733" i="1"/>
  <c r="H1732" i="1"/>
  <c r="H1731" i="1"/>
  <c r="H1730" i="1"/>
  <c r="H1729" i="1"/>
  <c r="H1728" i="1"/>
  <c r="H1727" i="1"/>
  <c r="H1726" i="1"/>
  <c r="H1725" i="1"/>
  <c r="H1724" i="1"/>
  <c r="H1723" i="1"/>
  <c r="H1722" i="1"/>
  <c r="H1721" i="1"/>
  <c r="H1720" i="1"/>
  <c r="H1719" i="1"/>
  <c r="H1718" i="1"/>
  <c r="H1717" i="1"/>
  <c r="H1716" i="1"/>
  <c r="H1715" i="1"/>
  <c r="H1714" i="1"/>
  <c r="H1713" i="1"/>
  <c r="H1712" i="1"/>
  <c r="H1711" i="1"/>
  <c r="H1710" i="1"/>
  <c r="H1709" i="1"/>
  <c r="H1708" i="1"/>
  <c r="H1707" i="1"/>
  <c r="H1706" i="1"/>
  <c r="H1705" i="1"/>
  <c r="H1704" i="1"/>
  <c r="H1703" i="1"/>
  <c r="H1702" i="1"/>
  <c r="H1701" i="1"/>
  <c r="H1700" i="1"/>
  <c r="H1699" i="1"/>
  <c r="H1698" i="1"/>
  <c r="H1697" i="1"/>
  <c r="H1696" i="1"/>
  <c r="H1695" i="1"/>
  <c r="H1694" i="1"/>
  <c r="H1693" i="1"/>
  <c r="H1692" i="1"/>
  <c r="H1691" i="1"/>
  <c r="H1690" i="1"/>
  <c r="H1689" i="1"/>
  <c r="H1688" i="1"/>
  <c r="H1687" i="1"/>
  <c r="H1686" i="1"/>
  <c r="H1685" i="1"/>
  <c r="H1684" i="1"/>
  <c r="H1683" i="1"/>
  <c r="H1682" i="1"/>
  <c r="H1681" i="1"/>
  <c r="H1680" i="1"/>
  <c r="H1679" i="1"/>
  <c r="H1678" i="1"/>
  <c r="H1677" i="1"/>
  <c r="H1676" i="1"/>
  <c r="H1675" i="1"/>
  <c r="H1674" i="1"/>
  <c r="H1673" i="1"/>
  <c r="H1672" i="1"/>
  <c r="H1671" i="1"/>
  <c r="H1670" i="1"/>
  <c r="H1669" i="1"/>
  <c r="H1668" i="1"/>
  <c r="H1667" i="1"/>
  <c r="H1666" i="1"/>
  <c r="H1665" i="1"/>
  <c r="H1664" i="1"/>
  <c r="H1663" i="1"/>
  <c r="H1662" i="1"/>
  <c r="H1661" i="1"/>
  <c r="H1660" i="1"/>
  <c r="H1659" i="1"/>
  <c r="H1658" i="1"/>
  <c r="H1657" i="1"/>
  <c r="H1656" i="1"/>
  <c r="P14" i="1" s="1"/>
  <c r="H1655" i="1"/>
  <c r="H1654" i="1"/>
  <c r="H1653" i="1"/>
  <c r="H1652" i="1"/>
  <c r="H1651" i="1"/>
  <c r="H1650" i="1"/>
  <c r="H1649" i="1"/>
  <c r="H1648" i="1"/>
  <c r="H1647" i="1"/>
  <c r="H1646" i="1"/>
  <c r="H1645" i="1"/>
  <c r="H1644" i="1"/>
  <c r="H1643" i="1"/>
  <c r="H1642" i="1"/>
  <c r="H1641" i="1"/>
  <c r="H1640" i="1"/>
  <c r="H1639" i="1"/>
  <c r="H1638" i="1"/>
  <c r="H1637" i="1"/>
  <c r="H1636" i="1"/>
  <c r="H1635" i="1"/>
  <c r="H1634" i="1"/>
  <c r="H1633" i="1"/>
  <c r="H1632" i="1"/>
  <c r="H1631" i="1"/>
  <c r="H1630" i="1"/>
  <c r="H1629" i="1"/>
  <c r="H1628" i="1"/>
  <c r="H1627" i="1"/>
  <c r="H1626" i="1"/>
  <c r="H1625" i="1"/>
  <c r="H1624" i="1"/>
  <c r="H1623" i="1"/>
  <c r="H1622" i="1"/>
  <c r="H1621" i="1"/>
  <c r="H1620" i="1"/>
  <c r="H1619" i="1"/>
  <c r="H1618" i="1"/>
  <c r="H1617" i="1"/>
  <c r="H1616" i="1"/>
  <c r="H1615" i="1"/>
  <c r="H1614" i="1"/>
  <c r="H1613" i="1"/>
  <c r="H1612" i="1"/>
  <c r="H1611" i="1"/>
  <c r="H1610" i="1"/>
  <c r="H1609" i="1"/>
  <c r="H1608" i="1"/>
  <c r="H1607" i="1"/>
  <c r="H1606" i="1"/>
  <c r="H1605" i="1"/>
  <c r="H1604" i="1"/>
  <c r="H1603" i="1"/>
  <c r="H1602" i="1"/>
  <c r="H1601" i="1"/>
  <c r="H1600" i="1"/>
  <c r="H1599" i="1"/>
  <c r="H1598" i="1"/>
  <c r="H1597" i="1"/>
  <c r="H1596" i="1"/>
  <c r="H1595" i="1"/>
  <c r="H1594" i="1"/>
  <c r="H1593" i="1"/>
  <c r="H1592" i="1"/>
  <c r="H1591" i="1"/>
  <c r="H1590" i="1"/>
  <c r="H1589" i="1"/>
  <c r="H1588" i="1"/>
  <c r="H1587" i="1"/>
  <c r="H1586" i="1"/>
  <c r="H1585" i="1"/>
  <c r="H1584" i="1"/>
  <c r="H1583" i="1"/>
  <c r="H1582" i="1"/>
  <c r="H1581" i="1"/>
  <c r="H1580" i="1"/>
  <c r="H1579" i="1"/>
  <c r="H1578" i="1"/>
  <c r="H1577" i="1"/>
  <c r="H1576" i="1"/>
  <c r="H1575" i="1"/>
  <c r="H1574" i="1"/>
  <c r="H1573" i="1"/>
  <c r="H1572" i="1"/>
  <c r="H1571" i="1"/>
  <c r="H1570" i="1"/>
  <c r="H1569" i="1"/>
  <c r="H1568" i="1"/>
  <c r="H1567" i="1"/>
  <c r="H1566" i="1"/>
  <c r="H1565" i="1"/>
  <c r="H1564" i="1"/>
  <c r="H1563" i="1"/>
  <c r="H1562" i="1"/>
  <c r="H1561" i="1"/>
  <c r="H1560" i="1"/>
  <c r="H1559" i="1"/>
  <c r="H1558" i="1"/>
  <c r="H1557" i="1"/>
  <c r="H1556" i="1"/>
  <c r="H1555" i="1"/>
  <c r="H1554" i="1"/>
  <c r="H1553" i="1"/>
  <c r="H1552" i="1"/>
  <c r="H1551" i="1"/>
  <c r="H1550" i="1"/>
  <c r="H1549" i="1"/>
  <c r="H1548" i="1"/>
  <c r="H1547" i="1"/>
  <c r="H1546" i="1"/>
  <c r="H1545" i="1"/>
  <c r="H1544" i="1"/>
  <c r="H1543" i="1"/>
  <c r="H1542" i="1"/>
  <c r="H1541" i="1"/>
  <c r="H1540" i="1"/>
  <c r="H1539" i="1"/>
  <c r="H1538" i="1"/>
  <c r="H1537" i="1"/>
  <c r="H1536" i="1"/>
  <c r="H1535" i="1"/>
  <c r="H1534" i="1"/>
  <c r="H1533" i="1"/>
  <c r="H1532" i="1"/>
  <c r="H1531" i="1"/>
  <c r="H1530" i="1"/>
  <c r="H1529" i="1"/>
  <c r="H1528" i="1"/>
  <c r="H1527" i="1"/>
  <c r="H1526" i="1"/>
  <c r="H1525" i="1"/>
  <c r="H1524" i="1"/>
  <c r="H1523" i="1"/>
  <c r="H1522" i="1"/>
  <c r="H1521" i="1"/>
  <c r="H1520" i="1"/>
  <c r="H1519" i="1"/>
  <c r="H1518" i="1"/>
  <c r="H1517" i="1"/>
  <c r="H1516" i="1"/>
  <c r="H1515" i="1"/>
  <c r="H1514" i="1"/>
  <c r="H1513" i="1"/>
  <c r="H1512" i="1"/>
  <c r="H1511" i="1"/>
  <c r="H1510" i="1"/>
  <c r="H1509" i="1"/>
  <c r="H1508" i="1"/>
  <c r="H1507" i="1"/>
  <c r="H1506" i="1"/>
  <c r="H1505" i="1"/>
  <c r="H1504" i="1"/>
  <c r="H1503" i="1"/>
  <c r="H1502" i="1"/>
  <c r="H1501" i="1"/>
  <c r="H1500" i="1"/>
  <c r="H1499" i="1"/>
  <c r="H1498" i="1"/>
  <c r="H1497" i="1"/>
  <c r="H1496" i="1"/>
  <c r="H1495" i="1"/>
  <c r="H1494" i="1"/>
  <c r="H1493" i="1"/>
  <c r="H1492" i="1"/>
  <c r="H1491" i="1"/>
  <c r="H1490" i="1"/>
  <c r="H1489" i="1"/>
  <c r="H1488" i="1"/>
  <c r="H1487" i="1"/>
  <c r="H1486" i="1"/>
  <c r="H1485" i="1"/>
  <c r="H1484" i="1"/>
  <c r="H1483" i="1"/>
  <c r="H1482" i="1"/>
  <c r="H1481" i="1"/>
  <c r="H1480" i="1"/>
  <c r="H1479" i="1"/>
  <c r="H1478" i="1"/>
  <c r="H1477" i="1"/>
  <c r="H1476" i="1"/>
  <c r="H1475" i="1"/>
  <c r="H1474" i="1"/>
  <c r="H1473" i="1"/>
  <c r="H1472" i="1"/>
  <c r="H1471" i="1"/>
  <c r="H1470" i="1"/>
  <c r="H1469" i="1"/>
  <c r="H1468" i="1"/>
  <c r="H1467" i="1"/>
  <c r="H1466" i="1"/>
  <c r="H1465" i="1"/>
  <c r="H1464" i="1"/>
  <c r="H1463" i="1"/>
  <c r="H1462" i="1"/>
  <c r="H1461" i="1"/>
  <c r="H1460" i="1"/>
  <c r="H1459" i="1"/>
  <c r="H1458" i="1"/>
  <c r="H1457" i="1"/>
  <c r="H1456" i="1"/>
  <c r="H1455" i="1"/>
  <c r="H1454" i="1"/>
  <c r="H1453" i="1"/>
  <c r="H1452" i="1"/>
  <c r="H1451" i="1"/>
  <c r="H1450" i="1"/>
  <c r="H1449" i="1"/>
  <c r="H1448" i="1"/>
  <c r="H1447" i="1"/>
  <c r="H1446" i="1"/>
  <c r="H1445" i="1"/>
  <c r="H1444" i="1"/>
  <c r="H1443" i="1"/>
  <c r="H1442" i="1"/>
  <c r="H1441" i="1"/>
  <c r="H1440" i="1"/>
  <c r="H1439" i="1"/>
  <c r="H1438" i="1"/>
  <c r="H1437" i="1"/>
  <c r="H1436" i="1"/>
  <c r="H1435" i="1"/>
  <c r="H1434" i="1"/>
  <c r="H1433" i="1"/>
  <c r="H1432" i="1"/>
  <c r="H1431" i="1"/>
  <c r="H1430" i="1"/>
  <c r="H1429" i="1"/>
  <c r="H1428" i="1"/>
  <c r="H1427" i="1"/>
  <c r="H1426" i="1"/>
  <c r="H1425" i="1"/>
  <c r="H1424" i="1"/>
  <c r="H1423" i="1"/>
  <c r="H1422" i="1"/>
  <c r="H1421" i="1"/>
  <c r="H1420" i="1"/>
  <c r="H1419" i="1"/>
  <c r="H1418" i="1"/>
  <c r="H1417" i="1"/>
  <c r="H1416" i="1"/>
  <c r="H1415" i="1"/>
  <c r="H1414" i="1"/>
  <c r="H1413" i="1"/>
  <c r="H1412" i="1"/>
  <c r="H1411" i="1"/>
  <c r="H1410" i="1"/>
  <c r="H1409" i="1"/>
  <c r="H1408" i="1"/>
  <c r="H1407" i="1"/>
  <c r="H1406" i="1"/>
  <c r="H1405" i="1"/>
  <c r="H1404" i="1"/>
  <c r="H1403" i="1"/>
  <c r="H1402" i="1"/>
  <c r="H1401" i="1"/>
  <c r="H1400" i="1"/>
  <c r="H1399" i="1"/>
  <c r="H1398" i="1"/>
  <c r="H1397" i="1"/>
  <c r="H1396" i="1"/>
  <c r="H1395" i="1"/>
  <c r="H1394" i="1"/>
  <c r="H1393" i="1"/>
  <c r="H1392" i="1"/>
  <c r="H1391" i="1"/>
  <c r="H1390" i="1"/>
  <c r="H1389" i="1"/>
  <c r="H1388" i="1"/>
  <c r="H1387" i="1"/>
  <c r="H1386" i="1"/>
  <c r="H1385" i="1"/>
  <c r="H1384" i="1"/>
  <c r="H1383" i="1"/>
  <c r="H1382" i="1"/>
  <c r="H1381" i="1"/>
  <c r="H1380" i="1"/>
  <c r="H1379" i="1"/>
  <c r="H1378" i="1"/>
  <c r="H1377" i="1"/>
  <c r="H1376" i="1"/>
  <c r="H1375" i="1"/>
  <c r="H1374" i="1"/>
  <c r="H1373" i="1"/>
  <c r="R12" i="1" s="1"/>
  <c r="S12" i="1" s="1"/>
  <c r="H1372" i="1"/>
  <c r="H1371" i="1"/>
  <c r="H1370" i="1"/>
  <c r="H1369" i="1"/>
  <c r="H1368" i="1"/>
  <c r="H1367" i="1"/>
  <c r="H1366" i="1"/>
  <c r="H1365" i="1"/>
  <c r="H1364" i="1"/>
  <c r="H1363" i="1"/>
  <c r="H1362" i="1"/>
  <c r="H1361" i="1"/>
  <c r="H1360" i="1"/>
  <c r="H1359" i="1"/>
  <c r="H1358" i="1"/>
  <c r="H1357" i="1"/>
  <c r="H1356" i="1"/>
  <c r="H1355" i="1"/>
  <c r="H1354" i="1"/>
  <c r="H1353" i="1"/>
  <c r="H1352" i="1"/>
  <c r="H1351" i="1"/>
  <c r="H1350" i="1"/>
  <c r="H1349" i="1"/>
  <c r="H1348" i="1"/>
  <c r="H1347" i="1"/>
  <c r="H1346" i="1"/>
  <c r="H1345" i="1"/>
  <c r="H1344" i="1"/>
  <c r="H1343" i="1"/>
  <c r="H1342" i="1"/>
  <c r="H1341" i="1"/>
  <c r="H1340" i="1"/>
  <c r="H1339" i="1"/>
  <c r="H1338" i="1"/>
  <c r="H1337" i="1"/>
  <c r="H1336" i="1"/>
  <c r="H1335" i="1"/>
  <c r="H1334" i="1"/>
  <c r="H1333" i="1"/>
  <c r="H1332" i="1"/>
  <c r="H1331" i="1"/>
  <c r="H1330" i="1"/>
  <c r="H1329" i="1"/>
  <c r="H1328" i="1"/>
  <c r="H1327" i="1"/>
  <c r="H1326" i="1"/>
  <c r="H1325" i="1"/>
  <c r="H1324" i="1"/>
  <c r="H1323" i="1"/>
  <c r="H1322" i="1"/>
  <c r="H1321" i="1"/>
  <c r="H1320" i="1"/>
  <c r="H1319" i="1"/>
  <c r="H1318" i="1"/>
  <c r="H1317" i="1"/>
  <c r="H1316" i="1"/>
  <c r="H1315" i="1"/>
  <c r="H1314" i="1"/>
  <c r="H1313" i="1"/>
  <c r="H1312" i="1"/>
  <c r="H1311" i="1"/>
  <c r="H1310" i="1"/>
  <c r="H1309" i="1"/>
  <c r="P12" i="1" s="1"/>
  <c r="H1308" i="1"/>
  <c r="H1307" i="1"/>
  <c r="H1306" i="1"/>
  <c r="H1305" i="1"/>
  <c r="H1304" i="1"/>
  <c r="H1303" i="1"/>
  <c r="H1302" i="1"/>
  <c r="H1301" i="1"/>
  <c r="H1300" i="1"/>
  <c r="H1299" i="1"/>
  <c r="H1298" i="1"/>
  <c r="H1297" i="1"/>
  <c r="H1296" i="1"/>
  <c r="H1295" i="1"/>
  <c r="H1294" i="1"/>
  <c r="H1293" i="1"/>
  <c r="H1292" i="1"/>
  <c r="H1291" i="1"/>
  <c r="H1290" i="1"/>
  <c r="H1289" i="1"/>
  <c r="H1288" i="1"/>
  <c r="H1287" i="1"/>
  <c r="H1286" i="1"/>
  <c r="H1285" i="1"/>
  <c r="H1284" i="1"/>
  <c r="H1283" i="1"/>
  <c r="R11" i="1" s="1"/>
  <c r="H1282" i="1"/>
  <c r="H1281" i="1"/>
  <c r="H1280" i="1"/>
  <c r="H1279" i="1"/>
  <c r="H1278" i="1"/>
  <c r="H1277" i="1"/>
  <c r="H1276" i="1"/>
  <c r="H1275" i="1"/>
  <c r="H1274" i="1"/>
  <c r="H1273" i="1"/>
  <c r="H1272" i="1"/>
  <c r="H1271" i="1"/>
  <c r="H1270" i="1"/>
  <c r="H1269" i="1"/>
  <c r="H1268" i="1"/>
  <c r="H1267" i="1"/>
  <c r="H1266" i="1"/>
  <c r="H1265" i="1"/>
  <c r="H1264" i="1"/>
  <c r="H1263" i="1"/>
  <c r="H1262" i="1"/>
  <c r="H1261" i="1"/>
  <c r="H1260" i="1"/>
  <c r="H1259" i="1"/>
  <c r="H1258" i="1"/>
  <c r="H1257" i="1"/>
  <c r="H1256" i="1"/>
  <c r="H1255" i="1"/>
  <c r="H1254" i="1"/>
  <c r="H1253" i="1"/>
  <c r="H1252" i="1"/>
  <c r="H1251" i="1"/>
  <c r="H1250" i="1"/>
  <c r="H1249" i="1"/>
  <c r="H1248" i="1"/>
  <c r="H1247" i="1"/>
  <c r="H1246" i="1"/>
  <c r="H1245" i="1"/>
  <c r="H1244" i="1"/>
  <c r="H1243" i="1"/>
  <c r="H1242" i="1"/>
  <c r="H1241" i="1"/>
  <c r="H1240" i="1"/>
  <c r="H1239" i="1"/>
  <c r="H1238" i="1"/>
  <c r="H1237" i="1"/>
  <c r="H1236" i="1"/>
  <c r="H1235" i="1"/>
  <c r="H1234" i="1"/>
  <c r="H1233" i="1"/>
  <c r="H1232" i="1"/>
  <c r="H1231" i="1"/>
  <c r="H1230" i="1"/>
  <c r="H1229" i="1"/>
  <c r="H1228" i="1"/>
  <c r="H1227" i="1"/>
  <c r="H1226" i="1"/>
  <c r="H1225" i="1"/>
  <c r="H1224" i="1"/>
  <c r="H1223" i="1"/>
  <c r="H1222" i="1"/>
  <c r="H1221" i="1"/>
  <c r="H1220" i="1"/>
  <c r="H1219" i="1"/>
  <c r="H1218" i="1"/>
  <c r="H1217" i="1"/>
  <c r="H1216" i="1"/>
  <c r="H1215" i="1"/>
  <c r="H1214" i="1"/>
  <c r="H1213" i="1"/>
  <c r="H1212" i="1"/>
  <c r="H1211" i="1"/>
  <c r="H1210" i="1"/>
  <c r="H1209" i="1"/>
  <c r="H1208" i="1"/>
  <c r="H1207" i="1"/>
  <c r="H1206" i="1"/>
  <c r="H1205" i="1"/>
  <c r="H1204" i="1"/>
  <c r="H1203" i="1"/>
  <c r="H1202" i="1"/>
  <c r="H1201" i="1"/>
  <c r="H1200" i="1"/>
  <c r="H1199" i="1"/>
  <c r="H1198" i="1"/>
  <c r="H1197" i="1"/>
  <c r="H1196" i="1"/>
  <c r="H1195" i="1"/>
  <c r="H1194" i="1"/>
  <c r="H1193" i="1"/>
  <c r="H1192" i="1"/>
  <c r="H1191" i="1"/>
  <c r="H1190" i="1"/>
  <c r="H1189" i="1"/>
  <c r="H1188" i="1"/>
  <c r="H1187" i="1"/>
  <c r="H1186" i="1"/>
  <c r="H1185" i="1"/>
  <c r="H1184" i="1"/>
  <c r="H1183" i="1"/>
  <c r="H1182" i="1"/>
  <c r="H1181" i="1"/>
  <c r="H1180" i="1"/>
  <c r="H1179" i="1"/>
  <c r="H1178" i="1"/>
  <c r="H1177" i="1"/>
  <c r="H1176" i="1"/>
  <c r="H1175" i="1"/>
  <c r="H1174" i="1"/>
  <c r="H1173" i="1"/>
  <c r="H1172" i="1"/>
  <c r="H1171" i="1"/>
  <c r="H1170" i="1"/>
  <c r="H1169" i="1"/>
  <c r="H1168" i="1"/>
  <c r="H1167" i="1"/>
  <c r="H1166" i="1"/>
  <c r="H1165" i="1"/>
  <c r="H1164" i="1"/>
  <c r="H1163" i="1"/>
  <c r="H1162" i="1"/>
  <c r="H1161" i="1"/>
  <c r="H1160" i="1"/>
  <c r="H1159" i="1"/>
  <c r="H1158" i="1"/>
  <c r="H1157" i="1"/>
  <c r="H1156" i="1"/>
  <c r="H1155" i="1"/>
  <c r="H1154" i="1"/>
  <c r="H1153" i="1"/>
  <c r="H1152" i="1"/>
  <c r="H1151" i="1"/>
  <c r="H1150" i="1"/>
  <c r="H1149" i="1"/>
  <c r="H1148" i="1"/>
  <c r="H1147" i="1"/>
  <c r="H1146" i="1"/>
  <c r="H1145" i="1"/>
  <c r="H1144" i="1"/>
  <c r="H1143" i="1"/>
  <c r="H1142" i="1"/>
  <c r="H1141" i="1"/>
  <c r="H1140" i="1"/>
  <c r="H1139" i="1"/>
  <c r="H1138" i="1"/>
  <c r="H1137" i="1"/>
  <c r="H1136" i="1"/>
  <c r="H1135" i="1"/>
  <c r="H1134" i="1"/>
  <c r="H1133" i="1"/>
  <c r="H1132" i="1"/>
  <c r="H1131" i="1"/>
  <c r="H1130" i="1"/>
  <c r="H1129" i="1"/>
  <c r="H1128" i="1"/>
  <c r="H1127" i="1"/>
  <c r="H1126" i="1"/>
  <c r="H1125" i="1"/>
  <c r="H1124" i="1"/>
  <c r="H1123" i="1"/>
  <c r="H1122" i="1"/>
  <c r="H1121" i="1"/>
  <c r="H1120" i="1"/>
  <c r="H1119" i="1"/>
  <c r="H1118" i="1"/>
  <c r="H1117" i="1"/>
  <c r="H1116" i="1"/>
  <c r="H1115" i="1"/>
  <c r="H1114" i="1"/>
  <c r="H1113" i="1"/>
  <c r="H1112" i="1"/>
  <c r="H1111" i="1"/>
  <c r="H1110" i="1"/>
  <c r="H1109" i="1"/>
  <c r="H1108" i="1"/>
  <c r="H1107" i="1"/>
  <c r="H1106" i="1"/>
  <c r="H1105" i="1"/>
  <c r="H1104" i="1"/>
  <c r="H1103" i="1"/>
  <c r="H1102" i="1"/>
  <c r="H1101" i="1"/>
  <c r="H1100" i="1"/>
  <c r="H1099" i="1"/>
  <c r="H1098" i="1"/>
  <c r="H1097" i="1"/>
  <c r="H1096" i="1"/>
  <c r="H1095" i="1"/>
  <c r="H1094" i="1"/>
  <c r="H1093" i="1"/>
  <c r="H1092" i="1"/>
  <c r="H1091" i="1"/>
  <c r="H1090" i="1"/>
  <c r="H1089" i="1"/>
  <c r="H1088" i="1"/>
  <c r="H1087" i="1"/>
  <c r="H1086" i="1"/>
  <c r="H1085" i="1"/>
  <c r="H1084" i="1"/>
  <c r="H1083" i="1"/>
  <c r="H1082" i="1"/>
  <c r="H1081" i="1"/>
  <c r="H1080" i="1"/>
  <c r="H1079" i="1"/>
  <c r="H1078" i="1"/>
  <c r="H1077" i="1"/>
  <c r="H1076" i="1"/>
  <c r="H1075" i="1"/>
  <c r="H1074" i="1"/>
  <c r="H1073" i="1"/>
  <c r="H1072" i="1"/>
  <c r="H1071" i="1"/>
  <c r="H1070" i="1"/>
  <c r="H1069" i="1"/>
  <c r="H1068" i="1"/>
  <c r="H1067" i="1"/>
  <c r="H1066" i="1"/>
  <c r="H1065" i="1"/>
  <c r="H1064" i="1"/>
  <c r="H1063" i="1"/>
  <c r="H1062" i="1"/>
  <c r="H1061" i="1"/>
  <c r="H1060" i="1"/>
  <c r="H1059" i="1"/>
  <c r="H1058" i="1"/>
  <c r="H1057" i="1"/>
  <c r="H1056" i="1"/>
  <c r="H1055" i="1"/>
  <c r="H1054" i="1"/>
  <c r="H1053" i="1"/>
  <c r="H1052" i="1"/>
  <c r="H1051" i="1"/>
  <c r="H1050" i="1"/>
  <c r="H1049" i="1"/>
  <c r="H1048" i="1"/>
  <c r="H1047" i="1"/>
  <c r="H1046" i="1"/>
  <c r="H1045" i="1"/>
  <c r="H1044" i="1"/>
  <c r="H1043" i="1"/>
  <c r="H1042" i="1"/>
  <c r="H1041" i="1"/>
  <c r="H1040" i="1"/>
  <c r="H1039" i="1"/>
  <c r="H1038" i="1"/>
  <c r="H1037" i="1"/>
  <c r="H1036" i="1"/>
  <c r="H1035" i="1"/>
  <c r="H1034" i="1"/>
  <c r="H1033" i="1"/>
  <c r="H1032" i="1"/>
  <c r="H1031" i="1"/>
  <c r="H1030" i="1"/>
  <c r="H1029" i="1"/>
  <c r="H1028" i="1"/>
  <c r="H1027" i="1"/>
  <c r="H1026" i="1"/>
  <c r="H1025" i="1"/>
  <c r="H1024" i="1"/>
  <c r="H1023" i="1"/>
  <c r="H1022" i="1"/>
  <c r="H1021" i="1"/>
  <c r="H1020" i="1"/>
  <c r="H1019" i="1"/>
  <c r="H1018" i="1"/>
  <c r="H1017" i="1"/>
  <c r="H1016" i="1"/>
  <c r="H1015" i="1"/>
  <c r="H1014" i="1"/>
  <c r="H1013" i="1"/>
  <c r="H1012" i="1"/>
  <c r="H1011" i="1"/>
  <c r="H1010" i="1"/>
  <c r="H1009" i="1"/>
  <c r="H1008" i="1"/>
  <c r="H1007" i="1"/>
  <c r="H1006" i="1"/>
  <c r="H1005" i="1"/>
  <c r="H1004" i="1"/>
  <c r="H1003" i="1"/>
  <c r="H1002" i="1"/>
  <c r="H1001" i="1"/>
  <c r="H1000" i="1"/>
  <c r="H999" i="1"/>
  <c r="H998" i="1"/>
  <c r="H997" i="1"/>
  <c r="H996" i="1"/>
  <c r="H995" i="1"/>
  <c r="H994" i="1"/>
  <c r="H993" i="1"/>
  <c r="H992" i="1"/>
  <c r="H991" i="1"/>
  <c r="H990" i="1"/>
  <c r="H989" i="1"/>
  <c r="H988" i="1"/>
  <c r="H987" i="1"/>
  <c r="H986" i="1"/>
  <c r="H985" i="1"/>
  <c r="H984" i="1"/>
  <c r="H983" i="1"/>
  <c r="H982" i="1"/>
  <c r="H981" i="1"/>
  <c r="H980" i="1"/>
  <c r="H979" i="1"/>
  <c r="H978" i="1"/>
  <c r="H977" i="1"/>
  <c r="H976" i="1"/>
  <c r="H975" i="1"/>
  <c r="H974" i="1"/>
  <c r="H973" i="1"/>
  <c r="H972" i="1"/>
  <c r="H971" i="1"/>
  <c r="H970" i="1"/>
  <c r="H969" i="1"/>
  <c r="H968" i="1"/>
  <c r="H967" i="1"/>
  <c r="H966" i="1"/>
  <c r="H965" i="1"/>
  <c r="H964" i="1"/>
  <c r="H963" i="1"/>
  <c r="H962" i="1"/>
  <c r="H961" i="1"/>
  <c r="H960" i="1"/>
  <c r="H959" i="1"/>
  <c r="H958" i="1"/>
  <c r="H957" i="1"/>
  <c r="H956" i="1"/>
  <c r="H955" i="1"/>
  <c r="H954" i="1"/>
  <c r="H953" i="1"/>
  <c r="H952" i="1"/>
  <c r="H951" i="1"/>
  <c r="H950" i="1"/>
  <c r="H949" i="1"/>
  <c r="H948" i="1"/>
  <c r="H947" i="1"/>
  <c r="H946" i="1"/>
  <c r="H945" i="1"/>
  <c r="H944" i="1"/>
  <c r="H943" i="1"/>
  <c r="H942" i="1"/>
  <c r="H941" i="1"/>
  <c r="H940" i="1"/>
  <c r="H939" i="1"/>
  <c r="H938" i="1"/>
  <c r="H937" i="1"/>
  <c r="H936" i="1"/>
  <c r="H935" i="1"/>
  <c r="H934" i="1"/>
  <c r="H933" i="1"/>
  <c r="H932" i="1"/>
  <c r="H931" i="1"/>
  <c r="H930" i="1"/>
  <c r="H929" i="1"/>
  <c r="H928" i="1"/>
  <c r="H927" i="1"/>
  <c r="H926" i="1"/>
  <c r="H925" i="1"/>
  <c r="H924" i="1"/>
  <c r="H923" i="1"/>
  <c r="H922" i="1"/>
  <c r="H921" i="1"/>
  <c r="H920" i="1"/>
  <c r="H919" i="1"/>
  <c r="H918" i="1"/>
  <c r="H917" i="1"/>
  <c r="H916" i="1"/>
  <c r="H915" i="1"/>
  <c r="H914" i="1"/>
  <c r="H913" i="1"/>
  <c r="H912" i="1"/>
  <c r="H911" i="1"/>
  <c r="H910" i="1"/>
  <c r="H909" i="1"/>
  <c r="H908" i="1"/>
  <c r="H907" i="1"/>
  <c r="H906" i="1"/>
  <c r="H905" i="1"/>
  <c r="H904" i="1"/>
  <c r="H903" i="1"/>
  <c r="H902" i="1"/>
  <c r="H901" i="1"/>
  <c r="H900" i="1"/>
  <c r="H899" i="1"/>
  <c r="H898" i="1"/>
  <c r="H897" i="1"/>
  <c r="H896" i="1"/>
  <c r="H895" i="1"/>
  <c r="H894" i="1"/>
  <c r="H893" i="1"/>
  <c r="H892" i="1"/>
  <c r="H891" i="1"/>
  <c r="H890" i="1"/>
  <c r="H889" i="1"/>
  <c r="H888" i="1"/>
  <c r="H887" i="1"/>
  <c r="H886" i="1"/>
  <c r="H885" i="1"/>
  <c r="H884" i="1"/>
  <c r="H883" i="1"/>
  <c r="H882" i="1"/>
  <c r="H881" i="1"/>
  <c r="H880" i="1"/>
  <c r="H879" i="1"/>
  <c r="H878" i="1"/>
  <c r="H877" i="1"/>
  <c r="H876" i="1"/>
  <c r="H875" i="1"/>
  <c r="H874" i="1"/>
  <c r="H873" i="1"/>
  <c r="H872" i="1"/>
  <c r="H871" i="1"/>
  <c r="H870" i="1"/>
  <c r="H869" i="1"/>
  <c r="H868" i="1"/>
  <c r="H867" i="1"/>
  <c r="H866" i="1"/>
  <c r="H865" i="1"/>
  <c r="H864" i="1"/>
  <c r="H863" i="1"/>
  <c r="H862" i="1"/>
  <c r="H861" i="1"/>
  <c r="H860" i="1"/>
  <c r="H859" i="1"/>
  <c r="H858" i="1"/>
  <c r="H857" i="1"/>
  <c r="H856" i="1"/>
  <c r="H855" i="1"/>
  <c r="H854" i="1"/>
  <c r="H853" i="1"/>
  <c r="H852" i="1"/>
  <c r="H851" i="1"/>
  <c r="H850" i="1"/>
  <c r="H849" i="1"/>
  <c r="H848" i="1"/>
  <c r="H847" i="1"/>
  <c r="H846" i="1"/>
  <c r="H845" i="1"/>
  <c r="H844" i="1"/>
  <c r="H843" i="1"/>
  <c r="H842" i="1"/>
  <c r="H841" i="1"/>
  <c r="H840" i="1"/>
  <c r="H839" i="1"/>
  <c r="H838" i="1"/>
  <c r="H837" i="1"/>
  <c r="H836" i="1"/>
  <c r="H835" i="1"/>
  <c r="H834" i="1"/>
  <c r="H833" i="1"/>
  <c r="H832" i="1"/>
  <c r="H831" i="1"/>
  <c r="H830" i="1"/>
  <c r="H829" i="1"/>
  <c r="H828" i="1"/>
  <c r="H827" i="1"/>
  <c r="H826" i="1"/>
  <c r="H825" i="1"/>
  <c r="H824" i="1"/>
  <c r="H823" i="1"/>
  <c r="H822" i="1"/>
  <c r="H821" i="1"/>
  <c r="H820" i="1"/>
  <c r="H819" i="1"/>
  <c r="H818" i="1"/>
  <c r="H817" i="1"/>
  <c r="H816" i="1"/>
  <c r="H815" i="1"/>
  <c r="H814" i="1"/>
  <c r="H813" i="1"/>
  <c r="H812" i="1"/>
  <c r="H811" i="1"/>
  <c r="H810" i="1"/>
  <c r="H809" i="1"/>
  <c r="H808" i="1"/>
  <c r="H807" i="1"/>
  <c r="H806" i="1"/>
  <c r="H805" i="1"/>
  <c r="H804" i="1"/>
  <c r="H803" i="1"/>
  <c r="H802" i="1"/>
  <c r="H801" i="1"/>
  <c r="H800" i="1"/>
  <c r="H799" i="1"/>
  <c r="H798" i="1"/>
  <c r="H797" i="1"/>
  <c r="H796" i="1"/>
  <c r="H795" i="1"/>
  <c r="H794" i="1"/>
  <c r="H793" i="1"/>
  <c r="H792" i="1"/>
  <c r="H791" i="1"/>
  <c r="H790" i="1"/>
  <c r="H789" i="1"/>
  <c r="H788" i="1"/>
  <c r="H787" i="1"/>
  <c r="H786" i="1"/>
  <c r="H785" i="1"/>
  <c r="H784" i="1"/>
  <c r="H783" i="1"/>
  <c r="H782" i="1"/>
  <c r="H781" i="1"/>
  <c r="H780" i="1"/>
  <c r="H779" i="1"/>
  <c r="H778" i="1"/>
  <c r="H777" i="1"/>
  <c r="H776" i="1"/>
  <c r="H775" i="1"/>
  <c r="H774" i="1"/>
  <c r="H773" i="1"/>
  <c r="H772" i="1"/>
  <c r="H771" i="1"/>
  <c r="H770" i="1"/>
  <c r="H769" i="1"/>
  <c r="H768" i="1"/>
  <c r="H767" i="1"/>
  <c r="H766" i="1"/>
  <c r="H765" i="1"/>
  <c r="H764" i="1"/>
  <c r="H763" i="1"/>
  <c r="H762" i="1"/>
  <c r="H761" i="1"/>
  <c r="H760" i="1"/>
  <c r="H759" i="1"/>
  <c r="H758" i="1"/>
  <c r="H757" i="1"/>
  <c r="H756" i="1"/>
  <c r="H755" i="1"/>
  <c r="H754" i="1"/>
  <c r="H753" i="1"/>
  <c r="H752" i="1"/>
  <c r="H751" i="1"/>
  <c r="H750" i="1"/>
  <c r="H749" i="1"/>
  <c r="H748" i="1"/>
  <c r="H747" i="1"/>
  <c r="H746" i="1"/>
  <c r="H745" i="1"/>
  <c r="H744" i="1"/>
  <c r="H743" i="1"/>
  <c r="H742" i="1"/>
  <c r="H741" i="1"/>
  <c r="H740" i="1"/>
  <c r="H739" i="1"/>
  <c r="H738" i="1"/>
  <c r="H737" i="1"/>
  <c r="H736" i="1"/>
  <c r="H735" i="1"/>
  <c r="H734" i="1"/>
  <c r="H733" i="1"/>
  <c r="P10" i="1" s="1"/>
  <c r="Q10" i="1" s="1"/>
  <c r="H732" i="1"/>
  <c r="H731" i="1"/>
  <c r="H730" i="1"/>
  <c r="H729" i="1"/>
  <c r="H728" i="1"/>
  <c r="H727" i="1"/>
  <c r="H726" i="1"/>
  <c r="H725" i="1"/>
  <c r="H724" i="1"/>
  <c r="H723" i="1"/>
  <c r="H722" i="1"/>
  <c r="H721" i="1"/>
  <c r="H720" i="1"/>
  <c r="H719" i="1"/>
  <c r="H718" i="1"/>
  <c r="H717" i="1"/>
  <c r="H716" i="1"/>
  <c r="H715" i="1"/>
  <c r="H714" i="1"/>
  <c r="H713" i="1"/>
  <c r="H712" i="1"/>
  <c r="H711" i="1"/>
  <c r="H710" i="1"/>
  <c r="H709" i="1"/>
  <c r="H708" i="1"/>
  <c r="H707" i="1"/>
  <c r="H706" i="1"/>
  <c r="H705" i="1"/>
  <c r="H704" i="1"/>
  <c r="H703" i="1"/>
  <c r="H702" i="1"/>
  <c r="H701" i="1"/>
  <c r="H700" i="1"/>
  <c r="H699" i="1"/>
  <c r="H698" i="1"/>
  <c r="H697" i="1"/>
  <c r="H696" i="1"/>
  <c r="H695" i="1"/>
  <c r="H694" i="1"/>
  <c r="H693" i="1"/>
  <c r="H692" i="1"/>
  <c r="H691" i="1"/>
  <c r="H690" i="1"/>
  <c r="H689" i="1"/>
  <c r="H688" i="1"/>
  <c r="H687" i="1"/>
  <c r="H686" i="1"/>
  <c r="H685" i="1"/>
  <c r="H684" i="1"/>
  <c r="H683" i="1"/>
  <c r="H682" i="1"/>
  <c r="H681" i="1"/>
  <c r="H680" i="1"/>
  <c r="H679" i="1"/>
  <c r="H678" i="1"/>
  <c r="H677" i="1"/>
  <c r="H676" i="1"/>
  <c r="H675" i="1"/>
  <c r="H674" i="1"/>
  <c r="H673" i="1"/>
  <c r="H672" i="1"/>
  <c r="H671" i="1"/>
  <c r="H670" i="1"/>
  <c r="H669" i="1"/>
  <c r="H668" i="1"/>
  <c r="H667" i="1"/>
  <c r="H666" i="1"/>
  <c r="H665" i="1"/>
  <c r="H664" i="1"/>
  <c r="H663" i="1"/>
  <c r="H662" i="1"/>
  <c r="H661" i="1"/>
  <c r="H660" i="1"/>
  <c r="H659" i="1"/>
  <c r="H658" i="1"/>
  <c r="H657" i="1"/>
  <c r="H656" i="1"/>
  <c r="H655" i="1"/>
  <c r="H654" i="1"/>
  <c r="H653" i="1"/>
  <c r="H652" i="1"/>
  <c r="H651" i="1"/>
  <c r="H650" i="1"/>
  <c r="H649" i="1"/>
  <c r="H648" i="1"/>
  <c r="H647" i="1"/>
  <c r="H646" i="1"/>
  <c r="H645" i="1"/>
  <c r="H644" i="1"/>
  <c r="H643" i="1"/>
  <c r="H642" i="1"/>
  <c r="H641" i="1"/>
  <c r="H640" i="1"/>
  <c r="H639" i="1"/>
  <c r="H638" i="1"/>
  <c r="H637" i="1"/>
  <c r="H636" i="1"/>
  <c r="H635" i="1"/>
  <c r="H634" i="1"/>
  <c r="H633" i="1"/>
  <c r="H632" i="1"/>
  <c r="H631" i="1"/>
  <c r="H630" i="1"/>
  <c r="H629" i="1"/>
  <c r="H628" i="1"/>
  <c r="H627" i="1"/>
  <c r="H626" i="1"/>
  <c r="H625" i="1"/>
  <c r="H624" i="1"/>
  <c r="H623" i="1"/>
  <c r="H622" i="1"/>
  <c r="H621" i="1"/>
  <c r="H620" i="1"/>
  <c r="H619" i="1"/>
  <c r="H618" i="1"/>
  <c r="H617" i="1"/>
  <c r="H616" i="1"/>
  <c r="H615" i="1"/>
  <c r="H614" i="1"/>
  <c r="H613" i="1"/>
  <c r="H612" i="1"/>
  <c r="H611" i="1"/>
  <c r="H610" i="1"/>
  <c r="H609" i="1"/>
  <c r="H608" i="1"/>
  <c r="H607" i="1"/>
  <c r="H606" i="1"/>
  <c r="H605" i="1"/>
  <c r="H604" i="1"/>
  <c r="H603" i="1"/>
  <c r="H602" i="1"/>
  <c r="H601" i="1"/>
  <c r="H600" i="1"/>
  <c r="H599" i="1"/>
  <c r="H598" i="1"/>
  <c r="H597" i="1"/>
  <c r="H596" i="1"/>
  <c r="H595" i="1"/>
  <c r="H594" i="1"/>
  <c r="H593" i="1"/>
  <c r="H592" i="1"/>
  <c r="H591" i="1"/>
  <c r="H590" i="1"/>
  <c r="H589" i="1"/>
  <c r="H588" i="1"/>
  <c r="H587" i="1"/>
  <c r="H586" i="1"/>
  <c r="H585" i="1"/>
  <c r="H584" i="1"/>
  <c r="H583" i="1"/>
  <c r="H582" i="1"/>
  <c r="H581" i="1"/>
  <c r="H580" i="1"/>
  <c r="H579" i="1"/>
  <c r="H578" i="1"/>
  <c r="H577" i="1"/>
  <c r="H576" i="1"/>
  <c r="H575" i="1"/>
  <c r="H574" i="1"/>
  <c r="H573" i="1"/>
  <c r="H572" i="1"/>
  <c r="H571" i="1"/>
  <c r="H570" i="1"/>
  <c r="H569" i="1"/>
  <c r="H568" i="1"/>
  <c r="H567" i="1"/>
  <c r="H566" i="1"/>
  <c r="H565" i="1"/>
  <c r="H564" i="1"/>
  <c r="H563" i="1"/>
  <c r="H562" i="1"/>
  <c r="H561" i="1"/>
  <c r="H560" i="1"/>
  <c r="H559" i="1"/>
  <c r="H558" i="1"/>
  <c r="H557" i="1"/>
  <c r="H556" i="1"/>
  <c r="H555" i="1"/>
  <c r="H554" i="1"/>
  <c r="H553" i="1"/>
  <c r="H552" i="1"/>
  <c r="H551" i="1"/>
  <c r="H550" i="1"/>
  <c r="H549" i="1"/>
  <c r="H548" i="1"/>
  <c r="H547" i="1"/>
  <c r="H546" i="1"/>
  <c r="H545" i="1"/>
  <c r="H544" i="1"/>
  <c r="H543" i="1"/>
  <c r="H542" i="1"/>
  <c r="H541" i="1"/>
  <c r="H540" i="1"/>
  <c r="H539" i="1"/>
  <c r="H538" i="1"/>
  <c r="H537" i="1"/>
  <c r="H536" i="1"/>
  <c r="H535" i="1"/>
  <c r="H534" i="1"/>
  <c r="H533" i="1"/>
  <c r="H532" i="1"/>
  <c r="H531" i="1"/>
  <c r="H530" i="1"/>
  <c r="H529" i="1"/>
  <c r="H528" i="1"/>
  <c r="H527" i="1"/>
  <c r="H526" i="1"/>
  <c r="H525" i="1"/>
  <c r="H524" i="1"/>
  <c r="H523" i="1"/>
  <c r="H522" i="1"/>
  <c r="H521" i="1"/>
  <c r="H520" i="1"/>
  <c r="H519" i="1"/>
  <c r="H518" i="1"/>
  <c r="H517" i="1"/>
  <c r="H516" i="1"/>
  <c r="H515" i="1"/>
  <c r="H514" i="1"/>
  <c r="H513" i="1"/>
  <c r="H512" i="1"/>
  <c r="H511" i="1"/>
  <c r="H510" i="1"/>
  <c r="H509" i="1"/>
  <c r="H508" i="1"/>
  <c r="H507" i="1"/>
  <c r="H506" i="1"/>
  <c r="H505" i="1"/>
  <c r="H504" i="1"/>
  <c r="H503" i="1"/>
  <c r="H502" i="1"/>
  <c r="H501" i="1"/>
  <c r="H500" i="1"/>
  <c r="H499" i="1"/>
  <c r="H498" i="1"/>
  <c r="H497" i="1"/>
  <c r="H496" i="1"/>
  <c r="H495" i="1"/>
  <c r="H494" i="1"/>
  <c r="H493" i="1"/>
  <c r="H492" i="1"/>
  <c r="H491" i="1"/>
  <c r="H490" i="1"/>
  <c r="H489" i="1"/>
  <c r="H488" i="1"/>
  <c r="H487" i="1"/>
  <c r="H486" i="1"/>
  <c r="H485" i="1"/>
  <c r="H484" i="1"/>
  <c r="H483" i="1"/>
  <c r="H482" i="1"/>
  <c r="H481" i="1"/>
  <c r="H480" i="1"/>
  <c r="H479" i="1"/>
  <c r="H478" i="1"/>
  <c r="H477" i="1"/>
  <c r="H476" i="1"/>
  <c r="H475" i="1"/>
  <c r="H474" i="1"/>
  <c r="H473" i="1"/>
  <c r="H472" i="1"/>
  <c r="H471" i="1"/>
  <c r="H470" i="1"/>
  <c r="H469" i="1"/>
  <c r="H468" i="1"/>
  <c r="H467" i="1"/>
  <c r="H466" i="1"/>
  <c r="H465" i="1"/>
  <c r="H464" i="1"/>
  <c r="H463" i="1"/>
  <c r="R9" i="1" s="1"/>
  <c r="H462" i="1"/>
  <c r="H461" i="1"/>
  <c r="N22" i="1" s="1"/>
  <c r="H460" i="1"/>
  <c r="H459" i="1"/>
  <c r="H458" i="1"/>
  <c r="H457" i="1"/>
  <c r="H456" i="1"/>
  <c r="H455" i="1"/>
  <c r="H454" i="1"/>
  <c r="H453" i="1"/>
  <c r="H452" i="1"/>
  <c r="H451" i="1"/>
  <c r="H450" i="1"/>
  <c r="H449" i="1"/>
  <c r="H448" i="1"/>
  <c r="H447" i="1"/>
  <c r="H446" i="1"/>
  <c r="H445" i="1"/>
  <c r="H444" i="1"/>
  <c r="H443" i="1"/>
  <c r="H442" i="1"/>
  <c r="H441" i="1"/>
  <c r="H440" i="1"/>
  <c r="H439" i="1"/>
  <c r="H438" i="1"/>
  <c r="H437" i="1"/>
  <c r="H436" i="1"/>
  <c r="H435" i="1"/>
  <c r="H434" i="1"/>
  <c r="H433" i="1"/>
  <c r="H432" i="1"/>
  <c r="H431" i="1"/>
  <c r="H430" i="1"/>
  <c r="H429" i="1"/>
  <c r="H428" i="1"/>
  <c r="H427" i="1"/>
  <c r="H426" i="1"/>
  <c r="H425" i="1"/>
  <c r="H424" i="1"/>
  <c r="H423" i="1"/>
  <c r="R7" i="1" s="1"/>
  <c r="S7" i="1" s="1"/>
  <c r="H422" i="1"/>
  <c r="H421" i="1"/>
  <c r="P7" i="1" s="1"/>
  <c r="H420" i="1"/>
  <c r="H419" i="1"/>
  <c r="H418" i="1"/>
  <c r="H417" i="1"/>
  <c r="H416" i="1"/>
  <c r="H415" i="1"/>
  <c r="H414" i="1"/>
  <c r="H413" i="1"/>
  <c r="H412" i="1"/>
  <c r="H411" i="1"/>
  <c r="H410" i="1"/>
  <c r="H409" i="1"/>
  <c r="H408" i="1"/>
  <c r="H407" i="1"/>
  <c r="H406" i="1"/>
  <c r="H405" i="1"/>
  <c r="H404" i="1"/>
  <c r="H403" i="1"/>
  <c r="H402" i="1"/>
  <c r="H401" i="1"/>
  <c r="H400" i="1"/>
  <c r="H399" i="1"/>
  <c r="H398" i="1"/>
  <c r="H397" i="1"/>
  <c r="H396" i="1"/>
  <c r="H395" i="1"/>
  <c r="H394" i="1"/>
  <c r="H393" i="1"/>
  <c r="R6" i="1" s="1"/>
  <c r="S6" i="1" s="1"/>
  <c r="H392" i="1"/>
  <c r="H391" i="1"/>
  <c r="H390" i="1"/>
  <c r="H389" i="1"/>
  <c r="H388" i="1"/>
  <c r="H387" i="1"/>
  <c r="H386" i="1"/>
  <c r="P6" i="1" s="1"/>
  <c r="H385" i="1"/>
  <c r="H384" i="1"/>
  <c r="H383" i="1"/>
  <c r="H382" i="1"/>
  <c r="H381" i="1"/>
  <c r="H380" i="1"/>
  <c r="H379" i="1"/>
  <c r="H378" i="1"/>
  <c r="H377" i="1"/>
  <c r="H376" i="1"/>
  <c r="H375" i="1"/>
  <c r="H374" i="1"/>
  <c r="H373" i="1"/>
  <c r="H372" i="1"/>
  <c r="H371" i="1"/>
  <c r="H370" i="1"/>
  <c r="H369" i="1"/>
  <c r="H368" i="1"/>
  <c r="H367" i="1"/>
  <c r="H366" i="1"/>
  <c r="H365" i="1"/>
  <c r="H364" i="1"/>
  <c r="H363" i="1"/>
  <c r="H362" i="1"/>
  <c r="H361" i="1"/>
  <c r="H360" i="1"/>
  <c r="H359" i="1"/>
  <c r="H358" i="1"/>
  <c r="H357" i="1"/>
  <c r="H356" i="1"/>
  <c r="R5" i="1" s="1"/>
  <c r="H355" i="1"/>
  <c r="H354" i="1"/>
  <c r="H353" i="1"/>
  <c r="H352" i="1"/>
  <c r="H351" i="1"/>
  <c r="H350" i="1"/>
  <c r="H349" i="1"/>
  <c r="H348" i="1"/>
  <c r="H347" i="1"/>
  <c r="H346" i="1"/>
  <c r="H345" i="1"/>
  <c r="H344" i="1"/>
  <c r="H343" i="1"/>
  <c r="H342" i="1"/>
  <c r="H341" i="1"/>
  <c r="H340" i="1"/>
  <c r="H339" i="1"/>
  <c r="H338" i="1"/>
  <c r="H337" i="1"/>
  <c r="H336" i="1"/>
  <c r="H335" i="1"/>
  <c r="H334" i="1"/>
  <c r="H333" i="1"/>
  <c r="H332" i="1"/>
  <c r="H331" i="1"/>
  <c r="H330" i="1"/>
  <c r="H329" i="1"/>
  <c r="H328" i="1"/>
  <c r="H327" i="1"/>
  <c r="H326" i="1"/>
  <c r="H325" i="1"/>
  <c r="H324" i="1"/>
  <c r="H323" i="1"/>
  <c r="H322" i="1"/>
  <c r="H321" i="1"/>
  <c r="H320" i="1"/>
  <c r="H319" i="1"/>
  <c r="H318" i="1"/>
  <c r="H317" i="1"/>
  <c r="H316" i="1"/>
  <c r="H315" i="1"/>
  <c r="H314" i="1"/>
  <c r="H313" i="1"/>
  <c r="H312" i="1"/>
  <c r="H311" i="1"/>
  <c r="H310" i="1"/>
  <c r="H309" i="1"/>
  <c r="H308" i="1"/>
  <c r="H307" i="1"/>
  <c r="H306" i="1"/>
  <c r="H305" i="1"/>
  <c r="H304" i="1"/>
  <c r="H303" i="1"/>
  <c r="R4" i="1" s="1"/>
  <c r="S4" i="1" s="1"/>
  <c r="H302" i="1"/>
  <c r="H301" i="1"/>
  <c r="H300" i="1"/>
  <c r="H299" i="1"/>
  <c r="H298" i="1"/>
  <c r="H297" i="1"/>
  <c r="H296" i="1"/>
  <c r="P4" i="1" s="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R3" i="1" s="1"/>
  <c r="S3" i="1" s="1"/>
  <c r="H182" i="1"/>
  <c r="P3" i="1" s="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N29" i="1"/>
  <c r="H29" i="1"/>
  <c r="N28" i="1"/>
  <c r="H28" i="1"/>
  <c r="H27" i="1"/>
  <c r="H26" i="1"/>
  <c r="H25" i="1"/>
  <c r="H24" i="1"/>
  <c r="H23" i="1"/>
  <c r="H22" i="1"/>
  <c r="O21" i="1"/>
  <c r="H21" i="1"/>
  <c r="H20" i="1"/>
  <c r="H19" i="1"/>
  <c r="H18" i="1"/>
  <c r="H17" i="1"/>
  <c r="H16" i="1"/>
  <c r="R2" i="1" s="1"/>
  <c r="H15" i="1"/>
  <c r="H14" i="1"/>
  <c r="R13" i="1"/>
  <c r="S13" i="1" s="1"/>
  <c r="P13" i="1"/>
  <c r="Q13" i="1" s="1"/>
  <c r="H13" i="1"/>
  <c r="H12" i="1"/>
  <c r="H11" i="1"/>
  <c r="R10" i="1"/>
  <c r="H10" i="1"/>
  <c r="H9" i="1"/>
  <c r="H8" i="1"/>
  <c r="H7" i="1"/>
  <c r="H6" i="1"/>
  <c r="H5" i="1"/>
  <c r="H4" i="1"/>
  <c r="H3" i="1"/>
  <c r="H2" i="1"/>
  <c r="N21" i="1" s="1"/>
  <c r="N24" i="1" s="1"/>
  <c r="S10" i="1" l="1"/>
  <c r="Q4" i="1"/>
  <c r="Q6" i="1"/>
  <c r="Q14" i="1"/>
  <c r="O24" i="1"/>
  <c r="Q12" i="1"/>
  <c r="Q7" i="1"/>
  <c r="Q3" i="1"/>
  <c r="P2" i="1"/>
  <c r="Q2" i="1" s="1"/>
  <c r="P9" i="1"/>
  <c r="Q9" i="1" s="1"/>
  <c r="P11" i="1"/>
  <c r="Q11" i="1" s="1"/>
  <c r="O22" i="1"/>
  <c r="O25" i="1" s="1"/>
  <c r="P5" i="1"/>
  <c r="Q5" i="1" s="1"/>
  <c r="S11" i="1" l="1"/>
  <c r="S5" i="1"/>
  <c r="S9" i="1"/>
  <c r="N25" i="1"/>
  <c r="S2" i="1"/>
</calcChain>
</file>

<file path=xl/sharedStrings.xml><?xml version="1.0" encoding="utf-8"?>
<sst xmlns="http://schemas.openxmlformats.org/spreadsheetml/2006/main" count="15228" uniqueCount="5097">
  <si>
    <t>Factor</t>
  </si>
  <si>
    <t>Comparison</t>
  </si>
  <si>
    <t>Orthogroup ID</t>
  </si>
  <si>
    <t>Ofaveolata ID</t>
  </si>
  <si>
    <t>Ssiderea ID</t>
  </si>
  <si>
    <t>Ofaveolata lpv</t>
  </si>
  <si>
    <t>Ssiderea lpv</t>
  </si>
  <si>
    <t>Relationship</t>
  </si>
  <si>
    <t>Ofaveolata Gene Annotation</t>
  </si>
  <si>
    <t>Ssiderea Gene Annotation</t>
  </si>
  <si>
    <t>COUNTA of Orthogroup ID</t>
  </si>
  <si>
    <t>Direct</t>
  </si>
  <si>
    <t>Direct%</t>
  </si>
  <si>
    <t>Inverse</t>
  </si>
  <si>
    <t>Inverse%</t>
  </si>
  <si>
    <t>Site</t>
  </si>
  <si>
    <t>MacArthur North vs Emerald Reef</t>
  </si>
  <si>
    <t>OG0000237</t>
  </si>
  <si>
    <t>Ofaveolata027123</t>
  </si>
  <si>
    <t>Ssiderea025805</t>
  </si>
  <si>
    <t>Receptor-type tyrosine-protein phosphatase</t>
  </si>
  <si>
    <t>OG0000287</t>
  </si>
  <si>
    <t>Ofaveolata003751</t>
  </si>
  <si>
    <t>Ssiderea012958</t>
  </si>
  <si>
    <t>Tachylectin</t>
  </si>
  <si>
    <t>MacArthur North vs Rainbow Reef</t>
  </si>
  <si>
    <t>OG0000288</t>
  </si>
  <si>
    <t>Ofaveolata014826</t>
  </si>
  <si>
    <t>Ssiderea60736</t>
  </si>
  <si>
    <t>DNA topoisomerase type I activity</t>
  </si>
  <si>
    <t>MacArthur North vs Star Island</t>
  </si>
  <si>
    <t>OG0000290</t>
  </si>
  <si>
    <t>Ofaveolata010939</t>
  </si>
  <si>
    <t>Ssiderea019959</t>
  </si>
  <si>
    <t>GTPase activity</t>
  </si>
  <si>
    <t>Rainbow Reef vs Emerald Reef</t>
  </si>
  <si>
    <t>OG0000297</t>
  </si>
  <si>
    <t>Ofaveolata029192</t>
  </si>
  <si>
    <t>Ssiderea027774</t>
  </si>
  <si>
    <t>MAC/Perforin domain</t>
  </si>
  <si>
    <t>Star Island vs Emerald Reef</t>
  </si>
  <si>
    <t>OG0000415</t>
  </si>
  <si>
    <t>Ofaveolata027945</t>
  </si>
  <si>
    <t>Ssiderea025137</t>
  </si>
  <si>
    <t>osmolarity-sensing cation channel activity</t>
  </si>
  <si>
    <t>Transient receptor potential cation channel, subfamily A, member</t>
  </si>
  <si>
    <t>Star Island vs Rainbow Reef</t>
  </si>
  <si>
    <t>OG0000453</t>
  </si>
  <si>
    <t>Ofaveolata015496</t>
  </si>
  <si>
    <t>Ssiderea056037</t>
  </si>
  <si>
    <t>NA</t>
  </si>
  <si>
    <t>Site Total</t>
  </si>
  <si>
    <t>OG0000462</t>
  </si>
  <si>
    <t>Ofaveolata005644</t>
  </si>
  <si>
    <t>Ssiderea010508</t>
  </si>
  <si>
    <t>structural constituent of cuticle</t>
  </si>
  <si>
    <t>Treatment</t>
  </si>
  <si>
    <t xml:space="preserve">Bleaching </t>
  </si>
  <si>
    <t>OG0000473</t>
  </si>
  <si>
    <t>Ofaveolata030379</t>
  </si>
  <si>
    <t>Ssiderea034234</t>
  </si>
  <si>
    <t>negative regulation of non-canonical Wnt signaling pathway</t>
  </si>
  <si>
    <t>Bleaching vs OA</t>
  </si>
  <si>
    <t>OG0000477</t>
  </si>
  <si>
    <t>Ofaveolata009785</t>
  </si>
  <si>
    <t>Ssiderea017874</t>
  </si>
  <si>
    <t>NADP-retinol dehydrogenase activity</t>
  </si>
  <si>
    <t>retinol dehydrogenase</t>
  </si>
  <si>
    <t xml:space="preserve">OA </t>
  </si>
  <si>
    <t>OG0000534</t>
  </si>
  <si>
    <t>Ofaveolata032090</t>
  </si>
  <si>
    <t>Ssiderea048704</t>
  </si>
  <si>
    <t>Heat shock 70 kDa protein 12A-like</t>
  </si>
  <si>
    <t xml:space="preserve">OA + Bleaching </t>
  </si>
  <si>
    <t>OG0000592</t>
  </si>
  <si>
    <t>Ofaveolata014308</t>
  </si>
  <si>
    <t>Ssiderea003590</t>
  </si>
  <si>
    <t>Placenta-specific gene 8 protein-like</t>
  </si>
  <si>
    <t>OA + Bleaching vs Bleaching</t>
  </si>
  <si>
    <t>OG0000633</t>
  </si>
  <si>
    <t>Ofaveolata019961</t>
  </si>
  <si>
    <t>Ssiderea057815</t>
  </si>
  <si>
    <t>ATP-binding cassette, subfamily B (MDR TAP), member</t>
  </si>
  <si>
    <t>OA + Bleaching vs OA</t>
  </si>
  <si>
    <t>OG0000636</t>
  </si>
  <si>
    <t>Ofaveolata005640</t>
  </si>
  <si>
    <t>Ssiderea010446</t>
  </si>
  <si>
    <t>coreceptor activity involved in Wnt signaling pathway, planar cell polarity pathway</t>
  </si>
  <si>
    <t>Treatment Total</t>
  </si>
  <si>
    <t>OG0000713</t>
  </si>
  <si>
    <t>Ofaveolata021402</t>
  </si>
  <si>
    <t>Ssiderea020017</t>
  </si>
  <si>
    <t>urate homeostasis</t>
  </si>
  <si>
    <t>transcript (3</t>
  </si>
  <si>
    <t>Grand Total</t>
  </si>
  <si>
    <t>OG0000817</t>
  </si>
  <si>
    <t>Ofaveolata010854</t>
  </si>
  <si>
    <t>Ssiderea043373</t>
  </si>
  <si>
    <t>Galactose binding lectin domain</t>
  </si>
  <si>
    <t>OG0001035</t>
  </si>
  <si>
    <t>Ofaveolata013447</t>
  </si>
  <si>
    <t>Ssiderea000550</t>
  </si>
  <si>
    <t>ammonium transmembrane transporter activity</t>
  </si>
  <si>
    <t>OG0001060</t>
  </si>
  <si>
    <t>Ofaveolata021998</t>
  </si>
  <si>
    <t>Ssiderea023406</t>
  </si>
  <si>
    <t>tumor necrosis factor-activated receptor activity</t>
  </si>
  <si>
    <t>Tumor necrosis factor receptor / nerve growth factor receptor repeats.</t>
  </si>
  <si>
    <t>OG0001135</t>
  </si>
  <si>
    <t>Ofaveolata029868</t>
  </si>
  <si>
    <t>Ssiderea024098</t>
  </si>
  <si>
    <t>SCP / Tpx-1 / Ag5 / PR-1 / Sc7 family of extracellular domains.</t>
  </si>
  <si>
    <t>positive regulation of epithelial to mesenchymal transition</t>
  </si>
  <si>
    <t>OG0001170</t>
  </si>
  <si>
    <t>Ofaveolata031182</t>
  </si>
  <si>
    <t>Ssiderea026681</t>
  </si>
  <si>
    <t>carbohydrate binding</t>
  </si>
  <si>
    <t>C-type lectin (CTL) or carbohydrate-recognition domain (CRD)</t>
  </si>
  <si>
    <t>OG0001499</t>
  </si>
  <si>
    <t>Ofaveolata028713</t>
  </si>
  <si>
    <t>Ssiderea042784</t>
  </si>
  <si>
    <t>Lamin Tail Domain</t>
  </si>
  <si>
    <t>structural molecule activity</t>
  </si>
  <si>
    <t>OG0001524</t>
  </si>
  <si>
    <t>Ofaveolata029080</t>
  </si>
  <si>
    <t>Ssiderea002801</t>
  </si>
  <si>
    <t>Tetratricopeptide repeat</t>
  </si>
  <si>
    <t>OG0001562</t>
  </si>
  <si>
    <t>Ofaveolata015523</t>
  </si>
  <si>
    <t>Ssiderea056865</t>
  </si>
  <si>
    <t>OG0001593</t>
  </si>
  <si>
    <t>Ofaveolata014508</t>
  </si>
  <si>
    <t>Ssiderea046106</t>
  </si>
  <si>
    <t>Death effector domain</t>
  </si>
  <si>
    <t>OG0001629</t>
  </si>
  <si>
    <t>Ofaveolata005498</t>
  </si>
  <si>
    <t>Ssiderea010414</t>
  </si>
  <si>
    <t>AMP catabolic process</t>
  </si>
  <si>
    <t>OG0001687</t>
  </si>
  <si>
    <t>Ofaveolata025322</t>
  </si>
  <si>
    <t>Ssiderea041999</t>
  </si>
  <si>
    <t>MAP kinase phosphatase activity</t>
  </si>
  <si>
    <t>Unique orthogroups</t>
  </si>
  <si>
    <t>OG0001704</t>
  </si>
  <si>
    <t>Ofaveolata030052</t>
  </si>
  <si>
    <t>Ssiderea047439</t>
  </si>
  <si>
    <t>Belongs to the CD36 family</t>
  </si>
  <si>
    <t>OG0001758</t>
  </si>
  <si>
    <t>Ofaveolata026913</t>
  </si>
  <si>
    <t>Ssiderea017924</t>
  </si>
  <si>
    <t>lipoprotein receptor-related protein 2</t>
  </si>
  <si>
    <t>OG0001824</t>
  </si>
  <si>
    <t>Ofaveolata011784</t>
  </si>
  <si>
    <t>Ssiderea003649</t>
  </si>
  <si>
    <t>four-way junction helicase activity</t>
  </si>
  <si>
    <t>OG0001872</t>
  </si>
  <si>
    <t>Ofaveolata029158</t>
  </si>
  <si>
    <t>Ssiderea058945</t>
  </si>
  <si>
    <t>G-protein coupled receptor activity</t>
  </si>
  <si>
    <t>OG0001882</t>
  </si>
  <si>
    <t>Ofaveolata009900</t>
  </si>
  <si>
    <t>Ssiderea054746</t>
  </si>
  <si>
    <t>UDP-Gal betaGlcNAc beta 1,4- galactosyltransferase, polypeptide</t>
  </si>
  <si>
    <t>UDP-Gal betaGlcNAc beta 1,4- galactosyltransferase, polypeptide 4</t>
  </si>
  <si>
    <t>OG0001916</t>
  </si>
  <si>
    <t>Ofaveolata034914</t>
  </si>
  <si>
    <t>Ssiderea62027</t>
  </si>
  <si>
    <t>K02A2.6-like</t>
  </si>
  <si>
    <t>OG0001930</t>
  </si>
  <si>
    <t>Ofaveolata005637</t>
  </si>
  <si>
    <t>Ssiderea013259</t>
  </si>
  <si>
    <t>acyl-L-homoserine-lactone lactonohydrolase activity</t>
  </si>
  <si>
    <t>arylesterase activity</t>
  </si>
  <si>
    <t>OG0002094</t>
  </si>
  <si>
    <t>Ofaveolata004443</t>
  </si>
  <si>
    <t>Ssiderea053074</t>
  </si>
  <si>
    <t>pyridoxal 5'-phosphate salvage</t>
  </si>
  <si>
    <t>Pyridoxal (Pyridoxine, vitamin B6) kinase</t>
  </si>
  <si>
    <t>OG0002112</t>
  </si>
  <si>
    <t>Ofaveolata002550</t>
  </si>
  <si>
    <t>Ssiderea013071</t>
  </si>
  <si>
    <t>diphosphoinositol-pentakisphosphate kinase activity</t>
  </si>
  <si>
    <t>OG0002119</t>
  </si>
  <si>
    <t>Ofaveolata014701</t>
  </si>
  <si>
    <t>Ssiderea004568</t>
  </si>
  <si>
    <t>temperature-gated cation channel activity</t>
  </si>
  <si>
    <t>OG0002165</t>
  </si>
  <si>
    <t>Ofaveolata005122</t>
  </si>
  <si>
    <t>Ssiderea010612</t>
  </si>
  <si>
    <t>sterile alpha motif</t>
  </si>
  <si>
    <t>OG0002169</t>
  </si>
  <si>
    <t>Ofaveolata007407</t>
  </si>
  <si>
    <t>Ssiderea044665</t>
  </si>
  <si>
    <t>phosphatidylserine exposure on apoptotic cell surface</t>
  </si>
  <si>
    <t>OG0002175</t>
  </si>
  <si>
    <t>Ofaveolata003889</t>
  </si>
  <si>
    <t>Ssiderea030331</t>
  </si>
  <si>
    <t>DNA-directed 5'-3' RNA polymerase activity</t>
  </si>
  <si>
    <t>OG0002187</t>
  </si>
  <si>
    <t>Ofaveolata035049</t>
  </si>
  <si>
    <t>Ssiderea038673</t>
  </si>
  <si>
    <t>Mindbomb E3 ubiquitin protein ligase 2</t>
  </si>
  <si>
    <t>Regulator of chromosome condensation (RCC1) repeat</t>
  </si>
  <si>
    <t>OG0002234</t>
  </si>
  <si>
    <t>Ofaveolata018827</t>
  </si>
  <si>
    <t>Ssiderea003038</t>
  </si>
  <si>
    <t>Ribonuclease P</t>
  </si>
  <si>
    <t>OG0002272</t>
  </si>
  <si>
    <t>Ofaveolata017458</t>
  </si>
  <si>
    <t>Ssiderea041651</t>
  </si>
  <si>
    <t>PFAM SMP-30 Gluconolaconase</t>
  </si>
  <si>
    <t>OG0002275</t>
  </si>
  <si>
    <t>Ofaveolata024347</t>
  </si>
  <si>
    <t>Ssiderea005820</t>
  </si>
  <si>
    <t>e3 ubiquitin-protein ligase</t>
  </si>
  <si>
    <t>OG0002308</t>
  </si>
  <si>
    <t>Ofaveolata005310</t>
  </si>
  <si>
    <t>Ssiderea015840</t>
  </si>
  <si>
    <t>E3 ubiquitin-protein ligase parkin</t>
  </si>
  <si>
    <t>OG0002387</t>
  </si>
  <si>
    <t>Ofaveolata030627</t>
  </si>
  <si>
    <t>Ssiderea054386</t>
  </si>
  <si>
    <t>Poly(ADP-ribose) polymerase catalytic domain</t>
  </si>
  <si>
    <t>Poly (ADP-ribose) polymerase</t>
  </si>
  <si>
    <t>OG0002478</t>
  </si>
  <si>
    <t>Ofaveolata033066</t>
  </si>
  <si>
    <t>Ssiderea026130</t>
  </si>
  <si>
    <t>HD domain</t>
  </si>
  <si>
    <t>OG0002508</t>
  </si>
  <si>
    <t>Ofaveolata001082</t>
  </si>
  <si>
    <t>Ssiderea022230</t>
  </si>
  <si>
    <t>histone pre-mRNA stem-loop binding</t>
  </si>
  <si>
    <t>OG0002615</t>
  </si>
  <si>
    <t>Ofaveolata019617</t>
  </si>
  <si>
    <t>Ssiderea005809</t>
  </si>
  <si>
    <t>tripeptidyl-peptidase activity</t>
  </si>
  <si>
    <t>OG0002804</t>
  </si>
  <si>
    <t>Ofaveolata010953</t>
  </si>
  <si>
    <t>Ssiderea057082</t>
  </si>
  <si>
    <t>OG0002863</t>
  </si>
  <si>
    <t>Ofaveolata024078</t>
  </si>
  <si>
    <t>Ssiderea005462</t>
  </si>
  <si>
    <t>RNA-directed 5'-3' RNA polymerase activity</t>
  </si>
  <si>
    <t>AAA domain</t>
  </si>
  <si>
    <t>OG0002906</t>
  </si>
  <si>
    <t>Ofaveolata006587</t>
  </si>
  <si>
    <t>Ssiderea028132</t>
  </si>
  <si>
    <t>Acid sphingomyelinase-like phosphodiesterase 3b</t>
  </si>
  <si>
    <t>OG0003006</t>
  </si>
  <si>
    <t>Ofaveolata029112</t>
  </si>
  <si>
    <t>Ssiderea042600</t>
  </si>
  <si>
    <t>mannose binding</t>
  </si>
  <si>
    <t>OG0003060</t>
  </si>
  <si>
    <t>Ofaveolata032100</t>
  </si>
  <si>
    <t>Ssiderea048701</t>
  </si>
  <si>
    <t>OG0003092</t>
  </si>
  <si>
    <t>Ofaveolata032692</t>
  </si>
  <si>
    <t>Ssiderea031958</t>
  </si>
  <si>
    <t>metanephric macula densa development</t>
  </si>
  <si>
    <t>POU domain, class 3, transcription factor</t>
  </si>
  <si>
    <t>OG0003125</t>
  </si>
  <si>
    <t>Ofaveolata001436</t>
  </si>
  <si>
    <t>Ssiderea026474</t>
  </si>
  <si>
    <t>bile acid:sodium symporter activity</t>
  </si>
  <si>
    <t>Hermansky-Pudlak Syndrome 1</t>
  </si>
  <si>
    <t>OG0003157</t>
  </si>
  <si>
    <t>Ofaveolata031730</t>
  </si>
  <si>
    <t>Ssiderea007531</t>
  </si>
  <si>
    <t>hydroxyacid-oxoacid transhydrogenase activity</t>
  </si>
  <si>
    <t>OG0003171</t>
  </si>
  <si>
    <t>Ofaveolata005754</t>
  </si>
  <si>
    <t>Ssiderea047803</t>
  </si>
  <si>
    <t>Glycosyl transferases group 1</t>
  </si>
  <si>
    <t>OG0003253</t>
  </si>
  <si>
    <t>Ofaveolata036247</t>
  </si>
  <si>
    <t>Ssiderea038083</t>
  </si>
  <si>
    <t>Amidohydrolase family</t>
  </si>
  <si>
    <t>OG0003273</t>
  </si>
  <si>
    <t>Ofaveolata035324</t>
  </si>
  <si>
    <t>Ssiderea006470</t>
  </si>
  <si>
    <t>Mov10 RISC complex RNA helicase like 1</t>
  </si>
  <si>
    <t>OG0003278</t>
  </si>
  <si>
    <t>Ofaveolata007122</t>
  </si>
  <si>
    <t>Ssiderea027956</t>
  </si>
  <si>
    <t>Kinetochore associated 1</t>
  </si>
  <si>
    <t>OG0003319</t>
  </si>
  <si>
    <t>Ofaveolata012651</t>
  </si>
  <si>
    <t>Ssiderea000689</t>
  </si>
  <si>
    <t>zinc ion binding</t>
  </si>
  <si>
    <t>OG0003320</t>
  </si>
  <si>
    <t>Ofaveolata025112</t>
  </si>
  <si>
    <t>Ssiderea055794</t>
  </si>
  <si>
    <t>Fatty acid desaturase</t>
  </si>
  <si>
    <t>OG0003360</t>
  </si>
  <si>
    <t>Ofaveolata005157</t>
  </si>
  <si>
    <t>Ssiderea010361</t>
  </si>
  <si>
    <t>SH3 domain-containing kinase-binding protein</t>
  </si>
  <si>
    <t>SH3 domain binding</t>
  </si>
  <si>
    <t>OG0003629</t>
  </si>
  <si>
    <t>Ofaveolata024037</t>
  </si>
  <si>
    <t>Ssiderea005361</t>
  </si>
  <si>
    <t>Vacuolar Protein</t>
  </si>
  <si>
    <t>OG0003636</t>
  </si>
  <si>
    <t>Ofaveolata034366</t>
  </si>
  <si>
    <t>Ssiderea052833</t>
  </si>
  <si>
    <t>quinone biosynthetic process</t>
  </si>
  <si>
    <t>ubiquinone biosynthetic process</t>
  </si>
  <si>
    <t>OG0003721</t>
  </si>
  <si>
    <t>Ofaveolata030407</t>
  </si>
  <si>
    <t>Ssiderea034147</t>
  </si>
  <si>
    <t>Ion transport protein</t>
  </si>
  <si>
    <t>high voltage-gated calcium channel activity</t>
  </si>
  <si>
    <t>OG0003815</t>
  </si>
  <si>
    <t>Ofaveolata028767</t>
  </si>
  <si>
    <t>Ssiderea027809</t>
  </si>
  <si>
    <t>PPIases accelerate the folding of proteins. It catalyzes the cis-trans isomerization of proline imidic peptide bonds in oligopeptides</t>
  </si>
  <si>
    <t>OG0004036</t>
  </si>
  <si>
    <t>Ofaveolata029290</t>
  </si>
  <si>
    <t>Ssiderea033150</t>
  </si>
  <si>
    <t>Chondroitin sulfate synthase</t>
  </si>
  <si>
    <t>OG0004205</t>
  </si>
  <si>
    <t>Ofaveolata029703</t>
  </si>
  <si>
    <t>Ssiderea023754</t>
  </si>
  <si>
    <t>sodium:proton antiporter activity</t>
  </si>
  <si>
    <t>OG0004206</t>
  </si>
  <si>
    <t>Ofaveolata015422</t>
  </si>
  <si>
    <t>Ssiderea038170</t>
  </si>
  <si>
    <t>Amine oxidase flavin-containing</t>
  </si>
  <si>
    <t>OG0004271</t>
  </si>
  <si>
    <t>Ofaveolata012695</t>
  </si>
  <si>
    <t>Ssiderea001255</t>
  </si>
  <si>
    <t>Activating transcription factor</t>
  </si>
  <si>
    <t>OG0004321</t>
  </si>
  <si>
    <t>Ofaveolata024708</t>
  </si>
  <si>
    <t>Ssiderea016963</t>
  </si>
  <si>
    <t>dCMP deaminase activity</t>
  </si>
  <si>
    <t>Cytidine and deoxycytidylate deaminase zinc-binding region</t>
  </si>
  <si>
    <t>OG0004343</t>
  </si>
  <si>
    <t>Ofaveolata019429</t>
  </si>
  <si>
    <t>Ssiderea055932</t>
  </si>
  <si>
    <t>negative regulation of skeletal muscle tissue growth</t>
  </si>
  <si>
    <t>It is involved in the biological process described with receptor-mediated endocytosis</t>
  </si>
  <si>
    <t>OG0004604</t>
  </si>
  <si>
    <t>Ofaveolata013633</t>
  </si>
  <si>
    <t>Ssiderea044691</t>
  </si>
  <si>
    <t>Required for formation of the RNA induced silencing complex (RISC). Component of the RISC loading complex (RLC), also known as the micro-RNA (miRNA) loading complex (miRLC), which is composed of dicer1, ago2 and tarbp2. Within the RLC miRLC, dicer1 and tarbp2 are required to process precursor miRNAs (pre-miRNAs) to mature miRNAs and then load them onto ago2. ago2 bound to the mature miRNA constitutes the minimal RISC and may subsequently dissociate from dicer1 and tarbp2. May also play a role in the production of short interfering RNAs (siRNAs) from double-stranded RNA (dsRNA) by dicer1</t>
  </si>
  <si>
    <t>OG0004667</t>
  </si>
  <si>
    <t>Ofaveolata023648</t>
  </si>
  <si>
    <t>Ssiderea015610</t>
  </si>
  <si>
    <t>histone H4-K20 monomethylation</t>
  </si>
  <si>
    <t>OG0004755</t>
  </si>
  <si>
    <t>Ofaveolata029110</t>
  </si>
  <si>
    <t>Ssiderea034453</t>
  </si>
  <si>
    <t>OG0004781</t>
  </si>
  <si>
    <t>Ofaveolata025449</t>
  </si>
  <si>
    <t>Ssiderea039819</t>
  </si>
  <si>
    <t>BolA-like protein</t>
  </si>
  <si>
    <t>bolA-like protein</t>
  </si>
  <si>
    <t>OG0004839</t>
  </si>
  <si>
    <t>Ofaveolata003503</t>
  </si>
  <si>
    <t>Ssiderea046242</t>
  </si>
  <si>
    <t>Domain abundant in complement control proteins; SUSHI repeat; short complement-like repeat (SCR)</t>
  </si>
  <si>
    <t>OG0004882</t>
  </si>
  <si>
    <t>Ofaveolata023529</t>
  </si>
  <si>
    <t>Ssiderea015692</t>
  </si>
  <si>
    <t>lipopolysaccharide-induced transcription factor regulating tumor necrosis factor alpha</t>
  </si>
  <si>
    <t>OG0004891</t>
  </si>
  <si>
    <t>Ofaveolata033244</t>
  </si>
  <si>
    <t>Ssiderea026218</t>
  </si>
  <si>
    <t>OG0005146</t>
  </si>
  <si>
    <t>Ofaveolata030445</t>
  </si>
  <si>
    <t>Ssiderea037884</t>
  </si>
  <si>
    <t>histone H3-S10 phosphorylation involved in chromosome condensation</t>
  </si>
  <si>
    <t>OG0005151</t>
  </si>
  <si>
    <t>Ofaveolata001177</t>
  </si>
  <si>
    <t>Ssiderea029356</t>
  </si>
  <si>
    <t>OG0005239</t>
  </si>
  <si>
    <t>Ofaveolata013693</t>
  </si>
  <si>
    <t>Ssiderea049246</t>
  </si>
  <si>
    <t>polycystic kidney disease protein 1-like</t>
  </si>
  <si>
    <t>OG0005250</t>
  </si>
  <si>
    <t>Ofaveolata029294</t>
  </si>
  <si>
    <t>Ssiderea033145</t>
  </si>
  <si>
    <t>Belongs to the oxygen-dependent FAD-linked oxidoreductase family</t>
  </si>
  <si>
    <t>PFAM FAD linked oxidase domain protein</t>
  </si>
  <si>
    <t>OG0005337</t>
  </si>
  <si>
    <t>Ofaveolata012625</t>
  </si>
  <si>
    <t>Ssiderea017202</t>
  </si>
  <si>
    <t>regulation of cilium-dependent cell motility</t>
  </si>
  <si>
    <t>Cilia and flagella associated protein 20</t>
  </si>
  <si>
    <t>OG0005358</t>
  </si>
  <si>
    <t>Ofaveolata027699</t>
  </si>
  <si>
    <t>Ssiderea025557</t>
  </si>
  <si>
    <t>prolyl 4-hydroxylase</t>
  </si>
  <si>
    <t>OG0005370</t>
  </si>
  <si>
    <t>Ofaveolata006247</t>
  </si>
  <si>
    <t>Ssiderea032524</t>
  </si>
  <si>
    <t>negative regulation of lamellipodium morphogenesis</t>
  </si>
  <si>
    <t>OG0005377</t>
  </si>
  <si>
    <t>Ofaveolata033528</t>
  </si>
  <si>
    <t>Ssiderea026325</t>
  </si>
  <si>
    <t>Protein kinase C conserved region 2 (CalB)</t>
  </si>
  <si>
    <t>OG0005402</t>
  </si>
  <si>
    <t>Ofaveolata000358</t>
  </si>
  <si>
    <t>Ssiderea022063</t>
  </si>
  <si>
    <t>actin binding</t>
  </si>
  <si>
    <t>OG0005439</t>
  </si>
  <si>
    <t>Ofaveolata023992</t>
  </si>
  <si>
    <t>Ssiderea045915</t>
  </si>
  <si>
    <t>4 iron, 4 sulfur cluster binding</t>
  </si>
  <si>
    <t>OG0005460</t>
  </si>
  <si>
    <t>Ofaveolata023693</t>
  </si>
  <si>
    <t>Ssiderea050051</t>
  </si>
  <si>
    <t>regulation of ATP citrate synthase activity</t>
  </si>
  <si>
    <t>Nipsnap homolog 1</t>
  </si>
  <si>
    <t>OG0005466</t>
  </si>
  <si>
    <t>Ofaveolata028383</t>
  </si>
  <si>
    <t>Ssiderea042579</t>
  </si>
  <si>
    <t>NADH dehydrogenase ubiquinone 1 alpha subcomplex subunit 9</t>
  </si>
  <si>
    <t>OG0005545</t>
  </si>
  <si>
    <t>Ofaveolata008053</t>
  </si>
  <si>
    <t>Ssiderea009586</t>
  </si>
  <si>
    <t>tRNA 2'-phosphotransferase 1</t>
  </si>
  <si>
    <t>OG0005575</t>
  </si>
  <si>
    <t>Ofaveolata023578</t>
  </si>
  <si>
    <t>Ssiderea050016</t>
  </si>
  <si>
    <t>peptidyl-threonine dephosphorylation</t>
  </si>
  <si>
    <t>OG0005639</t>
  </si>
  <si>
    <t>Ofaveolata030690</t>
  </si>
  <si>
    <t>Ssiderea013981</t>
  </si>
  <si>
    <t>OG0005663</t>
  </si>
  <si>
    <t>Ofaveolata015121</t>
  </si>
  <si>
    <t>Ssiderea051210</t>
  </si>
  <si>
    <t>Transcription factor</t>
  </si>
  <si>
    <t>OG0005766</t>
  </si>
  <si>
    <t>Ofaveolata027573</t>
  </si>
  <si>
    <t>Ssiderea042303</t>
  </si>
  <si>
    <t>Threonine dehydratase</t>
  </si>
  <si>
    <t>OG0005767</t>
  </si>
  <si>
    <t>Ofaveolata006978</t>
  </si>
  <si>
    <t>Ssiderea027873</t>
  </si>
  <si>
    <t>Nidogen 2a (osteonidogen)</t>
  </si>
  <si>
    <t>OG0005806</t>
  </si>
  <si>
    <t>Ofaveolata022498</t>
  </si>
  <si>
    <t>Ssiderea015579</t>
  </si>
  <si>
    <t>calcium ion binding</t>
  </si>
  <si>
    <t>OG0005834</t>
  </si>
  <si>
    <t>Ofaveolata021192</t>
  </si>
  <si>
    <t>Ssiderea62784</t>
  </si>
  <si>
    <t>Coagulation factor 5/8 C-terminal domain, discoidin domain</t>
  </si>
  <si>
    <t>C-terminal domain of neuropilin glycoprotein</t>
  </si>
  <si>
    <t>OG0005913</t>
  </si>
  <si>
    <t>Ofaveolata024345</t>
  </si>
  <si>
    <t>Ssiderea006219</t>
  </si>
  <si>
    <t>negative regulation of negative chemotaxis</t>
  </si>
  <si>
    <t>OG0005954</t>
  </si>
  <si>
    <t>Ofaveolata031778</t>
  </si>
  <si>
    <t>Ssiderea006713</t>
  </si>
  <si>
    <t>ankyrin repeat</t>
  </si>
  <si>
    <t>ATPase activity, coupled to transmembrane movement of substances</t>
  </si>
  <si>
    <t>OG0006176</t>
  </si>
  <si>
    <t>Ofaveolata014336</t>
  </si>
  <si>
    <t>Ssiderea003822</t>
  </si>
  <si>
    <t>rRNA binding</t>
  </si>
  <si>
    <t>OG0006289</t>
  </si>
  <si>
    <t>Ofaveolata015393</t>
  </si>
  <si>
    <t>Ssiderea038281</t>
  </si>
  <si>
    <t>tRNA modification</t>
  </si>
  <si>
    <t>OG0006296</t>
  </si>
  <si>
    <t>Ofaveolata003309</t>
  </si>
  <si>
    <t>Ssiderea030049</t>
  </si>
  <si>
    <t>eukaryotic translation initiation factor</t>
  </si>
  <si>
    <t>Initiation factor 5a</t>
  </si>
  <si>
    <t>OG0006310</t>
  </si>
  <si>
    <t>Ofaveolata000974</t>
  </si>
  <si>
    <t>Ssiderea022465</t>
  </si>
  <si>
    <t>cerebellar granular layer formation</t>
  </si>
  <si>
    <t>OG0006537</t>
  </si>
  <si>
    <t>Ofaveolata029067</t>
  </si>
  <si>
    <t>Ssiderea013770</t>
  </si>
  <si>
    <t>Galactose-3-O-sulfotransferase</t>
  </si>
  <si>
    <t>OG0006552</t>
  </si>
  <si>
    <t>Ofaveolata011110</t>
  </si>
  <si>
    <t>Ssiderea056770</t>
  </si>
  <si>
    <t>histidine transport</t>
  </si>
  <si>
    <t>OG0006894</t>
  </si>
  <si>
    <t>Ofaveolata033691</t>
  </si>
  <si>
    <t>Ssiderea053633</t>
  </si>
  <si>
    <t>Von Willebrand factor</t>
  </si>
  <si>
    <t>OG0006927</t>
  </si>
  <si>
    <t>Ofaveolata016863</t>
  </si>
  <si>
    <t>Ssiderea039399</t>
  </si>
  <si>
    <t>aminopeptidase activity</t>
  </si>
  <si>
    <t>OG0006938</t>
  </si>
  <si>
    <t>Ofaveolata034295</t>
  </si>
  <si>
    <t>Ssiderea052983</t>
  </si>
  <si>
    <t>transmembrane signaling receptor activity. It is involved in the biological process described with cell surface receptor signaling pathway</t>
  </si>
  <si>
    <t>OG0006971</t>
  </si>
  <si>
    <t>Ofaveolata008809</t>
  </si>
  <si>
    <t>Ssiderea008227</t>
  </si>
  <si>
    <t>belongs to the NAD synthetase family</t>
  </si>
  <si>
    <t>OG0007014</t>
  </si>
  <si>
    <t>Ofaveolata027737</t>
  </si>
  <si>
    <t>Ssiderea042291</t>
  </si>
  <si>
    <t>Belongs to the enoyl-CoA hydratase isomerase family</t>
  </si>
  <si>
    <t>OG0007031</t>
  </si>
  <si>
    <t>Ofaveolata009398</t>
  </si>
  <si>
    <t>Ssiderea035793</t>
  </si>
  <si>
    <t>apoptotic process</t>
  </si>
  <si>
    <t>OG0007060</t>
  </si>
  <si>
    <t>Ofaveolata031923</t>
  </si>
  <si>
    <t>Ssiderea007355</t>
  </si>
  <si>
    <t>metanephric glomerular basement membrane development</t>
  </si>
  <si>
    <t>OG0007183</t>
  </si>
  <si>
    <t>Ofaveolata033224</t>
  </si>
  <si>
    <t>Ssiderea055305</t>
  </si>
  <si>
    <t>protein O-linked-mannose beta-1,2-N-acetylglucosaminyltransferase 1</t>
  </si>
  <si>
    <t>OG0007198</t>
  </si>
  <si>
    <t>Ofaveolata034154</t>
  </si>
  <si>
    <t>Ssiderea010956</t>
  </si>
  <si>
    <t>Dermatopontin</t>
  </si>
  <si>
    <t>OG0007749</t>
  </si>
  <si>
    <t>Ofaveolata024406</t>
  </si>
  <si>
    <t>Ssiderea006083</t>
  </si>
  <si>
    <t>Putative transmembrane family 234</t>
  </si>
  <si>
    <t>Transmembrane protein 234</t>
  </si>
  <si>
    <t>OG0007853</t>
  </si>
  <si>
    <t>Ofaveolata026254</t>
  </si>
  <si>
    <t>Ssiderea039621</t>
  </si>
  <si>
    <t>U11-48K-like CHHC zinc finger</t>
  </si>
  <si>
    <t>OG0007901</t>
  </si>
  <si>
    <t>Ofaveolata036110</t>
  </si>
  <si>
    <t>Ssiderea052336</t>
  </si>
  <si>
    <t>Transposase IS4</t>
  </si>
  <si>
    <t>OG0007989</t>
  </si>
  <si>
    <t>Ofaveolata004498</t>
  </si>
  <si>
    <t>Ssiderea052407</t>
  </si>
  <si>
    <t>RWD domain-containing protein</t>
  </si>
  <si>
    <t>RWD domain containing 1</t>
  </si>
  <si>
    <t>OG0008011</t>
  </si>
  <si>
    <t>Ofaveolata005679</t>
  </si>
  <si>
    <t>Ssiderea016688</t>
  </si>
  <si>
    <t>RNA binding</t>
  </si>
  <si>
    <t>OG0008336</t>
  </si>
  <si>
    <t>Ofaveolata024229</t>
  </si>
  <si>
    <t>Ssiderea005706</t>
  </si>
  <si>
    <t>mRNA export</t>
  </si>
  <si>
    <t>OG0008350</t>
  </si>
  <si>
    <t>Ofaveolata017291</t>
  </si>
  <si>
    <t>Ssiderea046616</t>
  </si>
  <si>
    <t>Acyl-CoA synthetase long-chain family member</t>
  </si>
  <si>
    <t>OG0008352</t>
  </si>
  <si>
    <t>Ofaveolata015433</t>
  </si>
  <si>
    <t>Ssiderea033919</t>
  </si>
  <si>
    <t>microtubule motor activity</t>
  </si>
  <si>
    <t>OG0008364</t>
  </si>
  <si>
    <t>Ofaveolata034384</t>
  </si>
  <si>
    <t>Ssiderea052808</t>
  </si>
  <si>
    <t>positive regulation of interleukin-6-mediated signaling pathway</t>
  </si>
  <si>
    <t>OG0008410</t>
  </si>
  <si>
    <t>Ofaveolata005622</t>
  </si>
  <si>
    <t>Ssiderea053041</t>
  </si>
  <si>
    <t>Belongs to the peroxisomal membrane protein PXMP2 4 family</t>
  </si>
  <si>
    <t>Mpv17 / PMP22 family</t>
  </si>
  <si>
    <t>OG0008444</t>
  </si>
  <si>
    <t>Ofaveolata010907</t>
  </si>
  <si>
    <t>Ssiderea019917</t>
  </si>
  <si>
    <t>DOMON domain-containing protein</t>
  </si>
  <si>
    <t>OG0008524</t>
  </si>
  <si>
    <t>Ofaveolata004630</t>
  </si>
  <si>
    <t>Ssiderea016539</t>
  </si>
  <si>
    <t>OG0008541</t>
  </si>
  <si>
    <t>Ofaveolata002461</t>
  </si>
  <si>
    <t>Ssiderea024988</t>
  </si>
  <si>
    <t>ephrin receptor binding</t>
  </si>
  <si>
    <t>OG0008660</t>
  </si>
  <si>
    <t>Ofaveolata026747</t>
  </si>
  <si>
    <t>Ssiderea017751</t>
  </si>
  <si>
    <t>lipoprotein receptor-related protein</t>
  </si>
  <si>
    <t>OG0008735</t>
  </si>
  <si>
    <t>Ofaveolata033534</t>
  </si>
  <si>
    <t>Ssiderea026331</t>
  </si>
  <si>
    <t>Belongs to the ATP guanido phosphotransferase family</t>
  </si>
  <si>
    <t>OG0008831</t>
  </si>
  <si>
    <t>Ofaveolata000816</t>
  </si>
  <si>
    <t>Ssiderea022688</t>
  </si>
  <si>
    <t>Kelch motif</t>
  </si>
  <si>
    <t>OG0008878</t>
  </si>
  <si>
    <t>Ofaveolata007092</t>
  </si>
  <si>
    <t>Ssiderea028226</t>
  </si>
  <si>
    <t>positive regulation of gluconeogenesis</t>
  </si>
  <si>
    <t>OG0008881</t>
  </si>
  <si>
    <t>Ofaveolata025437</t>
  </si>
  <si>
    <t>Ssiderea039806</t>
  </si>
  <si>
    <t>peptidase inhibitor activity</t>
  </si>
  <si>
    <t>OG0008966</t>
  </si>
  <si>
    <t>Ofaveolata024196</t>
  </si>
  <si>
    <t>Ssiderea005677</t>
  </si>
  <si>
    <t>Armadillo repeat containing 1</t>
  </si>
  <si>
    <t>OG0008969</t>
  </si>
  <si>
    <t>Ofaveolata000728</t>
  </si>
  <si>
    <t>Ssiderea044862</t>
  </si>
  <si>
    <t>translation regulator activity</t>
  </si>
  <si>
    <t>OG0009047</t>
  </si>
  <si>
    <t>Ofaveolata017639</t>
  </si>
  <si>
    <t>Ssiderea046884</t>
  </si>
  <si>
    <t>G protein-coupled receptor 180</t>
  </si>
  <si>
    <t>OG0009065</t>
  </si>
  <si>
    <t>Ofaveolata003292</t>
  </si>
  <si>
    <t>Ssiderea030069</t>
  </si>
  <si>
    <t>phosphopyruvate hydratase activity</t>
  </si>
  <si>
    <t>OG0009081</t>
  </si>
  <si>
    <t>Ofaveolata027902</t>
  </si>
  <si>
    <t>Ssiderea042436</t>
  </si>
  <si>
    <t>Glycine dehydrogenase (decarboxylating)</t>
  </si>
  <si>
    <t>OG0009310</t>
  </si>
  <si>
    <t>Ofaveolata036500</t>
  </si>
  <si>
    <t>Ssiderea61034</t>
  </si>
  <si>
    <t>Integrase core domain</t>
  </si>
  <si>
    <t>OG0009873</t>
  </si>
  <si>
    <t>Ofaveolata021924</t>
  </si>
  <si>
    <t>Ssiderea60285</t>
  </si>
  <si>
    <t>Kinesin family</t>
  </si>
  <si>
    <t>Chromosome-associated kinesin KIF4A</t>
  </si>
  <si>
    <t>OG0009926</t>
  </si>
  <si>
    <t>Ofaveolata012658</t>
  </si>
  <si>
    <t>Ssiderea000678</t>
  </si>
  <si>
    <t>SUMO conjugating enzyme activity</t>
  </si>
  <si>
    <t>OG0009990</t>
  </si>
  <si>
    <t>Ofaveolata029421</t>
  </si>
  <si>
    <t>Ssiderea032915</t>
  </si>
  <si>
    <t>GRIM-19 protein</t>
  </si>
  <si>
    <t>OG0010060</t>
  </si>
  <si>
    <t>Ofaveolata006485</t>
  </si>
  <si>
    <t>Ssiderea010064</t>
  </si>
  <si>
    <t>CREB ATF bZIP transcription factor</t>
  </si>
  <si>
    <t>OG0010085</t>
  </si>
  <si>
    <t>Ofaveolata007310</t>
  </si>
  <si>
    <t>Ssiderea058217</t>
  </si>
  <si>
    <t>Lys63-specific deubiquitinase activity</t>
  </si>
  <si>
    <t>OG0010208</t>
  </si>
  <si>
    <t>Ofaveolata007900</t>
  </si>
  <si>
    <t>Ssiderea009350</t>
  </si>
  <si>
    <t>L-2-hydroxyglutarate dehydrogenase</t>
  </si>
  <si>
    <t>OG0010399</t>
  </si>
  <si>
    <t>Ofaveolata001155</t>
  </si>
  <si>
    <t>Ssiderea029395</t>
  </si>
  <si>
    <t>alpha-1,6-mannosylglycoprotein 2-beta-N-acetylglucosaminyltransferase activity</t>
  </si>
  <si>
    <t>Alpha-1,6-mannosylglycoprotein 2-beta-N-acetylglucosaminyltransferase activity. It is involved in the biological process described with oligosaccharide biosynthetic process</t>
  </si>
  <si>
    <t>OG0010400</t>
  </si>
  <si>
    <t>Ofaveolata022918</t>
  </si>
  <si>
    <t>Ssiderea014951</t>
  </si>
  <si>
    <t>Trypsin-like serine protease</t>
  </si>
  <si>
    <t>OG0010600</t>
  </si>
  <si>
    <t>Ofaveolata016823</t>
  </si>
  <si>
    <t>Ssiderea054550</t>
  </si>
  <si>
    <t>RNA strand-exchange activity</t>
  </si>
  <si>
    <t>OG0010664</t>
  </si>
  <si>
    <t>Ofaveolata001645</t>
  </si>
  <si>
    <t>Ssiderea049613</t>
  </si>
  <si>
    <t>Hairy and enhancer of split-related protein helt</t>
  </si>
  <si>
    <t>OG0010842</t>
  </si>
  <si>
    <t>Ofaveolata016023</t>
  </si>
  <si>
    <t>Ssiderea033498</t>
  </si>
  <si>
    <t>nuclear-transcribed mRNA catabolic process, nonsense-mediated decay</t>
  </si>
  <si>
    <t>OG0010995</t>
  </si>
  <si>
    <t>Ofaveolata007495</t>
  </si>
  <si>
    <t>Ssiderea044419</t>
  </si>
  <si>
    <t>Belongs to the small heat shock protein (HSP20) family</t>
  </si>
  <si>
    <t>OG0011010</t>
  </si>
  <si>
    <t>Ofaveolata018309</t>
  </si>
  <si>
    <t>Ssiderea018632</t>
  </si>
  <si>
    <t>propionyl-CoA carboxylase activity</t>
  </si>
  <si>
    <t>OG0011070</t>
  </si>
  <si>
    <t>Ofaveolata011236</t>
  </si>
  <si>
    <t>Ssiderea051431</t>
  </si>
  <si>
    <t>glycerate dehydrogenase activity</t>
  </si>
  <si>
    <t>OG0011229</t>
  </si>
  <si>
    <t>Ofaveolata004222</t>
  </si>
  <si>
    <t>Ssiderea029117</t>
  </si>
  <si>
    <t>GABA-A receptor activity</t>
  </si>
  <si>
    <t>OG0011360</t>
  </si>
  <si>
    <t>Ofaveolata025862</t>
  </si>
  <si>
    <t>Ssiderea055489</t>
  </si>
  <si>
    <t>homologous chromosome movement towards spindle pole involved in homologous chromosome segregation</t>
  </si>
  <si>
    <t>OG0011426</t>
  </si>
  <si>
    <t>Ofaveolata016294</t>
  </si>
  <si>
    <t>Ssiderea052675</t>
  </si>
  <si>
    <t>Cytochrome p-450</t>
  </si>
  <si>
    <t>OG0011451</t>
  </si>
  <si>
    <t>Ofaveolata001473</t>
  </si>
  <si>
    <t>Ssiderea043685</t>
  </si>
  <si>
    <t>acid phosphatase activity</t>
  </si>
  <si>
    <t>OG0011482</t>
  </si>
  <si>
    <t>Ofaveolata005158</t>
  </si>
  <si>
    <t>Ssiderea62307</t>
  </si>
  <si>
    <t>OG0011829</t>
  </si>
  <si>
    <t>Ofaveolata025813</t>
  </si>
  <si>
    <t>Ssiderea055555</t>
  </si>
  <si>
    <t>phospholipid-translocating ATPase activity</t>
  </si>
  <si>
    <t>OG0011885</t>
  </si>
  <si>
    <t>Ofaveolata033256</t>
  </si>
  <si>
    <t>Ssiderea055301</t>
  </si>
  <si>
    <t>Src homology 3 domains</t>
  </si>
  <si>
    <t>OG0011928</t>
  </si>
  <si>
    <t>Ofaveolata006623</t>
  </si>
  <si>
    <t>Ssiderea010003</t>
  </si>
  <si>
    <t>OG0011947</t>
  </si>
  <si>
    <t>Ofaveolata026506</t>
  </si>
  <si>
    <t>Ssiderea021770</t>
  </si>
  <si>
    <t>U6 snRNA binding</t>
  </si>
  <si>
    <t>OG0012041</t>
  </si>
  <si>
    <t>Ofaveolata009050</t>
  </si>
  <si>
    <t>Ssiderea055063</t>
  </si>
  <si>
    <t>neurogenic locus notch homolog protein</t>
  </si>
  <si>
    <t>OG0012083</t>
  </si>
  <si>
    <t>Ofaveolata029185</t>
  </si>
  <si>
    <t>Ssiderea027760</t>
  </si>
  <si>
    <t>growth factor 1 receptor</t>
  </si>
  <si>
    <t>Receptor L domain</t>
  </si>
  <si>
    <t>OG0012143</t>
  </si>
  <si>
    <t>Ofaveolata002328</t>
  </si>
  <si>
    <t>Ssiderea012842</t>
  </si>
  <si>
    <t>Lactose-binding lectin l-2-like</t>
  </si>
  <si>
    <t>OG0012179</t>
  </si>
  <si>
    <t>Ofaveolata002556</t>
  </si>
  <si>
    <t>Ssiderea013067</t>
  </si>
  <si>
    <t>dihydrofolate reductase activity</t>
  </si>
  <si>
    <t>OG0012242</t>
  </si>
  <si>
    <t>Ofaveolata034333</t>
  </si>
  <si>
    <t>Ssiderea052907</t>
  </si>
  <si>
    <t>OG0012318</t>
  </si>
  <si>
    <t>Ofaveolata007200</t>
  </si>
  <si>
    <t>Ssiderea009898</t>
  </si>
  <si>
    <t>Papain family cysteine protease</t>
  </si>
  <si>
    <t>OG0012425</t>
  </si>
  <si>
    <t>Ofaveolata033404</t>
  </si>
  <si>
    <t>Ssiderea040239</t>
  </si>
  <si>
    <t>beta-tubulin binding</t>
  </si>
  <si>
    <t>Leucine-rich PPR motif-containing protein</t>
  </si>
  <si>
    <t>OG0012535</t>
  </si>
  <si>
    <t>Ofaveolata015180</t>
  </si>
  <si>
    <t>Ssiderea051132</t>
  </si>
  <si>
    <t>calcium ion-regulated exocytosis of neurotransmitter</t>
  </si>
  <si>
    <t>OG0012629</t>
  </si>
  <si>
    <t>Ofaveolata018037</t>
  </si>
  <si>
    <t>Ssiderea002220</t>
  </si>
  <si>
    <t>trypsinogen activation</t>
  </si>
  <si>
    <t>OG0012655</t>
  </si>
  <si>
    <t>Ofaveolata004748</t>
  </si>
  <si>
    <t>Ssiderea010924</t>
  </si>
  <si>
    <t>cyclin binding</t>
  </si>
  <si>
    <t>OG0012893</t>
  </si>
  <si>
    <t>Ofaveolata008827</t>
  </si>
  <si>
    <t>Ssiderea007938</t>
  </si>
  <si>
    <t>Nuclear assembly factor 1 homolog (S. cerevisiae)</t>
  </si>
  <si>
    <t>OG0013076</t>
  </si>
  <si>
    <t>Ofaveolata026686</t>
  </si>
  <si>
    <t>Ssiderea002294</t>
  </si>
  <si>
    <t>gamma-glutamylcyclotransferase activity</t>
  </si>
  <si>
    <t>PFAM AIG2 family protein</t>
  </si>
  <si>
    <t>OG0013085</t>
  </si>
  <si>
    <t>Ofaveolata031804</t>
  </si>
  <si>
    <t>Ssiderea006778</t>
  </si>
  <si>
    <t>Leukotriene A-4 hydrolase</t>
  </si>
  <si>
    <t>OG0013090</t>
  </si>
  <si>
    <t>Ofaveolata010536</t>
  </si>
  <si>
    <t>Ssiderea045355</t>
  </si>
  <si>
    <t>NAADP-sensitive calcium-release channel activity</t>
  </si>
  <si>
    <t>OG0013170</t>
  </si>
  <si>
    <t>Ofaveolata009169</t>
  </si>
  <si>
    <t>Ssiderea051634</t>
  </si>
  <si>
    <t>aspartate N-acetyltransferase activity</t>
  </si>
  <si>
    <t>OG0013222</t>
  </si>
  <si>
    <t>Ofaveolata002214</t>
  </si>
  <si>
    <t>Ssiderea012721</t>
  </si>
  <si>
    <t>Belongs to the class I-like SAM-binding methyltransferase superfamily. Cation-independent O- methyltransferase family</t>
  </si>
  <si>
    <t>OG0000159</t>
  </si>
  <si>
    <t>Ofaveolata035798</t>
  </si>
  <si>
    <t>Ssiderea034404</t>
  </si>
  <si>
    <t>OG0000163</t>
  </si>
  <si>
    <t>Ofaveolata023831</t>
  </si>
  <si>
    <t>Ssiderea045838</t>
  </si>
  <si>
    <t>OG0000217</t>
  </si>
  <si>
    <t>Ofaveolata002958</t>
  </si>
  <si>
    <t>Ssiderea023623</t>
  </si>
  <si>
    <t>endocytosis</t>
  </si>
  <si>
    <t>OG0000233</t>
  </si>
  <si>
    <t>Ofaveolata024356</t>
  </si>
  <si>
    <t>Ssiderea045997</t>
  </si>
  <si>
    <t>FAD dependent oxidoreductase</t>
  </si>
  <si>
    <t>OG0000279</t>
  </si>
  <si>
    <t>Ofaveolata024964</t>
  </si>
  <si>
    <t>Ssiderea021212</t>
  </si>
  <si>
    <t>cysteine-type endopeptidase activity</t>
  </si>
  <si>
    <t>OG0000421</t>
  </si>
  <si>
    <t>Ofaveolata032911</t>
  </si>
  <si>
    <t>Ssiderea027777</t>
  </si>
  <si>
    <t>guanylate cyclase activity</t>
  </si>
  <si>
    <t>Adenylyl- / guanylyl cyclase, catalytic domain</t>
  </si>
  <si>
    <t>OG0000444</t>
  </si>
  <si>
    <t>Ofaveolata026424</t>
  </si>
  <si>
    <t>Ssiderea038632</t>
  </si>
  <si>
    <t>OG0000533</t>
  </si>
  <si>
    <t>Ofaveolata035093</t>
  </si>
  <si>
    <t>Ssiderea60971</t>
  </si>
  <si>
    <t>transposition, RNA-mediated</t>
  </si>
  <si>
    <t>OG0000570</t>
  </si>
  <si>
    <t>Ofaveolata001035</t>
  </si>
  <si>
    <t>Ssiderea022318</t>
  </si>
  <si>
    <t>fibroblast growth factor-activated receptor activity</t>
  </si>
  <si>
    <t>OG0000616</t>
  </si>
  <si>
    <t>Ofaveolata024831</t>
  </si>
  <si>
    <t>Ssiderea016706</t>
  </si>
  <si>
    <t>C-terminal of Roc, COR, domain</t>
  </si>
  <si>
    <t>OG0000861</t>
  </si>
  <si>
    <t>Ofaveolata027502</t>
  </si>
  <si>
    <t>Ssiderea047867</t>
  </si>
  <si>
    <t>Belongs to the peptidase M10A family</t>
  </si>
  <si>
    <t>OG0000980</t>
  </si>
  <si>
    <t>Ofaveolata015386</t>
  </si>
  <si>
    <t>Ssiderea038323</t>
  </si>
  <si>
    <t>BIR domain binding</t>
  </si>
  <si>
    <t>Caspase 9, apoptosis-related cysteine protease</t>
  </si>
  <si>
    <t>OG0001014</t>
  </si>
  <si>
    <t>Ofaveolata018880</t>
  </si>
  <si>
    <t>Ssiderea002982</t>
  </si>
  <si>
    <t>L-glutamate import across plasma membrane</t>
  </si>
  <si>
    <t>OG0001068</t>
  </si>
  <si>
    <t>Ofaveolata035843</t>
  </si>
  <si>
    <t>Ssiderea000261</t>
  </si>
  <si>
    <t>transcription regulator activity</t>
  </si>
  <si>
    <t>DNA-binding transcription factor activity, RNA polymerase II-specific</t>
  </si>
  <si>
    <t>OG0001135_1</t>
  </si>
  <si>
    <t>Ofaveolata029867</t>
  </si>
  <si>
    <t>Ssiderea039160</t>
  </si>
  <si>
    <t>OG0001173</t>
  </si>
  <si>
    <t>Ofaveolata030656</t>
  </si>
  <si>
    <t>Ssiderea013904</t>
  </si>
  <si>
    <t>Crystallin, zeta (quinone reductase)</t>
  </si>
  <si>
    <t>OG0001510</t>
  </si>
  <si>
    <t>Ofaveolata026785</t>
  </si>
  <si>
    <t>Ssiderea018341</t>
  </si>
  <si>
    <t>dipeptidyl-peptidase activity</t>
  </si>
  <si>
    <t>OG0001545</t>
  </si>
  <si>
    <t>Ofaveolata031665</t>
  </si>
  <si>
    <t>Ssiderea006828</t>
  </si>
  <si>
    <t>protection from non-homologous end joining at telomere</t>
  </si>
  <si>
    <t>OG0001548</t>
  </si>
  <si>
    <t>Ofaveolata018113</t>
  </si>
  <si>
    <t>Ssiderea001921</t>
  </si>
  <si>
    <t>axonal fasciculation</t>
  </si>
  <si>
    <t>OG0001780</t>
  </si>
  <si>
    <t>Ofaveolata010105</t>
  </si>
  <si>
    <t>Ssiderea049435</t>
  </si>
  <si>
    <t>UPF0554 protein C2orf43 homolog</t>
  </si>
  <si>
    <t>OG0001866</t>
  </si>
  <si>
    <t>Ofaveolata019305</t>
  </si>
  <si>
    <t>Ssiderea043956</t>
  </si>
  <si>
    <t>serine-type endopeptidase activity</t>
  </si>
  <si>
    <t>OG0001873</t>
  </si>
  <si>
    <t>Ofaveolata017721</t>
  </si>
  <si>
    <t>Ssiderea046959</t>
  </si>
  <si>
    <t>Glycosyl transferase</t>
  </si>
  <si>
    <t>OG0002144</t>
  </si>
  <si>
    <t>Ofaveolata000890</t>
  </si>
  <si>
    <t>Ssiderea022553</t>
  </si>
  <si>
    <t>NFX1-type zinc finger-containing protein</t>
  </si>
  <si>
    <t>OG0002263</t>
  </si>
  <si>
    <t>Ofaveolata024686</t>
  </si>
  <si>
    <t>Ssiderea017096</t>
  </si>
  <si>
    <t>homophilic cell adhesion via plasma membrane adhesion molecules</t>
  </si>
  <si>
    <t>OG0002395</t>
  </si>
  <si>
    <t>Ofaveolata030986</t>
  </si>
  <si>
    <t>Ssiderea006565</t>
  </si>
  <si>
    <t>OG0002538</t>
  </si>
  <si>
    <t>Ofaveolata014814</t>
  </si>
  <si>
    <t>Ssiderea021625</t>
  </si>
  <si>
    <t>Fic/DOC family</t>
  </si>
  <si>
    <t>OG0002586</t>
  </si>
  <si>
    <t>Ofaveolata030575</t>
  </si>
  <si>
    <t>Ssiderea034030</t>
  </si>
  <si>
    <t>DNA repair protein</t>
  </si>
  <si>
    <t>repair protein</t>
  </si>
  <si>
    <t>OG0002871</t>
  </si>
  <si>
    <t>Ofaveolata018010</t>
  </si>
  <si>
    <t>Ssiderea002238</t>
  </si>
  <si>
    <t>OG0003004</t>
  </si>
  <si>
    <t>Ofaveolata032422</t>
  </si>
  <si>
    <t>Ssiderea007654</t>
  </si>
  <si>
    <t>OG0003070</t>
  </si>
  <si>
    <t>Ofaveolata011218</t>
  </si>
  <si>
    <t>Ssiderea050623</t>
  </si>
  <si>
    <t>Nucleus accumbens associated 1, BEN and BTB (POZ) domain containing</t>
  </si>
  <si>
    <t>OG0003182</t>
  </si>
  <si>
    <t>Ofaveolata015291</t>
  </si>
  <si>
    <t>Ssiderea031448</t>
  </si>
  <si>
    <t>regulation of mitotic metaphase/anaphase transition</t>
  </si>
  <si>
    <t>OG0003313</t>
  </si>
  <si>
    <t>Ofaveolata004925</t>
  </si>
  <si>
    <t>Ssiderea011320</t>
  </si>
  <si>
    <t>cerebellar Purkinje cell layer maturation</t>
  </si>
  <si>
    <t>Arginine-glutamic acid dipeptide</t>
  </si>
  <si>
    <t>OG0004108</t>
  </si>
  <si>
    <t>Ofaveolata008029</t>
  </si>
  <si>
    <t>Ssiderea009542</t>
  </si>
  <si>
    <t>Ribosomal protein L4</t>
  </si>
  <si>
    <t>OG0004258</t>
  </si>
  <si>
    <t>Ofaveolata005181</t>
  </si>
  <si>
    <t>Ssiderea016583</t>
  </si>
  <si>
    <t>Neurotransmitter-gated ion-channel ligand binding domain</t>
  </si>
  <si>
    <t>OG0004485</t>
  </si>
  <si>
    <t>Ofaveolata031172</t>
  </si>
  <si>
    <t>Ssiderea048618</t>
  </si>
  <si>
    <t>sequence-specific DNA binding</t>
  </si>
  <si>
    <t>OG0004737</t>
  </si>
  <si>
    <t>Ofaveolata003318</t>
  </si>
  <si>
    <t>Ssiderea030027</t>
  </si>
  <si>
    <t>collagen</t>
  </si>
  <si>
    <t>OG0004748</t>
  </si>
  <si>
    <t>Ofaveolata007313</t>
  </si>
  <si>
    <t>Ssiderea058223</t>
  </si>
  <si>
    <t>DNA demethylation of male pronucleus</t>
  </si>
  <si>
    <t>OG0005061</t>
  </si>
  <si>
    <t>Ofaveolata010578</t>
  </si>
  <si>
    <t>Ssiderea045388</t>
  </si>
  <si>
    <t>OG0005655</t>
  </si>
  <si>
    <t>Ofaveolata000249</t>
  </si>
  <si>
    <t>Ssiderea029600</t>
  </si>
  <si>
    <t>serine-type carboxypeptidase activity</t>
  </si>
  <si>
    <t>OG0006354</t>
  </si>
  <si>
    <t>Ofaveolata019333</t>
  </si>
  <si>
    <t>Ssiderea037268</t>
  </si>
  <si>
    <t>It is involved in the biological process described with</t>
  </si>
  <si>
    <t>OG0006380</t>
  </si>
  <si>
    <t>Ofaveolata030970</t>
  </si>
  <si>
    <t>Ssiderea056438</t>
  </si>
  <si>
    <t>RNA binding motif protein</t>
  </si>
  <si>
    <t>OG0006385</t>
  </si>
  <si>
    <t>Ofaveolata024791</t>
  </si>
  <si>
    <t>Ssiderea016771</t>
  </si>
  <si>
    <t>OG0006523</t>
  </si>
  <si>
    <t>Ofaveolata024440</t>
  </si>
  <si>
    <t>Ssiderea006119</t>
  </si>
  <si>
    <t>2 iron, 2 sulfur cluster binding</t>
  </si>
  <si>
    <t>OG0006550</t>
  </si>
  <si>
    <t>Ofaveolata026049</t>
  </si>
  <si>
    <t>Ssiderea021792</t>
  </si>
  <si>
    <t>Tudor domain</t>
  </si>
  <si>
    <t>OG0006604</t>
  </si>
  <si>
    <t>Ofaveolata030665</t>
  </si>
  <si>
    <t>Ssiderea013912</t>
  </si>
  <si>
    <t>heat shock protein binding</t>
  </si>
  <si>
    <t>regulation of nitrosative stress-induced intrinsic apoptotic signaling pathway</t>
  </si>
  <si>
    <t>OG0006643</t>
  </si>
  <si>
    <t>Ofaveolata017575</t>
  </si>
  <si>
    <t>Ssiderea018481</t>
  </si>
  <si>
    <t>Belongs to the sterol desaturase family</t>
  </si>
  <si>
    <t>lathosterol oxidase activity</t>
  </si>
  <si>
    <t>OG0006814</t>
  </si>
  <si>
    <t>Ofaveolata013102</t>
  </si>
  <si>
    <t>Ssiderea001391</t>
  </si>
  <si>
    <t>OG0007235</t>
  </si>
  <si>
    <t>Ofaveolata034746</t>
  </si>
  <si>
    <t>Ssiderea044950</t>
  </si>
  <si>
    <t>regulation of establishment of blood-brain barrier</t>
  </si>
  <si>
    <t>OG0007422</t>
  </si>
  <si>
    <t>Ofaveolata026288</t>
  </si>
  <si>
    <t>Ssiderea039581</t>
  </si>
  <si>
    <t>CENP-S protein</t>
  </si>
  <si>
    <t>centromere protein T</t>
  </si>
  <si>
    <t>OG0007445</t>
  </si>
  <si>
    <t>Ofaveolata005254</t>
  </si>
  <si>
    <t>Ssiderea015912</t>
  </si>
  <si>
    <t>ornithine carbamoyltransferase activity</t>
  </si>
  <si>
    <t>OG0007585</t>
  </si>
  <si>
    <t>Ofaveolata032055</t>
  </si>
  <si>
    <t>Ssiderea039244</t>
  </si>
  <si>
    <t>DEAD/DEAH box helicase</t>
  </si>
  <si>
    <t>OG0007602</t>
  </si>
  <si>
    <t>Ofaveolata009888</t>
  </si>
  <si>
    <t>Ssiderea051823</t>
  </si>
  <si>
    <t>planar cell polarity effector</t>
  </si>
  <si>
    <t>OG0007729</t>
  </si>
  <si>
    <t>Ofaveolata006488</t>
  </si>
  <si>
    <t>Ssiderea010069</t>
  </si>
  <si>
    <t>adenosine 3'-phospho 5'-phosphosulfate transporter</t>
  </si>
  <si>
    <t>OG0007747</t>
  </si>
  <si>
    <t>Ofaveolata030402</t>
  </si>
  <si>
    <t>Ssiderea034170</t>
  </si>
  <si>
    <t>vesicle fusion with Golgi apparatus</t>
  </si>
  <si>
    <t>OG0007750</t>
  </si>
  <si>
    <t>Ofaveolata020982</t>
  </si>
  <si>
    <t>Ssiderea012168</t>
  </si>
  <si>
    <t>PAP2 superfamily</t>
  </si>
  <si>
    <t>OG0007807</t>
  </si>
  <si>
    <t>Ofaveolata030950</t>
  </si>
  <si>
    <t>Ssiderea048874</t>
  </si>
  <si>
    <t>G/U mismatch-specific uracil-DNA glycosylase activity</t>
  </si>
  <si>
    <t>OG0008194</t>
  </si>
  <si>
    <t>Ofaveolata026924</t>
  </si>
  <si>
    <t>Ssiderea018035</t>
  </si>
  <si>
    <t>endonucleolytic cleavage in ITS1 to separate SSU-rRNA from 5.8S rRNA and LSU-rRNA from tricistronic rRNA transcript (SSU-rRNA, 5.8S rRNA, LSU-rRNA)</t>
  </si>
  <si>
    <t>OG0008542</t>
  </si>
  <si>
    <t>Ofaveolata014037</t>
  </si>
  <si>
    <t>Ssiderea003449</t>
  </si>
  <si>
    <t>mannosyl-glycoprotein endo-beta-N-acetylglucosaminidase activity</t>
  </si>
  <si>
    <t>OG0008561</t>
  </si>
  <si>
    <t>Ofaveolata027250</t>
  </si>
  <si>
    <t>Ssiderea025588</t>
  </si>
  <si>
    <t>Polysaccharide deacetylase</t>
  </si>
  <si>
    <t>OG0008587</t>
  </si>
  <si>
    <t>Ofaveolata029911</t>
  </si>
  <si>
    <t>Ssiderea024170</t>
  </si>
  <si>
    <t>Alcohol dehydrogenase GroES-like domain</t>
  </si>
  <si>
    <t>OG0009197</t>
  </si>
  <si>
    <t>Ofaveolata025991</t>
  </si>
  <si>
    <t>Ssiderea038867</t>
  </si>
  <si>
    <t>RanBP-type and C3HC4-type zinc</t>
  </si>
  <si>
    <t>ranBP-type and C3HC4-type zinc finger-containing protein</t>
  </si>
  <si>
    <t>OG0009198</t>
  </si>
  <si>
    <t>Ofaveolata010955</t>
  </si>
  <si>
    <t>Ssiderea055738</t>
  </si>
  <si>
    <t>ionotropic glutamate receptor activity</t>
  </si>
  <si>
    <t>OG0009296</t>
  </si>
  <si>
    <t>Ofaveolata031482</t>
  </si>
  <si>
    <t>Ssiderea048742</t>
  </si>
  <si>
    <t>aminomethyltransferase activity</t>
  </si>
  <si>
    <t>OG0009387</t>
  </si>
  <si>
    <t>Ofaveolata000187</t>
  </si>
  <si>
    <t>Ssiderea022147</t>
  </si>
  <si>
    <t>guanine nucleotide-binding protein</t>
  </si>
  <si>
    <t>OG0009490</t>
  </si>
  <si>
    <t>Ofaveolata002891</t>
  </si>
  <si>
    <t>Ssiderea024554</t>
  </si>
  <si>
    <t>phytanoyl-CoA dioxygenase activity</t>
  </si>
  <si>
    <t>OG0009510</t>
  </si>
  <si>
    <t>Ofaveolata005880</t>
  </si>
  <si>
    <t>Ssiderea047898</t>
  </si>
  <si>
    <t>transmembrane transport</t>
  </si>
  <si>
    <t>OG0009552</t>
  </si>
  <si>
    <t>Ofaveolata022992</t>
  </si>
  <si>
    <t>Ssiderea014842</t>
  </si>
  <si>
    <t>kinase 36</t>
  </si>
  <si>
    <t>OG0009652</t>
  </si>
  <si>
    <t>Ofaveolata025017</t>
  </si>
  <si>
    <t>Ssiderea021332</t>
  </si>
  <si>
    <t>saccharopine dehydrogenase (NAD+, L-lysine-forming) activity</t>
  </si>
  <si>
    <t>OG0009700</t>
  </si>
  <si>
    <t>Ofaveolata031851</t>
  </si>
  <si>
    <t>Ssiderea007204</t>
  </si>
  <si>
    <t>granuloma formation</t>
  </si>
  <si>
    <t>OG0009767</t>
  </si>
  <si>
    <t>Ofaveolata008116</t>
  </si>
  <si>
    <t>Ssiderea009645</t>
  </si>
  <si>
    <t>Initiation factor</t>
  </si>
  <si>
    <t>OG0010040</t>
  </si>
  <si>
    <t>Ofaveolata003052</t>
  </si>
  <si>
    <t>Ssiderea024813</t>
  </si>
  <si>
    <t>glycine amidinotransferase</t>
  </si>
  <si>
    <t>OG0010340</t>
  </si>
  <si>
    <t>Ofaveolata026277</t>
  </si>
  <si>
    <t>Ssiderea039594</t>
  </si>
  <si>
    <t>snRNA 3'-end processing</t>
  </si>
  <si>
    <t>Integrator complex subunit 8</t>
  </si>
  <si>
    <t>OG0010524</t>
  </si>
  <si>
    <t>Ofaveolata035924</t>
  </si>
  <si>
    <t>Ssiderea053980</t>
  </si>
  <si>
    <t>hyaluronic acid binding</t>
  </si>
  <si>
    <t>OG0010817</t>
  </si>
  <si>
    <t>Ofaveolata007716</t>
  </si>
  <si>
    <t>Ssiderea009315</t>
  </si>
  <si>
    <t>OG0010826</t>
  </si>
  <si>
    <t>Ofaveolata034866</t>
  </si>
  <si>
    <t>Ssiderea62489</t>
  </si>
  <si>
    <t>OG0010926</t>
  </si>
  <si>
    <t>Ofaveolata014414</t>
  </si>
  <si>
    <t>Ssiderea004889</t>
  </si>
  <si>
    <t>negative regulation of Arp2/3 complex-mediated actin nucleation</t>
  </si>
  <si>
    <t>OG0011071</t>
  </si>
  <si>
    <t>Ofaveolata034096</t>
  </si>
  <si>
    <t>Ssiderea031692</t>
  </si>
  <si>
    <t>LETM1 domain containing 1</t>
  </si>
  <si>
    <t>OG0011115</t>
  </si>
  <si>
    <t>Ofaveolata006719</t>
  </si>
  <si>
    <t>Ssiderea032352</t>
  </si>
  <si>
    <t>tRNA methylation</t>
  </si>
  <si>
    <t>OG0011284</t>
  </si>
  <si>
    <t>Ofaveolata023237</t>
  </si>
  <si>
    <t>Ssiderea045978</t>
  </si>
  <si>
    <t>BRCA1 interacting protein C-terminal helicase 1</t>
  </si>
  <si>
    <t>OG0011304</t>
  </si>
  <si>
    <t>Ofaveolata014004</t>
  </si>
  <si>
    <t>Ssiderea043937</t>
  </si>
  <si>
    <t>protein monoubiquitination</t>
  </si>
  <si>
    <t>OG0011460</t>
  </si>
  <si>
    <t>Ofaveolata008331</t>
  </si>
  <si>
    <t>Ssiderea008909</t>
  </si>
  <si>
    <t>Structural maintenance of chromosomes flexible hinge</t>
  </si>
  <si>
    <t>OG0011780</t>
  </si>
  <si>
    <t>Ofaveolata002448</t>
  </si>
  <si>
    <t>Ssiderea024969</t>
  </si>
  <si>
    <t>Chromosome 5 open reading frame 28</t>
  </si>
  <si>
    <t>OG0011821</t>
  </si>
  <si>
    <t>Ofaveolata008962</t>
  </si>
  <si>
    <t>Ssiderea007806</t>
  </si>
  <si>
    <t>SCF complex assembly</t>
  </si>
  <si>
    <t>OG0011897</t>
  </si>
  <si>
    <t>Ofaveolata030404</t>
  </si>
  <si>
    <t>Ssiderea034168</t>
  </si>
  <si>
    <t>F-box and WD repeat domain containing 7, E3 ubiquitin protein ligase</t>
  </si>
  <si>
    <t>OG0011925</t>
  </si>
  <si>
    <t>Ofaveolata017705</t>
  </si>
  <si>
    <t>Ssiderea046933</t>
  </si>
  <si>
    <t>Dihydrodipicolinate synthetase family</t>
  </si>
  <si>
    <t>Belongs to the DapA family</t>
  </si>
  <si>
    <t>OG0011944</t>
  </si>
  <si>
    <t>Ofaveolata014908</t>
  </si>
  <si>
    <t>Ssiderea004908</t>
  </si>
  <si>
    <t>OG0012109</t>
  </si>
  <si>
    <t>Ofaveolata015207</t>
  </si>
  <si>
    <t>Ssiderea051110</t>
  </si>
  <si>
    <t>Polymerase (DNA directed) iota</t>
  </si>
  <si>
    <t>DNA-directed DNA polymerase activity</t>
  </si>
  <si>
    <t>OG0012530</t>
  </si>
  <si>
    <t>Ofaveolata034074</t>
  </si>
  <si>
    <t>Ssiderea031743</t>
  </si>
  <si>
    <t>determination of stomach left/right asymmetry</t>
  </si>
  <si>
    <t>OG0012596</t>
  </si>
  <si>
    <t>Ofaveolata030676</t>
  </si>
  <si>
    <t>Ssiderea013935</t>
  </si>
  <si>
    <t>Dienelactone hydrolase family</t>
  </si>
  <si>
    <t>OG0012615</t>
  </si>
  <si>
    <t>Ofaveolata031920</t>
  </si>
  <si>
    <t>Ssiderea007342</t>
  </si>
  <si>
    <t>cellular response to calcium ion</t>
  </si>
  <si>
    <t>OG0012674</t>
  </si>
  <si>
    <t>Ofaveolata001066</t>
  </si>
  <si>
    <t>Ssiderea022281</t>
  </si>
  <si>
    <t>OG0013048</t>
  </si>
  <si>
    <t>Ofaveolata008482</t>
  </si>
  <si>
    <t>Ssiderea008750</t>
  </si>
  <si>
    <t>positive regulation of interleukin-13 biosynthetic process</t>
  </si>
  <si>
    <t>OG0013181</t>
  </si>
  <si>
    <t>Ofaveolata009235</t>
  </si>
  <si>
    <t>Ssiderea035575</t>
  </si>
  <si>
    <t>X-ray repair cross-complementing protein 5</t>
  </si>
  <si>
    <t>OG0000236</t>
  </si>
  <si>
    <t>Ofaveolata013360</t>
  </si>
  <si>
    <t>Ssiderea043795</t>
  </si>
  <si>
    <t>ATP binding. It is involved in the biological process described with protein phosphorylation</t>
  </si>
  <si>
    <t>OG0000413</t>
  </si>
  <si>
    <t>Ofaveolata007887</t>
  </si>
  <si>
    <t>Ssiderea009036</t>
  </si>
  <si>
    <t>negative regulation of DNA replication</t>
  </si>
  <si>
    <t>OG0000451</t>
  </si>
  <si>
    <t>Ofaveolata021443</t>
  </si>
  <si>
    <t>Ssiderea057287</t>
  </si>
  <si>
    <t>transitional stage B cell differentiation</t>
  </si>
  <si>
    <t>non-membrane spanning protein tyrosine kinase activity</t>
  </si>
  <si>
    <t>OG0001011</t>
  </si>
  <si>
    <t>Ofaveolata001276</t>
  </si>
  <si>
    <t>Ssiderea049748</t>
  </si>
  <si>
    <t>chromatin binding</t>
  </si>
  <si>
    <t>OG0001057</t>
  </si>
  <si>
    <t>Ofaveolata027119</t>
  </si>
  <si>
    <t>Ssiderea025760</t>
  </si>
  <si>
    <t>netrin receptor activity</t>
  </si>
  <si>
    <t>OG0001102</t>
  </si>
  <si>
    <t>Ofaveolata035834</t>
  </si>
  <si>
    <t>Ssiderea007891</t>
  </si>
  <si>
    <t>Signal peptide, CUB</t>
  </si>
  <si>
    <t>OG0001182</t>
  </si>
  <si>
    <t>Ofaveolata007702</t>
  </si>
  <si>
    <t>Ssiderea009685</t>
  </si>
  <si>
    <t>5-methyltetrahydrofolate-dependent methyltransferase activity</t>
  </si>
  <si>
    <t>OG0001202</t>
  </si>
  <si>
    <t>Ofaveolata019732</t>
  </si>
  <si>
    <t>Ssiderea018518</t>
  </si>
  <si>
    <t>NACHT and WD repeat</t>
  </si>
  <si>
    <t>telomerase activity</t>
  </si>
  <si>
    <t>OG0001623</t>
  </si>
  <si>
    <t>Ofaveolata008336</t>
  </si>
  <si>
    <t>Ssiderea008827</t>
  </si>
  <si>
    <t>lipid catabolic process</t>
  </si>
  <si>
    <t>OG0001690</t>
  </si>
  <si>
    <t>Ofaveolata001039</t>
  </si>
  <si>
    <t>Ssiderea022313</t>
  </si>
  <si>
    <t>OG0002140</t>
  </si>
  <si>
    <t>Ofaveolata021349</t>
  </si>
  <si>
    <t>Ssiderea047484</t>
  </si>
  <si>
    <t>embryonic heart tube elongation</t>
  </si>
  <si>
    <t>OG0002166</t>
  </si>
  <si>
    <t>Ofaveolata014644</t>
  </si>
  <si>
    <t>Ssiderea004121</t>
  </si>
  <si>
    <t>OG0002590</t>
  </si>
  <si>
    <t>Ofaveolata036172</t>
  </si>
  <si>
    <t>Ssiderea027822</t>
  </si>
  <si>
    <t>forked DNA-dependent helicase activity</t>
  </si>
  <si>
    <t>Bloom syndrome</t>
  </si>
  <si>
    <t>OG0002838</t>
  </si>
  <si>
    <t>Ofaveolata017838</t>
  </si>
  <si>
    <t>Ssiderea002334</t>
  </si>
  <si>
    <t>Tyrosine kinase, catalytic domain</t>
  </si>
  <si>
    <t>OG0003068</t>
  </si>
  <si>
    <t>Ofaveolata007910</t>
  </si>
  <si>
    <t>Ssiderea009375</t>
  </si>
  <si>
    <t>adipocyte plasma</t>
  </si>
  <si>
    <t>OG0003766</t>
  </si>
  <si>
    <t>Ofaveolata031849</t>
  </si>
  <si>
    <t>Ssiderea007202</t>
  </si>
  <si>
    <t>Major Facilitator Superfamily</t>
  </si>
  <si>
    <t>OG0004202</t>
  </si>
  <si>
    <t>Ofaveolata030015</t>
  </si>
  <si>
    <t>Ssiderea052996</t>
  </si>
  <si>
    <t>extrinsic apoptotic signaling pathway in absence of ligand</t>
  </si>
  <si>
    <t>OG0004406</t>
  </si>
  <si>
    <t>Ofaveolata005645</t>
  </si>
  <si>
    <t>Ssiderea010526</t>
  </si>
  <si>
    <t>OG0004795</t>
  </si>
  <si>
    <t>Ofaveolata013904</t>
  </si>
  <si>
    <t>Ssiderea044032</t>
  </si>
  <si>
    <t>HAUS augmin-like complex subunit 2</t>
  </si>
  <si>
    <t>OG0004906</t>
  </si>
  <si>
    <t>Ofaveolata007799</t>
  </si>
  <si>
    <t>Ssiderea009300</t>
  </si>
  <si>
    <t>Tubulin-tyrosine ligase family</t>
  </si>
  <si>
    <t>ligase activity</t>
  </si>
  <si>
    <t>OG0004970</t>
  </si>
  <si>
    <t>Ofaveolata012817</t>
  </si>
  <si>
    <t>Ssiderea058309</t>
  </si>
  <si>
    <t>photoreceptor cell maintenance</t>
  </si>
  <si>
    <t>OG0005956</t>
  </si>
  <si>
    <t>Ofaveolata004276</t>
  </si>
  <si>
    <t>Ssiderea029057</t>
  </si>
  <si>
    <t>OG0006292</t>
  </si>
  <si>
    <t>Ofaveolata021886</t>
  </si>
  <si>
    <t>Ssiderea020410</t>
  </si>
  <si>
    <t>melanosome organization</t>
  </si>
  <si>
    <t>OG0006449</t>
  </si>
  <si>
    <t>Ofaveolata003392</t>
  </si>
  <si>
    <t>Ssiderea029895</t>
  </si>
  <si>
    <t>UDP-glucose 6-dehydrogenase activity</t>
  </si>
  <si>
    <t>OG0006663</t>
  </si>
  <si>
    <t>Ofaveolata034385</t>
  </si>
  <si>
    <t>Ssiderea052807</t>
  </si>
  <si>
    <t>medium-chain-acyl-CoA dehydrogenase activity</t>
  </si>
  <si>
    <t>OG0006997</t>
  </si>
  <si>
    <t>Ofaveolata031701</t>
  </si>
  <si>
    <t>Ssiderea007172</t>
  </si>
  <si>
    <t>acylglycerol lipase activity</t>
  </si>
  <si>
    <t>OG0007026</t>
  </si>
  <si>
    <t>Ofaveolata022019</t>
  </si>
  <si>
    <t>Ssiderea023373</t>
  </si>
  <si>
    <t>WD domain, G-beta repeat</t>
  </si>
  <si>
    <t>WD repeat-containing protein 17</t>
  </si>
  <si>
    <t>OG0007954</t>
  </si>
  <si>
    <t>Ofaveolata032478</t>
  </si>
  <si>
    <t>Ssiderea034805</t>
  </si>
  <si>
    <t>tRNA re-export from nucleus</t>
  </si>
  <si>
    <t>OG0007991</t>
  </si>
  <si>
    <t>Ofaveolata015836</t>
  </si>
  <si>
    <t>Ssiderea033795</t>
  </si>
  <si>
    <t>OG0008101</t>
  </si>
  <si>
    <t>Ofaveolata027948</t>
  </si>
  <si>
    <t>Ssiderea007534</t>
  </si>
  <si>
    <t>protein kinase regulator activity</t>
  </si>
  <si>
    <t>OG0008538</t>
  </si>
  <si>
    <t>Ofaveolata014702</t>
  </si>
  <si>
    <t>Ssiderea004167</t>
  </si>
  <si>
    <t>WD40 repeats</t>
  </si>
  <si>
    <t>OG0008549</t>
  </si>
  <si>
    <t>Ofaveolata002443</t>
  </si>
  <si>
    <t>Ssiderea024960</t>
  </si>
  <si>
    <t>Rab-GTPase-TBC domain</t>
  </si>
  <si>
    <t>TBC1 domain family member 15-like</t>
  </si>
  <si>
    <t>OG0008573</t>
  </si>
  <si>
    <t>Ofaveolata017845</t>
  </si>
  <si>
    <t>Ssiderea002326</t>
  </si>
  <si>
    <t>Notch signaling pathway</t>
  </si>
  <si>
    <t>OG0009069</t>
  </si>
  <si>
    <t>Ofaveolata018779</t>
  </si>
  <si>
    <t>Ssiderea003306</t>
  </si>
  <si>
    <t>phosphodiesterase</t>
  </si>
  <si>
    <t>Phosphodiesterase 9A</t>
  </si>
  <si>
    <t>OG0009811</t>
  </si>
  <si>
    <t>Ofaveolata030299</t>
  </si>
  <si>
    <t>Ssiderea027589</t>
  </si>
  <si>
    <t>Protein C10</t>
  </si>
  <si>
    <t>Chromosome 12 open reading frame 57</t>
  </si>
  <si>
    <t>OG0010182</t>
  </si>
  <si>
    <t>Ofaveolata025358</t>
  </si>
  <si>
    <t>Ssiderea051812</t>
  </si>
  <si>
    <t>PHAX RNA-binding domain</t>
  </si>
  <si>
    <t>OG0010816</t>
  </si>
  <si>
    <t>Ofaveolata019794</t>
  </si>
  <si>
    <t>Ssiderea012056</t>
  </si>
  <si>
    <t>major facilitator superfamily</t>
  </si>
  <si>
    <t>OG0010911</t>
  </si>
  <si>
    <t>Ofaveolata027224</t>
  </si>
  <si>
    <t>Ssiderea025214</t>
  </si>
  <si>
    <t>adenylate cyclase-activating adrenergic receptor signaling pathway involved in positive regulation of heart rate</t>
  </si>
  <si>
    <t>OG0011178</t>
  </si>
  <si>
    <t>Ofaveolata022633</t>
  </si>
  <si>
    <t>Ssiderea050130</t>
  </si>
  <si>
    <t>OG0011467</t>
  </si>
  <si>
    <t>Ofaveolata028464</t>
  </si>
  <si>
    <t>Ssiderea042645</t>
  </si>
  <si>
    <t>Dolichol kinase</t>
  </si>
  <si>
    <t>dolichyl monophosphate biosynthetic process</t>
  </si>
  <si>
    <t>OG0011824</t>
  </si>
  <si>
    <t>Ofaveolata002392</t>
  </si>
  <si>
    <t>Ssiderea012921</t>
  </si>
  <si>
    <t>Cryptochrome circadian clock 1ba</t>
  </si>
  <si>
    <t>Cryptochrome circadian clock</t>
  </si>
  <si>
    <t>OG0000597</t>
  </si>
  <si>
    <t>Ofaveolata005223</t>
  </si>
  <si>
    <t>Ssiderea016645</t>
  </si>
  <si>
    <t>SUMO-specific protease activity</t>
  </si>
  <si>
    <t>SUMO1 sentrin specific peptidase</t>
  </si>
  <si>
    <t>OG0000618</t>
  </si>
  <si>
    <t>Ofaveolata003213</t>
  </si>
  <si>
    <t>Ssiderea030177</t>
  </si>
  <si>
    <t>OG0001094</t>
  </si>
  <si>
    <t>Ofaveolata035497</t>
  </si>
  <si>
    <t>Ssiderea60931</t>
  </si>
  <si>
    <t>protein tag</t>
  </si>
  <si>
    <t>intracellular transport of virus</t>
  </si>
  <si>
    <t>OG0001364</t>
  </si>
  <si>
    <t>Ofaveolata017549</t>
  </si>
  <si>
    <t>Ssiderea048577</t>
  </si>
  <si>
    <t>Protein kinase C terminal domain</t>
  </si>
  <si>
    <t>Protein tyrosine kinase</t>
  </si>
  <si>
    <t>OG0001560</t>
  </si>
  <si>
    <t>Ofaveolata003254</t>
  </si>
  <si>
    <t>Ssiderea030126</t>
  </si>
  <si>
    <t>ATP-dependent RNA helicase</t>
  </si>
  <si>
    <t>OG0002373</t>
  </si>
  <si>
    <t>Ofaveolata034392</t>
  </si>
  <si>
    <t>Ssiderea052824</t>
  </si>
  <si>
    <t>OG0004279</t>
  </si>
  <si>
    <t>Ofaveolata025180</t>
  </si>
  <si>
    <t>Ssiderea021583</t>
  </si>
  <si>
    <t>unfolded protein binding</t>
  </si>
  <si>
    <t>OG0004637</t>
  </si>
  <si>
    <t>Ofaveolata028966</t>
  </si>
  <si>
    <t>Ssiderea014220</t>
  </si>
  <si>
    <t>Putative Interleukin 2 receptor, gamma chain</t>
  </si>
  <si>
    <t>OG0004974</t>
  </si>
  <si>
    <t>Ofaveolata027031</t>
  </si>
  <si>
    <t>Ssiderea018178</t>
  </si>
  <si>
    <t>Chromosome 1 open reading frame 177</t>
  </si>
  <si>
    <t>OG0006563</t>
  </si>
  <si>
    <t>Ofaveolata004654</t>
  </si>
  <si>
    <t>Ssiderea010637</t>
  </si>
  <si>
    <t>OG0008579</t>
  </si>
  <si>
    <t>Ofaveolata017828</t>
  </si>
  <si>
    <t>Ssiderea048552</t>
  </si>
  <si>
    <t>OG0008767</t>
  </si>
  <si>
    <t>Ofaveolata023038</t>
  </si>
  <si>
    <t>Ssiderea014777</t>
  </si>
  <si>
    <t>Cobalamin binding. It is involved in the biological process described with cobalamin transport</t>
  </si>
  <si>
    <t>OG0009623</t>
  </si>
  <si>
    <t>Ofaveolata022834</t>
  </si>
  <si>
    <t>Ssiderea015474</t>
  </si>
  <si>
    <t>3'-phosphoadenosine 5'-phosphosulfate transmembrane transporter activity</t>
  </si>
  <si>
    <t>OG0009836</t>
  </si>
  <si>
    <t>Ofaveolata015759</t>
  </si>
  <si>
    <t>Ssiderea033861</t>
  </si>
  <si>
    <t>inner cell mass cell proliferation</t>
  </si>
  <si>
    <t>OG0010386</t>
  </si>
  <si>
    <t>Ofaveolata029869</t>
  </si>
  <si>
    <t>Ssiderea024099</t>
  </si>
  <si>
    <t>Domain of unknown function (DUF4487)</t>
  </si>
  <si>
    <t>OG0011098</t>
  </si>
  <si>
    <t>Ofaveolata025755</t>
  </si>
  <si>
    <t>Ssiderea055622</t>
  </si>
  <si>
    <t>negative regulation of sequestering of triglyceride</t>
  </si>
  <si>
    <t>OG0011820</t>
  </si>
  <si>
    <t>Ofaveolata028872</t>
  </si>
  <si>
    <t>Ssiderea014365</t>
  </si>
  <si>
    <t>ribosomal protein import into nucleus</t>
  </si>
  <si>
    <t>OG0011908</t>
  </si>
  <si>
    <t>Ofaveolata029688</t>
  </si>
  <si>
    <t>Ssiderea023731</t>
  </si>
  <si>
    <t>glomerular parietal epithelial cell differentiation</t>
  </si>
  <si>
    <t>OG0012362</t>
  </si>
  <si>
    <t>Ofaveolata022425</t>
  </si>
  <si>
    <t>Ssiderea023521</t>
  </si>
  <si>
    <t>FAD binding domain of DNA photolyase</t>
  </si>
  <si>
    <t>negative regulation of glucocorticoid receptor signaling pathway</t>
  </si>
  <si>
    <t>OG0012803</t>
  </si>
  <si>
    <t>Ofaveolata014988</t>
  </si>
  <si>
    <t>Ssiderea051219</t>
  </si>
  <si>
    <t>Transformation transcription domain-associated</t>
  </si>
  <si>
    <t>Transformation transcription domain-associated protein</t>
  </si>
  <si>
    <t>OG0000430</t>
  </si>
  <si>
    <t>Ofaveolata016514</t>
  </si>
  <si>
    <t>Ssiderea034936</t>
  </si>
  <si>
    <t>Cell adhesion molecule</t>
  </si>
  <si>
    <t>OG0000696</t>
  </si>
  <si>
    <t>Ofaveolata011199</t>
  </si>
  <si>
    <t>Ssiderea051589</t>
  </si>
  <si>
    <t>acyl-CoA synthetase medium-chain family member 4</t>
  </si>
  <si>
    <t>PFAM AMP-dependent synthetase and ligase</t>
  </si>
  <si>
    <t>OG0000962</t>
  </si>
  <si>
    <t>Ofaveolata015339</t>
  </si>
  <si>
    <t>Ssiderea057455</t>
  </si>
  <si>
    <t>selenoprotein</t>
  </si>
  <si>
    <t>Uncharacterized ACR, YdiU/UPF0061 family</t>
  </si>
  <si>
    <t>OG0001139</t>
  </si>
  <si>
    <t>Ofaveolata006385</t>
  </si>
  <si>
    <t>Ssiderea60593</t>
  </si>
  <si>
    <t>thyroid hormone transmembrane transporter activity</t>
  </si>
  <si>
    <t>OG0001628</t>
  </si>
  <si>
    <t>Ofaveolata030493</t>
  </si>
  <si>
    <t>Ssiderea037801</t>
  </si>
  <si>
    <t>Formyl transferase, C-terminal domain</t>
  </si>
  <si>
    <t>Enoyl-CoA hydratase</t>
  </si>
  <si>
    <t>OG0002522</t>
  </si>
  <si>
    <t>Ofaveolata018861</t>
  </si>
  <si>
    <t>Ssiderea003111</t>
  </si>
  <si>
    <t>thioesterase binding</t>
  </si>
  <si>
    <t>OG0003096</t>
  </si>
  <si>
    <t>Ofaveolata035075</t>
  </si>
  <si>
    <t>Ssiderea047289</t>
  </si>
  <si>
    <t>OG0003952</t>
  </si>
  <si>
    <t>Ofaveolata030284</t>
  </si>
  <si>
    <t>Ssiderea027544</t>
  </si>
  <si>
    <t>regulation of transcription by RNA polymerase II</t>
  </si>
  <si>
    <t>OG0004969</t>
  </si>
  <si>
    <t>Ofaveolata035960</t>
  </si>
  <si>
    <t>Ssiderea047263</t>
  </si>
  <si>
    <t>thiol-dependent ubiquitin-specific protease activity</t>
  </si>
  <si>
    <t>OG0005229</t>
  </si>
  <si>
    <t>Ofaveolata000853</t>
  </si>
  <si>
    <t>Ssiderea022618</t>
  </si>
  <si>
    <t>Catalytic subunit of the poly(A)-nuclease (PAN) deadenylation complex, one of two cytoplasmic mRNA deadenylases involved in general and miRNA-mediated mRNA turnover. PAN specifically shortens poly(A) tails of RNA and the activity is stimulated by poly(A)-binding protein (PABP). PAN deadenylation is followed by rapid degradation of the shortened mRNA tails by the CCR4-NOT complex. Deadenylated mRNAs are then degraded by two alternative mechanisms, namely exosome-mediated 3'-5' exonucleolytic degradation, or deadenlyation-dependent mRNA decaping and subsequent 5'-3' exonucleolytic degradation by XRN1</t>
  </si>
  <si>
    <t>OG0006415</t>
  </si>
  <si>
    <t>Ofaveolata014966</t>
  </si>
  <si>
    <t>Ssiderea038351</t>
  </si>
  <si>
    <t>succinate-hydroxymethylglutarate CoA-transferase activity</t>
  </si>
  <si>
    <t>OG0006625</t>
  </si>
  <si>
    <t>Ofaveolata030750</t>
  </si>
  <si>
    <t>Ssiderea013833</t>
  </si>
  <si>
    <t>Ring finger and WD repeat domain 2</t>
  </si>
  <si>
    <t>OG0007401</t>
  </si>
  <si>
    <t>Ofaveolata021227</t>
  </si>
  <si>
    <t>Ssiderea052204</t>
  </si>
  <si>
    <t>metalloendopeptidase activity</t>
  </si>
  <si>
    <t>OG0007839</t>
  </si>
  <si>
    <t>Ofaveolata012730</t>
  </si>
  <si>
    <t>Ssiderea001302</t>
  </si>
  <si>
    <t>microtubule plus-end binding</t>
  </si>
  <si>
    <t>OG0008422</t>
  </si>
  <si>
    <t>Ofaveolata018929</t>
  </si>
  <si>
    <t>Ssiderea001959</t>
  </si>
  <si>
    <t>OG0009682</t>
  </si>
  <si>
    <t>Ofaveolata026368</t>
  </si>
  <si>
    <t>Ssiderea038740</t>
  </si>
  <si>
    <t>Metastasis suppressor protein 1-like</t>
  </si>
  <si>
    <t>OG0009902</t>
  </si>
  <si>
    <t>Ofaveolata030333</t>
  </si>
  <si>
    <t>Ssiderea027649</t>
  </si>
  <si>
    <t>OG0010173</t>
  </si>
  <si>
    <t>Ofaveolata026870</t>
  </si>
  <si>
    <t>Ssiderea017831</t>
  </si>
  <si>
    <t>propanoyl-CoA C-acyltransferase activity</t>
  </si>
  <si>
    <t>OG0010221</t>
  </si>
  <si>
    <t>Ofaveolata023174</t>
  </si>
  <si>
    <t>Ssiderea014617</t>
  </si>
  <si>
    <t>fucose metabolic process</t>
  </si>
  <si>
    <t>OG0010689</t>
  </si>
  <si>
    <t>Ofaveolata027830</t>
  </si>
  <si>
    <t>Ssiderea035432</t>
  </si>
  <si>
    <t>nuclear localization sequence binding</t>
  </si>
  <si>
    <t>OG0010929</t>
  </si>
  <si>
    <t>Ofaveolata017642</t>
  </si>
  <si>
    <t>Ssiderea046885</t>
  </si>
  <si>
    <t>mRNA-containing ribonucleoprotein complex export from nucleus</t>
  </si>
  <si>
    <t>OG0011861</t>
  </si>
  <si>
    <t>Ofaveolata031462</t>
  </si>
  <si>
    <t>Ssiderea048776</t>
  </si>
  <si>
    <t>Solute carrier family 35 (UDP-galactose transporter), member A2</t>
  </si>
  <si>
    <t>pyrimidine nucleotide-sugar transmembrane transporter activity</t>
  </si>
  <si>
    <t>OG0012612</t>
  </si>
  <si>
    <t>Ofaveolata025365</t>
  </si>
  <si>
    <t>Ssiderea042040</t>
  </si>
  <si>
    <t>Domain of unknown function (DUF4618)</t>
  </si>
  <si>
    <t>OG0012729</t>
  </si>
  <si>
    <t>Ofaveolata031793</t>
  </si>
  <si>
    <t>Ssiderea006757</t>
  </si>
  <si>
    <t>Belongs to the major facilitator superfamily. Sugar transporter (TC 2.A.1.1) family</t>
  </si>
  <si>
    <t>OG0012875</t>
  </si>
  <si>
    <t>Ofaveolata032272</t>
  </si>
  <si>
    <t>Ssiderea006919</t>
  </si>
  <si>
    <t>Threonine synthase N terminus</t>
  </si>
  <si>
    <t>OG0000123</t>
  </si>
  <si>
    <t>Ofaveolata013490</t>
  </si>
  <si>
    <t>Ssiderea045294</t>
  </si>
  <si>
    <t>N-acetyl-beta-glucosaminyl-glycoprotein 4-beta-N-acetylgalactosaminyltransferase activity</t>
  </si>
  <si>
    <t>OG0000162</t>
  </si>
  <si>
    <t>Ofaveolata017565</t>
  </si>
  <si>
    <t>Ssiderea048570</t>
  </si>
  <si>
    <t>cAMP-dependent protein kinase activity</t>
  </si>
  <si>
    <t>OG0000248</t>
  </si>
  <si>
    <t>Ofaveolata027100</t>
  </si>
  <si>
    <t>Ssiderea020932</t>
  </si>
  <si>
    <t>BLOC-2 complex binding</t>
  </si>
  <si>
    <t>OG0000307</t>
  </si>
  <si>
    <t>Ofaveolata024256</t>
  </si>
  <si>
    <t>Ssiderea006371</t>
  </si>
  <si>
    <t>OG0000369</t>
  </si>
  <si>
    <t>Ofaveolata017708</t>
  </si>
  <si>
    <t>Ssiderea037493</t>
  </si>
  <si>
    <t>OG0001049</t>
  </si>
  <si>
    <t>Ofaveolata023246</t>
  </si>
  <si>
    <t>Ssiderea045848</t>
  </si>
  <si>
    <t>nitric-oxide synthase activity</t>
  </si>
  <si>
    <t>OG0001441</t>
  </si>
  <si>
    <t>Ofaveolata004510</t>
  </si>
  <si>
    <t>Ssiderea052434</t>
  </si>
  <si>
    <t>DNA helicase B</t>
  </si>
  <si>
    <t>OG0001533</t>
  </si>
  <si>
    <t>Ofaveolata003365</t>
  </si>
  <si>
    <t>Ssiderea049275</t>
  </si>
  <si>
    <t>cytochrome P450</t>
  </si>
  <si>
    <t>OG0001606</t>
  </si>
  <si>
    <t>Ofaveolata034190</t>
  </si>
  <si>
    <t>Ssiderea051003</t>
  </si>
  <si>
    <t>phosphatidylserine decarboxylase</t>
  </si>
  <si>
    <t>OG0002339</t>
  </si>
  <si>
    <t>Ofaveolata024971</t>
  </si>
  <si>
    <t>Ssiderea021220</t>
  </si>
  <si>
    <t>Synaptic vesicle membrane protein VAT-1 homolog</t>
  </si>
  <si>
    <t>OG0002913</t>
  </si>
  <si>
    <t>Ofaveolata021947</t>
  </si>
  <si>
    <t>Ssiderea023505</t>
  </si>
  <si>
    <t>May act as a scaffolding protein within caveolar membranes. Interacts directly with G-protein alpha subunits and can functionally regulate their activity</t>
  </si>
  <si>
    <t>OG0002975</t>
  </si>
  <si>
    <t>Ofaveolata022455</t>
  </si>
  <si>
    <t>Ssiderea050136</t>
  </si>
  <si>
    <t>laminin subunit</t>
  </si>
  <si>
    <t>Receptor binding. It is involved in the biological process described with regulation of cell migration</t>
  </si>
  <si>
    <t>OG0005725</t>
  </si>
  <si>
    <t>Ofaveolata023015</t>
  </si>
  <si>
    <t>Ssiderea014817</t>
  </si>
  <si>
    <t>o-methyltransferase</t>
  </si>
  <si>
    <t>OG0006218</t>
  </si>
  <si>
    <t>Ofaveolata030092</t>
  </si>
  <si>
    <t>Ssiderea054260</t>
  </si>
  <si>
    <t>9-cis retinoic acid receptor activity</t>
  </si>
  <si>
    <t>OG0006562</t>
  </si>
  <si>
    <t>Ofaveolata023847</t>
  </si>
  <si>
    <t>Ssiderea041541</t>
  </si>
  <si>
    <t>DBH-like monooxygenase protein 1</t>
  </si>
  <si>
    <t>OG0006612</t>
  </si>
  <si>
    <t>Ofaveolata028571</t>
  </si>
  <si>
    <t>Ssiderea057950</t>
  </si>
  <si>
    <t>OG0006638</t>
  </si>
  <si>
    <t>Ofaveolata005433</t>
  </si>
  <si>
    <t>Ssiderea000222</t>
  </si>
  <si>
    <t>Chromosome 5 open reading frame 63</t>
  </si>
  <si>
    <t>It is involved in the biological process described with metabolic process</t>
  </si>
  <si>
    <t>OG0007668</t>
  </si>
  <si>
    <t>Ofaveolata034325</t>
  </si>
  <si>
    <t>Ssiderea052904</t>
  </si>
  <si>
    <t>nucleic acid-templated transcription</t>
  </si>
  <si>
    <t>OG0009167</t>
  </si>
  <si>
    <t>Ofaveolata002576</t>
  </si>
  <si>
    <t>Ssiderea013042</t>
  </si>
  <si>
    <t>CD5 molecule-like</t>
  </si>
  <si>
    <t>scavenger receptor activity</t>
  </si>
  <si>
    <t>OG0009949</t>
  </si>
  <si>
    <t>Ofaveolata017015</t>
  </si>
  <si>
    <t>Ssiderea052635</t>
  </si>
  <si>
    <t>OG0010707</t>
  </si>
  <si>
    <t>Ofaveolata003364</t>
  </si>
  <si>
    <t>Ssiderea049274</t>
  </si>
  <si>
    <t>Cyclodipeptide synthase</t>
  </si>
  <si>
    <t>OG0011729</t>
  </si>
  <si>
    <t>Ofaveolata010493</t>
  </si>
  <si>
    <t>Ssiderea019532</t>
  </si>
  <si>
    <t>negative regulation of heat generation</t>
  </si>
  <si>
    <t>cyclic nucleotide-gated ion channel activity</t>
  </si>
  <si>
    <t>OG0011860</t>
  </si>
  <si>
    <t>Ofaveolata005470</t>
  </si>
  <si>
    <t>Ssiderea052528</t>
  </si>
  <si>
    <t>OG0011936</t>
  </si>
  <si>
    <t>Ofaveolata023203</t>
  </si>
  <si>
    <t>Ssiderea046063</t>
  </si>
  <si>
    <t>ribosomal protein S23</t>
  </si>
  <si>
    <t>Structural constituent of ribosome. It is involved in the biological process described with</t>
  </si>
  <si>
    <t>OG0012289</t>
  </si>
  <si>
    <t>Ofaveolata015425</t>
  </si>
  <si>
    <t>Ssiderea055429</t>
  </si>
  <si>
    <t>Mannose-6-phosphate receptor</t>
  </si>
  <si>
    <t>OG0013173</t>
  </si>
  <si>
    <t>Ofaveolata027056</t>
  </si>
  <si>
    <t>Ssiderea042129</t>
  </si>
  <si>
    <t>Disintegrin and metalloproteinase domain-containing protein 12</t>
  </si>
  <si>
    <t>OG0013207</t>
  </si>
  <si>
    <t>Ofaveolata001053</t>
  </si>
  <si>
    <t>Ssiderea022298</t>
  </si>
  <si>
    <t>Regulatory subunit of the condensin complex, a complex required for conversion of interphase chromatin into mitotic-like condense chromosomes</t>
  </si>
  <si>
    <t>OG0000133</t>
  </si>
  <si>
    <t>Ofaveolata018073</t>
  </si>
  <si>
    <t>Ssiderea002867</t>
  </si>
  <si>
    <t>Multidrug resistance-associated protein 1</t>
  </si>
  <si>
    <t>OG0000360</t>
  </si>
  <si>
    <t>Ofaveolata007753</t>
  </si>
  <si>
    <t>Ssiderea009076</t>
  </si>
  <si>
    <t>Spondin 2b, extracellular matrix protein</t>
  </si>
  <si>
    <t>Spondin 1, extracellular matrix protein</t>
  </si>
  <si>
    <t>OG0000365</t>
  </si>
  <si>
    <t>Ofaveolata032821</t>
  </si>
  <si>
    <t>Ssiderea053815</t>
  </si>
  <si>
    <t>heat shock</t>
  </si>
  <si>
    <t>OG0000418</t>
  </si>
  <si>
    <t>Ofaveolata015488</t>
  </si>
  <si>
    <t>Ssiderea013867</t>
  </si>
  <si>
    <t>CUB and zona pellucida-like domain-containing protein</t>
  </si>
  <si>
    <t>OG0001054</t>
  </si>
  <si>
    <t>Ofaveolata026401</t>
  </si>
  <si>
    <t>Ssiderea038678</t>
  </si>
  <si>
    <t>V-maf avian musculoaponeurotic fibrosarcoma oncogene homolog</t>
  </si>
  <si>
    <t>lens fiber cell differentiation</t>
  </si>
  <si>
    <t>OG0001085</t>
  </si>
  <si>
    <t>Ofaveolata027609</t>
  </si>
  <si>
    <t>Ssiderea042330</t>
  </si>
  <si>
    <t>Sterol-sensing domain of SREBP cleavage-activation</t>
  </si>
  <si>
    <t>OG0001245</t>
  </si>
  <si>
    <t>Ofaveolata013966</t>
  </si>
  <si>
    <t>Ssiderea043968</t>
  </si>
  <si>
    <t>OG0001372</t>
  </si>
  <si>
    <t>Ofaveolata014693</t>
  </si>
  <si>
    <t>Ssiderea004543</t>
  </si>
  <si>
    <t>alpha-L-fucosidase activity</t>
  </si>
  <si>
    <t>OG0001471</t>
  </si>
  <si>
    <t>Ofaveolata001616</t>
  </si>
  <si>
    <t>Ssiderea026735</t>
  </si>
  <si>
    <t>Ferric-chelate reductase</t>
  </si>
  <si>
    <t>OG0001522</t>
  </si>
  <si>
    <t>Ofaveolata024604</t>
  </si>
  <si>
    <t>Ssiderea005862</t>
  </si>
  <si>
    <t>Phospholipase B domain containing 2</t>
  </si>
  <si>
    <t>OG0001552</t>
  </si>
  <si>
    <t>Ofaveolata018305</t>
  </si>
  <si>
    <t>Ssiderea018612</t>
  </si>
  <si>
    <t>negative regulation of ectoderm development</t>
  </si>
  <si>
    <t>OG0001581</t>
  </si>
  <si>
    <t>Ofaveolata022011</t>
  </si>
  <si>
    <t>Ssiderea023382</t>
  </si>
  <si>
    <t>OG0001587</t>
  </si>
  <si>
    <t>Ofaveolata007545</t>
  </si>
  <si>
    <t>Ssiderea006776</t>
  </si>
  <si>
    <t>tyrosinase</t>
  </si>
  <si>
    <t>OG0001686</t>
  </si>
  <si>
    <t>Ofaveolata000104</t>
  </si>
  <si>
    <t>Ssiderea021959</t>
  </si>
  <si>
    <t>PX domain</t>
  </si>
  <si>
    <t>OG0001711</t>
  </si>
  <si>
    <t>Ofaveolata009170</t>
  </si>
  <si>
    <t>Ssiderea035562</t>
  </si>
  <si>
    <t>glutamate-cysteine ligase activity</t>
  </si>
  <si>
    <t>OG0001917</t>
  </si>
  <si>
    <t>Ofaveolata008800</t>
  </si>
  <si>
    <t>Ssiderea008234</t>
  </si>
  <si>
    <t>Integrin-alpha FG-GAP repeat-containing protein 2</t>
  </si>
  <si>
    <t>germinal center B cell differentiation</t>
  </si>
  <si>
    <t>OG0002249</t>
  </si>
  <si>
    <t>Ofaveolata027035</t>
  </si>
  <si>
    <t>Ssiderea018181</t>
  </si>
  <si>
    <t>OG0002356</t>
  </si>
  <si>
    <t>Ofaveolata031896</t>
  </si>
  <si>
    <t>Ssiderea007305</t>
  </si>
  <si>
    <t>thioredoxin-disulfide reductase activity</t>
  </si>
  <si>
    <t>OG0002408</t>
  </si>
  <si>
    <t>Ofaveolata007767</t>
  </si>
  <si>
    <t>Ssiderea009243</t>
  </si>
  <si>
    <t>OG0002597</t>
  </si>
  <si>
    <t>Ofaveolata028471</t>
  </si>
  <si>
    <t>Ssiderea042652</t>
  </si>
  <si>
    <t>betaine-homocysteine S-methyltransferase activity</t>
  </si>
  <si>
    <t>OG0002629</t>
  </si>
  <si>
    <t>Ofaveolata013050</t>
  </si>
  <si>
    <t>Ssiderea001426</t>
  </si>
  <si>
    <t>adiponectin receptor</t>
  </si>
  <si>
    <t>OG0002668</t>
  </si>
  <si>
    <t>Ofaveolata009577</t>
  </si>
  <si>
    <t>Ssiderea058053</t>
  </si>
  <si>
    <t>Mitochondrial carrier protein</t>
  </si>
  <si>
    <t>OG0002759</t>
  </si>
  <si>
    <t>Ofaveolata006196</t>
  </si>
  <si>
    <t>Ssiderea053428</t>
  </si>
  <si>
    <t>Ribosomal protein L30p/L7e</t>
  </si>
  <si>
    <t>OG0002827</t>
  </si>
  <si>
    <t>Ofaveolata005263</t>
  </si>
  <si>
    <t>Ssiderea015872</t>
  </si>
  <si>
    <t>negative chemotaxis</t>
  </si>
  <si>
    <t>OG0002922</t>
  </si>
  <si>
    <t>Ofaveolata001863</t>
  </si>
  <si>
    <t>Ssiderea050453</t>
  </si>
  <si>
    <t>Belongs to the universal ribosomal protein uL1 family</t>
  </si>
  <si>
    <t>OG0002933</t>
  </si>
  <si>
    <t>Ofaveolata004714</t>
  </si>
  <si>
    <t>Ssiderea042375</t>
  </si>
  <si>
    <t>Disintegrin and metalloproteinase domain-containing protein</t>
  </si>
  <si>
    <t>OG0003044</t>
  </si>
  <si>
    <t>Ofaveolata014443</t>
  </si>
  <si>
    <t>Ssiderea057624</t>
  </si>
  <si>
    <t>gamma-glutamyl-peptidase activity</t>
  </si>
  <si>
    <t>OG0003046</t>
  </si>
  <si>
    <t>Ofaveolata029525</t>
  </si>
  <si>
    <t>Ssiderea054712</t>
  </si>
  <si>
    <t>Interferon induced with helicase C domain 1</t>
  </si>
  <si>
    <t>OG0003076</t>
  </si>
  <si>
    <t>Ofaveolata026396</t>
  </si>
  <si>
    <t>Ssiderea038683</t>
  </si>
  <si>
    <t>abducens nerve formation</t>
  </si>
  <si>
    <t>OG0003131</t>
  </si>
  <si>
    <t>Ofaveolata003761</t>
  </si>
  <si>
    <t>Ssiderea028731</t>
  </si>
  <si>
    <t>methylenetetrahydrofolate reductase (NAD(P)H) activity</t>
  </si>
  <si>
    <t>OG0003165</t>
  </si>
  <si>
    <t>Ofaveolata030220</t>
  </si>
  <si>
    <t>Ssiderea027372</t>
  </si>
  <si>
    <t>Tnf receptor-associated factor 2</t>
  </si>
  <si>
    <t>OG0003684</t>
  </si>
  <si>
    <t>Ofaveolata014115</t>
  </si>
  <si>
    <t>Ssiderea003510</t>
  </si>
  <si>
    <t>Component of the eukaryotic translation initiation factor 3 (eIF-3) complex, which is involved in protein synthesis and, together with other initiation factors, stimulates binding of mRNA and methionyl-tRNAi to the 40S ribosome</t>
  </si>
  <si>
    <t>OG0003692</t>
  </si>
  <si>
    <t>Ofaveolata002357</t>
  </si>
  <si>
    <t>Ssiderea012861</t>
  </si>
  <si>
    <t>acidic dipeptidase</t>
  </si>
  <si>
    <t>OG0003737</t>
  </si>
  <si>
    <t>Ofaveolata017050</t>
  </si>
  <si>
    <t>Ssiderea052614</t>
  </si>
  <si>
    <t>SAP domain containing ribonucleoprotein</t>
  </si>
  <si>
    <t>OG0003754</t>
  </si>
  <si>
    <t>Ofaveolata013958</t>
  </si>
  <si>
    <t>Ssiderea043984</t>
  </si>
  <si>
    <t>TENA/THI-4/PQQC family</t>
  </si>
  <si>
    <t>OG0003759</t>
  </si>
  <si>
    <t>Ofaveolata019842</t>
  </si>
  <si>
    <t>Ssiderea012242</t>
  </si>
  <si>
    <t>cytoskeletal anchoring at plasma membrane</t>
  </si>
  <si>
    <t>OG0003844</t>
  </si>
  <si>
    <t>Ofaveolata032467</t>
  </si>
  <si>
    <t>Ssiderea034725</t>
  </si>
  <si>
    <t>purine-rich negative regulatory element binding</t>
  </si>
  <si>
    <t>OG0003896</t>
  </si>
  <si>
    <t>Ofaveolata014756</t>
  </si>
  <si>
    <t>Ssiderea004756</t>
  </si>
  <si>
    <t>zinc ion transmembrane transporter activity</t>
  </si>
  <si>
    <t>OG0003901</t>
  </si>
  <si>
    <t>Ofaveolata009315</t>
  </si>
  <si>
    <t>Ssiderea035673</t>
  </si>
  <si>
    <t>mitochondrial transport</t>
  </si>
  <si>
    <t>OG0003938</t>
  </si>
  <si>
    <t>Ofaveolata034028</t>
  </si>
  <si>
    <t>Ssiderea031960</t>
  </si>
  <si>
    <t>protein kinase activity</t>
  </si>
  <si>
    <t>myosin light chain kinase activity</t>
  </si>
  <si>
    <t>OG0003951</t>
  </si>
  <si>
    <t>Ofaveolata017695</t>
  </si>
  <si>
    <t>Ssiderea046918</t>
  </si>
  <si>
    <t>positive regulation of TOR signaling</t>
  </si>
  <si>
    <t>OG0004065</t>
  </si>
  <si>
    <t>Ofaveolata034137</t>
  </si>
  <si>
    <t>Ssiderea031554</t>
  </si>
  <si>
    <t>response to hypoxia</t>
  </si>
  <si>
    <t>OG0004075</t>
  </si>
  <si>
    <t>Ofaveolata010918</t>
  </si>
  <si>
    <t>Ssiderea019927</t>
  </si>
  <si>
    <t>L-gulonolactone oxidase-like</t>
  </si>
  <si>
    <t>OG0004083</t>
  </si>
  <si>
    <t>Ofaveolata005246</t>
  </si>
  <si>
    <t>Ssiderea010152</t>
  </si>
  <si>
    <t>PEST proteolytic signal containing nuclear protein</t>
  </si>
  <si>
    <t>OG0004139</t>
  </si>
  <si>
    <t>Ofaveolata030646</t>
  </si>
  <si>
    <t>Ssiderea054350</t>
  </si>
  <si>
    <t>Transferrin</t>
  </si>
  <si>
    <t>OG0004166</t>
  </si>
  <si>
    <t>Ofaveolata015811</t>
  </si>
  <si>
    <t>Ssiderea033818</t>
  </si>
  <si>
    <t>Myeloid lymphoid or mixed-lineage leukemia (trithorax homolog, Drosophila)</t>
  </si>
  <si>
    <t>OG0004183</t>
  </si>
  <si>
    <t>Ofaveolata029083</t>
  </si>
  <si>
    <t>Ssiderea013771</t>
  </si>
  <si>
    <t>calcium, potassium:sodium antiporter activity</t>
  </si>
  <si>
    <t>OG0004231</t>
  </si>
  <si>
    <t>Ofaveolata025838</t>
  </si>
  <si>
    <t>Ssiderea055516</t>
  </si>
  <si>
    <t>Belongs to the 5'-nucleotidase family</t>
  </si>
  <si>
    <t>OG0004276</t>
  </si>
  <si>
    <t>Ofaveolata015184</t>
  </si>
  <si>
    <t>Ssiderea051137</t>
  </si>
  <si>
    <t>recombination hotspot binding</t>
  </si>
  <si>
    <t>OG0004300</t>
  </si>
  <si>
    <t>Ofaveolata001752</t>
  </si>
  <si>
    <t>Ssiderea026962</t>
  </si>
  <si>
    <t>adenosine kinase activity</t>
  </si>
  <si>
    <t>OG0004341</t>
  </si>
  <si>
    <t>Ofaveolata013097</t>
  </si>
  <si>
    <t>Ssiderea001380</t>
  </si>
  <si>
    <t>Activating molecule in BECN1-regulated autophagy protein</t>
  </si>
  <si>
    <t>OG0004388</t>
  </si>
  <si>
    <t>Ofaveolata010126</t>
  </si>
  <si>
    <t>Ssiderea049489</t>
  </si>
  <si>
    <t>enhancer sequence-specific DNA binding</t>
  </si>
  <si>
    <t>OG0004437</t>
  </si>
  <si>
    <t>Ofaveolata024852</t>
  </si>
  <si>
    <t>Ssiderea020916</t>
  </si>
  <si>
    <t>OG0004469</t>
  </si>
  <si>
    <t>Ofaveolata020047</t>
  </si>
  <si>
    <t>Ssiderea056512</t>
  </si>
  <si>
    <t>Nucleoporin</t>
  </si>
  <si>
    <t>OG0004489</t>
  </si>
  <si>
    <t>Ofaveolata011442</t>
  </si>
  <si>
    <t>Ssiderea019354</t>
  </si>
  <si>
    <t>protein phosphatase inhibitor activity</t>
  </si>
  <si>
    <t>OG0004522</t>
  </si>
  <si>
    <t>Ofaveolata032820</t>
  </si>
  <si>
    <t>Ssiderea053812</t>
  </si>
  <si>
    <t>ubiquitin binding</t>
  </si>
  <si>
    <t>OG0004546</t>
  </si>
  <si>
    <t>Ofaveolata028893</t>
  </si>
  <si>
    <t>Ssiderea014319</t>
  </si>
  <si>
    <t>Hemicentin 1</t>
  </si>
  <si>
    <t>OG0004551</t>
  </si>
  <si>
    <t>Ofaveolata029233</t>
  </si>
  <si>
    <t>Ssiderea034377</t>
  </si>
  <si>
    <t>Ubiquitin-conjugating enzyme</t>
  </si>
  <si>
    <t>OG0004565</t>
  </si>
  <si>
    <t>Ofaveolata002833</t>
  </si>
  <si>
    <t>Ssiderea013425</t>
  </si>
  <si>
    <t>Sulfide quinone</t>
  </si>
  <si>
    <t>OG0004628</t>
  </si>
  <si>
    <t>Ofaveolata027059</t>
  </si>
  <si>
    <t>Ssiderea042164</t>
  </si>
  <si>
    <t>glycerol ether metabolic process</t>
  </si>
  <si>
    <t>OG0004650</t>
  </si>
  <si>
    <t>Ofaveolata034244</t>
  </si>
  <si>
    <t>Ssiderea053590</t>
  </si>
  <si>
    <t>OG0004661</t>
  </si>
  <si>
    <t>Ofaveolata019723</t>
  </si>
  <si>
    <t>Ssiderea011990</t>
  </si>
  <si>
    <t>ATP-dependent chromatin remodeling</t>
  </si>
  <si>
    <t>OG0004694</t>
  </si>
  <si>
    <t>Ofaveolata014777</t>
  </si>
  <si>
    <t>Ssiderea004702</t>
  </si>
  <si>
    <t>intracellular chloride channel activity</t>
  </si>
  <si>
    <t>OG0004710</t>
  </si>
  <si>
    <t>Ofaveolata015394</t>
  </si>
  <si>
    <t>Ssiderea038280</t>
  </si>
  <si>
    <t>cyclin-dependent protein serine/threonine kinase activity</t>
  </si>
  <si>
    <t>OG0004721</t>
  </si>
  <si>
    <t>Ofaveolata002455</t>
  </si>
  <si>
    <t>Ssiderea024974</t>
  </si>
  <si>
    <t>OG0004739</t>
  </si>
  <si>
    <t>Ofaveolata028816</t>
  </si>
  <si>
    <t>Ssiderea014506</t>
  </si>
  <si>
    <t>OG0004911</t>
  </si>
  <si>
    <t>Ofaveolata034075</t>
  </si>
  <si>
    <t>Ssiderea031748</t>
  </si>
  <si>
    <t>phosphatidic acid transporter activity</t>
  </si>
  <si>
    <t>OG0004978</t>
  </si>
  <si>
    <t>Ofaveolata014006</t>
  </si>
  <si>
    <t>Ssiderea043935</t>
  </si>
  <si>
    <t>Histone H1-delta-like</t>
  </si>
  <si>
    <t>OG0005009</t>
  </si>
  <si>
    <t>Ofaveolata012900</t>
  </si>
  <si>
    <t>Ssiderea001517</t>
  </si>
  <si>
    <t>positive regulation of smoothened signaling pathway</t>
  </si>
  <si>
    <t>Signal peptide, CUB and EGF-like domain-containing protein 3</t>
  </si>
  <si>
    <t>OG0005030</t>
  </si>
  <si>
    <t>Ofaveolata017502</t>
  </si>
  <si>
    <t>Ssiderea046730</t>
  </si>
  <si>
    <t>O-acyltransferase</t>
  </si>
  <si>
    <t>OG0005039</t>
  </si>
  <si>
    <t>Ofaveolata015148</t>
  </si>
  <si>
    <t>Ssiderea051151</t>
  </si>
  <si>
    <t>OG0005081</t>
  </si>
  <si>
    <t>Ofaveolata023286</t>
  </si>
  <si>
    <t>Ssiderea005295</t>
  </si>
  <si>
    <t>Signal transducer activity. It is involved in the biological process described with intracellular signal transduction</t>
  </si>
  <si>
    <t>SH2B adapter protein</t>
  </si>
  <si>
    <t>OG0005139</t>
  </si>
  <si>
    <t>Ofaveolata004470</t>
  </si>
  <si>
    <t>Ssiderea053264</t>
  </si>
  <si>
    <t>GXGXG motif</t>
  </si>
  <si>
    <t>glutamate synthase (NADH) activity. It is involved in the biological process described with oxidation-reduction process</t>
  </si>
  <si>
    <t>OG0005204</t>
  </si>
  <si>
    <t>Ofaveolata017010</t>
  </si>
  <si>
    <t>Ssiderea039255</t>
  </si>
  <si>
    <t>adenylate cyclase-activating G-protein coupled receptor signaling pathway</t>
  </si>
  <si>
    <t>Belongs to the G-protein coupled receptor 2 family</t>
  </si>
  <si>
    <t>OG0005407</t>
  </si>
  <si>
    <t>Ofaveolata014376</t>
  </si>
  <si>
    <t>Ssiderea004853</t>
  </si>
  <si>
    <t>glycine biosynthetic process from serine</t>
  </si>
  <si>
    <t>OG0005424</t>
  </si>
  <si>
    <t>Ofaveolata008015</t>
  </si>
  <si>
    <t>Ssiderea009517</t>
  </si>
  <si>
    <t>regulation of T cell differentiation in thymus</t>
  </si>
  <si>
    <t>OG0005451</t>
  </si>
  <si>
    <t>Ofaveolata013725</t>
  </si>
  <si>
    <t>Ssiderea049211</t>
  </si>
  <si>
    <t>Involved in intracellular signal transduction mediated by cytokines and growth factors. When associated with STAM, it suppresses DNA signaling upon stimulation by IL-2 and GM-CSF. Could be a direct effector of PI3-kinase in vesicular pathway via early endosomes and may regulate trafficking to early and late endosomes by recruiting clathrin. May concentrate ubiquitinated receptors within clathrin-coated regions. Involved in down- regulation of receptor tyrosine kinase via multivesicular body (MVBs) when complexed with STAM (ESCRT-0 complex). The ESCRT-0 complex binds ubiquitin and acts as sorting machinery that recognizes ubiquitinated receptors and transfers them to further sequential lysosomal sorting trafficking processes. May contribute to the efficient recruitment of SMADs to the activin receptor complex. Involved in receptor recycling via its association with the CART complex, a multiprotein complex required for efficient transferrin receptor recycling but not for EGFR degradation</t>
  </si>
  <si>
    <t>OG0005469</t>
  </si>
  <si>
    <t>Ofaveolata024493</t>
  </si>
  <si>
    <t>Ssiderea005742</t>
  </si>
  <si>
    <t>intracellular distribution of mitochondria</t>
  </si>
  <si>
    <t>OG0005483</t>
  </si>
  <si>
    <t>Ofaveolata004231</t>
  </si>
  <si>
    <t>Ssiderea036455</t>
  </si>
  <si>
    <t>OG0005521</t>
  </si>
  <si>
    <t>Ofaveolata021922</t>
  </si>
  <si>
    <t>Ssiderea023552</t>
  </si>
  <si>
    <t>Suppression of tumorigenicity 13 (colon carcinoma) (Hsp70 interacting protein)</t>
  </si>
  <si>
    <t>suppression of tumorigenicity 13 (colon carcinoma) (Hsp70 interacting protein)</t>
  </si>
  <si>
    <t>OG0005544</t>
  </si>
  <si>
    <t>Ofaveolata032923</t>
  </si>
  <si>
    <t>Ssiderea026461</t>
  </si>
  <si>
    <t>homolog subfamily C member 7</t>
  </si>
  <si>
    <t>OG0005579</t>
  </si>
  <si>
    <t>Ofaveolata029931</t>
  </si>
  <si>
    <t>Ssiderea024198</t>
  </si>
  <si>
    <t>metal ion binding</t>
  </si>
  <si>
    <t>OG0005685</t>
  </si>
  <si>
    <t>Ofaveolata032514</t>
  </si>
  <si>
    <t>Ssiderea034877</t>
  </si>
  <si>
    <t>Transcriptional regulatory protein LGE1</t>
  </si>
  <si>
    <t>OG0005698</t>
  </si>
  <si>
    <t>Ofaveolata013555</t>
  </si>
  <si>
    <t>Ssiderea000112</t>
  </si>
  <si>
    <t>FMN transmembrane transporter activity</t>
  </si>
  <si>
    <t>OG0005716</t>
  </si>
  <si>
    <t>Ofaveolata003304</t>
  </si>
  <si>
    <t>Ssiderea046375</t>
  </si>
  <si>
    <t>EF-hand domain family, member</t>
  </si>
  <si>
    <t>OG0005720</t>
  </si>
  <si>
    <t>Ofaveolata010245</t>
  </si>
  <si>
    <t>Ssiderea019442</t>
  </si>
  <si>
    <t>phosphatidate cytidylyltransferase activity</t>
  </si>
  <si>
    <t>OG0005731</t>
  </si>
  <si>
    <t>Ofaveolata026274</t>
  </si>
  <si>
    <t>Ssiderea039599</t>
  </si>
  <si>
    <t>nuclear protein 1</t>
  </si>
  <si>
    <t>OG0005832</t>
  </si>
  <si>
    <t>Ofaveolata025081</t>
  </si>
  <si>
    <t>Ssiderea021447</t>
  </si>
  <si>
    <t>regulation of mRNA export from nucleus</t>
  </si>
  <si>
    <t>OG0005900</t>
  </si>
  <si>
    <t>Ofaveolata023634</t>
  </si>
  <si>
    <t>Ssiderea050025</t>
  </si>
  <si>
    <t>nonsense mediated mRNA decay factor</t>
  </si>
  <si>
    <t>SMG6 nonsense mediated mRNA decay factor</t>
  </si>
  <si>
    <t>OG0005958</t>
  </si>
  <si>
    <t>Ofaveolata033491</t>
  </si>
  <si>
    <t>Ssiderea058235</t>
  </si>
  <si>
    <t>phosphatase, non-receptor type</t>
  </si>
  <si>
    <t>OG0005967</t>
  </si>
  <si>
    <t>Ofaveolata031441</t>
  </si>
  <si>
    <t>Ssiderea048793</t>
  </si>
  <si>
    <t>Solute carrier family 35</t>
  </si>
  <si>
    <t>OG0005974</t>
  </si>
  <si>
    <t>Ofaveolata027445</t>
  </si>
  <si>
    <t>Ssiderea035532</t>
  </si>
  <si>
    <t>glutamine biosynthetic process</t>
  </si>
  <si>
    <t>OG0006010</t>
  </si>
  <si>
    <t>Ofaveolata030528</t>
  </si>
  <si>
    <t>Ssiderea037729</t>
  </si>
  <si>
    <t>quinone binding</t>
  </si>
  <si>
    <t>OG0006020</t>
  </si>
  <si>
    <t>Ofaveolata030278</t>
  </si>
  <si>
    <t>Ssiderea027537</t>
  </si>
  <si>
    <t>Catalyzes conversion of folates to polyglutamate derivatives allowing concentration of folate compounds in the cell and the intracellular retention of these cofactors, which are important substrates for most of the folate-dependent enzymes that are involved in one-carbon transfer reactions involved in purine, pyrimidine and amino acid synthesis</t>
  </si>
  <si>
    <t>OG0006039</t>
  </si>
  <si>
    <t>Ofaveolata013634</t>
  </si>
  <si>
    <t>Ssiderea000138</t>
  </si>
  <si>
    <t>Luc7-like protein 3</t>
  </si>
  <si>
    <t>OG0006049</t>
  </si>
  <si>
    <t>Ofaveolata026524</t>
  </si>
  <si>
    <t>Ssiderea021669</t>
  </si>
  <si>
    <t>OG0006060</t>
  </si>
  <si>
    <t>Ofaveolata022112</t>
  </si>
  <si>
    <t>Ssiderea022925</t>
  </si>
  <si>
    <t>TNFR/NGFR cysteine-rich region</t>
  </si>
  <si>
    <t>OG0006063</t>
  </si>
  <si>
    <t>Ofaveolata030283</t>
  </si>
  <si>
    <t>Ssiderea027541</t>
  </si>
  <si>
    <t>OG0006103</t>
  </si>
  <si>
    <t>Ofaveolata024578</t>
  </si>
  <si>
    <t>Ssiderea005928</t>
  </si>
  <si>
    <t>lethal(3)malignant brain tumor-like protein</t>
  </si>
  <si>
    <t>OG0006119</t>
  </si>
  <si>
    <t>Ofaveolata027201</t>
  </si>
  <si>
    <t>Ssiderea035234</t>
  </si>
  <si>
    <t>Belongs to the ammonium transporter (TC 2.A.49) family. Rh subfamily</t>
  </si>
  <si>
    <t>OG0006214</t>
  </si>
  <si>
    <t>Ofaveolata009031</t>
  </si>
  <si>
    <t>Ssiderea055050</t>
  </si>
  <si>
    <t>endoplasmic reticulum-plasma membrane tethering</t>
  </si>
  <si>
    <t>OG0006224</t>
  </si>
  <si>
    <t>Ofaveolata024652</t>
  </si>
  <si>
    <t>Ssiderea017214</t>
  </si>
  <si>
    <t>iron-sulfur cluster assembly</t>
  </si>
  <si>
    <t>OG0006254</t>
  </si>
  <si>
    <t>Ofaveolata028859</t>
  </si>
  <si>
    <t>Ssiderea014425</t>
  </si>
  <si>
    <t>Non-lysosomal glucosylceramidase that catalyzes the conversion of glucosylceramide to free glucose and ceramide</t>
  </si>
  <si>
    <t>OG0006285</t>
  </si>
  <si>
    <t>Ofaveolata027055</t>
  </si>
  <si>
    <t>Ssiderea042128</t>
  </si>
  <si>
    <t>Myosin, light</t>
  </si>
  <si>
    <t>OG0006287</t>
  </si>
  <si>
    <t>Ofaveolata028745</t>
  </si>
  <si>
    <t>Ssiderea014562</t>
  </si>
  <si>
    <t>Zinc ion binding</t>
  </si>
  <si>
    <t>OG0006306</t>
  </si>
  <si>
    <t>Ofaveolata004236</t>
  </si>
  <si>
    <t>Ssiderea042869</t>
  </si>
  <si>
    <t>RNA recognition motif</t>
  </si>
  <si>
    <t>glutamate dehydrogenase [NAD(P)+] activity</t>
  </si>
  <si>
    <t>OG0006321</t>
  </si>
  <si>
    <t>Ofaveolata010194</t>
  </si>
  <si>
    <t>Ssiderea054850</t>
  </si>
  <si>
    <t>Marginal zone B and</t>
  </si>
  <si>
    <t>OG0006384</t>
  </si>
  <si>
    <t>Ofaveolata025979</t>
  </si>
  <si>
    <t>Ssiderea038966</t>
  </si>
  <si>
    <t>defense response to fungus</t>
  </si>
  <si>
    <t>OG0006545</t>
  </si>
  <si>
    <t>Ofaveolata007848</t>
  </si>
  <si>
    <t>Ssiderea009129</t>
  </si>
  <si>
    <t>stress-induced-phosphoprotein 1</t>
  </si>
  <si>
    <t>Stress-induced-phosphoprotein 1 (Hsp70 Hsp90-organizing protein)</t>
  </si>
  <si>
    <t>OG0006565</t>
  </si>
  <si>
    <t>Ofaveolata028768</t>
  </si>
  <si>
    <t>Ssiderea027808</t>
  </si>
  <si>
    <t>OG0006571</t>
  </si>
  <si>
    <t>Ofaveolata025070</t>
  </si>
  <si>
    <t>Ssiderea021418</t>
  </si>
  <si>
    <t>positive regulation of NLRP3 inflammasome complex assembly</t>
  </si>
  <si>
    <t>OG0006586</t>
  </si>
  <si>
    <t>Ofaveolata009927</t>
  </si>
  <si>
    <t>Ssiderea036089</t>
  </si>
  <si>
    <t>OG0006629</t>
  </si>
  <si>
    <t>Ofaveolata013088</t>
  </si>
  <si>
    <t>Ssiderea001370</t>
  </si>
  <si>
    <t>Calcium ion binding</t>
  </si>
  <si>
    <t>OG0006690</t>
  </si>
  <si>
    <t>Ofaveolata020752</t>
  </si>
  <si>
    <t>Ssiderea011613</t>
  </si>
  <si>
    <t>Belongs to the class I-like SAM-binding methyltransferase superfamily. RsmB NOP family</t>
  </si>
  <si>
    <t>OG0006765</t>
  </si>
  <si>
    <t>Ofaveolata032664</t>
  </si>
  <si>
    <t>Ssiderea056251</t>
  </si>
  <si>
    <t>N-succinyltransferase activity</t>
  </si>
  <si>
    <t>OG0006777</t>
  </si>
  <si>
    <t>Ofaveolata033347</t>
  </si>
  <si>
    <t>Ssiderea040273</t>
  </si>
  <si>
    <t>heterogeneous nuclear ribonucleoprotein</t>
  </si>
  <si>
    <t>OG0006834</t>
  </si>
  <si>
    <t>Ofaveolata000215</t>
  </si>
  <si>
    <t>Ssiderea029727</t>
  </si>
  <si>
    <t>heme a metabolic process</t>
  </si>
  <si>
    <t>OG0006974</t>
  </si>
  <si>
    <t>Ofaveolata001972</t>
  </si>
  <si>
    <t>Ssiderea050181</t>
  </si>
  <si>
    <t>cullin family protein binding</t>
  </si>
  <si>
    <t>OG0006998</t>
  </si>
  <si>
    <t>Ofaveolata002535</t>
  </si>
  <si>
    <t>Ssiderea013109</t>
  </si>
  <si>
    <t>BCCT, betaine/carnitine/choline family transporter</t>
  </si>
  <si>
    <t>OG0007013</t>
  </si>
  <si>
    <t>Ofaveolata017525</t>
  </si>
  <si>
    <t>Ssiderea018525</t>
  </si>
  <si>
    <t>box H/ACA snoRNA 3'-end processing</t>
  </si>
  <si>
    <t>OG0007115</t>
  </si>
  <si>
    <t>Ofaveolata026967</t>
  </si>
  <si>
    <t>Ssiderea017954</t>
  </si>
  <si>
    <t>RNA splicing</t>
  </si>
  <si>
    <t>OG0007204</t>
  </si>
  <si>
    <t>Ofaveolata012672</t>
  </si>
  <si>
    <t>Ssiderea000611</t>
  </si>
  <si>
    <t>V-myc avian myelocytomatosis viral oncogene neuroblastoma derived homolog</t>
  </si>
  <si>
    <t>V-myc avian myelocytomatosis viral oncogene homolog</t>
  </si>
  <si>
    <t>OG0007240</t>
  </si>
  <si>
    <t>Ofaveolata014500</t>
  </si>
  <si>
    <t>Ssiderea004426</t>
  </si>
  <si>
    <t>ribosomal protein L12</t>
  </si>
  <si>
    <t>OG0007255</t>
  </si>
  <si>
    <t>Ofaveolata015866</t>
  </si>
  <si>
    <t>Ssiderea033759</t>
  </si>
  <si>
    <t>semaphorin receptor binding</t>
  </si>
  <si>
    <t>OG0007289</t>
  </si>
  <si>
    <t>Ofaveolata021069</t>
  </si>
  <si>
    <t>Ssiderea011779</t>
  </si>
  <si>
    <t>Lysosomal Pro-X</t>
  </si>
  <si>
    <t>OG0007308</t>
  </si>
  <si>
    <t>Ofaveolata029875</t>
  </si>
  <si>
    <t>Ssiderea024105</t>
  </si>
  <si>
    <t>spectrin binding</t>
  </si>
  <si>
    <t>OG0007322</t>
  </si>
  <si>
    <t>Ofaveolata032657</t>
  </si>
  <si>
    <t>Ssiderea052005</t>
  </si>
  <si>
    <t>GTP-specific succinyl-CoA synthetase functions in the citric acid cycle (TCA), coupling the hydrolysis of succinyl-CoA to the synthesis of GTP and thus represents the only step of substrate-level phosphorylation in the TCA. The beta subunit provides nucleotide specificity of the enzyme and binds the substrate succinate, while the binding sites for coenzyme A and phosphate are found in the alpha subunit</t>
  </si>
  <si>
    <t>OG0007324</t>
  </si>
  <si>
    <t>Ofaveolata005802</t>
  </si>
  <si>
    <t>Ssiderea045582</t>
  </si>
  <si>
    <t>N-glycan processing to lysosome</t>
  </si>
  <si>
    <t>OG0007327</t>
  </si>
  <si>
    <t>Ofaveolata010456</t>
  </si>
  <si>
    <t>Ssiderea019516</t>
  </si>
  <si>
    <t>Belongs to the aldehyde dehydrogenase family</t>
  </si>
  <si>
    <t>OG0007376</t>
  </si>
  <si>
    <t>Ofaveolata013659</t>
  </si>
  <si>
    <t>Ssiderea000169</t>
  </si>
  <si>
    <t>ribosomal large subunit assembly</t>
  </si>
  <si>
    <t>OG0007386</t>
  </si>
  <si>
    <t>Ofaveolata023673</t>
  </si>
  <si>
    <t>Ssiderea050109</t>
  </si>
  <si>
    <t>family with sequence similarity 57, member A</t>
  </si>
  <si>
    <t>OG0007457</t>
  </si>
  <si>
    <t>Ofaveolata007621</t>
  </si>
  <si>
    <t>Ssiderea044343</t>
  </si>
  <si>
    <t>mesenchymal-epithelial cell signaling involved in prostate gland development</t>
  </si>
  <si>
    <t>Fibrinogen beta and gamma chains, C-terminal globular domain</t>
  </si>
  <si>
    <t>OG0007465</t>
  </si>
  <si>
    <t>Ofaveolata002957</t>
  </si>
  <si>
    <t>Ssiderea013007</t>
  </si>
  <si>
    <t>OG0007546</t>
  </si>
  <si>
    <t>Ofaveolata010169</t>
  </si>
  <si>
    <t>Ssiderea055795</t>
  </si>
  <si>
    <t>dolichyl-phosphate-mannose-protein mannosyltransferase activity</t>
  </si>
  <si>
    <t>OG0007582</t>
  </si>
  <si>
    <t>Ofaveolata019911</t>
  </si>
  <si>
    <t>Ssiderea052255</t>
  </si>
  <si>
    <t>RNA polymerase II sequence-specific DNA-binding transcription factor binding</t>
  </si>
  <si>
    <t>OG0007627</t>
  </si>
  <si>
    <t>Ofaveolata011375</t>
  </si>
  <si>
    <t>Ssiderea019309</t>
  </si>
  <si>
    <t>Universal stress protein family</t>
  </si>
  <si>
    <t>OG0007692</t>
  </si>
  <si>
    <t>Ofaveolata012818</t>
  </si>
  <si>
    <t>Ssiderea058311</t>
  </si>
  <si>
    <t>hydrolase activity</t>
  </si>
  <si>
    <t>OG0007712</t>
  </si>
  <si>
    <t>Ofaveolata016273</t>
  </si>
  <si>
    <t>Ssiderea052692</t>
  </si>
  <si>
    <t>26s proteasome non-ATPase regulatory subunit</t>
  </si>
  <si>
    <t>OG0007779</t>
  </si>
  <si>
    <t>Ofaveolata017067</t>
  </si>
  <si>
    <t>Ssiderea054485</t>
  </si>
  <si>
    <t>Solute carrier family 12</t>
  </si>
  <si>
    <t>OG0007881</t>
  </si>
  <si>
    <t>Ofaveolata007471</t>
  </si>
  <si>
    <t>Ssiderea044458</t>
  </si>
  <si>
    <t>structural constituent of eye lens</t>
  </si>
  <si>
    <t>OG0007907</t>
  </si>
  <si>
    <t>Ofaveolata003303</t>
  </si>
  <si>
    <t>Ssiderea046376</t>
  </si>
  <si>
    <t>prostaglandin-F synthase activity</t>
  </si>
  <si>
    <t>OG0007926</t>
  </si>
  <si>
    <t>Ofaveolata024312</t>
  </si>
  <si>
    <t>Ssiderea006291</t>
  </si>
  <si>
    <t>histone acetyltransferase activity</t>
  </si>
  <si>
    <t>OG0008049</t>
  </si>
  <si>
    <t>Ofaveolata024407</t>
  </si>
  <si>
    <t>Ssiderea006084</t>
  </si>
  <si>
    <t>Complement Clr-like EGF-like</t>
  </si>
  <si>
    <t>OG0008171</t>
  </si>
  <si>
    <t>Ofaveolata008350</t>
  </si>
  <si>
    <t>Ssiderea050491</t>
  </si>
  <si>
    <t>Dual specificity protein kinase</t>
  </si>
  <si>
    <t>OG0008193</t>
  </si>
  <si>
    <t>Ofaveolata008101</t>
  </si>
  <si>
    <t>Ssiderea009632</t>
  </si>
  <si>
    <t>threonine-type endopeptidase activity</t>
  </si>
  <si>
    <t>OG0008195</t>
  </si>
  <si>
    <t>Ofaveolata019793</t>
  </si>
  <si>
    <t>Ssiderea012055</t>
  </si>
  <si>
    <t>OG0008209</t>
  </si>
  <si>
    <t>Ofaveolata005715</t>
  </si>
  <si>
    <t>Ssiderea045546</t>
  </si>
  <si>
    <t>OG0008262</t>
  </si>
  <si>
    <t>Ofaveolata019112</t>
  </si>
  <si>
    <t>Ssiderea018985</t>
  </si>
  <si>
    <t>structural constituent of ribosome</t>
  </si>
  <si>
    <t>OG0008299</t>
  </si>
  <si>
    <t>Ofaveolata028722</t>
  </si>
  <si>
    <t>Ssiderea014567</t>
  </si>
  <si>
    <t>Paired box protein 7</t>
  </si>
  <si>
    <t>OG0008335</t>
  </si>
  <si>
    <t>Ofaveolata027442</t>
  </si>
  <si>
    <t>Ssiderea035529</t>
  </si>
  <si>
    <t>OG0008339</t>
  </si>
  <si>
    <t>Ofaveolata016948</t>
  </si>
  <si>
    <t>Ssiderea039355</t>
  </si>
  <si>
    <t>60s ribosomal protein</t>
  </si>
  <si>
    <t>OG0008373</t>
  </si>
  <si>
    <t>Ofaveolata022583</t>
  </si>
  <si>
    <t>Ssiderea015310</t>
  </si>
  <si>
    <t>Isocitrate lyase family</t>
  </si>
  <si>
    <t>OG0008393</t>
  </si>
  <si>
    <t>Ofaveolata026445</t>
  </si>
  <si>
    <t>Ssiderea038602</t>
  </si>
  <si>
    <t>Starch/carbohydrate-binding module (family 53)</t>
  </si>
  <si>
    <t>OG0008404</t>
  </si>
  <si>
    <t>Ofaveolata002477</t>
  </si>
  <si>
    <t>Ssiderea025047</t>
  </si>
  <si>
    <t>Belongs to the peptidase S1 family</t>
  </si>
  <si>
    <t>OG0008455</t>
  </si>
  <si>
    <t>Ofaveolata005305</t>
  </si>
  <si>
    <t>Ssiderea015846</t>
  </si>
  <si>
    <t>OG0008484</t>
  </si>
  <si>
    <t>Ofaveolata005692</t>
  </si>
  <si>
    <t>Ssiderea057264</t>
  </si>
  <si>
    <t>establishment of Sertoli cell barrier</t>
  </si>
  <si>
    <t>OG0008512</t>
  </si>
  <si>
    <t>Ofaveolata004786</t>
  </si>
  <si>
    <t>Ssiderea010972</t>
  </si>
  <si>
    <t>OG0008754</t>
  </si>
  <si>
    <t>Ofaveolata013087</t>
  </si>
  <si>
    <t>Ssiderea001369</t>
  </si>
  <si>
    <t>OG0008790</t>
  </si>
  <si>
    <t>Ofaveolata033271</t>
  </si>
  <si>
    <t>Ssiderea055287</t>
  </si>
  <si>
    <t>phosphatase 5</t>
  </si>
  <si>
    <t>OG0008799</t>
  </si>
  <si>
    <t>Ofaveolata026264</t>
  </si>
  <si>
    <t>Ssiderea041915</t>
  </si>
  <si>
    <t>Cys/Met metabolism PLP-dependent enzyme</t>
  </si>
  <si>
    <t>OG0008952</t>
  </si>
  <si>
    <t>Ofaveolata022997</t>
  </si>
  <si>
    <t>Ssiderea014838</t>
  </si>
  <si>
    <t>regulation of endoplasmic reticulum stress-induced intrinsic apoptotic signaling pathway</t>
  </si>
  <si>
    <t>OG0008980</t>
  </si>
  <si>
    <t>Ofaveolata032487</t>
  </si>
  <si>
    <t>Ssiderea034815</t>
  </si>
  <si>
    <t>acyl-CoA dehydrogenase family member 9</t>
  </si>
  <si>
    <t>OG0008985</t>
  </si>
  <si>
    <t>Ofaveolata032885</t>
  </si>
  <si>
    <t>Ssiderea055254</t>
  </si>
  <si>
    <t>alpha-1,6-mannosylglycoprotein 6-beta-N-acetylglucosaminyltransferase activity</t>
  </si>
  <si>
    <t>OG0009042</t>
  </si>
  <si>
    <t>Ofaveolata023053</t>
  </si>
  <si>
    <t>Ssiderea014765</t>
  </si>
  <si>
    <t>Vitamin K epoxide reductase complex, subunit</t>
  </si>
  <si>
    <t>OG0009168</t>
  </si>
  <si>
    <t>Ofaveolata006594</t>
  </si>
  <si>
    <t>Ssiderea028145</t>
  </si>
  <si>
    <t>OG0009244</t>
  </si>
  <si>
    <t>Ofaveolata023828</t>
  </si>
  <si>
    <t>Ssiderea041613</t>
  </si>
  <si>
    <t>protein-disulfide reductase activity</t>
  </si>
  <si>
    <t>Thioredoxin domain-containing protein 17</t>
  </si>
  <si>
    <t>OG0009332</t>
  </si>
  <si>
    <t>Ofaveolata025856</t>
  </si>
  <si>
    <t>Ssiderea055496</t>
  </si>
  <si>
    <t>RmlD substrate binding domain</t>
  </si>
  <si>
    <t>OG0009519</t>
  </si>
  <si>
    <t>Ofaveolata005300</t>
  </si>
  <si>
    <t>Ssiderea015838</t>
  </si>
  <si>
    <t>Belongs to the universal ribosomal protein uL13 family</t>
  </si>
  <si>
    <t>OG0009551</t>
  </si>
  <si>
    <t>Ofaveolata026600</t>
  </si>
  <si>
    <t>Ssiderea035170</t>
  </si>
  <si>
    <t>2Fe-2S iron-sulfur cluster binding domain</t>
  </si>
  <si>
    <t>OG0009555</t>
  </si>
  <si>
    <t>Ofaveolata023565</t>
  </si>
  <si>
    <t>Ssiderea015602</t>
  </si>
  <si>
    <t>translational elongation</t>
  </si>
  <si>
    <t>OG0009651</t>
  </si>
  <si>
    <t>Ofaveolata024088</t>
  </si>
  <si>
    <t>Ssiderea005472</t>
  </si>
  <si>
    <t>protein ubiquitination</t>
  </si>
  <si>
    <t>OG0009661</t>
  </si>
  <si>
    <t>Ofaveolata019954</t>
  </si>
  <si>
    <t>Ssiderea052352</t>
  </si>
  <si>
    <t>ITP binding</t>
  </si>
  <si>
    <t>OG0009685</t>
  </si>
  <si>
    <t>Ofaveolata032877</t>
  </si>
  <si>
    <t>Ssiderea055212</t>
  </si>
  <si>
    <t>OG0009704</t>
  </si>
  <si>
    <t>Ofaveolata014858</t>
  </si>
  <si>
    <t>Ssiderea004499</t>
  </si>
  <si>
    <t>OG0009746</t>
  </si>
  <si>
    <t>Ofaveolata026963</t>
  </si>
  <si>
    <t>Ssiderea017960</t>
  </si>
  <si>
    <t>glutaryl-CoA dehydrogenase</t>
  </si>
  <si>
    <t>OG0009765</t>
  </si>
  <si>
    <t>Ofaveolata008051</t>
  </si>
  <si>
    <t>Ssiderea009584</t>
  </si>
  <si>
    <t>TAF6-like RNA polymerase II, p300 CBP-associated</t>
  </si>
  <si>
    <t>OG0009837</t>
  </si>
  <si>
    <t>Ofaveolata001267</t>
  </si>
  <si>
    <t>Ssiderea049766</t>
  </si>
  <si>
    <t>Phosphatidylethanolamine-binding protein</t>
  </si>
  <si>
    <t>OG0009897</t>
  </si>
  <si>
    <t>Ofaveolata029145</t>
  </si>
  <si>
    <t>Ssiderea033187</t>
  </si>
  <si>
    <t>ER membrane protein complex subunit</t>
  </si>
  <si>
    <t>OG0009933</t>
  </si>
  <si>
    <t>Ofaveolata007273</t>
  </si>
  <si>
    <t>Ssiderea056520</t>
  </si>
  <si>
    <t>poly(A)+ mRNA export from nucleus</t>
  </si>
  <si>
    <t>OG0010041</t>
  </si>
  <si>
    <t>Ofaveolata003777</t>
  </si>
  <si>
    <t>Ssiderea028755</t>
  </si>
  <si>
    <t>Cytosolic acyl coenzyme A thioester</t>
  </si>
  <si>
    <t>OG0010042</t>
  </si>
  <si>
    <t>Ofaveolata026173</t>
  </si>
  <si>
    <t>Ssiderea055002</t>
  </si>
  <si>
    <t>cysteine desulfurase activity</t>
  </si>
  <si>
    <t>OG0010098</t>
  </si>
  <si>
    <t>Ofaveolata001543</t>
  </si>
  <si>
    <t>Ssiderea049588</t>
  </si>
  <si>
    <t>tryptophan 5-monooxygenase activity</t>
  </si>
  <si>
    <t>OG0010216</t>
  </si>
  <si>
    <t>Ofaveolata030565</t>
  </si>
  <si>
    <t>Ssiderea034040</t>
  </si>
  <si>
    <t>OG0010296</t>
  </si>
  <si>
    <t>Ofaveolata029171</t>
  </si>
  <si>
    <t>Ssiderea034330</t>
  </si>
  <si>
    <t>OG0010357</t>
  </si>
  <si>
    <t>Ofaveolata029786</t>
  </si>
  <si>
    <t>Ssiderea023919</t>
  </si>
  <si>
    <t>cellular zinc ion homeostasis</t>
  </si>
  <si>
    <t>OG0010445</t>
  </si>
  <si>
    <t>Ofaveolata014557</t>
  </si>
  <si>
    <t>Ssiderea004382</t>
  </si>
  <si>
    <t>transferase activity</t>
  </si>
  <si>
    <t>OG0010456</t>
  </si>
  <si>
    <t>Ofaveolata003649</t>
  </si>
  <si>
    <t>Ssiderea046465</t>
  </si>
  <si>
    <t>OG0010477</t>
  </si>
  <si>
    <t>Ofaveolata020822</t>
  </si>
  <si>
    <t>Ssiderea047596</t>
  </si>
  <si>
    <t>oxidoreductase activity, oxidizing metal ions with flavin as acceptor</t>
  </si>
  <si>
    <t>OG0010499</t>
  </si>
  <si>
    <t>Ofaveolata018835</t>
  </si>
  <si>
    <t>Ssiderea003070</t>
  </si>
  <si>
    <t>nucleotide binding. It is involved in the biological process described with RNA processing</t>
  </si>
  <si>
    <t>OG0010598</t>
  </si>
  <si>
    <t>Ofaveolata001861</t>
  </si>
  <si>
    <t>Ssiderea050455</t>
  </si>
  <si>
    <t>PRELI domain-containing protein 2</t>
  </si>
  <si>
    <t>OG0010612</t>
  </si>
  <si>
    <t>Ofaveolata013841</t>
  </si>
  <si>
    <t>Ssiderea044233</t>
  </si>
  <si>
    <t>DNA binding</t>
  </si>
  <si>
    <t>homeobox</t>
  </si>
  <si>
    <t>OG0010646</t>
  </si>
  <si>
    <t>Ofaveolata022881</t>
  </si>
  <si>
    <t>Ssiderea015100</t>
  </si>
  <si>
    <t>bleomycin hydrolase</t>
  </si>
  <si>
    <t>OG0010671</t>
  </si>
  <si>
    <t>Ofaveolata029427</t>
  </si>
  <si>
    <t>Ssiderea032912</t>
  </si>
  <si>
    <t>Elongation factor</t>
  </si>
  <si>
    <t>OG0010681</t>
  </si>
  <si>
    <t>Ofaveolata034974</t>
  </si>
  <si>
    <t>Ssiderea017213</t>
  </si>
  <si>
    <t>RNA pseudouridylate synthase</t>
  </si>
  <si>
    <t>OG0010700</t>
  </si>
  <si>
    <t>Ofaveolata029723</t>
  </si>
  <si>
    <t>Ssiderea023814</t>
  </si>
  <si>
    <t>endoplasmic reticulum stress-induced pre-emptive quality control</t>
  </si>
  <si>
    <t>OG0010750</t>
  </si>
  <si>
    <t>Ofaveolata008828</t>
  </si>
  <si>
    <t>Ssiderea007939</t>
  </si>
  <si>
    <t>OG0010777</t>
  </si>
  <si>
    <t>Ofaveolata034148</t>
  </si>
  <si>
    <t>Ssiderea031598</t>
  </si>
  <si>
    <t>Egl-9 family hypoxia-inducible factor</t>
  </si>
  <si>
    <t>OG0010808</t>
  </si>
  <si>
    <t>Ofaveolata017337</t>
  </si>
  <si>
    <t>Ssiderea046671</t>
  </si>
  <si>
    <t>Defective in cullin neddylation 1 domain containing</t>
  </si>
  <si>
    <t>OG0010812</t>
  </si>
  <si>
    <t>Ofaveolata026263</t>
  </si>
  <si>
    <t>Ssiderea039605</t>
  </si>
  <si>
    <t>Phosphoethanolamine methyltransferase</t>
  </si>
  <si>
    <t>phosphoethanolamine N-methyltransferase</t>
  </si>
  <si>
    <t>OG0010853</t>
  </si>
  <si>
    <t>Ofaveolata022539</t>
  </si>
  <si>
    <t>Ssiderea015358</t>
  </si>
  <si>
    <t>DGCR8 microprocessor complex subunit</t>
  </si>
  <si>
    <t>primary miRNA processing</t>
  </si>
  <si>
    <t>OG0010877</t>
  </si>
  <si>
    <t>Ofaveolata006054</t>
  </si>
  <si>
    <t>Ssiderea057216</t>
  </si>
  <si>
    <t>Belongs to the Ca(2 ) cation antiporter (CaCA) (TC 2.A.19) family</t>
  </si>
  <si>
    <t>OG0010896</t>
  </si>
  <si>
    <t>Ofaveolata023169</t>
  </si>
  <si>
    <t>Ssiderea046213</t>
  </si>
  <si>
    <t>sphingolipid transporter activity</t>
  </si>
  <si>
    <t>OG0010958</t>
  </si>
  <si>
    <t>Ofaveolata009609</t>
  </si>
  <si>
    <t>Ssiderea051622</t>
  </si>
  <si>
    <t>OG0011008</t>
  </si>
  <si>
    <t>Ofaveolata013053</t>
  </si>
  <si>
    <t>Ssiderea001422</t>
  </si>
  <si>
    <t>Solute carrier family 4, sodium bicarbonate transporter, member 10</t>
  </si>
  <si>
    <t>Solute carrier family 4, sodium bicarbonate cotransporter, member 7</t>
  </si>
  <si>
    <t>OG0011056</t>
  </si>
  <si>
    <t>Ofaveolata033693</t>
  </si>
  <si>
    <t>Ssiderea053631</t>
  </si>
  <si>
    <t>cytoskeletal anchoring at nuclear membrane</t>
  </si>
  <si>
    <t>OG0011122</t>
  </si>
  <si>
    <t>Ofaveolata008342</t>
  </si>
  <si>
    <t>Ssiderea008901</t>
  </si>
  <si>
    <t>phosphatidylserine synthase</t>
  </si>
  <si>
    <t>phosphatidylserine biosynthetic process</t>
  </si>
  <si>
    <t>OG0011134</t>
  </si>
  <si>
    <t>Ofaveolata010552</t>
  </si>
  <si>
    <t>Ssiderea045367</t>
  </si>
  <si>
    <t>Domain first found in C1r, C1s, uEGF, and bone morphogenetic protein.</t>
  </si>
  <si>
    <t>zymogen binding</t>
  </si>
  <si>
    <t>OG0011192</t>
  </si>
  <si>
    <t>Ofaveolata019396</t>
  </si>
  <si>
    <t>Ssiderea055950</t>
  </si>
  <si>
    <t>OG0011200</t>
  </si>
  <si>
    <t>Ofaveolata003430</t>
  </si>
  <si>
    <t>Ssiderea029846</t>
  </si>
  <si>
    <t>Cupin-like domain</t>
  </si>
  <si>
    <t>OG0011214</t>
  </si>
  <si>
    <t>Ofaveolata010131</t>
  </si>
  <si>
    <t>Ssiderea049480</t>
  </si>
  <si>
    <t>Belongs to the short-chain dehydrogenases reductases (SDR) family</t>
  </si>
  <si>
    <t>OG0011273</t>
  </si>
  <si>
    <t>Ofaveolata015586</t>
  </si>
  <si>
    <t>Ssiderea038084</t>
  </si>
  <si>
    <t>Belongs to the TRAFAC class myosin-kinesin ATPase superfamily. Kinesin family</t>
  </si>
  <si>
    <t>OG0011280</t>
  </si>
  <si>
    <t>Ofaveolata029252</t>
  </si>
  <si>
    <t>Ssiderea033217</t>
  </si>
  <si>
    <t>Asparaginyl-tRNA synthetase</t>
  </si>
  <si>
    <t>OG0011293</t>
  </si>
  <si>
    <t>Ofaveolata003606</t>
  </si>
  <si>
    <t>Ssiderea046337</t>
  </si>
  <si>
    <t>cellular copper ion homeostasis</t>
  </si>
  <si>
    <t>OG0011322</t>
  </si>
  <si>
    <t>Ofaveolata025013</t>
  </si>
  <si>
    <t>Ssiderea021306</t>
  </si>
  <si>
    <t>GDP-mannose</t>
  </si>
  <si>
    <t>GDP-mannose 4,6-dehydratase activity</t>
  </si>
  <si>
    <t>OG0011338</t>
  </si>
  <si>
    <t>Ofaveolata023019</t>
  </si>
  <si>
    <t>Ssiderea014813</t>
  </si>
  <si>
    <t>SOR/SNZ family</t>
  </si>
  <si>
    <t>OG0011382</t>
  </si>
  <si>
    <t>Ofaveolata031051</t>
  </si>
  <si>
    <t>Ssiderea006575</t>
  </si>
  <si>
    <t>helix loop helix domain</t>
  </si>
  <si>
    <t>OG0011383</t>
  </si>
  <si>
    <t>Ofaveolata022371</t>
  </si>
  <si>
    <t>Ssiderea023254</t>
  </si>
  <si>
    <t>proteasome maturation</t>
  </si>
  <si>
    <t>OG0011448</t>
  </si>
  <si>
    <t>Ofaveolata026000</t>
  </si>
  <si>
    <t>Ssiderea038858</t>
  </si>
  <si>
    <t>OG0011480</t>
  </si>
  <si>
    <t>Ofaveolata013651</t>
  </si>
  <si>
    <t>Ssiderea000160</t>
  </si>
  <si>
    <t>Mitochondrial membrane ATP synthase (F(1)F(0) ATP synthase or Complex V) produces ATP from ADP in the presence of a proton gradient across the membrane which is generated by electron transport complexes of the respiratory chain. F-type ATPases consist of two structural domains, F(1) - containing the extramembraneous catalytic core and F(0) - containing the membrane proton channel, linked together by a central stalk and a peripheral stalk. During catalysis, ATP synthesis in the catalytic domain of F(1) is coupled via a rotary mechanism of the central stalk subunits to proton translocation. Part of the complex F(0) domain and the peripheric stalk, which acts as a stator to hold the catalytic alpha(3)beta(3) subcomplex and subunit a ATP6 static relative to the rotary elements</t>
  </si>
  <si>
    <t>OG0011499</t>
  </si>
  <si>
    <t>Ofaveolata002967</t>
  </si>
  <si>
    <t>Ssiderea013001</t>
  </si>
  <si>
    <t>Heat shock 70 kDa protein 14</t>
  </si>
  <si>
    <t>OG0011592</t>
  </si>
  <si>
    <t>Ofaveolata019354</t>
  </si>
  <si>
    <t>Ssiderea056002</t>
  </si>
  <si>
    <t>Phosphatidylinositol 3,4,5-trisphosphate 3-phosphatase TPTE2-like</t>
  </si>
  <si>
    <t>OG0011807</t>
  </si>
  <si>
    <t>Ofaveolata014694</t>
  </si>
  <si>
    <t>Ssiderea004577</t>
  </si>
  <si>
    <t>phosphomannomutase activity</t>
  </si>
  <si>
    <t>OG0011919</t>
  </si>
  <si>
    <t>Ofaveolata005301</t>
  </si>
  <si>
    <t>Ssiderea015841</t>
  </si>
  <si>
    <t>iron-sulfur transferase activity</t>
  </si>
  <si>
    <t>Scaffold protein for the de novo synthesis of iron- sulfur (Fe-S) clusters within mitochondria, which is required for maturation of both mitochondrial and cytoplasmic 2Fe-2S and 4Fe-4S proteins</t>
  </si>
  <si>
    <t>OG0011930</t>
  </si>
  <si>
    <t>Ofaveolata000340</t>
  </si>
  <si>
    <t>Ssiderea022091</t>
  </si>
  <si>
    <t>UPF0704 protein C6orf165 homolog</t>
  </si>
  <si>
    <t>OG0012116</t>
  </si>
  <si>
    <t>Ofaveolata010052</t>
  </si>
  <si>
    <t>Ssiderea049434</t>
  </si>
  <si>
    <t>respiratory chain complex III assembly</t>
  </si>
  <si>
    <t>OG0012284</t>
  </si>
  <si>
    <t>Ofaveolata003863</t>
  </si>
  <si>
    <t>Ssiderea030387</t>
  </si>
  <si>
    <t>protein polyubiquitination</t>
  </si>
  <si>
    <t>OG0012314</t>
  </si>
  <si>
    <t>Ofaveolata002363</t>
  </si>
  <si>
    <t>Ssiderea012871</t>
  </si>
  <si>
    <t>Haloacid dehalogenase-like hydrolase</t>
  </si>
  <si>
    <t>OG0012321</t>
  </si>
  <si>
    <t>Ofaveolata002211</t>
  </si>
  <si>
    <t>Ssiderea012662</t>
  </si>
  <si>
    <t>nucleobase-containing compound biosynthetic process</t>
  </si>
  <si>
    <t>OG0012372</t>
  </si>
  <si>
    <t>Ofaveolata033520</t>
  </si>
  <si>
    <t>Ssiderea026314</t>
  </si>
  <si>
    <t>ATP binding</t>
  </si>
  <si>
    <t>belongs to the actin family</t>
  </si>
  <si>
    <t>OG0012426</t>
  </si>
  <si>
    <t>Ofaveolata016857</t>
  </si>
  <si>
    <t>Ssiderea039239</t>
  </si>
  <si>
    <t>MDM2/MDM4 family protein binding</t>
  </si>
  <si>
    <t>OG0012453</t>
  </si>
  <si>
    <t>Ofaveolata034261</t>
  </si>
  <si>
    <t>Ssiderea031880</t>
  </si>
  <si>
    <t>YLP motif-containing protein 1</t>
  </si>
  <si>
    <t>OG0012470</t>
  </si>
  <si>
    <t>Ofaveolata002778</t>
  </si>
  <si>
    <t>Ssiderea013295</t>
  </si>
  <si>
    <t>positive regulation of skeletal muscle acetylcholine-gated channel clustering</t>
  </si>
  <si>
    <t>OG0012511</t>
  </si>
  <si>
    <t>Ofaveolata017710</t>
  </si>
  <si>
    <t>Ssiderea046938</t>
  </si>
  <si>
    <t>Eukaryotic initiation factor 4A-II isoform X1</t>
  </si>
  <si>
    <t>Eukaryotic translation initiation factor 4A, isoform</t>
  </si>
  <si>
    <t>OG0012544</t>
  </si>
  <si>
    <t>Ofaveolata013458</t>
  </si>
  <si>
    <t>Ssiderea000447</t>
  </si>
  <si>
    <t>OG0012573</t>
  </si>
  <si>
    <t>Ofaveolata030138</t>
  </si>
  <si>
    <t>Ssiderea054218</t>
  </si>
  <si>
    <t>Ubiquitin carboxyl-terminal hydrolase</t>
  </si>
  <si>
    <t>OG0012576</t>
  </si>
  <si>
    <t>Ofaveolata001171</t>
  </si>
  <si>
    <t>Ssiderea029404</t>
  </si>
  <si>
    <t>plasma membrane repair</t>
  </si>
  <si>
    <t>OG0012627</t>
  </si>
  <si>
    <t>Ofaveolata018295</t>
  </si>
  <si>
    <t>Ssiderea018599</t>
  </si>
  <si>
    <t>Cytidylyltransferase-like</t>
  </si>
  <si>
    <t>OG0012628</t>
  </si>
  <si>
    <t>Ofaveolata013818</t>
  </si>
  <si>
    <t>Ssiderea049064</t>
  </si>
  <si>
    <t>Glutathione S-transferase, N-terminal domain</t>
  </si>
  <si>
    <t>OG0012707</t>
  </si>
  <si>
    <t>Ofaveolata019237</t>
  </si>
  <si>
    <t>Ssiderea056578</t>
  </si>
  <si>
    <t>Homeodomain</t>
  </si>
  <si>
    <t>OG0012749</t>
  </si>
  <si>
    <t>Ofaveolata006465</t>
  </si>
  <si>
    <t>Ssiderea053340</t>
  </si>
  <si>
    <t>acyl carnitine transmembrane transport</t>
  </si>
  <si>
    <t>OG0012782</t>
  </si>
  <si>
    <t>Ofaveolata026010</t>
  </si>
  <si>
    <t>Ssiderea038852</t>
  </si>
  <si>
    <t>negative regulation of SNARE complex assembly</t>
  </si>
  <si>
    <t>OG0012801</t>
  </si>
  <si>
    <t>Ofaveolata019158</t>
  </si>
  <si>
    <t>Ssiderea019086</t>
  </si>
  <si>
    <t>calcium-dependent cysteine-type endopeptidase activity</t>
  </si>
  <si>
    <t>OG0012815</t>
  </si>
  <si>
    <t>Ofaveolata024193</t>
  </si>
  <si>
    <t>Ssiderea005674</t>
  </si>
  <si>
    <t>RAB10, member RAS oncogene family</t>
  </si>
  <si>
    <t>OG0012846</t>
  </si>
  <si>
    <t>Ofaveolata033137</t>
  </si>
  <si>
    <t>Ssiderea025984</t>
  </si>
  <si>
    <t>5'-3' exoribonuclease activity</t>
  </si>
  <si>
    <t>OG0012861</t>
  </si>
  <si>
    <t>Ofaveolata002355</t>
  </si>
  <si>
    <t>Ssiderea012859</t>
  </si>
  <si>
    <t>Adp-ribosylation factor</t>
  </si>
  <si>
    <t>OG0012957</t>
  </si>
  <si>
    <t>Ofaveolata014949</t>
  </si>
  <si>
    <t>Ssiderea038386</t>
  </si>
  <si>
    <t>Major facilitator superfamily domain-containing protein 6-like</t>
  </si>
  <si>
    <t>OG0013044</t>
  </si>
  <si>
    <t>Ofaveolata006152</t>
  </si>
  <si>
    <t>Ssiderea053372</t>
  </si>
  <si>
    <t>glycogen phosphorylase activity</t>
  </si>
  <si>
    <t>OG0013046</t>
  </si>
  <si>
    <t>Ofaveolata005736</t>
  </si>
  <si>
    <t>Ssiderea045518</t>
  </si>
  <si>
    <t>Kinesin motor, catalytic domain. ATPase.</t>
  </si>
  <si>
    <t>Microtubule binding</t>
  </si>
  <si>
    <t>OG0013102</t>
  </si>
  <si>
    <t>Ofaveolata011377</t>
  </si>
  <si>
    <t>Ssiderea019312</t>
  </si>
  <si>
    <t>OG0013147</t>
  </si>
  <si>
    <t>Ofaveolata026455</t>
  </si>
  <si>
    <t>Ssiderea038593</t>
  </si>
  <si>
    <t>AFG3-like protein</t>
  </si>
  <si>
    <t>OG0013205</t>
  </si>
  <si>
    <t>Ofaveolata019611</t>
  </si>
  <si>
    <t>Ssiderea020852</t>
  </si>
  <si>
    <t>high mobility group</t>
  </si>
  <si>
    <t>OG0013221</t>
  </si>
  <si>
    <t>Ofaveolata022024</t>
  </si>
  <si>
    <t>Ssiderea023369</t>
  </si>
  <si>
    <t>L-lactate</t>
  </si>
  <si>
    <t>OG0013245</t>
  </si>
  <si>
    <t>Ofaveolata023325</t>
  </si>
  <si>
    <t>Ssiderea005256</t>
  </si>
  <si>
    <t>Belongs to the 14-3-3 family</t>
  </si>
  <si>
    <t>tyrosine 3-monooxygenase tryptophan 5-monooxygenase activation protein, epsilon</t>
  </si>
  <si>
    <t>OG0013276</t>
  </si>
  <si>
    <t>Ofaveolata009808</t>
  </si>
  <si>
    <t>Ssiderea051670</t>
  </si>
  <si>
    <t>ADP biosynthetic process</t>
  </si>
  <si>
    <t>OG0000002</t>
  </si>
  <si>
    <t>Ofaveolata011486</t>
  </si>
  <si>
    <t>Ssiderea045106</t>
  </si>
  <si>
    <t>OG0000086</t>
  </si>
  <si>
    <t>Ofaveolata035275</t>
  </si>
  <si>
    <t>Ssiderea59608</t>
  </si>
  <si>
    <t>protein K33-linked ubiquitination</t>
  </si>
  <si>
    <t>Kelch-like protein 12</t>
  </si>
  <si>
    <t>OG0000221</t>
  </si>
  <si>
    <t>Ofaveolata027885</t>
  </si>
  <si>
    <t>Ssiderea050737</t>
  </si>
  <si>
    <t>glutathione hydrolase activity</t>
  </si>
  <si>
    <t>OG0000302</t>
  </si>
  <si>
    <t>Ofaveolata009915</t>
  </si>
  <si>
    <t>Ssiderea054759</t>
  </si>
  <si>
    <t>organic anion transmembrane transporter activity</t>
  </si>
  <si>
    <t>OG0000402</t>
  </si>
  <si>
    <t>Ofaveolata009835</t>
  </si>
  <si>
    <t>Ssiderea051714</t>
  </si>
  <si>
    <t>Glutathione S-transferase, C-terminal domain</t>
  </si>
  <si>
    <t>OG0000566</t>
  </si>
  <si>
    <t>Ofaveolata015403</t>
  </si>
  <si>
    <t>Ssiderea038210</t>
  </si>
  <si>
    <t>Carboxylesterase family</t>
  </si>
  <si>
    <t>OG0000709</t>
  </si>
  <si>
    <t>Ofaveolata008471</t>
  </si>
  <si>
    <t>Ssiderea040156</t>
  </si>
  <si>
    <t>poly ADP-ribose polymerase</t>
  </si>
  <si>
    <t>OG0000721</t>
  </si>
  <si>
    <t>Ofaveolata007413</t>
  </si>
  <si>
    <t>Ssiderea025940</t>
  </si>
  <si>
    <t>proximal promoter DNA-binding transcription activator activity, RNA polymerase II-specific</t>
  </si>
  <si>
    <t>OG0000761</t>
  </si>
  <si>
    <t>Ofaveolata036439</t>
  </si>
  <si>
    <t>Ssiderea005075</t>
  </si>
  <si>
    <t>adenylate cyclase-inhibiting G-protein coupled glutamate receptor signaling pathway</t>
  </si>
  <si>
    <t>OG0000800</t>
  </si>
  <si>
    <t>Ofaveolata003747</t>
  </si>
  <si>
    <t>Ssiderea028717</t>
  </si>
  <si>
    <t>Cytochrome P450, family 46, subfamily A, polypeptide</t>
  </si>
  <si>
    <t>OG0001144</t>
  </si>
  <si>
    <t>Ofaveolata001927</t>
  </si>
  <si>
    <t>Ssiderea035485</t>
  </si>
  <si>
    <t>OG0001481</t>
  </si>
  <si>
    <t>Ofaveolata013123</t>
  </si>
  <si>
    <t>Ssiderea000775</t>
  </si>
  <si>
    <t>integrin binding</t>
  </si>
  <si>
    <t>OG0001501</t>
  </si>
  <si>
    <t>Ofaveolata010777</t>
  </si>
  <si>
    <t>Ssiderea017541</t>
  </si>
  <si>
    <t>sphinganine-1-phosphate aldolase activity</t>
  </si>
  <si>
    <t>OG0001559</t>
  </si>
  <si>
    <t>Ofaveolata015782</t>
  </si>
  <si>
    <t>Ssiderea023460</t>
  </si>
  <si>
    <t>Belongs to the glycosyl hydrolase 18 family</t>
  </si>
  <si>
    <t>OG0001567</t>
  </si>
  <si>
    <t>Ofaveolata027832</t>
  </si>
  <si>
    <t>Ssiderea035430</t>
  </si>
  <si>
    <t>triglyceride mobilization</t>
  </si>
  <si>
    <t>OG0001567_1</t>
  </si>
  <si>
    <t>Ofaveolata029371</t>
  </si>
  <si>
    <t>Ssiderea032994</t>
  </si>
  <si>
    <t>Apolipoprotein</t>
  </si>
  <si>
    <t>OG0001626</t>
  </si>
  <si>
    <t>Ofaveolata002399</t>
  </si>
  <si>
    <t>Ssiderea012927</t>
  </si>
  <si>
    <t>OG0001633</t>
  </si>
  <si>
    <t>Ofaveolata022400</t>
  </si>
  <si>
    <t>Ssiderea023311</t>
  </si>
  <si>
    <t>secondary active sulfate transmembrane transporter activity</t>
  </si>
  <si>
    <t>OG0001659</t>
  </si>
  <si>
    <t>Ofaveolata029163</t>
  </si>
  <si>
    <t>Ssiderea027778</t>
  </si>
  <si>
    <t>OG0001666</t>
  </si>
  <si>
    <t>Ofaveolata005667</t>
  </si>
  <si>
    <t>Ssiderea010543</t>
  </si>
  <si>
    <t>OG0001666_1</t>
  </si>
  <si>
    <t>Ofaveolata005666</t>
  </si>
  <si>
    <t>Ssiderea010542</t>
  </si>
  <si>
    <t>OG0001691</t>
  </si>
  <si>
    <t>Ofaveolata029890</t>
  </si>
  <si>
    <t>Ssiderea024120</t>
  </si>
  <si>
    <t>Belongs to the sodium solute symporter (SSF) (TC 2.A.21) family</t>
  </si>
  <si>
    <t>OG0001811</t>
  </si>
  <si>
    <t>Ofaveolata035247</t>
  </si>
  <si>
    <t>Ssiderea033014</t>
  </si>
  <si>
    <t>fibrinolysis</t>
  </si>
  <si>
    <t>OG0001847</t>
  </si>
  <si>
    <t>Ofaveolata003609</t>
  </si>
  <si>
    <t>Ssiderea046340</t>
  </si>
  <si>
    <t>IMP dehydrogenase activity</t>
  </si>
  <si>
    <t>OG0001856</t>
  </si>
  <si>
    <t>Ofaveolata028145</t>
  </si>
  <si>
    <t>Ssiderea054468</t>
  </si>
  <si>
    <t>OG0001891</t>
  </si>
  <si>
    <t>Ofaveolata017215</t>
  </si>
  <si>
    <t>Ssiderea039065</t>
  </si>
  <si>
    <t>OG0002093</t>
  </si>
  <si>
    <t>Ofaveolata034108</t>
  </si>
  <si>
    <t>Ssiderea031667</t>
  </si>
  <si>
    <t>phosphatidylethanolamine catabolic process</t>
  </si>
  <si>
    <t>OG0002097</t>
  </si>
  <si>
    <t>Ofaveolata005576</t>
  </si>
  <si>
    <t>Ssiderea016184</t>
  </si>
  <si>
    <t>Subtilase family</t>
  </si>
  <si>
    <t>OG0002117</t>
  </si>
  <si>
    <t>Ofaveolata030363</t>
  </si>
  <si>
    <t>Ssiderea034264</t>
  </si>
  <si>
    <t>Belongs to the CRISP family</t>
  </si>
  <si>
    <t>OG0002134</t>
  </si>
  <si>
    <t>Ofaveolata033724</t>
  </si>
  <si>
    <t>Ssiderea053607</t>
  </si>
  <si>
    <t>regulation of barbed-end actin filament capping</t>
  </si>
  <si>
    <t>OG0002146</t>
  </si>
  <si>
    <t>Ofaveolata021960</t>
  </si>
  <si>
    <t>Ssiderea023516</t>
  </si>
  <si>
    <t>ATP:ADP antiporter activity</t>
  </si>
  <si>
    <t>OG0002148</t>
  </si>
  <si>
    <t>Ofaveolata007390</t>
  </si>
  <si>
    <t>Ssiderea044697</t>
  </si>
  <si>
    <t>Carbonic anhydrase</t>
  </si>
  <si>
    <t>Eukaryotic-type carbonic anhydrase</t>
  </si>
  <si>
    <t>OG0002149</t>
  </si>
  <si>
    <t>Ofaveolata027982</t>
  </si>
  <si>
    <t>Ssiderea035471</t>
  </si>
  <si>
    <t>Pyruvate formate lyase-like</t>
  </si>
  <si>
    <t>OG0002150</t>
  </si>
  <si>
    <t>Ofaveolata020701</t>
  </si>
  <si>
    <t>Ssiderea012426</t>
  </si>
  <si>
    <t>tolloid-like</t>
  </si>
  <si>
    <t>Tolloid-like protein 2</t>
  </si>
  <si>
    <t>OG0002250</t>
  </si>
  <si>
    <t>Ofaveolata034202</t>
  </si>
  <si>
    <t>Ssiderea053752</t>
  </si>
  <si>
    <t>ATPase activity</t>
  </si>
  <si>
    <t>OG0002403</t>
  </si>
  <si>
    <t>Ofaveolata006471</t>
  </si>
  <si>
    <t>Ssiderea053334</t>
  </si>
  <si>
    <t>calcium-independent protein kinase C activity</t>
  </si>
  <si>
    <t>OG0002565</t>
  </si>
  <si>
    <t>Ofaveolata022506</t>
  </si>
  <si>
    <t>Ssiderea015571</t>
  </si>
  <si>
    <t>OG0002587</t>
  </si>
  <si>
    <t>Ofaveolata032340</t>
  </si>
  <si>
    <t>Ssiderea046012</t>
  </si>
  <si>
    <t>diphosphoinositol polyphosphate catabolic process</t>
  </si>
  <si>
    <t>OG0002635</t>
  </si>
  <si>
    <t>Ofaveolata002384</t>
  </si>
  <si>
    <t>Ssiderea012907</t>
  </si>
  <si>
    <t>vesicle-mediated cholesterol transport</t>
  </si>
  <si>
    <t>OG0002647</t>
  </si>
  <si>
    <t>Ofaveolata014781</t>
  </si>
  <si>
    <t>Ssiderea004696</t>
  </si>
  <si>
    <t>RNA pyrophosphohydrolase activity</t>
  </si>
  <si>
    <t>OG0002710</t>
  </si>
  <si>
    <t>Ofaveolata023144</t>
  </si>
  <si>
    <t>Ssiderea014675</t>
  </si>
  <si>
    <t>Ubiquitin homologues</t>
  </si>
  <si>
    <t>OG0002736</t>
  </si>
  <si>
    <t>Ofaveolata013974</t>
  </si>
  <si>
    <t>Ssiderea043950</t>
  </si>
  <si>
    <t>rRNA export from nucleus</t>
  </si>
  <si>
    <t>OG0002744</t>
  </si>
  <si>
    <t>Ofaveolata005743</t>
  </si>
  <si>
    <t>Ssiderea045482</t>
  </si>
  <si>
    <t>OG0002864</t>
  </si>
  <si>
    <t>Ofaveolata015612</t>
  </si>
  <si>
    <t>Ssiderea000994</t>
  </si>
  <si>
    <t>OG0002901</t>
  </si>
  <si>
    <t>Ofaveolata000376</t>
  </si>
  <si>
    <t>Ssiderea022059</t>
  </si>
  <si>
    <t>OG0002916</t>
  </si>
  <si>
    <t>Ofaveolata004977</t>
  </si>
  <si>
    <t>Ssiderea046542</t>
  </si>
  <si>
    <t>negative regulation of histone acetylation</t>
  </si>
  <si>
    <t>OG0002979</t>
  </si>
  <si>
    <t>Ofaveolata014480</t>
  </si>
  <si>
    <t>Ssiderea004457</t>
  </si>
  <si>
    <t>detection of mechanical stimulus</t>
  </si>
  <si>
    <t>OG0003243</t>
  </si>
  <si>
    <t>Ofaveolata001106</t>
  </si>
  <si>
    <t>Ssiderea022167</t>
  </si>
  <si>
    <t>PWWP domain containing 2B</t>
  </si>
  <si>
    <t>OG0003251</t>
  </si>
  <si>
    <t>Ofaveolata013332</t>
  </si>
  <si>
    <t>Ssiderea001097</t>
  </si>
  <si>
    <t>Endoribonuclease XendoU</t>
  </si>
  <si>
    <t>endoribonuclease activity</t>
  </si>
  <si>
    <t>OG0003286</t>
  </si>
  <si>
    <t>Ofaveolata019014</t>
  </si>
  <si>
    <t>Ssiderea020483</t>
  </si>
  <si>
    <t>Metalloendopeptidase activity. It is involved in the biological process described with proteolysis</t>
  </si>
  <si>
    <t>OG0003288</t>
  </si>
  <si>
    <t>Ofaveolata004908</t>
  </si>
  <si>
    <t>Ssiderea011302</t>
  </si>
  <si>
    <t>aldonic acid metabolic process</t>
  </si>
  <si>
    <t>OG0003329</t>
  </si>
  <si>
    <t>Ofaveolata025444</t>
  </si>
  <si>
    <t>Ssiderea041964</t>
  </si>
  <si>
    <t>OG0003338</t>
  </si>
  <si>
    <t>Ofaveolata019018</t>
  </si>
  <si>
    <t>Ssiderea001798</t>
  </si>
  <si>
    <t>krueppel associated box</t>
  </si>
  <si>
    <t>OG0003340</t>
  </si>
  <si>
    <t>Ofaveolata014269</t>
  </si>
  <si>
    <t>Ssiderea054693</t>
  </si>
  <si>
    <t>biological adhesion</t>
  </si>
  <si>
    <t>OG0003392</t>
  </si>
  <si>
    <t>Ofaveolata023245</t>
  </si>
  <si>
    <t>Ssiderea045990</t>
  </si>
  <si>
    <t>OG0003655</t>
  </si>
  <si>
    <t>Ofaveolata022086</t>
  </si>
  <si>
    <t>Ssiderea023002</t>
  </si>
  <si>
    <t>nuclear factor of activated T-cells 5</t>
  </si>
  <si>
    <t>OG0003656</t>
  </si>
  <si>
    <t>Ofaveolata006266</t>
  </si>
  <si>
    <t>Ssiderea032613</t>
  </si>
  <si>
    <t>ATPase activator activity</t>
  </si>
  <si>
    <t>OG0003790</t>
  </si>
  <si>
    <t>Ofaveolata028664</t>
  </si>
  <si>
    <t>Ssiderea042837</t>
  </si>
  <si>
    <t>negative regulation of smooth muscle cell differentiation</t>
  </si>
  <si>
    <t>histone-lysine N-methyltransferase PRDM6</t>
  </si>
  <si>
    <t>OG0003817</t>
  </si>
  <si>
    <t>Ofaveolata029878</t>
  </si>
  <si>
    <t>Ssiderea024108</t>
  </si>
  <si>
    <t>U4 U6 small nuclear ribonucleoprotein</t>
  </si>
  <si>
    <t>OG0003821</t>
  </si>
  <si>
    <t>Ofaveolata001887</t>
  </si>
  <si>
    <t>Ssiderea050427</t>
  </si>
  <si>
    <t>negative regulation of canonical Wnt signaling pathway involved in cardiac muscle cell fate commitment</t>
  </si>
  <si>
    <t>OG0003875</t>
  </si>
  <si>
    <t>Ofaveolata029412</t>
  </si>
  <si>
    <t>Ssiderea032926</t>
  </si>
  <si>
    <t>DUF167</t>
  </si>
  <si>
    <t>OG0003924</t>
  </si>
  <si>
    <t>Ofaveolata020969</t>
  </si>
  <si>
    <t>Ssiderea012181</t>
  </si>
  <si>
    <t>ribosomal protein</t>
  </si>
  <si>
    <t>OG0003926</t>
  </si>
  <si>
    <t>Ofaveolata020989</t>
  </si>
  <si>
    <t>Ssiderea012318</t>
  </si>
  <si>
    <t>positive regulation of DNA N-glycosylase activity</t>
  </si>
  <si>
    <t>OG0003933</t>
  </si>
  <si>
    <t>Ofaveolata010196</t>
  </si>
  <si>
    <t>Ssiderea054848</t>
  </si>
  <si>
    <t>arachidonate 5-lipoxygenase activity</t>
  </si>
  <si>
    <t>OG0004022</t>
  </si>
  <si>
    <t>Ofaveolata027837</t>
  </si>
  <si>
    <t>Ssiderea035419</t>
  </si>
  <si>
    <t>Calponin homology domain</t>
  </si>
  <si>
    <t>regulation of membrane repolarization during atrial cardiac muscle cell action potential</t>
  </si>
  <si>
    <t>OG0004023</t>
  </si>
  <si>
    <t>Ofaveolata010883</t>
  </si>
  <si>
    <t>Ssiderea019896</t>
  </si>
  <si>
    <t>EF-hand domain pair</t>
  </si>
  <si>
    <t>OG0004033</t>
  </si>
  <si>
    <t>Ofaveolata002545</t>
  </si>
  <si>
    <t>Ssiderea013074</t>
  </si>
  <si>
    <t>metalloaminopeptidase activity</t>
  </si>
  <si>
    <t>OG0004061</t>
  </si>
  <si>
    <t>Ofaveolata033070</t>
  </si>
  <si>
    <t>Ssiderea026122</t>
  </si>
  <si>
    <t>TNFAIP3 interacting protein 1</t>
  </si>
  <si>
    <t>OG0004128</t>
  </si>
  <si>
    <t>Ofaveolata024768</t>
  </si>
  <si>
    <t>Ssiderea016836</t>
  </si>
  <si>
    <t>dolichyl-phosphate beta-D-mannosyltransferase activity</t>
  </si>
  <si>
    <t>Dolichol-phosphate mannosyltransferase</t>
  </si>
  <si>
    <t>OG0004157</t>
  </si>
  <si>
    <t>Ofaveolata013390</t>
  </si>
  <si>
    <t>Ssiderea001211</t>
  </si>
  <si>
    <t>lens induction in camera-type eye</t>
  </si>
  <si>
    <t>OG0004163</t>
  </si>
  <si>
    <t>Ofaveolata009307</t>
  </si>
  <si>
    <t>Ssiderea035615</t>
  </si>
  <si>
    <t>OG0004184</t>
  </si>
  <si>
    <t>Ofaveolata003086</t>
  </si>
  <si>
    <t>Ssiderea024682</t>
  </si>
  <si>
    <t>OG0004188</t>
  </si>
  <si>
    <t>Ofaveolata019010</t>
  </si>
  <si>
    <t>Ssiderea001814</t>
  </si>
  <si>
    <t>Belongs to the metallo-dependent hydrolases superfamily. Adenosine and AMP deaminases family</t>
  </si>
  <si>
    <t>OG0004196</t>
  </si>
  <si>
    <t>Ofaveolata033413</t>
  </si>
  <si>
    <t>Ssiderea040202</t>
  </si>
  <si>
    <t>Calcium ion binding. It is involved in the biological process described with protein folding</t>
  </si>
  <si>
    <t>OG0004217</t>
  </si>
  <si>
    <t>Ofaveolata001100</t>
  </si>
  <si>
    <t>Ssiderea022172</t>
  </si>
  <si>
    <t>TIA1 cytotoxic granule-associated RNA binding protein-like 1</t>
  </si>
  <si>
    <t>Nucleolysin TIA-1 isoform</t>
  </si>
  <si>
    <t>OG0004218</t>
  </si>
  <si>
    <t>Ofaveolata029913</t>
  </si>
  <si>
    <t>Ssiderea024176</t>
  </si>
  <si>
    <t>otolith formation</t>
  </si>
  <si>
    <t>OG0004267</t>
  </si>
  <si>
    <t>Ofaveolata010351</t>
  </si>
  <si>
    <t>Ssiderea045274</t>
  </si>
  <si>
    <t>protein KIAA2026 homolog</t>
  </si>
  <si>
    <t>bromo domain</t>
  </si>
  <si>
    <t>OG0004273</t>
  </si>
  <si>
    <t>Ofaveolata010227</t>
  </si>
  <si>
    <t>Ssiderea045314</t>
  </si>
  <si>
    <t>OG0004309</t>
  </si>
  <si>
    <t>Ofaveolata012820</t>
  </si>
  <si>
    <t>Ssiderea058313</t>
  </si>
  <si>
    <t>Peptidyl-prolyl cis-trans isomerase</t>
  </si>
  <si>
    <t>OG0004325</t>
  </si>
  <si>
    <t>Ofaveolata005875</t>
  </si>
  <si>
    <t>Ssiderea047890</t>
  </si>
  <si>
    <t>sphingolipid delta-4 desaturase activity</t>
  </si>
  <si>
    <t>OG0004351</t>
  </si>
  <si>
    <t>Ofaveolata013501</t>
  </si>
  <si>
    <t>Ssiderea000397</t>
  </si>
  <si>
    <t>actin filament severing</t>
  </si>
  <si>
    <t>OG0004354</t>
  </si>
  <si>
    <t>Ofaveolata017133</t>
  </si>
  <si>
    <t>Ssiderea052667</t>
  </si>
  <si>
    <t>regulation of BMP signaling pathway</t>
  </si>
  <si>
    <t>OG0004404</t>
  </si>
  <si>
    <t>Ofaveolata010574</t>
  </si>
  <si>
    <t>Ssiderea045386</t>
  </si>
  <si>
    <t>Belongs to the G-protein coupled receptor Fz Smo family</t>
  </si>
  <si>
    <t>frizzled-related protein</t>
  </si>
  <si>
    <t>OG0004430</t>
  </si>
  <si>
    <t>Ofaveolata032952</t>
  </si>
  <si>
    <t>Ssiderea047228</t>
  </si>
  <si>
    <t>GPCR-Autoproteolysis INducing (GAIN) domain</t>
  </si>
  <si>
    <t>OG0004514</t>
  </si>
  <si>
    <t>Ofaveolata032377</t>
  </si>
  <si>
    <t>Ssiderea034972</t>
  </si>
  <si>
    <t>condensed mesenchymal cell proliferation</t>
  </si>
  <si>
    <t>OG0004583</t>
  </si>
  <si>
    <t>Ofaveolata014339</t>
  </si>
  <si>
    <t>Ssiderea004623</t>
  </si>
  <si>
    <t>GPI anchor biosynthetic process</t>
  </si>
  <si>
    <t>OG0004608</t>
  </si>
  <si>
    <t>Ofaveolata003157</t>
  </si>
  <si>
    <t>Ssiderea030253</t>
  </si>
  <si>
    <t>ciliary basal body organization</t>
  </si>
  <si>
    <t>Rootletin</t>
  </si>
  <si>
    <t>OG0004673</t>
  </si>
  <si>
    <t>Ofaveolata007491</t>
  </si>
  <si>
    <t>Ssiderea044424</t>
  </si>
  <si>
    <t>hydrolase activity, acting on ester bonds</t>
  </si>
  <si>
    <t>OG0004717</t>
  </si>
  <si>
    <t>Ofaveolata000530</t>
  </si>
  <si>
    <t>Ssiderea029232</t>
  </si>
  <si>
    <t>formation of cytoplasmic translation initiation complex</t>
  </si>
  <si>
    <t>OG0004729</t>
  </si>
  <si>
    <t>Ofaveolata033694</t>
  </si>
  <si>
    <t>Ssiderea053628</t>
  </si>
  <si>
    <t>methyltransferase activity</t>
  </si>
  <si>
    <t>Lysine methyltransferase</t>
  </si>
  <si>
    <t>OG0004762</t>
  </si>
  <si>
    <t>Ofaveolata017091</t>
  </si>
  <si>
    <t>Ssiderea054520</t>
  </si>
  <si>
    <t>actin filament polymerization</t>
  </si>
  <si>
    <t>OG0004782</t>
  </si>
  <si>
    <t>Ofaveolata030261</t>
  </si>
  <si>
    <t>Ssiderea027515</t>
  </si>
  <si>
    <t>O-methyltransferase activity</t>
  </si>
  <si>
    <t>OG0004784</t>
  </si>
  <si>
    <t>Ofaveolata017528</t>
  </si>
  <si>
    <t>Ssiderea018523</t>
  </si>
  <si>
    <t>OG0004805</t>
  </si>
  <si>
    <t>Ofaveolata022645</t>
  </si>
  <si>
    <t>Ssiderea050118</t>
  </si>
  <si>
    <t>cellular response to glucose starvation</t>
  </si>
  <si>
    <t>OG0004837</t>
  </si>
  <si>
    <t>Ofaveolata013896</t>
  </si>
  <si>
    <t>Ssiderea044113</t>
  </si>
  <si>
    <t>GTP binding protein 1</t>
  </si>
  <si>
    <t>OG0004847</t>
  </si>
  <si>
    <t>Ofaveolata005316</t>
  </si>
  <si>
    <t>Ssiderea015822</t>
  </si>
  <si>
    <t>OG0004900</t>
  </si>
  <si>
    <t>Ofaveolata033196</t>
  </si>
  <si>
    <t>Ssiderea026246</t>
  </si>
  <si>
    <t>Protein of unknown function (DUF1387)</t>
  </si>
  <si>
    <t>OG0004922</t>
  </si>
  <si>
    <t>Ofaveolata010215</t>
  </si>
  <si>
    <t>Ssiderea045336</t>
  </si>
  <si>
    <t>OG0004934</t>
  </si>
  <si>
    <t>Ofaveolata026942</t>
  </si>
  <si>
    <t>Ssiderea017976</t>
  </si>
  <si>
    <t>Phosphatidic acid phosphatase type 2B</t>
  </si>
  <si>
    <t>OG0004937</t>
  </si>
  <si>
    <t>Ofaveolata022467</t>
  </si>
  <si>
    <t>Ssiderea015156</t>
  </si>
  <si>
    <t>protein serine/threonine phosphatase activity</t>
  </si>
  <si>
    <t>OG0004972</t>
  </si>
  <si>
    <t>Ofaveolata013189</t>
  </si>
  <si>
    <t>Ssiderea000852</t>
  </si>
  <si>
    <t>Formin-binding protein 4</t>
  </si>
  <si>
    <t>Domain with 2 conserved Trp (W) residues</t>
  </si>
  <si>
    <t>OG0004995</t>
  </si>
  <si>
    <t>Ofaveolata032658</t>
  </si>
  <si>
    <t>Ssiderea052004</t>
  </si>
  <si>
    <t>OG0005057</t>
  </si>
  <si>
    <t>Ofaveolata025069</t>
  </si>
  <si>
    <t>Ssiderea021417</t>
  </si>
  <si>
    <t>G-protein beta/gamma-subunit complex binding</t>
  </si>
  <si>
    <t>OG0005065</t>
  </si>
  <si>
    <t>Ofaveolata024646</t>
  </si>
  <si>
    <t>Ssiderea017215</t>
  </si>
  <si>
    <t>Pyridine nucleotide-disulfide oxidoreductase domain-containing protein</t>
  </si>
  <si>
    <t>OG0005079</t>
  </si>
  <si>
    <t>Ofaveolata015212</t>
  </si>
  <si>
    <t>Ssiderea051106</t>
  </si>
  <si>
    <t>OG0005170</t>
  </si>
  <si>
    <t>Ofaveolata011456</t>
  </si>
  <si>
    <t>Ssiderea019366</t>
  </si>
  <si>
    <t>negative regulation of brain-derived neurotrophic factor receptor signaling pathway</t>
  </si>
  <si>
    <t>OG0005202</t>
  </si>
  <si>
    <t>Ofaveolata009625</t>
  </si>
  <si>
    <t>Ssiderea051631</t>
  </si>
  <si>
    <t>OG0005227</t>
  </si>
  <si>
    <t>Ofaveolata014830</t>
  </si>
  <si>
    <t>Ssiderea004549</t>
  </si>
  <si>
    <t>protein complex 5, zeta 1 subunit</t>
  </si>
  <si>
    <t>OG0005235</t>
  </si>
  <si>
    <t>Ofaveolata034414</t>
  </si>
  <si>
    <t>Ssiderea057299</t>
  </si>
  <si>
    <t>OG0005264</t>
  </si>
  <si>
    <t>Ofaveolata029747</t>
  </si>
  <si>
    <t>Ssiderea023767</t>
  </si>
  <si>
    <t>OG0005269</t>
  </si>
  <si>
    <t>Ofaveolata033406</t>
  </si>
  <si>
    <t>Ssiderea040225</t>
  </si>
  <si>
    <t>supervillin</t>
  </si>
  <si>
    <t>OG0005321</t>
  </si>
  <si>
    <t>Ofaveolata032268</t>
  </si>
  <si>
    <t>Ssiderea006977</t>
  </si>
  <si>
    <t>Translocon-associated protein, delta subunit precursor (TRAP-delta)</t>
  </si>
  <si>
    <t>OG0005468</t>
  </si>
  <si>
    <t>Ofaveolata019772</t>
  </si>
  <si>
    <t>Ssiderea012090</t>
  </si>
  <si>
    <t>OG0005477</t>
  </si>
  <si>
    <t>Ofaveolata019329</t>
  </si>
  <si>
    <t>Ssiderea011427</t>
  </si>
  <si>
    <t>enoyl-CoA hydratase isomerase family</t>
  </si>
  <si>
    <t>OG0005495</t>
  </si>
  <si>
    <t>Ofaveolata027484</t>
  </si>
  <si>
    <t>Ssiderea036686</t>
  </si>
  <si>
    <t>guanyl-nucleotide exchange factor activity</t>
  </si>
  <si>
    <t>OG0005508</t>
  </si>
  <si>
    <t>Ofaveolata032883</t>
  </si>
  <si>
    <t>Ssiderea055252</t>
  </si>
  <si>
    <t>OG0005535</t>
  </si>
  <si>
    <t>Ofaveolata029877</t>
  </si>
  <si>
    <t>Ssiderea024107</t>
  </si>
  <si>
    <t>positive regulation of cristae formation</t>
  </si>
  <si>
    <t>OG0005564</t>
  </si>
  <si>
    <t>Ofaveolata013518</t>
  </si>
  <si>
    <t>Ssiderea000364</t>
  </si>
  <si>
    <t>Neuronal PAS</t>
  </si>
  <si>
    <t>Motif C-terminal to PAS motifs (likely to contribute to PAS structural domain)</t>
  </si>
  <si>
    <t>OG0005608</t>
  </si>
  <si>
    <t>Ofaveolata005616</t>
  </si>
  <si>
    <t>Ssiderea053178</t>
  </si>
  <si>
    <t>negative regulation of meiotic chromosome separation</t>
  </si>
  <si>
    <t>OG0005611</t>
  </si>
  <si>
    <t>Ofaveolata025190</t>
  </si>
  <si>
    <t>Ssiderea021606</t>
  </si>
  <si>
    <t>OG0005687</t>
  </si>
  <si>
    <t>Ofaveolata026642</t>
  </si>
  <si>
    <t>Ssiderea017630</t>
  </si>
  <si>
    <t>OG0005693</t>
  </si>
  <si>
    <t>Ofaveolata033685</t>
  </si>
  <si>
    <t>Ssiderea053638</t>
  </si>
  <si>
    <t>OG0005814</t>
  </si>
  <si>
    <t>Ofaveolata005678</t>
  </si>
  <si>
    <t>Ssiderea016687</t>
  </si>
  <si>
    <t>DnaJ (Hsp40) homolog, subfamily C, member 8</t>
  </si>
  <si>
    <t>Hsp70 protein binding</t>
  </si>
  <si>
    <t>OG0005825</t>
  </si>
  <si>
    <t>Ofaveolata028784</t>
  </si>
  <si>
    <t>Ssiderea014543</t>
  </si>
  <si>
    <t>G kinase anchoring protein 1</t>
  </si>
  <si>
    <t>OG0005838</t>
  </si>
  <si>
    <t>Ofaveolata013549</t>
  </si>
  <si>
    <t>Ssiderea000100</t>
  </si>
  <si>
    <t>OG0005850</t>
  </si>
  <si>
    <t>Ofaveolata011231</t>
  </si>
  <si>
    <t>Ssiderea051432</t>
  </si>
  <si>
    <t>pancreatic epsilon cell differentiation</t>
  </si>
  <si>
    <t>OG0005886</t>
  </si>
  <si>
    <t>Ofaveolata009280</t>
  </si>
  <si>
    <t>Ssiderea035591</t>
  </si>
  <si>
    <t>ventral midline determination</t>
  </si>
  <si>
    <t>OG0005905</t>
  </si>
  <si>
    <t>Ofaveolata008204</t>
  </si>
  <si>
    <t>Ssiderea050755</t>
  </si>
  <si>
    <t>acireductone dioxygenase [iron(II)-requiring] activity</t>
  </si>
  <si>
    <t>OG0005929</t>
  </si>
  <si>
    <t>Ofaveolata021877</t>
  </si>
  <si>
    <t>Ssiderea020419</t>
  </si>
  <si>
    <t>OG0005932</t>
  </si>
  <si>
    <t>Ofaveolata002017</t>
  </si>
  <si>
    <t>Ssiderea013625</t>
  </si>
  <si>
    <t>phospholipase A2 activity (consuming 1,2-dipalmitoylphosphatidylcholine)</t>
  </si>
  <si>
    <t>OG0005959</t>
  </si>
  <si>
    <t>Ofaveolata008394</t>
  </si>
  <si>
    <t>Ssiderea008863</t>
  </si>
  <si>
    <t>peptidyl-prolyl cis-trans isomerase activity</t>
  </si>
  <si>
    <t>OG0005960</t>
  </si>
  <si>
    <t>Ofaveolata031944</t>
  </si>
  <si>
    <t>Ssiderea007410</t>
  </si>
  <si>
    <t>Ribosomal protein S12/S23</t>
  </si>
  <si>
    <t>OG0005978</t>
  </si>
  <si>
    <t>Ofaveolata029135</t>
  </si>
  <si>
    <t>Ssiderea013826</t>
  </si>
  <si>
    <t>Pleckstrin homology domain.</t>
  </si>
  <si>
    <t>OG0006003</t>
  </si>
  <si>
    <t>Ofaveolata025356</t>
  </si>
  <si>
    <t>Ssiderea042024</t>
  </si>
  <si>
    <t>Belongs to the class I-like SAM-binding methyltransferase superfamily. mRNA cap 0 methyltransferase family</t>
  </si>
  <si>
    <t>OG0006025</t>
  </si>
  <si>
    <t>Ofaveolata017701</t>
  </si>
  <si>
    <t>Ssiderea046926</t>
  </si>
  <si>
    <t>receptor 161</t>
  </si>
  <si>
    <t>OG0006096</t>
  </si>
  <si>
    <t>Ofaveolata007098</t>
  </si>
  <si>
    <t>Ssiderea028220</t>
  </si>
  <si>
    <t>negative regulation of appetite</t>
  </si>
  <si>
    <t>OG0006126</t>
  </si>
  <si>
    <t>Ofaveolata004769</t>
  </si>
  <si>
    <t>Ssiderea010954</t>
  </si>
  <si>
    <t>Tumor necrosis factor, alpha-induced protein 3</t>
  </si>
  <si>
    <t>OG0006162</t>
  </si>
  <si>
    <t>Ofaveolata013073</t>
  </si>
  <si>
    <t>Ssiderea001352</t>
  </si>
  <si>
    <t>translation initiation factor activity</t>
  </si>
  <si>
    <t>OG0006169</t>
  </si>
  <si>
    <t>Ofaveolata000449</t>
  </si>
  <si>
    <t>Ssiderea029661</t>
  </si>
  <si>
    <t>structural constituent of cell wall</t>
  </si>
  <si>
    <t>OG0006179</t>
  </si>
  <si>
    <t>Ofaveolata005586</t>
  </si>
  <si>
    <t>Ssiderea016156</t>
  </si>
  <si>
    <t>Belongs to the eukaryotic ribosomal protein eS4 family</t>
  </si>
  <si>
    <t>OG0006198</t>
  </si>
  <si>
    <t>Ofaveolata024770</t>
  </si>
  <si>
    <t>Ssiderea016832</t>
  </si>
  <si>
    <t>Thiamine triphosphatase</t>
  </si>
  <si>
    <t>thiamin-triphosphatase activity</t>
  </si>
  <si>
    <t>OG0006216</t>
  </si>
  <si>
    <t>Ofaveolata006256</t>
  </si>
  <si>
    <t>Ssiderea032543</t>
  </si>
  <si>
    <t>Common central domain of tyrosinase</t>
  </si>
  <si>
    <t>OG0006240</t>
  </si>
  <si>
    <t>Ofaveolata001400</t>
  </si>
  <si>
    <t>Ssiderea026583</t>
  </si>
  <si>
    <t>V-type proton ATPase subunit B</t>
  </si>
  <si>
    <t>OG0006325</t>
  </si>
  <si>
    <t>Ofaveolata001492</t>
  </si>
  <si>
    <t>Ssiderea043721</t>
  </si>
  <si>
    <t>negative regulation of phosphatase activity</t>
  </si>
  <si>
    <t>Sfi1 homolog</t>
  </si>
  <si>
    <t>OG0006344</t>
  </si>
  <si>
    <t>Ofaveolata014923</t>
  </si>
  <si>
    <t>Ssiderea003932</t>
  </si>
  <si>
    <t>pri-miRNA transcription by RNA polymerase II</t>
  </si>
  <si>
    <t>OG0006347</t>
  </si>
  <si>
    <t>Ofaveolata027771</t>
  </si>
  <si>
    <t>Ssiderea025334</t>
  </si>
  <si>
    <t>OG0006359</t>
  </si>
  <si>
    <t>Ofaveolata022421</t>
  </si>
  <si>
    <t>Ssiderea023532</t>
  </si>
  <si>
    <t>DIS3 exosome endoribonuclease and 3'-5' exoribonuclease</t>
  </si>
  <si>
    <t>exosome endoribonuclease and 3'-5' exoribonuclease</t>
  </si>
  <si>
    <t>OG0006383</t>
  </si>
  <si>
    <t>Ofaveolata002236</t>
  </si>
  <si>
    <t>Ssiderea012731</t>
  </si>
  <si>
    <t>26S proteasome non-ATPase regulatory subunit</t>
  </si>
  <si>
    <t>OG0006386</t>
  </si>
  <si>
    <t>Ofaveolata002580</t>
  </si>
  <si>
    <t>Ssiderea013040</t>
  </si>
  <si>
    <t>protein with multiple splicing</t>
  </si>
  <si>
    <t>OG0006458</t>
  </si>
  <si>
    <t>Ofaveolata027277</t>
  </si>
  <si>
    <t>Ssiderea025618</t>
  </si>
  <si>
    <t>GTPase regulator activity</t>
  </si>
  <si>
    <t>OG0006483</t>
  </si>
  <si>
    <t>Ofaveolata027695</t>
  </si>
  <si>
    <t>Ssiderea025560</t>
  </si>
  <si>
    <t>OG0006509</t>
  </si>
  <si>
    <t>Ofaveolata008802</t>
  </si>
  <si>
    <t>Ssiderea008233</t>
  </si>
  <si>
    <t>inorganic diphosphatase activity</t>
  </si>
  <si>
    <t>OG0006682</t>
  </si>
  <si>
    <t>Ofaveolata008207</t>
  </si>
  <si>
    <t>Ssiderea050752</t>
  </si>
  <si>
    <t>FMN binding</t>
  </si>
  <si>
    <t>OG0006748</t>
  </si>
  <si>
    <t>Ofaveolata023572</t>
  </si>
  <si>
    <t>Ssiderea015598</t>
  </si>
  <si>
    <t>(3S)-citramalyl-CoA lyase activity</t>
  </si>
  <si>
    <t>OG0006824</t>
  </si>
  <si>
    <t>Ofaveolata013155</t>
  </si>
  <si>
    <t>Ssiderea000806</t>
  </si>
  <si>
    <t>Ankyrin repeats (many copies)</t>
  </si>
  <si>
    <t>OG0006825</t>
  </si>
  <si>
    <t>Ofaveolata010286</t>
  </si>
  <si>
    <t>Ssiderea045168</t>
  </si>
  <si>
    <t>oxidoreductase activity</t>
  </si>
  <si>
    <t>OG0006872</t>
  </si>
  <si>
    <t>Ofaveolata007492</t>
  </si>
  <si>
    <t>Ssiderea044421</t>
  </si>
  <si>
    <t>positive regulation of Notch signaling pathway</t>
  </si>
  <si>
    <t>OG0006932</t>
  </si>
  <si>
    <t>Ofaveolata030428</t>
  </si>
  <si>
    <t>Ssiderea034091</t>
  </si>
  <si>
    <t>GTPase activating protein binding</t>
  </si>
  <si>
    <t>OG0006933</t>
  </si>
  <si>
    <t>Ofaveolata027838</t>
  </si>
  <si>
    <t>Ssiderea035417</t>
  </si>
  <si>
    <t>lung ciliated cell differentiation</t>
  </si>
  <si>
    <t>OG0007046</t>
  </si>
  <si>
    <t>Ofaveolata017826</t>
  </si>
  <si>
    <t>Ssiderea048533</t>
  </si>
  <si>
    <t>OG0007092</t>
  </si>
  <si>
    <t>Ofaveolata025455</t>
  </si>
  <si>
    <t>Ssiderea039828</t>
  </si>
  <si>
    <t>Calbindin 2a</t>
  </si>
  <si>
    <t>connecting tubule development</t>
  </si>
  <si>
    <t>OG0007104</t>
  </si>
  <si>
    <t>Ofaveolata006325</t>
  </si>
  <si>
    <t>Ssiderea048193</t>
  </si>
  <si>
    <t>maltose alpha-glucosidase activity</t>
  </si>
  <si>
    <t>OG0007121</t>
  </si>
  <si>
    <t>Ofaveolata009257</t>
  </si>
  <si>
    <t>Ssiderea035583</t>
  </si>
  <si>
    <t>Belongs to the glycosyltransferase 43 family</t>
  </si>
  <si>
    <t>OG0007144</t>
  </si>
  <si>
    <t>Ofaveolata002422</t>
  </si>
  <si>
    <t>Ssiderea024909</t>
  </si>
  <si>
    <t>Belongs to the TRAFAC class myosin-kinesin ATPase superfamily. Myosin family</t>
  </si>
  <si>
    <t>establishment of endoplasmic reticulum localization to postsynapse</t>
  </si>
  <si>
    <t>OG0007159</t>
  </si>
  <si>
    <t>Ofaveolata012650</t>
  </si>
  <si>
    <t>Ssiderea000690</t>
  </si>
  <si>
    <t>acetylcholine-gated cation-selective channel activity</t>
  </si>
  <si>
    <t>OG0007181</t>
  </si>
  <si>
    <t>Ofaveolata006375</t>
  </si>
  <si>
    <t>Ssiderea028357</t>
  </si>
  <si>
    <t>regulation of chemokine (C-C motif) ligand 2 secretion</t>
  </si>
  <si>
    <t>OG0007207</t>
  </si>
  <si>
    <t>Ofaveolata033149</t>
  </si>
  <si>
    <t>Ssiderea026002</t>
  </si>
  <si>
    <t>OG0007211</t>
  </si>
  <si>
    <t>Ofaveolata011248</t>
  </si>
  <si>
    <t>Ssiderea051450</t>
  </si>
  <si>
    <t>ethanolamine-phosphate phospho-lyase activity</t>
  </si>
  <si>
    <t>OG0007226</t>
  </si>
  <si>
    <t>Ofaveolata022069</t>
  </si>
  <si>
    <t>Ssiderea022984</t>
  </si>
  <si>
    <t>steroid receptor RNA activator 1</t>
  </si>
  <si>
    <t>OG0007238</t>
  </si>
  <si>
    <t>Ofaveolata024190</t>
  </si>
  <si>
    <t>Ssiderea005659</t>
  </si>
  <si>
    <t>OG0007278</t>
  </si>
  <si>
    <t>Ofaveolata002643</t>
  </si>
  <si>
    <t>Ssiderea027219</t>
  </si>
  <si>
    <t>Ral GTPase binding</t>
  </si>
  <si>
    <t>OG0007318</t>
  </si>
  <si>
    <t>Ofaveolata026754</t>
  </si>
  <si>
    <t>Ssiderea017757</t>
  </si>
  <si>
    <t>procollagen-proline 4-dioxygenase activity</t>
  </si>
  <si>
    <t>OG0007343</t>
  </si>
  <si>
    <t>Ofaveolata003570</t>
  </si>
  <si>
    <t>Ssiderea046303</t>
  </si>
  <si>
    <t>OG0007383</t>
  </si>
  <si>
    <t>Ofaveolata001623</t>
  </si>
  <si>
    <t>Ssiderea026723</t>
  </si>
  <si>
    <t>NMDA glutamate receptor activity</t>
  </si>
  <si>
    <t>OG0007410</t>
  </si>
  <si>
    <t>Ofaveolata024297</t>
  </si>
  <si>
    <t>Ssiderea006317</t>
  </si>
  <si>
    <t>stromal membrane-associated protein</t>
  </si>
  <si>
    <t>OG0007432</t>
  </si>
  <si>
    <t>Ofaveolata017999</t>
  </si>
  <si>
    <t>Ssiderea002267</t>
  </si>
  <si>
    <t>chromatin organization</t>
  </si>
  <si>
    <t>OG0007460</t>
  </si>
  <si>
    <t>Ofaveolata023319</t>
  </si>
  <si>
    <t>Ssiderea005263</t>
  </si>
  <si>
    <t>OG0007495</t>
  </si>
  <si>
    <t>Ofaveolata000750</t>
  </si>
  <si>
    <t>Ssiderea044931</t>
  </si>
  <si>
    <t>lipid binding</t>
  </si>
  <si>
    <t>bactericidal permeability-increasing protein</t>
  </si>
  <si>
    <t>OG0007507</t>
  </si>
  <si>
    <t>Ofaveolata030366</t>
  </si>
  <si>
    <t>Ssiderea034261</t>
  </si>
  <si>
    <t>procollagen galactosyltransferase activity</t>
  </si>
  <si>
    <t>OG0007547</t>
  </si>
  <si>
    <t>Ofaveolata007309</t>
  </si>
  <si>
    <t>Ssiderea058218</t>
  </si>
  <si>
    <t>cytochrome C oxidase</t>
  </si>
  <si>
    <t>OG0007552</t>
  </si>
  <si>
    <t>Ofaveolata029992</t>
  </si>
  <si>
    <t>Ssiderea050925</t>
  </si>
  <si>
    <t>OG0007574</t>
  </si>
  <si>
    <t>Ofaveolata028329</t>
  </si>
  <si>
    <t>Ssiderea042482</t>
  </si>
  <si>
    <t>family member</t>
  </si>
  <si>
    <t>OG0007685</t>
  </si>
  <si>
    <t>Ofaveolata016052</t>
  </si>
  <si>
    <t>Ssiderea033514</t>
  </si>
  <si>
    <t>Sodium-dependent phosphate transport protein</t>
  </si>
  <si>
    <t>OG0007707</t>
  </si>
  <si>
    <t>Ofaveolata008341</t>
  </si>
  <si>
    <t>Ssiderea008900</t>
  </si>
  <si>
    <t>Belongs to the universal ribosomal protein uL5 family</t>
  </si>
  <si>
    <t>OG0007794</t>
  </si>
  <si>
    <t>Ofaveolata022638</t>
  </si>
  <si>
    <t>Ssiderea050126</t>
  </si>
  <si>
    <t>OG0007815</t>
  </si>
  <si>
    <t>Ofaveolata033299</t>
  </si>
  <si>
    <t>Ssiderea055280</t>
  </si>
  <si>
    <t>SPARC related modular calcium binding 2</t>
  </si>
  <si>
    <t>Cancer susceptibility candidate 1 N-terminus</t>
  </si>
  <si>
    <t>OG0007822</t>
  </si>
  <si>
    <t>Ofaveolata022266</t>
  </si>
  <si>
    <t>Ssiderea022826</t>
  </si>
  <si>
    <t>Calcium channel, voltage-dependent, alpha 2 delta subunit</t>
  </si>
  <si>
    <t>OG0007834</t>
  </si>
  <si>
    <t>Ofaveolata028319</t>
  </si>
  <si>
    <t>Ssiderea042502</t>
  </si>
  <si>
    <t>OG0007838</t>
  </si>
  <si>
    <t>Ofaveolata027156</t>
  </si>
  <si>
    <t>Ssiderea036731</t>
  </si>
  <si>
    <t>zinc finger</t>
  </si>
  <si>
    <t>OG0007846</t>
  </si>
  <si>
    <t>Ofaveolata029756</t>
  </si>
  <si>
    <t>Ssiderea023873</t>
  </si>
  <si>
    <t>OG0007856</t>
  </si>
  <si>
    <t>Ofaveolata015215</t>
  </si>
  <si>
    <t>Ssiderea051101</t>
  </si>
  <si>
    <t>Discs, large (Drosophila) homolog-associated protein</t>
  </si>
  <si>
    <t>OG0007862</t>
  </si>
  <si>
    <t>Ofaveolata000727</t>
  </si>
  <si>
    <t>Ssiderea044861</t>
  </si>
  <si>
    <t>tRNA methyltransferase 1 homolog (S. cerevisiae)</t>
  </si>
  <si>
    <t>OG0007877</t>
  </si>
  <si>
    <t>Ofaveolata015345</t>
  </si>
  <si>
    <t>Ssiderea038388</t>
  </si>
  <si>
    <t>mitochondrial translation</t>
  </si>
  <si>
    <t>OG0007937</t>
  </si>
  <si>
    <t>Ofaveolata018344</t>
  </si>
  <si>
    <t>Ssiderea018698</t>
  </si>
  <si>
    <t>Leucine rich repeat</t>
  </si>
  <si>
    <t>OG0007943</t>
  </si>
  <si>
    <t>Ofaveolata017471</t>
  </si>
  <si>
    <t>Ssiderea046740</t>
  </si>
  <si>
    <t>Ecto-NOX disulfide-thiol exchanger</t>
  </si>
  <si>
    <t>OG0007984</t>
  </si>
  <si>
    <t>Ofaveolata017146</t>
  </si>
  <si>
    <t>Ssiderea039439</t>
  </si>
  <si>
    <t>large ribosomal subunit rRNA binding</t>
  </si>
  <si>
    <t>Ribosomal protein L14p/L23e</t>
  </si>
  <si>
    <t>OG0007997</t>
  </si>
  <si>
    <t>Ofaveolata014416</t>
  </si>
  <si>
    <t>Ssiderea004897</t>
  </si>
  <si>
    <t>collagen fibril organization</t>
  </si>
  <si>
    <t>OG0008033</t>
  </si>
  <si>
    <t>Ofaveolata017427</t>
  </si>
  <si>
    <t>Ssiderea048475</t>
  </si>
  <si>
    <t>Belongs to the AAA ATPase family</t>
  </si>
  <si>
    <t>OG0008061</t>
  </si>
  <si>
    <t>Ofaveolata012317</t>
  </si>
  <si>
    <t>Ssiderea017309</t>
  </si>
  <si>
    <t>Belongs to the MT-A70-like family</t>
  </si>
  <si>
    <t>OG0008099</t>
  </si>
  <si>
    <t>Ofaveolata025989</t>
  </si>
  <si>
    <t>Ssiderea038961</t>
  </si>
  <si>
    <t>OG0008115</t>
  </si>
  <si>
    <t>Ofaveolata002016</t>
  </si>
  <si>
    <t>Ssiderea013626</t>
  </si>
  <si>
    <t>OG0008228</t>
  </si>
  <si>
    <t>Ofaveolata031950</t>
  </si>
  <si>
    <t>Ssiderea007416</t>
  </si>
  <si>
    <t>DBD domain binding</t>
  </si>
  <si>
    <t>OG0008234</t>
  </si>
  <si>
    <t>Ofaveolata014265</t>
  </si>
  <si>
    <t>Ssiderea003673</t>
  </si>
  <si>
    <t>Small acidic protein family</t>
  </si>
  <si>
    <t>OG0008265</t>
  </si>
  <si>
    <t>Ofaveolata034158</t>
  </si>
  <si>
    <t>Ssiderea031519</t>
  </si>
  <si>
    <t>OG0008278</t>
  </si>
  <si>
    <t>Ofaveolata019039</t>
  </si>
  <si>
    <t>Ssiderea001777</t>
  </si>
  <si>
    <t>intracellular signal transduction</t>
  </si>
  <si>
    <t>OG0008305</t>
  </si>
  <si>
    <t>Ofaveolata007300</t>
  </si>
  <si>
    <t>Ssiderea009812</t>
  </si>
  <si>
    <t>OG0008309</t>
  </si>
  <si>
    <t>Ofaveolata021961</t>
  </si>
  <si>
    <t>Ssiderea023517</t>
  </si>
  <si>
    <t>OG0008315</t>
  </si>
  <si>
    <t>Ofaveolata006518</t>
  </si>
  <si>
    <t>Ssiderea028014</t>
  </si>
  <si>
    <t>Belongs to the eukaryotic ribosomal protein eS30 family</t>
  </si>
  <si>
    <t>OG0008329</t>
  </si>
  <si>
    <t>Ofaveolata014852</t>
  </si>
  <si>
    <t>Ssiderea004523</t>
  </si>
  <si>
    <t>IPT/TIG domain</t>
  </si>
  <si>
    <t>OG0008345</t>
  </si>
  <si>
    <t>Ofaveolata000292</t>
  </si>
  <si>
    <t>Ssiderea029511</t>
  </si>
  <si>
    <t>ATP-dependent microtubule motor activity, plus-end-directed</t>
  </si>
  <si>
    <t>OG0008420</t>
  </si>
  <si>
    <t>Ofaveolata009444</t>
  </si>
  <si>
    <t>Ssiderea035872</t>
  </si>
  <si>
    <t>potassium:chloride symporter activity</t>
  </si>
  <si>
    <t>OG0008440</t>
  </si>
  <si>
    <t>Ofaveolata029254</t>
  </si>
  <si>
    <t>Ssiderea033219</t>
  </si>
  <si>
    <t>OG0008443</t>
  </si>
  <si>
    <t>Ofaveolata018860</t>
  </si>
  <si>
    <t>Ssiderea003109</t>
  </si>
  <si>
    <t>OG0008460</t>
  </si>
  <si>
    <t>Ofaveolata001010</t>
  </si>
  <si>
    <t>Ssiderea022414</t>
  </si>
  <si>
    <t>negative regulation of vascular smooth muscle contraction</t>
  </si>
  <si>
    <t>OG0008478</t>
  </si>
  <si>
    <t>Ofaveolata032667</t>
  </si>
  <si>
    <t>Ssiderea052025</t>
  </si>
  <si>
    <t>Carboxypeptidase</t>
  </si>
  <si>
    <t>OG0008483</t>
  </si>
  <si>
    <t>Ofaveolata016274</t>
  </si>
  <si>
    <t>Ssiderea052691</t>
  </si>
  <si>
    <t>Cupin superfamily protein</t>
  </si>
  <si>
    <t>OG0008517</t>
  </si>
  <si>
    <t>Ofaveolata014426</t>
  </si>
  <si>
    <t>Ssiderea003900</t>
  </si>
  <si>
    <t>low voltage-gated calcium channel activity</t>
  </si>
  <si>
    <t>OG0008540</t>
  </si>
  <si>
    <t>Ofaveolata018474</t>
  </si>
  <si>
    <t>Ssiderea002817</t>
  </si>
  <si>
    <t>Nuclear factor related to</t>
  </si>
  <si>
    <t>OG0008559</t>
  </si>
  <si>
    <t>Ofaveolata004843</t>
  </si>
  <si>
    <t>Ssiderea011198</t>
  </si>
  <si>
    <t>galactosyltransferase activity</t>
  </si>
  <si>
    <t>OG0008597</t>
  </si>
  <si>
    <t>Ofaveolata022492</t>
  </si>
  <si>
    <t>Ssiderea015589</t>
  </si>
  <si>
    <t>ATP-dependent DNA helicase activity</t>
  </si>
  <si>
    <t>OG0008680</t>
  </si>
  <si>
    <t>Ofaveolata022438</t>
  </si>
  <si>
    <t>Ssiderea057905</t>
  </si>
  <si>
    <t>cysteamine dioxygenase activity</t>
  </si>
  <si>
    <t>OG0008701</t>
  </si>
  <si>
    <t>Ofaveolata030710</t>
  </si>
  <si>
    <t>Ssiderea054343</t>
  </si>
  <si>
    <t>Sigma non-opioid intracellular receptor 1</t>
  </si>
  <si>
    <t>OG0008702</t>
  </si>
  <si>
    <t>Ofaveolata014439</t>
  </si>
  <si>
    <t>Ssiderea057628</t>
  </si>
  <si>
    <t>mitotic spindle assembly</t>
  </si>
  <si>
    <t>Metal ion binding</t>
  </si>
  <si>
    <t>OG0008721</t>
  </si>
  <si>
    <t>Ofaveolata032689</t>
  </si>
  <si>
    <t>Ssiderea034784</t>
  </si>
  <si>
    <t>dense core granule exocytosis</t>
  </si>
  <si>
    <t>OG0008743</t>
  </si>
  <si>
    <t>Ofaveolata019003</t>
  </si>
  <si>
    <t>Ssiderea001880</t>
  </si>
  <si>
    <t>proteasome-activating ATPase activity</t>
  </si>
  <si>
    <t>OG0008761</t>
  </si>
  <si>
    <t>Ofaveolata022640</t>
  </si>
  <si>
    <t>Ssiderea050122</t>
  </si>
  <si>
    <t>OG0008764</t>
  </si>
  <si>
    <t>Ofaveolata027309</t>
  </si>
  <si>
    <t>Ssiderea025440</t>
  </si>
  <si>
    <t>ubiquitin-like protein-specific protease activity</t>
  </si>
  <si>
    <t>OG0008810</t>
  </si>
  <si>
    <t>Ofaveolata028845</t>
  </si>
  <si>
    <t>Ssiderea014395</t>
  </si>
  <si>
    <t>ATP synthase subunit alpha</t>
  </si>
  <si>
    <t>OG0008814</t>
  </si>
  <si>
    <t>Ofaveolata008100</t>
  </si>
  <si>
    <t>Ssiderea009630</t>
  </si>
  <si>
    <t>vacuolar protein processing</t>
  </si>
  <si>
    <t>Legumain</t>
  </si>
  <si>
    <t>OG0008867</t>
  </si>
  <si>
    <t>Ofaveolata022801</t>
  </si>
  <si>
    <t>Ssiderea015190</t>
  </si>
  <si>
    <t>tRNA-4-demethylwyosine synthase activity</t>
  </si>
  <si>
    <t>OG0008871</t>
  </si>
  <si>
    <t>Ofaveolata014952</t>
  </si>
  <si>
    <t>Ssiderea038353</t>
  </si>
  <si>
    <t>Heme oxygenase</t>
  </si>
  <si>
    <t>OG0008932</t>
  </si>
  <si>
    <t>Ofaveolata021054</t>
  </si>
  <si>
    <t>Ssiderea012323</t>
  </si>
  <si>
    <t>anchor protein 17A</t>
  </si>
  <si>
    <t>OG0009006</t>
  </si>
  <si>
    <t>Ofaveolata014626</t>
  </si>
  <si>
    <t>Ssiderea004142</t>
  </si>
  <si>
    <t>RhoGEF domain</t>
  </si>
  <si>
    <t>OG0009012</t>
  </si>
  <si>
    <t>Ofaveolata004494</t>
  </si>
  <si>
    <t>Ssiderea052467</t>
  </si>
  <si>
    <t>OG0009015</t>
  </si>
  <si>
    <t>Ofaveolata027971</t>
  </si>
  <si>
    <t>Ssiderea035452</t>
  </si>
  <si>
    <t>cellular response to potassium ion starvation</t>
  </si>
  <si>
    <t>OG0009019</t>
  </si>
  <si>
    <t>Ofaveolata008792</t>
  </si>
  <si>
    <t>Ssiderea008272</t>
  </si>
  <si>
    <t>macromolecule localization</t>
  </si>
  <si>
    <t>OG0009113</t>
  </si>
  <si>
    <t>Ofaveolata002474</t>
  </si>
  <si>
    <t>Ssiderea025037</t>
  </si>
  <si>
    <t>Catalyzes the ferrous insertion into protoporphyrin IX</t>
  </si>
  <si>
    <t>OG0009159</t>
  </si>
  <si>
    <t>Ofaveolata034125</t>
  </si>
  <si>
    <t>Ssiderea031640</t>
  </si>
  <si>
    <t>agmatinase activity</t>
  </si>
  <si>
    <t>OG0009169</t>
  </si>
  <si>
    <t>Ofaveolata007065</t>
  </si>
  <si>
    <t>Ssiderea028276</t>
  </si>
  <si>
    <t>BRO1-like domain</t>
  </si>
  <si>
    <t>OG0009286</t>
  </si>
  <si>
    <t>Ofaveolata025786</t>
  </si>
  <si>
    <t>Ssiderea038893</t>
  </si>
  <si>
    <t>S-adenosylhomocysteine catabolic process</t>
  </si>
  <si>
    <t>OG0009356</t>
  </si>
  <si>
    <t>Ofaveolata022553</t>
  </si>
  <si>
    <t>Ssiderea015347</t>
  </si>
  <si>
    <t>LON peptidase N-terminal domain and RING finger</t>
  </si>
  <si>
    <t>OG0009360</t>
  </si>
  <si>
    <t>Ofaveolata025443</t>
  </si>
  <si>
    <t>Ssiderea039810</t>
  </si>
  <si>
    <t>OG0009390</t>
  </si>
  <si>
    <t>Ofaveolata027260</t>
  </si>
  <si>
    <t>Ssiderea025591</t>
  </si>
  <si>
    <t>OG0009447</t>
  </si>
  <si>
    <t>Ofaveolata007439</t>
  </si>
  <si>
    <t>Ssiderea044615</t>
  </si>
  <si>
    <t>Domain Homologous to E6-AP Carboxyl Terminus with</t>
  </si>
  <si>
    <t>OG0009476</t>
  </si>
  <si>
    <t>Ofaveolata002854</t>
  </si>
  <si>
    <t>Ssiderea013482</t>
  </si>
  <si>
    <t>OG0009515</t>
  </si>
  <si>
    <t>Ofaveolata016668</t>
  </si>
  <si>
    <t>Ssiderea040441</t>
  </si>
  <si>
    <t>regulation of cellular macromolecule biosynthetic process</t>
  </si>
  <si>
    <t>OG0009516</t>
  </si>
  <si>
    <t>Ofaveolata024365</t>
  </si>
  <si>
    <t>Ssiderea006189</t>
  </si>
  <si>
    <t>ankyrin repeats</t>
  </si>
  <si>
    <t>OG0009550</t>
  </si>
  <si>
    <t>Ofaveolata011550</t>
  </si>
  <si>
    <t>Ssiderea019614</t>
  </si>
  <si>
    <t>Calcium release activated channel regulator</t>
  </si>
  <si>
    <t>store-operated calcium entry</t>
  </si>
  <si>
    <t>OG0009590</t>
  </si>
  <si>
    <t>Ofaveolata028108</t>
  </si>
  <si>
    <t>Ssiderea035359</t>
  </si>
  <si>
    <t>A disintegrin and metalloproteinase with thrombospondin motifs</t>
  </si>
  <si>
    <t>OG0009654</t>
  </si>
  <si>
    <t>Ofaveolata003084</t>
  </si>
  <si>
    <t>Ssiderea024686</t>
  </si>
  <si>
    <t>RING-type zinc-finger</t>
  </si>
  <si>
    <t>OG0009662</t>
  </si>
  <si>
    <t>Ofaveolata030010</t>
  </si>
  <si>
    <t>Ssiderea052995</t>
  </si>
  <si>
    <t>Far upstream element-binding protein</t>
  </si>
  <si>
    <t>OG0009670</t>
  </si>
  <si>
    <t>Ofaveolata027696</t>
  </si>
  <si>
    <t>Ssiderea025559</t>
  </si>
  <si>
    <t>OG0009796</t>
  </si>
  <si>
    <t>Ofaveolata021112</t>
  </si>
  <si>
    <t>Ssiderea011874</t>
  </si>
  <si>
    <t>Rho GTPase activating protein 6</t>
  </si>
  <si>
    <t>OG0009798</t>
  </si>
  <si>
    <t>Ofaveolata022032</t>
  </si>
  <si>
    <t>Ssiderea023351</t>
  </si>
  <si>
    <t>nicotinamidase activity</t>
  </si>
  <si>
    <t>OG0009802</t>
  </si>
  <si>
    <t>Ofaveolata008838</t>
  </si>
  <si>
    <t>Ssiderea007880</t>
  </si>
  <si>
    <t>cysteine-rich protein 1</t>
  </si>
  <si>
    <t>OG0009812</t>
  </si>
  <si>
    <t>Ofaveolata032756</t>
  </si>
  <si>
    <t>Ssiderea052109</t>
  </si>
  <si>
    <t>positive regulation of cysteine-type endopeptidase activity involved in apoptotic process</t>
  </si>
  <si>
    <t>OG0009840</t>
  </si>
  <si>
    <t>Ofaveolata001477</t>
  </si>
  <si>
    <t>Ssiderea043692</t>
  </si>
  <si>
    <t>stress-activated protein kinase signaling cascade</t>
  </si>
  <si>
    <t>OG0009853</t>
  </si>
  <si>
    <t>Ofaveolata002268</t>
  </si>
  <si>
    <t>Ssiderea012759</t>
  </si>
  <si>
    <t>serine-type endopeptidase inhibitor activity</t>
  </si>
  <si>
    <t>OG0009854</t>
  </si>
  <si>
    <t>Ofaveolata022582</t>
  </si>
  <si>
    <t>Ssiderea015309</t>
  </si>
  <si>
    <t>Malate synthase</t>
  </si>
  <si>
    <t>OG0009918</t>
  </si>
  <si>
    <t>Ofaveolata025486</t>
  </si>
  <si>
    <t>Ssiderea039868</t>
  </si>
  <si>
    <t>dolichyl-diphosphooligosaccharide-protein glycotransferase activity</t>
  </si>
  <si>
    <t>OG0009941</t>
  </si>
  <si>
    <t>Ofaveolata018996</t>
  </si>
  <si>
    <t>Ssiderea001909</t>
  </si>
  <si>
    <t>ribosomal protein L37</t>
  </si>
  <si>
    <t>OG0009967</t>
  </si>
  <si>
    <t>Ofaveolata001194</t>
  </si>
  <si>
    <t>Ssiderea029323</t>
  </si>
  <si>
    <t>positive regulation of prolactin signaling pathway</t>
  </si>
  <si>
    <t>OG0009992</t>
  </si>
  <si>
    <t>Ofaveolata026734</t>
  </si>
  <si>
    <t>Ssiderea017713</t>
  </si>
  <si>
    <t>OG0010002</t>
  </si>
  <si>
    <t>Ofaveolata006572</t>
  </si>
  <si>
    <t>Ssiderea028103</t>
  </si>
  <si>
    <t>Protein phosphatase 1 regulatory subunit 37</t>
  </si>
  <si>
    <t>Protein phosphatase 1, regulatory subunit</t>
  </si>
  <si>
    <t>OG0010014</t>
  </si>
  <si>
    <t>Ofaveolata010911</t>
  </si>
  <si>
    <t>Ssiderea019921</t>
  </si>
  <si>
    <t>OG0010023</t>
  </si>
  <si>
    <t>Ofaveolata028782</t>
  </si>
  <si>
    <t>Ssiderea014552</t>
  </si>
  <si>
    <t>negative regulation of cell adhesion involved in sprouting angiogenesis</t>
  </si>
  <si>
    <t>Sema domain, seven thrombospondin repeats (type 1 and type 1-like), transmembrane domain (TM) and short cytoplasmic domain, (semaphorin) 5Bb</t>
  </si>
  <si>
    <t>OG0010028</t>
  </si>
  <si>
    <t>Ofaveolata010348</t>
  </si>
  <si>
    <t>Ssiderea045276</t>
  </si>
  <si>
    <t>alpha-catenin binding</t>
  </si>
  <si>
    <t>OG0010049</t>
  </si>
  <si>
    <t>Ofaveolata016136</t>
  </si>
  <si>
    <t>Ssiderea055363</t>
  </si>
  <si>
    <t>sodium-dependent L-ascorbate transmembrane transporter activity</t>
  </si>
  <si>
    <t>OG0010054</t>
  </si>
  <si>
    <t>Ofaveolata032755</t>
  </si>
  <si>
    <t>Ssiderea058707</t>
  </si>
  <si>
    <t>saccharopine dehydrogenase (NADP+, L-lysine-forming) activity</t>
  </si>
  <si>
    <t>OG0010088</t>
  </si>
  <si>
    <t>Ofaveolata003563</t>
  </si>
  <si>
    <t>Ssiderea046269</t>
  </si>
  <si>
    <t>Glutathione S-transferase kappa</t>
  </si>
  <si>
    <t>OG0010090</t>
  </si>
  <si>
    <t>Ofaveolata021016</t>
  </si>
  <si>
    <t>Ssiderea012291</t>
  </si>
  <si>
    <t>trans-synaptic signaling by soluble gas, modulating synaptic transmission</t>
  </si>
  <si>
    <t>OG0010108</t>
  </si>
  <si>
    <t>Ofaveolata034784</t>
  </si>
  <si>
    <t>Ssiderea049584</t>
  </si>
  <si>
    <t>OG0010121</t>
  </si>
  <si>
    <t>Ofaveolata010960</t>
  </si>
  <si>
    <t>Ssiderea055766</t>
  </si>
  <si>
    <t>N-box binding</t>
  </si>
  <si>
    <t>OG0010192</t>
  </si>
  <si>
    <t>Ofaveolata028699</t>
  </si>
  <si>
    <t>Ssiderea042800</t>
  </si>
  <si>
    <t>T cell proliferation involved in immune response</t>
  </si>
  <si>
    <t>OG0010273</t>
  </si>
  <si>
    <t>Ofaveolata022463</t>
  </si>
  <si>
    <t>Ssiderea015125</t>
  </si>
  <si>
    <t>serine arginine-rich splicing factor</t>
  </si>
  <si>
    <t>OG0010275</t>
  </si>
  <si>
    <t>Ofaveolata014495</t>
  </si>
  <si>
    <t>Ssiderea004433</t>
  </si>
  <si>
    <t>cytoplasmic translational termination</t>
  </si>
  <si>
    <t>OG0010354</t>
  </si>
  <si>
    <t>Ofaveolata017118</t>
  </si>
  <si>
    <t>Ssiderea052652</t>
  </si>
  <si>
    <t>Protein disulfide isomerase family A member 4</t>
  </si>
  <si>
    <t>OG0010374</t>
  </si>
  <si>
    <t>Ofaveolata012899</t>
  </si>
  <si>
    <t>Ssiderea001515</t>
  </si>
  <si>
    <t>sulfuric ester hydrolase activity</t>
  </si>
  <si>
    <t>OG0010375</t>
  </si>
  <si>
    <t>Ofaveolata025189</t>
  </si>
  <si>
    <t>Ssiderea021604</t>
  </si>
  <si>
    <t>OG0010413</t>
  </si>
  <si>
    <t>Ofaveolata017901</t>
  </si>
  <si>
    <t>Ssiderea003349</t>
  </si>
  <si>
    <t>OG0010422</t>
  </si>
  <si>
    <t>Ofaveolata017340</t>
  </si>
  <si>
    <t>Ssiderea046675</t>
  </si>
  <si>
    <t>TNF(Tumour Necrosis Factor) family</t>
  </si>
  <si>
    <t>OG0010433</t>
  </si>
  <si>
    <t>Ofaveolata006540</t>
  </si>
  <si>
    <t>Ssiderea028064</t>
  </si>
  <si>
    <t>RNA splicing, via transesterification reactions with bulged adenosine as nucleophile</t>
  </si>
  <si>
    <t>OG0010489</t>
  </si>
  <si>
    <t>Ofaveolata027159</t>
  </si>
  <si>
    <t>Ssiderea036733</t>
  </si>
  <si>
    <t>metallocarboxypeptidase activity</t>
  </si>
  <si>
    <t>OG0010491</t>
  </si>
  <si>
    <t>Ofaveolata017432</t>
  </si>
  <si>
    <t>Ssiderea048468</t>
  </si>
  <si>
    <t>OG0010536</t>
  </si>
  <si>
    <t>Ofaveolata002557</t>
  </si>
  <si>
    <t>Ssiderea013066</t>
  </si>
  <si>
    <t>regulation of peroxisome size</t>
  </si>
  <si>
    <t>OG0010545</t>
  </si>
  <si>
    <t>Ofaveolata008780</t>
  </si>
  <si>
    <t>Ssiderea008288</t>
  </si>
  <si>
    <t>translation elongation factor activity</t>
  </si>
  <si>
    <t>OG0010589</t>
  </si>
  <si>
    <t>Ofaveolata022639</t>
  </si>
  <si>
    <t>Ssiderea050125</t>
  </si>
  <si>
    <t>OG0010599</t>
  </si>
  <si>
    <t>Ofaveolata005306</t>
  </si>
  <si>
    <t>Ssiderea015848</t>
  </si>
  <si>
    <t>OG0010611</t>
  </si>
  <si>
    <t>Ofaveolata023072</t>
  </si>
  <si>
    <t>Ssiderea014717</t>
  </si>
  <si>
    <t>mesenchymal cell apoptotic process</t>
  </si>
  <si>
    <t>OG0010614</t>
  </si>
  <si>
    <t>Ofaveolata015567</t>
  </si>
  <si>
    <t>Ssiderea038127</t>
  </si>
  <si>
    <t>OG0010643</t>
  </si>
  <si>
    <t>Ofaveolata024028</t>
  </si>
  <si>
    <t>Ssiderea005355</t>
  </si>
  <si>
    <t>Fibrosin-1-like</t>
  </si>
  <si>
    <t>Fibrosin-like 1</t>
  </si>
  <si>
    <t>OG0010708</t>
  </si>
  <si>
    <t>Ofaveolata022706</t>
  </si>
  <si>
    <t>Ssiderea015568</t>
  </si>
  <si>
    <t>aminoacyl-tRNA hydrolase activity</t>
  </si>
  <si>
    <t>OG0010724</t>
  </si>
  <si>
    <t>Ofaveolata002293</t>
  </si>
  <si>
    <t>Ssiderea012793</t>
  </si>
  <si>
    <t>positive regulation of Golgi to plasma membrane protein transport</t>
  </si>
  <si>
    <t>OG0010754</t>
  </si>
  <si>
    <t>Ofaveolata015278</t>
  </si>
  <si>
    <t>Ssiderea051044</t>
  </si>
  <si>
    <t>fibroblast growth factor receptor binding</t>
  </si>
  <si>
    <t>OG0010783</t>
  </si>
  <si>
    <t>Ofaveolata025774</t>
  </si>
  <si>
    <t>Ssiderea038877</t>
  </si>
  <si>
    <t>OG0010790</t>
  </si>
  <si>
    <t>Ofaveolata016179</t>
  </si>
  <si>
    <t>Ssiderea052763</t>
  </si>
  <si>
    <t>preantral ovarian follicle growth</t>
  </si>
  <si>
    <t>Zinc finger protein</t>
  </si>
  <si>
    <t>OG0010857</t>
  </si>
  <si>
    <t>Ofaveolata031651</t>
  </si>
  <si>
    <t>Ssiderea006846</t>
  </si>
  <si>
    <t>Glutaredoxin</t>
  </si>
  <si>
    <t>protein disulfide oxidoreductase activity</t>
  </si>
  <si>
    <t>OG0010861</t>
  </si>
  <si>
    <t>Ofaveolata014442</t>
  </si>
  <si>
    <t>Ssiderea057625</t>
  </si>
  <si>
    <t>OG0010869</t>
  </si>
  <si>
    <t>Ofaveolata034031</t>
  </si>
  <si>
    <t>Ssiderea031965</t>
  </si>
  <si>
    <t>protein N-linked glycosylation via asparagine</t>
  </si>
  <si>
    <t>OG0010879</t>
  </si>
  <si>
    <t>Ofaveolata027896</t>
  </si>
  <si>
    <t>Ssiderea035396</t>
  </si>
  <si>
    <t>Belongs to the p53 family</t>
  </si>
  <si>
    <t>OG0010885</t>
  </si>
  <si>
    <t>Ofaveolata029213</t>
  </si>
  <si>
    <t>Ssiderea034370</t>
  </si>
  <si>
    <t>Sugar transporter</t>
  </si>
  <si>
    <t>OG0010989</t>
  </si>
  <si>
    <t>Ofaveolata033418</t>
  </si>
  <si>
    <t>Ssiderea047118</t>
  </si>
  <si>
    <t>signaling receptor binding</t>
  </si>
  <si>
    <t>OG0011006</t>
  </si>
  <si>
    <t>Ofaveolata014959</t>
  </si>
  <si>
    <t>Ssiderea038361</t>
  </si>
  <si>
    <t>ER overload response</t>
  </si>
  <si>
    <t>OG0011085</t>
  </si>
  <si>
    <t>Ofaveolata024203</t>
  </si>
  <si>
    <t>Ssiderea005685</t>
  </si>
  <si>
    <t>GTPase activator activity</t>
  </si>
  <si>
    <t>OG0011087</t>
  </si>
  <si>
    <t>Ofaveolata027836</t>
  </si>
  <si>
    <t>Ssiderea035425</t>
  </si>
  <si>
    <t>protein autoubiquitination</t>
  </si>
  <si>
    <t>OG0011121</t>
  </si>
  <si>
    <t>Ofaveolata026677</t>
  </si>
  <si>
    <t>Ssiderea035035</t>
  </si>
  <si>
    <t>Rab GTPase binding</t>
  </si>
  <si>
    <t>OG0011169</t>
  </si>
  <si>
    <t>Ofaveolata024769</t>
  </si>
  <si>
    <t>Ssiderea016833</t>
  </si>
  <si>
    <t>cytoskeletal rearrangement involved in phagocytosis, engulfment</t>
  </si>
  <si>
    <t>OG0011179</t>
  </si>
  <si>
    <t>Ofaveolata026476</t>
  </si>
  <si>
    <t>Ssiderea038546</t>
  </si>
  <si>
    <t>OG0011185</t>
  </si>
  <si>
    <t>Ofaveolata025193</t>
  </si>
  <si>
    <t>Ssiderea021609</t>
  </si>
  <si>
    <t>OG0011195</t>
  </si>
  <si>
    <t>Ofaveolata015421</t>
  </si>
  <si>
    <t>Ssiderea038169</t>
  </si>
  <si>
    <t>OG0011219</t>
  </si>
  <si>
    <t>Ofaveolata007888</t>
  </si>
  <si>
    <t>Ssiderea057323</t>
  </si>
  <si>
    <t>Hydrolase activity, acting on carbon-nitrogen (but not peptide) bonds, in linear amides. It is involved in the biological process described with nitrogen compound metabolic process</t>
  </si>
  <si>
    <t>OG0011328</t>
  </si>
  <si>
    <t>Ofaveolata015428</t>
  </si>
  <si>
    <t>Ssiderea059134</t>
  </si>
  <si>
    <t>positive regulation of erythrocyte differentiation</t>
  </si>
  <si>
    <t>OG0011331</t>
  </si>
  <si>
    <t>Ofaveolata019825</t>
  </si>
  <si>
    <t>Ssiderea012083</t>
  </si>
  <si>
    <t>gamma-aminobutyric acid type B receptor subunit</t>
  </si>
  <si>
    <t>OG0011333</t>
  </si>
  <si>
    <t>Ofaveolata029656</t>
  </si>
  <si>
    <t>Ssiderea023645</t>
  </si>
  <si>
    <t>ribonuclease P</t>
  </si>
  <si>
    <t>OG0011334</t>
  </si>
  <si>
    <t>Ofaveolata012674</t>
  </si>
  <si>
    <t>Ssiderea000609</t>
  </si>
  <si>
    <t>OG0011361</t>
  </si>
  <si>
    <t>Ofaveolata024555</t>
  </si>
  <si>
    <t>Ssiderea005949</t>
  </si>
  <si>
    <t>OG0011366</t>
  </si>
  <si>
    <t>Ofaveolata029092</t>
  </si>
  <si>
    <t>Ssiderea013739</t>
  </si>
  <si>
    <t>positive regulation of double-strand break repair via nonhomologous end joining</t>
  </si>
  <si>
    <t>OG0011373</t>
  </si>
  <si>
    <t>Ofaveolata002782</t>
  </si>
  <si>
    <t>Ssiderea013299</t>
  </si>
  <si>
    <t>OG0011384</t>
  </si>
  <si>
    <t>Ofaveolata023563</t>
  </si>
  <si>
    <t>Ssiderea049941</t>
  </si>
  <si>
    <t>nitric oxide catabolic process</t>
  </si>
  <si>
    <t>OG0011388</t>
  </si>
  <si>
    <t>Ofaveolata009933</t>
  </si>
  <si>
    <t>Ssiderea036120</t>
  </si>
  <si>
    <t>OG0011392</t>
  </si>
  <si>
    <t>Ofaveolata008226</t>
  </si>
  <si>
    <t>Ssiderea050697</t>
  </si>
  <si>
    <t>odorant binding</t>
  </si>
  <si>
    <t>OG0011403</t>
  </si>
  <si>
    <t>Ofaveolata006347</t>
  </si>
  <si>
    <t>Ssiderea048229</t>
  </si>
  <si>
    <t>OG0011413</t>
  </si>
  <si>
    <t>Ofaveolata022648</t>
  </si>
  <si>
    <t>Ssiderea015196</t>
  </si>
  <si>
    <t>locomotory exploration behavior</t>
  </si>
  <si>
    <t>OG0011446</t>
  </si>
  <si>
    <t>Ofaveolata007303</t>
  </si>
  <si>
    <t>Ssiderea009805</t>
  </si>
  <si>
    <t>Bifunctional enzyme that catalyzes the enolization of 2,3-diketo-5-methylthiopentyl-1-phosphate (DK-MTP-1-P) into the intermediate 2-hydroxy-3-keto-5-methylthiopentenyl-1-phosphate (HK-MTPenyl-1-P), which is then dephosphorylated to form the acireductone 1,2-dihydroxy-3-keto-5-methylthiopentene (DHK- MTPene)</t>
  </si>
  <si>
    <t>OG0011475</t>
  </si>
  <si>
    <t>Ofaveolata004899</t>
  </si>
  <si>
    <t>Ssiderea037472</t>
  </si>
  <si>
    <t>translocon-associated protein</t>
  </si>
  <si>
    <t>OG0011488</t>
  </si>
  <si>
    <t>Ofaveolata004403</t>
  </si>
  <si>
    <t>Ssiderea010609</t>
  </si>
  <si>
    <t>Adenylate kinase</t>
  </si>
  <si>
    <t>OG0011491</t>
  </si>
  <si>
    <t>Ofaveolata004439</t>
  </si>
  <si>
    <t>Ssiderea053078</t>
  </si>
  <si>
    <t>quercetin 2,3-dioxygenase activity</t>
  </si>
  <si>
    <t>OG0011504</t>
  </si>
  <si>
    <t>Ofaveolata016870</t>
  </si>
  <si>
    <t>Ssiderea039392</t>
  </si>
  <si>
    <t>protein localization to nuclear pore</t>
  </si>
  <si>
    <t>OG0011529</t>
  </si>
  <si>
    <t>Ofaveolata024692</t>
  </si>
  <si>
    <t>Ssiderea016969</t>
  </si>
  <si>
    <t>Neural retina leucine zipper</t>
  </si>
  <si>
    <t>OG0011540</t>
  </si>
  <si>
    <t>Ofaveolata036437</t>
  </si>
  <si>
    <t>Ssiderea61482</t>
  </si>
  <si>
    <t>OG0011552</t>
  </si>
  <si>
    <t>Ofaveolata017222</t>
  </si>
  <si>
    <t>Ssiderea054594</t>
  </si>
  <si>
    <t>OG0011564</t>
  </si>
  <si>
    <t>Ofaveolata028249</t>
  </si>
  <si>
    <t>Ssiderea042578</t>
  </si>
  <si>
    <t>myristoyl-CoA hydrolase activity</t>
  </si>
  <si>
    <t>OG0011609</t>
  </si>
  <si>
    <t>Ofaveolata001454</t>
  </si>
  <si>
    <t>Ssiderea043614</t>
  </si>
  <si>
    <t>OG0011619</t>
  </si>
  <si>
    <t>Ofaveolata001029</t>
  </si>
  <si>
    <t>Ssiderea022330</t>
  </si>
  <si>
    <t>forebrain anterior/posterior pattern specification</t>
  </si>
  <si>
    <t>OG0011630</t>
  </si>
  <si>
    <t>Ofaveolata008513</t>
  </si>
  <si>
    <t>Ssiderea050500</t>
  </si>
  <si>
    <t>translocation of peptides or proteins into host cell cytoplasm</t>
  </si>
  <si>
    <t>OG0011644</t>
  </si>
  <si>
    <t>Ofaveolata029049</t>
  </si>
  <si>
    <t>Ssiderea013792</t>
  </si>
  <si>
    <t>medium-chain fatty acid-CoA ligase activity</t>
  </si>
  <si>
    <t>OG0011665</t>
  </si>
  <si>
    <t>Ofaveolata014778</t>
  </si>
  <si>
    <t>Ssiderea004700</t>
  </si>
  <si>
    <t>OG0011695</t>
  </si>
  <si>
    <t>Ofaveolata018040</t>
  </si>
  <si>
    <t>Ssiderea002216</t>
  </si>
  <si>
    <t>OG0011749</t>
  </si>
  <si>
    <t>Ofaveolata028853</t>
  </si>
  <si>
    <t>Ssiderea014404</t>
  </si>
  <si>
    <t>OG0011757</t>
  </si>
  <si>
    <t>Ofaveolata034824</t>
  </si>
  <si>
    <t>Ssiderea012838</t>
  </si>
  <si>
    <t>Macrophage mannose receptor 1-like</t>
  </si>
  <si>
    <t>OG0011786</t>
  </si>
  <si>
    <t>Ofaveolata004708</t>
  </si>
  <si>
    <t>Ssiderea010866</t>
  </si>
  <si>
    <t>regulation of cilium movement</t>
  </si>
  <si>
    <t>OG0011803</t>
  </si>
  <si>
    <t>Ofaveolata003267</t>
  </si>
  <si>
    <t>Ssiderea030105</t>
  </si>
  <si>
    <t>OG0011854</t>
  </si>
  <si>
    <t>Ofaveolata008760</t>
  </si>
  <si>
    <t>Ssiderea008293</t>
  </si>
  <si>
    <t>UPF0728 protein C10orf53 homolog</t>
  </si>
  <si>
    <t>OG0011863</t>
  </si>
  <si>
    <t>Ofaveolata028792</t>
  </si>
  <si>
    <t>Ssiderea014542</t>
  </si>
  <si>
    <t>Belongs to the universal ribosomal protein uS19 family</t>
  </si>
  <si>
    <t>OG0011886</t>
  </si>
  <si>
    <t>Ofaveolata015525</t>
  </si>
  <si>
    <t>Ssiderea056864</t>
  </si>
  <si>
    <t>OG0011893</t>
  </si>
  <si>
    <t>Ofaveolata020827</t>
  </si>
  <si>
    <t>Ssiderea047593</t>
  </si>
  <si>
    <t>Hepatic leukemia factor</t>
  </si>
  <si>
    <t>OG0011935</t>
  </si>
  <si>
    <t>Ofaveolata024059</t>
  </si>
  <si>
    <t>Ssiderea005437</t>
  </si>
  <si>
    <t>phosphatidylinositol 5-phosphate metabolic process</t>
  </si>
  <si>
    <t>OG0011945</t>
  </si>
  <si>
    <t>Ofaveolata004958</t>
  </si>
  <si>
    <t>Ssiderea046599</t>
  </si>
  <si>
    <t>protein xylosyltransferase activity</t>
  </si>
  <si>
    <t>OG0012026</t>
  </si>
  <si>
    <t>Ofaveolata016819</t>
  </si>
  <si>
    <t>Ssiderea015915</t>
  </si>
  <si>
    <t>Allows the formation of correctly charged Gln-tRNA(Gln) through the transamidation of misacylated Glu-tRNA(Gln) in the mitochondria. The reaction takes place in the presence of glutamine and ATP through an activated gamma-phospho-Glu- tRNA(Gln)</t>
  </si>
  <si>
    <t>OG0012240</t>
  </si>
  <si>
    <t>Ofaveolata005242</t>
  </si>
  <si>
    <t>Ssiderea010147</t>
  </si>
  <si>
    <t>posttranslational protein targeting to membrane, translocation</t>
  </si>
  <si>
    <t>OG0012267</t>
  </si>
  <si>
    <t>Ofaveolata016199</t>
  </si>
  <si>
    <t>Ssiderea052752</t>
  </si>
  <si>
    <t>hair follicle maturation</t>
  </si>
  <si>
    <t>OG0012270</t>
  </si>
  <si>
    <t>Ofaveolata006331</t>
  </si>
  <si>
    <t>Ssiderea048198</t>
  </si>
  <si>
    <t>positive regulation of interleukin-10 biosynthetic process</t>
  </si>
  <si>
    <t>nucleotide-binding oligomerization domain containing 1 signaling pathway</t>
  </si>
  <si>
    <t>OG0012306</t>
  </si>
  <si>
    <t>Ofaveolata030975</t>
  </si>
  <si>
    <t>Ssiderea051965</t>
  </si>
  <si>
    <t>protein K63-linked deubiquitination</t>
  </si>
  <si>
    <t>OG0012378</t>
  </si>
  <si>
    <t>Ofaveolata030277</t>
  </si>
  <si>
    <t>Ssiderea027536</t>
  </si>
  <si>
    <t>negative regulation of DNA damage checkpoint</t>
  </si>
  <si>
    <t>OG0012385</t>
  </si>
  <si>
    <t>Ofaveolata009273</t>
  </si>
  <si>
    <t>Ssiderea035585</t>
  </si>
  <si>
    <t>OG0012435</t>
  </si>
  <si>
    <t>Ofaveolata004979</t>
  </si>
  <si>
    <t>Ssiderea046524</t>
  </si>
  <si>
    <t>phosphatase activity</t>
  </si>
  <si>
    <t>OG0012451</t>
  </si>
  <si>
    <t>Ofaveolata023443</t>
  </si>
  <si>
    <t>Ssiderea005040</t>
  </si>
  <si>
    <t>membrane protein proteolysis involved in retrograde protein transport, ER to cytosol</t>
  </si>
  <si>
    <t>OG0012465</t>
  </si>
  <si>
    <t>Ofaveolata031852</t>
  </si>
  <si>
    <t>Ssiderea007206</t>
  </si>
  <si>
    <t>spliceosomal complex assembly</t>
  </si>
  <si>
    <t>OG0012501</t>
  </si>
  <si>
    <t>Ofaveolata023142</t>
  </si>
  <si>
    <t>Ssiderea014677</t>
  </si>
  <si>
    <t>protein modification by small protein conjugation</t>
  </si>
  <si>
    <t>OG0012518</t>
  </si>
  <si>
    <t>Ofaveolata012792</t>
  </si>
  <si>
    <t>Ssiderea001745</t>
  </si>
  <si>
    <t>Kielin chordin-like protein</t>
  </si>
  <si>
    <t>OG0012560</t>
  </si>
  <si>
    <t>Ofaveolata010074</t>
  </si>
  <si>
    <t>Ssiderea049449</t>
  </si>
  <si>
    <t>lipid transport</t>
  </si>
  <si>
    <t>OG0012580</t>
  </si>
  <si>
    <t>Ofaveolata034361</t>
  </si>
  <si>
    <t>Ssiderea052841</t>
  </si>
  <si>
    <t>deoxynucleotidyltransferase, terminal, interacting protein 2</t>
  </si>
  <si>
    <t>OG0012669</t>
  </si>
  <si>
    <t>Ofaveolata003776</t>
  </si>
  <si>
    <t>Ssiderea028754</t>
  </si>
  <si>
    <t>SUZ RNA binding domain containing 1</t>
  </si>
  <si>
    <t>OG0012678</t>
  </si>
  <si>
    <t>Ofaveolata029819</t>
  </si>
  <si>
    <t>Ssiderea023968</t>
  </si>
  <si>
    <t>OG0012695</t>
  </si>
  <si>
    <t>Ofaveolata023439</t>
  </si>
  <si>
    <t>Ssiderea005043</t>
  </si>
  <si>
    <t>endoderm formation</t>
  </si>
  <si>
    <t>OG0012724</t>
  </si>
  <si>
    <t>Ofaveolata018323</t>
  </si>
  <si>
    <t>Ssiderea018646</t>
  </si>
  <si>
    <t>Collagen triple helix</t>
  </si>
  <si>
    <t>OG0012794</t>
  </si>
  <si>
    <t>Ofaveolata007988</t>
  </si>
  <si>
    <t>Ssiderea009471</t>
  </si>
  <si>
    <t>transcription by RNA polymerase III</t>
  </si>
  <si>
    <t>OG0012812</t>
  </si>
  <si>
    <t>Ofaveolata025654</t>
  </si>
  <si>
    <t>Ssiderea041924</t>
  </si>
  <si>
    <t>OG0012886</t>
  </si>
  <si>
    <t>Ofaveolata027216</t>
  </si>
  <si>
    <t>Ssiderea035294</t>
  </si>
  <si>
    <t>phospholipase</t>
  </si>
  <si>
    <t>OG0012915</t>
  </si>
  <si>
    <t>Ofaveolata022352</t>
  </si>
  <si>
    <t>Ssiderea023226</t>
  </si>
  <si>
    <t>RNA polymerase I transcription factor binding</t>
  </si>
  <si>
    <t>OG0012926</t>
  </si>
  <si>
    <t>Ofaveolata027337</t>
  </si>
  <si>
    <t>Ssiderea042192</t>
  </si>
  <si>
    <t>OG0012951</t>
  </si>
  <si>
    <t>Ofaveolata022303</t>
  </si>
  <si>
    <t>Ssiderea023138</t>
  </si>
  <si>
    <t>OG0013007</t>
  </si>
  <si>
    <t>Ofaveolata028888</t>
  </si>
  <si>
    <t>Ssiderea014322</t>
  </si>
  <si>
    <t>PFAM Thioredoxin</t>
  </si>
  <si>
    <t>PITH domain</t>
  </si>
  <si>
    <t>OG0013032</t>
  </si>
  <si>
    <t>Ofaveolata032413</t>
  </si>
  <si>
    <t>Ssiderea034910</t>
  </si>
  <si>
    <t>OG0013045</t>
  </si>
  <si>
    <t>Ofaveolata019629</t>
  </si>
  <si>
    <t>Ssiderea011726</t>
  </si>
  <si>
    <t>U1 snRNA 3'-end processing</t>
  </si>
  <si>
    <t>OG0013058</t>
  </si>
  <si>
    <t>Ofaveolata016713</t>
  </si>
  <si>
    <t>Ssiderea039176</t>
  </si>
  <si>
    <t>detection of nodal flow</t>
  </si>
  <si>
    <t>OG0013060</t>
  </si>
  <si>
    <t>Ofaveolata005753</t>
  </si>
  <si>
    <t>Ssiderea045515</t>
  </si>
  <si>
    <t>OG0013062</t>
  </si>
  <si>
    <t>Ofaveolata014463</t>
  </si>
  <si>
    <t>Ssiderea004465</t>
  </si>
  <si>
    <t>ion transport</t>
  </si>
  <si>
    <t>OG0013097</t>
  </si>
  <si>
    <t>Ofaveolata012675</t>
  </si>
  <si>
    <t>Ssiderea000608</t>
  </si>
  <si>
    <t>DNA-binding transcription factor activity</t>
  </si>
  <si>
    <t>OG0013109</t>
  </si>
  <si>
    <t>Ofaveolata030232</t>
  </si>
  <si>
    <t>Ssiderea027416</t>
  </si>
  <si>
    <t>Belongs to the cytochrome P450 family</t>
  </si>
  <si>
    <t>OG0013122</t>
  </si>
  <si>
    <t>Ofaveolata008008</t>
  </si>
  <si>
    <t>Ssiderea009512</t>
  </si>
  <si>
    <t>OG0013158</t>
  </si>
  <si>
    <t>Ofaveolata011254</t>
  </si>
  <si>
    <t>Ssiderea051466</t>
  </si>
  <si>
    <t>Belongs to the eukaryotic ribosomal protein eS24 family</t>
  </si>
  <si>
    <t>OG0013269</t>
  </si>
  <si>
    <t>Ofaveolata030370</t>
  </si>
  <si>
    <t>Ssiderea034243</t>
  </si>
  <si>
    <t>Proline-rich coiled-coil</t>
  </si>
  <si>
    <t>OG0001067</t>
  </si>
  <si>
    <t>Ofaveolata002530</t>
  </si>
  <si>
    <t>Ssiderea024883</t>
  </si>
  <si>
    <t>OG0001357</t>
  </si>
  <si>
    <t>Ofaveolata034842</t>
  </si>
  <si>
    <t>Ssiderea013116</t>
  </si>
  <si>
    <t>OG0001518</t>
  </si>
  <si>
    <t>Ofaveolata016763</t>
  </si>
  <si>
    <t>Ssiderea024655</t>
  </si>
  <si>
    <t>OG0002369</t>
  </si>
  <si>
    <t>Ofaveolata005198</t>
  </si>
  <si>
    <t>Ssiderea042257</t>
  </si>
  <si>
    <t>Eps15 homology domain</t>
  </si>
  <si>
    <t>OG0004246</t>
  </si>
  <si>
    <t>Ofaveolata002414</t>
  </si>
  <si>
    <t>Ssiderea60368</t>
  </si>
  <si>
    <t>OG0004586</t>
  </si>
  <si>
    <t>Ofaveolata013636</t>
  </si>
  <si>
    <t>Ssiderea000142</t>
  </si>
  <si>
    <t>Serine threonine-protein kinase</t>
  </si>
  <si>
    <t>myosin VI binding</t>
  </si>
  <si>
    <t>OG0004777</t>
  </si>
  <si>
    <t>Ofaveolata028780</t>
  </si>
  <si>
    <t>Ssiderea014556</t>
  </si>
  <si>
    <t>skeletal muscle satellite cell commitment</t>
  </si>
  <si>
    <t>Paired box 3</t>
  </si>
  <si>
    <t>OG0005102</t>
  </si>
  <si>
    <t>Ofaveolata024216</t>
  </si>
  <si>
    <t>Ssiderea006447</t>
  </si>
  <si>
    <t>FKBP-type peptidyl-prolyl cis-trans isomerase</t>
  </si>
  <si>
    <t>OG0005114</t>
  </si>
  <si>
    <t>Ofaveolata000277</t>
  </si>
  <si>
    <t>Ssiderea029508</t>
  </si>
  <si>
    <t>podosome assembly</t>
  </si>
  <si>
    <t>OG0005604</t>
  </si>
  <si>
    <t>Ofaveolata033695</t>
  </si>
  <si>
    <t>Ssiderea053627</t>
  </si>
  <si>
    <t>OG0006775</t>
  </si>
  <si>
    <t>Ofaveolata028207</t>
  </si>
  <si>
    <t>Ssiderea033260</t>
  </si>
  <si>
    <t>OG0008320</t>
  </si>
  <si>
    <t>Ofaveolata031065</t>
  </si>
  <si>
    <t>Ssiderea006599</t>
  </si>
  <si>
    <t>OG0011553</t>
  </si>
  <si>
    <t>Ofaveolata032672</t>
  </si>
  <si>
    <t>Ssiderea052054</t>
  </si>
  <si>
    <t>OG0011819</t>
  </si>
  <si>
    <t>Ofaveolata002587</t>
  </si>
  <si>
    <t>Ssiderea024437</t>
  </si>
  <si>
    <t>Bcl2-/adenovirus E1B nineteen kDa-interacting protein 2</t>
  </si>
  <si>
    <t>OG0013203</t>
  </si>
  <si>
    <t>Ofaveolata003394</t>
  </si>
  <si>
    <t>Ssiderea029890</t>
  </si>
  <si>
    <t>DDB1- and CUL4-associated factor 10</t>
  </si>
  <si>
    <t>OG0000222</t>
  </si>
  <si>
    <t>Ofaveolata006168</t>
  </si>
  <si>
    <t>Ssiderea028561</t>
  </si>
  <si>
    <t>OG0000523</t>
  </si>
  <si>
    <t>Ofaveolata001123</t>
  </si>
  <si>
    <t>Ssiderea022152</t>
  </si>
  <si>
    <t>OG0000778</t>
  </si>
  <si>
    <t>Ofaveolata019120</t>
  </si>
  <si>
    <t>Ssiderea013602</t>
  </si>
  <si>
    <t>complement activation, classical pathway</t>
  </si>
  <si>
    <t>OG0000875</t>
  </si>
  <si>
    <t>Ofaveolata001258</t>
  </si>
  <si>
    <t>Ssiderea056345</t>
  </si>
  <si>
    <t>OG0000877</t>
  </si>
  <si>
    <t>Ofaveolata002189</t>
  </si>
  <si>
    <t>Ssiderea012592</t>
  </si>
  <si>
    <t>glutamic-type peptidase activity</t>
  </si>
  <si>
    <t>OG0001377</t>
  </si>
  <si>
    <t>Ofaveolata025892</t>
  </si>
  <si>
    <t>Ssiderea039002</t>
  </si>
  <si>
    <t>antigen processing and presentation of exogenous peptide antigen via MHC class I</t>
  </si>
  <si>
    <t>OG0001411</t>
  </si>
  <si>
    <t>Ofaveolata030373</t>
  </si>
  <si>
    <t>Ssiderea034241</t>
  </si>
  <si>
    <t>OG0001412</t>
  </si>
  <si>
    <t>Ofaveolata010236</t>
  </si>
  <si>
    <t>Ssiderea019422</t>
  </si>
  <si>
    <t>negative regulation of bile acid biosynthetic process</t>
  </si>
  <si>
    <t>Ofaveolata024490</t>
  </si>
  <si>
    <t>Ssiderea023310</t>
  </si>
  <si>
    <t>OG0001713</t>
  </si>
  <si>
    <t>Ofaveolata028965</t>
  </si>
  <si>
    <t>Ssiderea016596</t>
  </si>
  <si>
    <t>nucleic acid binding</t>
  </si>
  <si>
    <t>OG0002220</t>
  </si>
  <si>
    <t>Ofaveolata015248</t>
  </si>
  <si>
    <t>Ssiderea051084</t>
  </si>
  <si>
    <t>ectonucleotide pyrophosphatase phosphodiesterase</t>
  </si>
  <si>
    <t>OG0002306</t>
  </si>
  <si>
    <t>Ofaveolata027302</t>
  </si>
  <si>
    <t>Ssiderea029478</t>
  </si>
  <si>
    <t>protein-disulfide reductase (glutathione) activity</t>
  </si>
  <si>
    <t>OG0002438</t>
  </si>
  <si>
    <t>Ofaveolata029977</t>
  </si>
  <si>
    <t>Ssiderea024274</t>
  </si>
  <si>
    <t>SOUL heme-binding protein</t>
  </si>
  <si>
    <t>OG0002690</t>
  </si>
  <si>
    <t>Ofaveolata029771</t>
  </si>
  <si>
    <t>Ssiderea60314</t>
  </si>
  <si>
    <t>OG0002950</t>
  </si>
  <si>
    <t>Ofaveolata027062</t>
  </si>
  <si>
    <t>Ssiderea042204</t>
  </si>
  <si>
    <t>OG0003366</t>
  </si>
  <si>
    <t>Ofaveolata017809</t>
  </si>
  <si>
    <t>Ssiderea048507</t>
  </si>
  <si>
    <t>inositol hexakisphosphate 6-kinase activity</t>
  </si>
  <si>
    <t>OG0003651</t>
  </si>
  <si>
    <t>Ofaveolata014030</t>
  </si>
  <si>
    <t>Ssiderea043919</t>
  </si>
  <si>
    <t>Casein kinase substrate phosphoprotein PP28</t>
  </si>
  <si>
    <t>OG0003696</t>
  </si>
  <si>
    <t>Ofaveolata028470</t>
  </si>
  <si>
    <t>Ssiderea042651</t>
  </si>
  <si>
    <t>dimethylglycine dehydrogenase activity</t>
  </si>
  <si>
    <t>OG0003732</t>
  </si>
  <si>
    <t>Ofaveolata016839</t>
  </si>
  <si>
    <t>Ssiderea054560</t>
  </si>
  <si>
    <t>non-membrane spanning protein tyrosine phosphatase activity</t>
  </si>
  <si>
    <t>OG0003761</t>
  </si>
  <si>
    <t>Ofaveolata030593</t>
  </si>
  <si>
    <t>Ssiderea034011</t>
  </si>
  <si>
    <t>OG0003785</t>
  </si>
  <si>
    <t>Ofaveolata034275</t>
  </si>
  <si>
    <t>Ssiderea052852</t>
  </si>
  <si>
    <t>rRNA (pseudouridine) methyltransferase activity</t>
  </si>
  <si>
    <t>OG0004037</t>
  </si>
  <si>
    <t>Ofaveolata028325</t>
  </si>
  <si>
    <t>Ssiderea042495</t>
  </si>
  <si>
    <t>OG0004142</t>
  </si>
  <si>
    <t>Ofaveolata029271</t>
  </si>
  <si>
    <t>Ssiderea033231</t>
  </si>
  <si>
    <t>MAP kinase activity</t>
  </si>
  <si>
    <t>OG0004187</t>
  </si>
  <si>
    <t>Ofaveolata033217</t>
  </si>
  <si>
    <t>Ssiderea026252</t>
  </si>
  <si>
    <t>riboflavin transmembrane transporter activity</t>
  </si>
  <si>
    <t>OG0004304</t>
  </si>
  <si>
    <t>Ofaveolata012903</t>
  </si>
  <si>
    <t>Ssiderea001525</t>
  </si>
  <si>
    <t>OG0004533</t>
  </si>
  <si>
    <t>Ofaveolata011208</t>
  </si>
  <si>
    <t>Ssiderea051581</t>
  </si>
  <si>
    <t>Transfers N-acetylgalactosamine (GalNAc) from UDP-GalNAc to N-acetylglucosamine-beta-benzyl with a beta-1,4-linkage to form N,N'-diacetyllactosediamine, GalNAc-beta-1,4-GlcNAc structures in N-linked glycans and probably O-linked glycans</t>
  </si>
  <si>
    <t>OG0004597</t>
  </si>
  <si>
    <t>Ofaveolata026149</t>
  </si>
  <si>
    <t>Ssiderea054963</t>
  </si>
  <si>
    <t>Cleavage and polyadenylation</t>
  </si>
  <si>
    <t>regulation of mRNA cleavage</t>
  </si>
  <si>
    <t>OG0004802</t>
  </si>
  <si>
    <t>Ofaveolata022676</t>
  </si>
  <si>
    <t>Ssiderea015237</t>
  </si>
  <si>
    <t>Phosphoenolpyruvate phosphomutase</t>
  </si>
  <si>
    <t>OG0004806</t>
  </si>
  <si>
    <t>Ofaveolata023145</t>
  </si>
  <si>
    <t>Ssiderea014674</t>
  </si>
  <si>
    <t>Fragile histidine triad</t>
  </si>
  <si>
    <t>OG0004958</t>
  </si>
  <si>
    <t>Ofaveolata020988</t>
  </si>
  <si>
    <t>Ssiderea012319</t>
  </si>
  <si>
    <t>PUB domain</t>
  </si>
  <si>
    <t>OG0005018</t>
  </si>
  <si>
    <t>Ofaveolata004770</t>
  </si>
  <si>
    <t>Ssiderea010957</t>
  </si>
  <si>
    <t>OG0005066</t>
  </si>
  <si>
    <t>Ofaveolata012949</t>
  </si>
  <si>
    <t>Ssiderea001679</t>
  </si>
  <si>
    <t>G patch domain-containing protein 4</t>
  </si>
  <si>
    <t>glycine rich nucleic binding domain</t>
  </si>
  <si>
    <t>OG0005305</t>
  </si>
  <si>
    <t>Ofaveolata015426</t>
  </si>
  <si>
    <t>Ssiderea059108</t>
  </si>
  <si>
    <t>Belongs to the D-isomer specific 2-hydroxyacid dehydrogenase family</t>
  </si>
  <si>
    <t>OG0005313</t>
  </si>
  <si>
    <t>Ofaveolata002691</t>
  </si>
  <si>
    <t>Ssiderea013128</t>
  </si>
  <si>
    <t>OG0005474</t>
  </si>
  <si>
    <t>Ofaveolata001563</t>
  </si>
  <si>
    <t>Ssiderea026808</t>
  </si>
  <si>
    <t>Belongs to the carnitine choline acetyltransferase family</t>
  </si>
  <si>
    <t>Carnitine O-palmitoyltransferase 1, liver isoform</t>
  </si>
  <si>
    <t>OG0005651</t>
  </si>
  <si>
    <t>Ofaveolata000415</t>
  </si>
  <si>
    <t>Ssiderea029696</t>
  </si>
  <si>
    <t>Protein canopy homolog 4</t>
  </si>
  <si>
    <t>positive regulation of protein localization to plasma membrane</t>
  </si>
  <si>
    <t>OG0005683</t>
  </si>
  <si>
    <t>Ofaveolata032311</t>
  </si>
  <si>
    <t>Ssiderea007028</t>
  </si>
  <si>
    <t>regulation of actin phosphorylation</t>
  </si>
  <si>
    <t>OG0005801</t>
  </si>
  <si>
    <t>Ofaveolata004450</t>
  </si>
  <si>
    <t>Ssiderea053050</t>
  </si>
  <si>
    <t>OG0006183</t>
  </si>
  <si>
    <t>Ofaveolata000928</t>
  </si>
  <si>
    <t>Ssiderea022501</t>
  </si>
  <si>
    <t>BTB POZ domain-containing protein</t>
  </si>
  <si>
    <t>OG0006517</t>
  </si>
  <si>
    <t>Ofaveolata026054</t>
  </si>
  <si>
    <t>Ssiderea021787</t>
  </si>
  <si>
    <t>lysyl-tRNA synthetase</t>
  </si>
  <si>
    <t>OG0006538</t>
  </si>
  <si>
    <t>Ofaveolata007989</t>
  </si>
  <si>
    <t>Ssiderea009472</t>
  </si>
  <si>
    <t>subunit of the gamma-secretase complex, an endoprotease complex that catalyzes the intramembrane cleavage of integral membrane proteins such as Notch receptors</t>
  </si>
  <si>
    <t>OG0006543</t>
  </si>
  <si>
    <t>Ofaveolata027959</t>
  </si>
  <si>
    <t>Ssiderea042116</t>
  </si>
  <si>
    <t>DNA-directed RNA polymerase activity. It is involved in the biological process described with transcription, DNA-templated</t>
  </si>
  <si>
    <t>DNA-directed RNA polymerases I, II, and III subunit</t>
  </si>
  <si>
    <t>OG0006704</t>
  </si>
  <si>
    <t>Ofaveolata030093</t>
  </si>
  <si>
    <t>Ssiderea054259</t>
  </si>
  <si>
    <t>Pyruvate Dehydrogenase Phosphatase Regulatory subunit</t>
  </si>
  <si>
    <t>OG0006916</t>
  </si>
  <si>
    <t>Ofaveolata025102</t>
  </si>
  <si>
    <t>Ssiderea021433</t>
  </si>
  <si>
    <t>cellular response to nitroglycerin</t>
  </si>
  <si>
    <t>OG0007085</t>
  </si>
  <si>
    <t>Ofaveolata011062</t>
  </si>
  <si>
    <t>Ssiderea055660</t>
  </si>
  <si>
    <t>acetyl-CoA C-acyltransferase activity</t>
  </si>
  <si>
    <t>OG0007099</t>
  </si>
  <si>
    <t>Ofaveolata013955</t>
  </si>
  <si>
    <t>Ssiderea043987</t>
  </si>
  <si>
    <t>SOCS box</t>
  </si>
  <si>
    <t>OG0007223</t>
  </si>
  <si>
    <t>Ofaveolata024000</t>
  </si>
  <si>
    <t>Ssiderea045939</t>
  </si>
  <si>
    <t>retrograde transport, endosome to Golgi</t>
  </si>
  <si>
    <t>OG0007373</t>
  </si>
  <si>
    <t>Ofaveolata028658</t>
  </si>
  <si>
    <t>Ssiderea042844</t>
  </si>
  <si>
    <t>OG0007377</t>
  </si>
  <si>
    <t>Ofaveolata018325</t>
  </si>
  <si>
    <t>Ssiderea018648</t>
  </si>
  <si>
    <t>ribosomal small subunit assembly</t>
  </si>
  <si>
    <t>OG0007509</t>
  </si>
  <si>
    <t>Ofaveolata000882</t>
  </si>
  <si>
    <t>Ssiderea022571</t>
  </si>
  <si>
    <t>cortical actin cytoskeleton organization</t>
  </si>
  <si>
    <t>OG0007519</t>
  </si>
  <si>
    <t>Ofaveolata015705</t>
  </si>
  <si>
    <t>Ssiderea054062</t>
  </si>
  <si>
    <t>this phosphorylation event is a prerequisite for the subsequent ligation of the two exon halves and the production of a mature tRNA. Component of the pre-mRNA cleavage complex II (CF-II), which seems to be required for mRNA 3'-end formation. Also phosphorylates the 5'-terminus of exogenously introduced short interfering RNAs (siRNAs), which is a necessary prerequisite for their incorporation into the RNA- induced silencing complex (RISC). However, endogenous siRNAs and microRNAs (miRNAs) that are produced by the cleavage of dsRNA precursors by DICER1 already contain a 5'-phosphate group, so this protein may be dispensible for normal RNA-mediated gene silencing</t>
  </si>
  <si>
    <t>OG0007705</t>
  </si>
  <si>
    <t>Ofaveolata029293</t>
  </si>
  <si>
    <t>Ssiderea033146</t>
  </si>
  <si>
    <t>hematopoietic progenitor cell differentiation</t>
  </si>
  <si>
    <t>OG0008078</t>
  </si>
  <si>
    <t>Ofaveolata019944</t>
  </si>
  <si>
    <t>Ssiderea052338</t>
  </si>
  <si>
    <t>WD repeat-containing protein 82</t>
  </si>
  <si>
    <t>OG0008249</t>
  </si>
  <si>
    <t>Ofaveolata029834</t>
  </si>
  <si>
    <t>Ssiderea023984</t>
  </si>
  <si>
    <t>nicotinamide phosphoribosyltransferase activity</t>
  </si>
  <si>
    <t>OG0008266</t>
  </si>
  <si>
    <t>Ofaveolata008052</t>
  </si>
  <si>
    <t>Ssiderea009585</t>
  </si>
  <si>
    <t>pyruvate carboxylase activity</t>
  </si>
  <si>
    <t>OG0008312</t>
  </si>
  <si>
    <t>Ofaveolata016454</t>
  </si>
  <si>
    <t>Ssiderea036522</t>
  </si>
  <si>
    <t>OG0008357</t>
  </si>
  <si>
    <t>Ofaveolata030545</t>
  </si>
  <si>
    <t>Ssiderea034082</t>
  </si>
  <si>
    <t>RNA-binding component of the eukaryotic translation initiation factor 3 (eIF-3) complex, which is involved in protein synthesis of a specialized repertoire of mRNAs and, together with other initiation factors, stimulates binding of mRNA and methionyl-tRNAi to the 40S ribosome. The eIF-3 complex specifically targets and initiates translation of a subset of mRNAs involved in cell proliferation. This subunit can bind 18S rRNA</t>
  </si>
  <si>
    <t>OG0008568</t>
  </si>
  <si>
    <t>Ofaveolata006473</t>
  </si>
  <si>
    <t>Ssiderea058361</t>
  </si>
  <si>
    <t>spliceosomal snRNP assembly</t>
  </si>
  <si>
    <t>OG0008683</t>
  </si>
  <si>
    <t>Ofaveolata010814</t>
  </si>
  <si>
    <t>Ssiderea019818</t>
  </si>
  <si>
    <t>Glucose-induced degradation protein 8 homolog</t>
  </si>
  <si>
    <t>OG0008870</t>
  </si>
  <si>
    <t>Ofaveolata011260</t>
  </si>
  <si>
    <t>Ssiderea051474</t>
  </si>
  <si>
    <t>muscle alpha-actinin binding</t>
  </si>
  <si>
    <t>OG0008964</t>
  </si>
  <si>
    <t>Ofaveolata022861</t>
  </si>
  <si>
    <t>Ssiderea015507</t>
  </si>
  <si>
    <t>ER-associated misfolded protein catabolic process</t>
  </si>
  <si>
    <t>OG0009207</t>
  </si>
  <si>
    <t>Ofaveolata029937</t>
  </si>
  <si>
    <t>Ssiderea024205</t>
  </si>
  <si>
    <t>protein processing involved in protein targeting to mitochondrion</t>
  </si>
  <si>
    <t>OG0009228</t>
  </si>
  <si>
    <t>Ofaveolata004273</t>
  </si>
  <si>
    <t>Ssiderea029061</t>
  </si>
  <si>
    <t>OG0009275</t>
  </si>
  <si>
    <t>Ofaveolata002516</t>
  </si>
  <si>
    <t>Ssiderea027135</t>
  </si>
  <si>
    <t>Catalyzes the three sequential steps of the methylation pathway of phosphatidylcholine biosynthesis, the SAM-dependent methylation of phosphatidylethanolamine (PE) to phosphatidylmonomethylethanolamine (PMME), PMME to phosphatidyldimethylethanolamine (PDME), and PDME to phosphatidylcholine (PC)</t>
  </si>
  <si>
    <t>OG0009282</t>
  </si>
  <si>
    <t>Ofaveolata031084</t>
  </si>
  <si>
    <t>Ssiderea048851</t>
  </si>
  <si>
    <t>OG0009419</t>
  </si>
  <si>
    <t>Ofaveolata020787</t>
  </si>
  <si>
    <t>Ssiderea047640</t>
  </si>
  <si>
    <t>acylglycerol kinase activity</t>
  </si>
  <si>
    <t>OG0009420</t>
  </si>
  <si>
    <t>Ofaveolata015057</t>
  </si>
  <si>
    <t>Ssiderea051315</t>
  </si>
  <si>
    <t>Fibrillar collagens C-terminal domain</t>
  </si>
  <si>
    <t>OG0009455</t>
  </si>
  <si>
    <t>Ofaveolata014668</t>
  </si>
  <si>
    <t>Ssiderea004285</t>
  </si>
  <si>
    <t>collateral sprouting in absence of injury</t>
  </si>
  <si>
    <t>Serine peptidase inhibitor, Kunitz type, 2</t>
  </si>
  <si>
    <t>OG0009478</t>
  </si>
  <si>
    <t>Ofaveolata002890</t>
  </si>
  <si>
    <t>Ssiderea024559</t>
  </si>
  <si>
    <t>protein-glutamine gamma-glutamyltransferase activity</t>
  </si>
  <si>
    <t>OG0009644</t>
  </si>
  <si>
    <t>Ofaveolata010965</t>
  </si>
  <si>
    <t>Ssiderea055762</t>
  </si>
  <si>
    <t>isocitrate dehydrogenase (NADP+) activity</t>
  </si>
  <si>
    <t>OG0009683</t>
  </si>
  <si>
    <t>Ofaveolata027973</t>
  </si>
  <si>
    <t>Ssiderea035456</t>
  </si>
  <si>
    <t>DIRAS family, GTP-binding Ras-like</t>
  </si>
  <si>
    <t>OG0009703</t>
  </si>
  <si>
    <t>Ofaveolata004535</t>
  </si>
  <si>
    <t>Ssiderea052456</t>
  </si>
  <si>
    <t>OG0009741</t>
  </si>
  <si>
    <t>Ofaveolata001253</t>
  </si>
  <si>
    <t>Ssiderea056338</t>
  </si>
  <si>
    <t>negative regulation of ERK1 and ERK2 cascade</t>
  </si>
  <si>
    <t>OG0009791</t>
  </si>
  <si>
    <t>Ofaveolata017184</t>
  </si>
  <si>
    <t>Ssiderea039123</t>
  </si>
  <si>
    <t>ABRA C-terminal like</t>
  </si>
  <si>
    <t>OG0009962</t>
  </si>
  <si>
    <t>Ofaveolata029592</t>
  </si>
  <si>
    <t>Ssiderea054629</t>
  </si>
  <si>
    <t>pectin acetylesterase activity</t>
  </si>
  <si>
    <t>OG0010005</t>
  </si>
  <si>
    <t>Ofaveolata004629</t>
  </si>
  <si>
    <t>Ssiderea016538</t>
  </si>
  <si>
    <t>CAAX-box protein maturation</t>
  </si>
  <si>
    <t>OG0010035</t>
  </si>
  <si>
    <t>Ofaveolata026240</t>
  </si>
  <si>
    <t>Ssiderea039557</t>
  </si>
  <si>
    <t>Core-binding factor</t>
  </si>
  <si>
    <t>OG0010063</t>
  </si>
  <si>
    <t>Ofaveolata013547</t>
  </si>
  <si>
    <t>Ssiderea000173</t>
  </si>
  <si>
    <t>signal recognition particle binding</t>
  </si>
  <si>
    <t>OG0010126</t>
  </si>
  <si>
    <t>Ofaveolata024454</t>
  </si>
  <si>
    <t>Ssiderea005782</t>
  </si>
  <si>
    <t>tektin 2 (testicular)</t>
  </si>
  <si>
    <t>OG0010154</t>
  </si>
  <si>
    <t>Ofaveolata017714</t>
  </si>
  <si>
    <t>Ssiderea046941</t>
  </si>
  <si>
    <t>Electron transfer flavoprotein subunit</t>
  </si>
  <si>
    <t>OG0010191</t>
  </si>
  <si>
    <t>Ofaveolata007841</t>
  </si>
  <si>
    <t>Ssiderea009135</t>
  </si>
  <si>
    <t>proteasome assembly</t>
  </si>
  <si>
    <t>OG0010571</t>
  </si>
  <si>
    <t>Ofaveolata019779</t>
  </si>
  <si>
    <t>Ssiderea012117</t>
  </si>
  <si>
    <t>Sushi, von Willebrand factor type A, EGF and pentraxin domain-containing protein 1-like</t>
  </si>
  <si>
    <t>OG0010649</t>
  </si>
  <si>
    <t>Ofaveolata021881</t>
  </si>
  <si>
    <t>Ssiderea020406</t>
  </si>
  <si>
    <t>regulation of hippo signaling</t>
  </si>
  <si>
    <t>WW and C2 domain containing</t>
  </si>
  <si>
    <t>OG0010658</t>
  </si>
  <si>
    <t>Ofaveolata028948</t>
  </si>
  <si>
    <t>Ssiderea014239</t>
  </si>
  <si>
    <t>mannose-ethanolamine phosphotransferase activity</t>
  </si>
  <si>
    <t>OG0010748</t>
  </si>
  <si>
    <t>Ofaveolata029130</t>
  </si>
  <si>
    <t>Ssiderea042606</t>
  </si>
  <si>
    <t>maintenance of mitotic sister chromatid cohesion</t>
  </si>
  <si>
    <t>OG0010803</t>
  </si>
  <si>
    <t>Ofaveolata031584</t>
  </si>
  <si>
    <t>Ssiderea054463</t>
  </si>
  <si>
    <t>OG0010839</t>
  </si>
  <si>
    <t>Ofaveolata021144</t>
  </si>
  <si>
    <t>Ssiderea011802</t>
  </si>
  <si>
    <t>suppressor of G2 allele of SKP1</t>
  </si>
  <si>
    <t>OG0010946</t>
  </si>
  <si>
    <t>Ofaveolata013104</t>
  </si>
  <si>
    <t>Ssiderea001393</t>
  </si>
  <si>
    <t>GNS1/SUR4 family</t>
  </si>
  <si>
    <t>OG0011004</t>
  </si>
  <si>
    <t>Ofaveolata009955</t>
  </si>
  <si>
    <t>Ssiderea057999</t>
  </si>
  <si>
    <t>axonemal dynein complex assembly</t>
  </si>
  <si>
    <t>OG0011022</t>
  </si>
  <si>
    <t>Ofaveolata029599</t>
  </si>
  <si>
    <t>Ssiderea054609</t>
  </si>
  <si>
    <t>cell-cell junction organization</t>
  </si>
  <si>
    <t>OG0011104</t>
  </si>
  <si>
    <t>Ofaveolata026139</t>
  </si>
  <si>
    <t>Ssiderea054948</t>
  </si>
  <si>
    <t>OG0011168</t>
  </si>
  <si>
    <t>Ofaveolata026146</t>
  </si>
  <si>
    <t>Ssiderea054961</t>
  </si>
  <si>
    <t>Cytochrome c1, heme protein</t>
  </si>
  <si>
    <t>Cytochrome c1</t>
  </si>
  <si>
    <t>OG0011276</t>
  </si>
  <si>
    <t>Ofaveolata013452</t>
  </si>
  <si>
    <t>Ssiderea000534</t>
  </si>
  <si>
    <t>OG0011420</t>
  </si>
  <si>
    <t>Ofaveolata018244</t>
  </si>
  <si>
    <t>Ssiderea002122</t>
  </si>
  <si>
    <t>OG0011455</t>
  </si>
  <si>
    <t>Ofaveolata005966</t>
  </si>
  <si>
    <t>Ssiderea047861</t>
  </si>
  <si>
    <t>OG0011617</t>
  </si>
  <si>
    <t>Ofaveolata024364</t>
  </si>
  <si>
    <t>Ssiderea006200</t>
  </si>
  <si>
    <t>acetate-CoA ligase activity</t>
  </si>
  <si>
    <t>OG0011704</t>
  </si>
  <si>
    <t>Ofaveolata014911</t>
  </si>
  <si>
    <t>Ssiderea004904</t>
  </si>
  <si>
    <t>OG0011801</t>
  </si>
  <si>
    <t>Ofaveolata010441</t>
  </si>
  <si>
    <t>Ssiderea019460</t>
  </si>
  <si>
    <t>regulation of protein catabolic process</t>
  </si>
  <si>
    <t>OG0011899</t>
  </si>
  <si>
    <t>Ofaveolata019615</t>
  </si>
  <si>
    <t>Ssiderea047668</t>
  </si>
  <si>
    <t>OG0012106</t>
  </si>
  <si>
    <t>Ofaveolata001844</t>
  </si>
  <si>
    <t>Ssiderea057693</t>
  </si>
  <si>
    <t>acetyl-CoA</t>
  </si>
  <si>
    <t>OG0012173</t>
  </si>
  <si>
    <t>Ofaveolata032662</t>
  </si>
  <si>
    <t>Ssiderea051996</t>
  </si>
  <si>
    <t>B-cell receptor-associated protein 31</t>
  </si>
  <si>
    <t>OG0012304</t>
  </si>
  <si>
    <t>Ofaveolata023492</t>
  </si>
  <si>
    <t>Ssiderea004955</t>
  </si>
  <si>
    <t>10-hydroxy-9-(phosphonooxy)octadecanoate phosphatase activity</t>
  </si>
  <si>
    <t>OG0012364</t>
  </si>
  <si>
    <t>Ofaveolata033676</t>
  </si>
  <si>
    <t>Ssiderea053647</t>
  </si>
  <si>
    <t>solute carrier family 35, member D3</t>
  </si>
  <si>
    <t>OG0012409</t>
  </si>
  <si>
    <t>Ofaveolata019724</t>
  </si>
  <si>
    <t>Ssiderea011989</t>
  </si>
  <si>
    <t>mRNA processing</t>
  </si>
  <si>
    <t>OG0012503</t>
  </si>
  <si>
    <t>Ofaveolata008509</t>
  </si>
  <si>
    <t>Ssiderea008714</t>
  </si>
  <si>
    <t>elongation of very long chain fatty acids protein</t>
  </si>
  <si>
    <t>OG0012570</t>
  </si>
  <si>
    <t>Ofaveolata010242</t>
  </si>
  <si>
    <t>Ssiderea019445</t>
  </si>
  <si>
    <t>OG0012616</t>
  </si>
  <si>
    <t>Ofaveolata013556</t>
  </si>
  <si>
    <t>Ssiderea000113</t>
  </si>
  <si>
    <t>steroid binding</t>
  </si>
  <si>
    <t>OG0012830</t>
  </si>
  <si>
    <t>Ofaveolata015070</t>
  </si>
  <si>
    <t>Ssiderea051298</t>
  </si>
  <si>
    <t>Chondroitin</t>
  </si>
  <si>
    <t>OG0012851</t>
  </si>
  <si>
    <t>Ofaveolata018002</t>
  </si>
  <si>
    <t>Ssiderea002260</t>
  </si>
  <si>
    <t>OG0012856</t>
  </si>
  <si>
    <t>Ofaveolata003593</t>
  </si>
  <si>
    <t>Ssiderea046325</t>
  </si>
  <si>
    <t>procollagen-lysine 5-dioxygenase activity</t>
  </si>
  <si>
    <t>OG0012871</t>
  </si>
  <si>
    <t>Ofaveolata027113</t>
  </si>
  <si>
    <t>Ssiderea025745</t>
  </si>
  <si>
    <t>Avidin family</t>
  </si>
  <si>
    <t>OG0012898</t>
  </si>
  <si>
    <t>Ofaveolata000304</t>
  </si>
  <si>
    <t>Ssiderea022140</t>
  </si>
  <si>
    <t>Phosphoethanolamine</t>
  </si>
  <si>
    <t>OG0012937</t>
  </si>
  <si>
    <t>Ofaveolata022678</t>
  </si>
  <si>
    <t>Ssiderea015241</t>
  </si>
  <si>
    <t>snRNA import into nucleus</t>
  </si>
  <si>
    <t>OG0013054</t>
  </si>
  <si>
    <t>Ofaveolata000020</t>
  </si>
  <si>
    <t>Ssiderea029563</t>
  </si>
  <si>
    <t>glucokinase activity</t>
  </si>
  <si>
    <t>OG0000235</t>
  </si>
  <si>
    <t>Ofaveolata026756</t>
  </si>
  <si>
    <t>Ssiderea017758</t>
  </si>
  <si>
    <t>OG0000298</t>
  </si>
  <si>
    <t>Ofaveolata028105</t>
  </si>
  <si>
    <t>Ssiderea035364</t>
  </si>
  <si>
    <t>Belongs to the AB hydrolase superfamily. Lipase family</t>
  </si>
  <si>
    <t>OG0000435</t>
  </si>
  <si>
    <t>Ofaveolata024657</t>
  </si>
  <si>
    <t>Ssiderea017127</t>
  </si>
  <si>
    <t>OG0000458</t>
  </si>
  <si>
    <t>Ofaveolata000629</t>
  </si>
  <si>
    <t>Ssiderea010872</t>
  </si>
  <si>
    <t>OG0000517</t>
  </si>
  <si>
    <t>Ofaveolata010083</t>
  </si>
  <si>
    <t>Ssiderea049473</t>
  </si>
  <si>
    <t>Sulfotransferase family</t>
  </si>
  <si>
    <t>OG0000528</t>
  </si>
  <si>
    <t>Ofaveolata010114</t>
  </si>
  <si>
    <t>Ssiderea055862</t>
  </si>
  <si>
    <t>OG0000954</t>
  </si>
  <si>
    <t>Ofaveolata030981</t>
  </si>
  <si>
    <t>Ssiderea006552</t>
  </si>
  <si>
    <t>OG0001076</t>
  </si>
  <si>
    <t>Ofaveolata012519</t>
  </si>
  <si>
    <t>Ssiderea000711</t>
  </si>
  <si>
    <t>positive regulation of myosin-light-chain-phosphatase activity</t>
  </si>
  <si>
    <t>OG0001131</t>
  </si>
  <si>
    <t>Ofaveolata035004</t>
  </si>
  <si>
    <t>Ssiderea021492</t>
  </si>
  <si>
    <t>OG0001161</t>
  </si>
  <si>
    <t>Ofaveolata031699</t>
  </si>
  <si>
    <t>Ssiderea007186</t>
  </si>
  <si>
    <t>glucosaminylgalactosylglucosylceramide beta-galactosyltransferase activity</t>
  </si>
  <si>
    <t>Ofaveolata028711</t>
  </si>
  <si>
    <t>Ssiderea042785</t>
  </si>
  <si>
    <t>OG0001597</t>
  </si>
  <si>
    <t>Ofaveolata005747</t>
  </si>
  <si>
    <t>Ssiderea047725</t>
  </si>
  <si>
    <t>OG0001620</t>
  </si>
  <si>
    <t>Ofaveolata015454</t>
  </si>
  <si>
    <t>Ssiderea054585</t>
  </si>
  <si>
    <t>Low-density lipoprotein receptor domain class A</t>
  </si>
  <si>
    <t>OG0001888</t>
  </si>
  <si>
    <t>Ofaveolata000749</t>
  </si>
  <si>
    <t>Ssiderea044929</t>
  </si>
  <si>
    <t>OG0002235</t>
  </si>
  <si>
    <t>Ofaveolata030541</t>
  </si>
  <si>
    <t>Ssiderea037657</t>
  </si>
  <si>
    <t>OG0002311</t>
  </si>
  <si>
    <t>Ofaveolata024693</t>
  </si>
  <si>
    <t>Ssiderea038681</t>
  </si>
  <si>
    <t>bZIP Maf transcription factor</t>
  </si>
  <si>
    <t>OG0002362</t>
  </si>
  <si>
    <t>Ofaveolata010589</t>
  </si>
  <si>
    <t>Ssiderea045262</t>
  </si>
  <si>
    <t>axonogenesis involved in innervation</t>
  </si>
  <si>
    <t>OG0002528</t>
  </si>
  <si>
    <t>Ofaveolata032458</t>
  </si>
  <si>
    <t>Ssiderea034685</t>
  </si>
  <si>
    <t>Belongs to the peptidase M16 family</t>
  </si>
  <si>
    <t>OG0002598</t>
  </si>
  <si>
    <t>Ofaveolata028327</t>
  </si>
  <si>
    <t>Ssiderea004875</t>
  </si>
  <si>
    <t>OG0002897</t>
  </si>
  <si>
    <t>Ofaveolata030219</t>
  </si>
  <si>
    <t>Ssiderea027371</t>
  </si>
  <si>
    <t>TNF receptor-associated factor</t>
  </si>
  <si>
    <t>OG0002912</t>
  </si>
  <si>
    <t>Ofaveolata009608</t>
  </si>
  <si>
    <t>Ssiderea051621</t>
  </si>
  <si>
    <t>Cap1 CAP, adenylate cyclase-associated protein 1</t>
  </si>
  <si>
    <t>adenylate cyclase binding</t>
  </si>
  <si>
    <t>OG0003011</t>
  </si>
  <si>
    <t>Ofaveolata026613</t>
  </si>
  <si>
    <t>Ssiderea035161</t>
  </si>
  <si>
    <t>deoxyribonuclease I activity</t>
  </si>
  <si>
    <t>OG0003080</t>
  </si>
  <si>
    <t>Ofaveolata021070</t>
  </si>
  <si>
    <t>Ssiderea011704</t>
  </si>
  <si>
    <t>OG0003086</t>
  </si>
  <si>
    <t>Ofaveolata004909</t>
  </si>
  <si>
    <t>Ssiderea037401</t>
  </si>
  <si>
    <t>identical protein binding</t>
  </si>
  <si>
    <t>OG0003245</t>
  </si>
  <si>
    <t>Ofaveolata026641</t>
  </si>
  <si>
    <t>Ssiderea017631</t>
  </si>
  <si>
    <t>tolloid-like protein 2</t>
  </si>
  <si>
    <t>OG0003604</t>
  </si>
  <si>
    <t>Ofaveolata029033</t>
  </si>
  <si>
    <t>Ssiderea054281</t>
  </si>
  <si>
    <t>HIstidiNe Triad nucleotide-binding protein</t>
  </si>
  <si>
    <t>HIT domain</t>
  </si>
  <si>
    <t>OG0003638</t>
  </si>
  <si>
    <t>Ofaveolata025754</t>
  </si>
  <si>
    <t>Ssiderea055623</t>
  </si>
  <si>
    <t>OG0003645</t>
  </si>
  <si>
    <t>Ofaveolata019225</t>
  </si>
  <si>
    <t>Ssiderea019162</t>
  </si>
  <si>
    <t>Transmembrane protein 145</t>
  </si>
  <si>
    <t>OG0003688</t>
  </si>
  <si>
    <t>Ofaveolata022367</t>
  </si>
  <si>
    <t>Ssiderea023249</t>
  </si>
  <si>
    <t>Golgi to plasma membrane transport</t>
  </si>
  <si>
    <t>OG0003915</t>
  </si>
  <si>
    <t>Ofaveolata007210</t>
  </si>
  <si>
    <t>Ssiderea009883</t>
  </si>
  <si>
    <t>Putative zinc finger in N-recognin (UBR box)</t>
  </si>
  <si>
    <t>OG0003925</t>
  </si>
  <si>
    <t>Ofaveolata021285</t>
  </si>
  <si>
    <t>Ssiderea047397</t>
  </si>
  <si>
    <t>ThiF family</t>
  </si>
  <si>
    <t>OG0004207</t>
  </si>
  <si>
    <t>Ofaveolata002528</t>
  </si>
  <si>
    <t>Ssiderea027146</t>
  </si>
  <si>
    <t>OG0004224</t>
  </si>
  <si>
    <t>Ofaveolata001772</t>
  </si>
  <si>
    <t>Ssiderea027020</t>
  </si>
  <si>
    <t>ADAM-TS Spacer 1</t>
  </si>
  <si>
    <t>with thrombospondin</t>
  </si>
  <si>
    <t>OG0004327</t>
  </si>
  <si>
    <t>Ofaveolata010886</t>
  </si>
  <si>
    <t>Ssiderea019898</t>
  </si>
  <si>
    <t>entrainment of circadian clock</t>
  </si>
  <si>
    <t>pineal gland development</t>
  </si>
  <si>
    <t>OG0004348</t>
  </si>
  <si>
    <t>Ofaveolata029009</t>
  </si>
  <si>
    <t>Ssiderea054286</t>
  </si>
  <si>
    <t>fatty acid beta-oxidation using acyl-CoA dehydrogenase</t>
  </si>
  <si>
    <t>OG0004400</t>
  </si>
  <si>
    <t>Ofaveolata001634</t>
  </si>
  <si>
    <t>Ssiderea026672</t>
  </si>
  <si>
    <t>OG0004433</t>
  </si>
  <si>
    <t>Ofaveolata015204</t>
  </si>
  <si>
    <t>Ssiderea051141</t>
  </si>
  <si>
    <t>OG0004477</t>
  </si>
  <si>
    <t>Ofaveolata008121</t>
  </si>
  <si>
    <t>Ssiderea009659</t>
  </si>
  <si>
    <t>DNA replication initiation</t>
  </si>
  <si>
    <t>OG0004524</t>
  </si>
  <si>
    <t>Ofaveolata027535</t>
  </si>
  <si>
    <t>Ssiderea025184</t>
  </si>
  <si>
    <t>Cell division cycle</t>
  </si>
  <si>
    <t>OG0004536</t>
  </si>
  <si>
    <t>Ofaveolata001111</t>
  </si>
  <si>
    <t>Ssiderea022163</t>
  </si>
  <si>
    <t>retinol dehydrogenase activity</t>
  </si>
  <si>
    <t>OG0004786</t>
  </si>
  <si>
    <t>Ofaveolata003122</t>
  </si>
  <si>
    <t>Ssiderea024610</t>
  </si>
  <si>
    <t>peptide-methionine (S)-S-oxide reductase activity</t>
  </si>
  <si>
    <t>Thioredoxin</t>
  </si>
  <si>
    <t>OG0004796</t>
  </si>
  <si>
    <t>Ofaveolata004101</t>
  </si>
  <si>
    <t>Ssiderea030788</t>
  </si>
  <si>
    <t>oxoglutarate:malate antiporter activity</t>
  </si>
  <si>
    <t>OG0004829</t>
  </si>
  <si>
    <t>Ofaveolata026912</t>
  </si>
  <si>
    <t>Ssiderea017923</t>
  </si>
  <si>
    <t>OG0004854</t>
  </si>
  <si>
    <t>Ofaveolata000070</t>
  </si>
  <si>
    <t>Ssiderea029422</t>
  </si>
  <si>
    <t>sodium channel activity</t>
  </si>
  <si>
    <t>OG0004859</t>
  </si>
  <si>
    <t>Ofaveolata028735</t>
  </si>
  <si>
    <t>Ssiderea014578</t>
  </si>
  <si>
    <t>OG0004982</t>
  </si>
  <si>
    <t>Ofaveolata029248</t>
  </si>
  <si>
    <t>Ssiderea033200</t>
  </si>
  <si>
    <t>OG0005047</t>
  </si>
  <si>
    <t>Ofaveolata023070</t>
  </si>
  <si>
    <t>Ssiderea014719</t>
  </si>
  <si>
    <t>intra-S DNA damage checkpoint</t>
  </si>
  <si>
    <t>OG0005072</t>
  </si>
  <si>
    <t>Ofaveolata028669</t>
  </si>
  <si>
    <t>Ssiderea042832</t>
  </si>
  <si>
    <t>interkinetic nuclear migration</t>
  </si>
  <si>
    <t>OG0005095</t>
  </si>
  <si>
    <t>Ofaveolata024441</t>
  </si>
  <si>
    <t>Ssiderea006120</t>
  </si>
  <si>
    <t>GPN-loop GTPase 3</t>
  </si>
  <si>
    <t>OG0005381</t>
  </si>
  <si>
    <t>Ofaveolata001446</t>
  </si>
  <si>
    <t>Ssiderea043598</t>
  </si>
  <si>
    <t>taste receptor binding</t>
  </si>
  <si>
    <t>OG0005728</t>
  </si>
  <si>
    <t>Ofaveolata005594</t>
  </si>
  <si>
    <t>Ssiderea016144</t>
  </si>
  <si>
    <t>gamma-tubulin binding</t>
  </si>
  <si>
    <t>OG0005768</t>
  </si>
  <si>
    <t>Ofaveolata024307</t>
  </si>
  <si>
    <t>Ssiderea006300</t>
  </si>
  <si>
    <t>OG0005873</t>
  </si>
  <si>
    <t>Ofaveolata000637</t>
  </si>
  <si>
    <t>Ssiderea044776</t>
  </si>
  <si>
    <t>WD repeat-containing protein 1</t>
  </si>
  <si>
    <t>OG0006034</t>
  </si>
  <si>
    <t>Ofaveolata022899</t>
  </si>
  <si>
    <t>Ssiderea014967</t>
  </si>
  <si>
    <t>OG0006056</t>
  </si>
  <si>
    <t>Ofaveolata025472</t>
  </si>
  <si>
    <t>Ssiderea039851</t>
  </si>
  <si>
    <t>tRNA threonylcarbamoyladenosine metabolic process</t>
  </si>
  <si>
    <t>OG0006445</t>
  </si>
  <si>
    <t>Ofaveolata005983</t>
  </si>
  <si>
    <t>Ssiderea047826</t>
  </si>
  <si>
    <t>potassium voltage-gated channel, subfamily H</t>
  </si>
  <si>
    <t>OG0006457</t>
  </si>
  <si>
    <t>Ofaveolata017108</t>
  </si>
  <si>
    <t>Ssiderea052642</t>
  </si>
  <si>
    <t>chromatin remodeling</t>
  </si>
  <si>
    <t>OG0006521</t>
  </si>
  <si>
    <t>Ofaveolata005829</t>
  </si>
  <si>
    <t>Ssiderea045771</t>
  </si>
  <si>
    <t>OG0006573</t>
  </si>
  <si>
    <t>Ofaveolata007769</t>
  </si>
  <si>
    <t>Ssiderea009245</t>
  </si>
  <si>
    <t>protein ADP-ribosylase activity</t>
  </si>
  <si>
    <t>OG0006639</t>
  </si>
  <si>
    <t>Ofaveolata027060</t>
  </si>
  <si>
    <t>Ssiderea042234</t>
  </si>
  <si>
    <t>protein disulfide oxidoreductase activity. It is involved in the biological process described with</t>
  </si>
  <si>
    <t>over those bearing complex type oligosaccharides. Can recognize misfolded proteins in the endoplasmic reticulum that are exported to the cytosol to be destroyed and deglycosylate them, while it has no activity toward native proteins. Deglycosylation is a prerequisite for subsequent proteasome-mediated degradation of some, but not all, misfolded glycoproteins. Also displays oxidoreductase (thioredoxin) activity</t>
  </si>
  <si>
    <t>OG0006657</t>
  </si>
  <si>
    <t>Ofaveolata002636</t>
  </si>
  <si>
    <t>Ssiderea027226</t>
  </si>
  <si>
    <t>O-phospho-L-serine:2-oxoglutarate aminotransferase activity</t>
  </si>
  <si>
    <t>OG0006683</t>
  </si>
  <si>
    <t>Ofaveolata022464</t>
  </si>
  <si>
    <t>Ssiderea015153</t>
  </si>
  <si>
    <t>Dynein, light chain</t>
  </si>
  <si>
    <t>dynein, light chain</t>
  </si>
  <si>
    <t>OG0006707</t>
  </si>
  <si>
    <t>Ofaveolata022867</t>
  </si>
  <si>
    <t>Ssiderea015142</t>
  </si>
  <si>
    <t>OG0006801</t>
  </si>
  <si>
    <t>Ofaveolata015531</t>
  </si>
  <si>
    <t>Ssiderea59518</t>
  </si>
  <si>
    <t>integrin-mediated signaling pathway</t>
  </si>
  <si>
    <t>OG0006847</t>
  </si>
  <si>
    <t>Ofaveolata028491</t>
  </si>
  <si>
    <t>Ssiderea042685</t>
  </si>
  <si>
    <t>HIV-1 Tat interactive protein 2</t>
  </si>
  <si>
    <t>OG0006943</t>
  </si>
  <si>
    <t>Ofaveolata013514</t>
  </si>
  <si>
    <t>Ssiderea000374</t>
  </si>
  <si>
    <t>OG0007074</t>
  </si>
  <si>
    <t>Ofaveolata028697</t>
  </si>
  <si>
    <t>Ssiderea042802</t>
  </si>
  <si>
    <t>protein N-linked glycosylation via arginine</t>
  </si>
  <si>
    <t>OG0007139</t>
  </si>
  <si>
    <t>Ofaveolata018019</t>
  </si>
  <si>
    <t>Ssiderea002250</t>
  </si>
  <si>
    <t>OG0007184</t>
  </si>
  <si>
    <t>Ofaveolata019786</t>
  </si>
  <si>
    <t>Ssiderea011997</t>
  </si>
  <si>
    <t>OG0007190</t>
  </si>
  <si>
    <t>Ofaveolata017616</t>
  </si>
  <si>
    <t>Ssiderea046853</t>
  </si>
  <si>
    <t>positive regulation of calcium:sodium antiporter activity</t>
  </si>
  <si>
    <t>OG0007344</t>
  </si>
  <si>
    <t>Ofaveolata001468</t>
  </si>
  <si>
    <t>Ssiderea043681</t>
  </si>
  <si>
    <t>Tudor domain containing 9</t>
  </si>
  <si>
    <t>OG0007391</t>
  </si>
  <si>
    <t>Ofaveolata012913</t>
  </si>
  <si>
    <t>Ssiderea001538</t>
  </si>
  <si>
    <t>Beta-eliminating lyase</t>
  </si>
  <si>
    <t>OG0007404</t>
  </si>
  <si>
    <t>Ofaveolata010569</t>
  </si>
  <si>
    <t>Ssiderea045378</t>
  </si>
  <si>
    <t>OG0007429</t>
  </si>
  <si>
    <t>Ofaveolata034032</t>
  </si>
  <si>
    <t>Ssiderea031967</t>
  </si>
  <si>
    <t>Mab-21</t>
  </si>
  <si>
    <t>OG0007529</t>
  </si>
  <si>
    <t>Ofaveolata003591</t>
  </si>
  <si>
    <t>Ssiderea046322</t>
  </si>
  <si>
    <t>CRD-mediated mRNA stabilization</t>
  </si>
  <si>
    <t>OG0007719</t>
  </si>
  <si>
    <t>Ofaveolata000774</t>
  </si>
  <si>
    <t>Ssiderea044996</t>
  </si>
  <si>
    <t>peptidyl-serine dephosphorylation</t>
  </si>
  <si>
    <t>OG0007849</t>
  </si>
  <si>
    <t>Ofaveolata025772</t>
  </si>
  <si>
    <t>Ssiderea038875</t>
  </si>
  <si>
    <t>OG0007983</t>
  </si>
  <si>
    <t>Ofaveolata003611</t>
  </si>
  <si>
    <t>Ssiderea046342</t>
  </si>
  <si>
    <t>Signal recognition particle receptor</t>
  </si>
  <si>
    <t>OG0008156</t>
  </si>
  <si>
    <t>Ofaveolata033818</t>
  </si>
  <si>
    <t>Ssiderea047181</t>
  </si>
  <si>
    <t>regulation of translational initiation in response to starvation</t>
  </si>
  <si>
    <t>induction by virus of host autophagy</t>
  </si>
  <si>
    <t>OG0008235</t>
  </si>
  <si>
    <t>Ofaveolata000198</t>
  </si>
  <si>
    <t>Ssiderea029801</t>
  </si>
  <si>
    <t>dynein heavy chain binding</t>
  </si>
  <si>
    <t>OG0008466</t>
  </si>
  <si>
    <t>Ofaveolata012291</t>
  </si>
  <si>
    <t>Ssiderea017401</t>
  </si>
  <si>
    <t>cell redox homeostasis</t>
  </si>
  <si>
    <t>OG0008555</t>
  </si>
  <si>
    <t>Ofaveolata021821</t>
  </si>
  <si>
    <t>Ssiderea022764</t>
  </si>
  <si>
    <t>OG0008618</t>
  </si>
  <si>
    <t>Ofaveolata001565</t>
  </si>
  <si>
    <t>Ssiderea026806</t>
  </si>
  <si>
    <t>peptidyl-threonine phosphorylation</t>
  </si>
  <si>
    <t>OG0008678</t>
  </si>
  <si>
    <t>Ofaveolata016941</t>
  </si>
  <si>
    <t>Ssiderea039342</t>
  </si>
  <si>
    <t>OG0008748</t>
  </si>
  <si>
    <t>Ofaveolata021083</t>
  </si>
  <si>
    <t>Ssiderea011921</t>
  </si>
  <si>
    <t>OG0008816</t>
  </si>
  <si>
    <t>Ofaveolata014337</t>
  </si>
  <si>
    <t>Ssiderea003824</t>
  </si>
  <si>
    <t>OG0008844</t>
  </si>
  <si>
    <t>Ofaveolata003495</t>
  </si>
  <si>
    <t>Ssiderea046240</t>
  </si>
  <si>
    <t>Progestin and adipoQ receptor family member</t>
  </si>
  <si>
    <t>steroid hormone receptor activity</t>
  </si>
  <si>
    <t>OG0008907</t>
  </si>
  <si>
    <t>Ofaveolata023264</t>
  </si>
  <si>
    <t>Ssiderea045949</t>
  </si>
  <si>
    <t>Golgi to secretory granule transport</t>
  </si>
  <si>
    <t>OG0009064</t>
  </si>
  <si>
    <t>Ofaveolata022497</t>
  </si>
  <si>
    <t>Ssiderea015581</t>
  </si>
  <si>
    <t>phosphorylase kinase regulator activity</t>
  </si>
  <si>
    <t>OG0009201</t>
  </si>
  <si>
    <t>Ofaveolata003661</t>
  </si>
  <si>
    <t>Ssiderea046477</t>
  </si>
  <si>
    <t>OG0009208</t>
  </si>
  <si>
    <t>Ofaveolata000561</t>
  </si>
  <si>
    <t>Ssiderea029205</t>
  </si>
  <si>
    <t>palmitoyl-(protein) hydrolase activity</t>
  </si>
  <si>
    <t>OG0009232</t>
  </si>
  <si>
    <t>Ofaveolata001013</t>
  </si>
  <si>
    <t>Ssiderea022409</t>
  </si>
  <si>
    <t>Adducin 3 (Gamma)</t>
  </si>
  <si>
    <t>OG0009298</t>
  </si>
  <si>
    <t>Ofaveolata006609</t>
  </si>
  <si>
    <t>Ssiderea010002</t>
  </si>
  <si>
    <t>COPII-coated vesicle budding</t>
  </si>
  <si>
    <t>OG0009498</t>
  </si>
  <si>
    <t>Ofaveolata026615</t>
  </si>
  <si>
    <t>Ssiderea035159</t>
  </si>
  <si>
    <t>histone demethylase activity (H3-monomethyl-K4 specific)</t>
  </si>
  <si>
    <t>OG0009499</t>
  </si>
  <si>
    <t>Ofaveolata033072</t>
  </si>
  <si>
    <t>Ssiderea026121</t>
  </si>
  <si>
    <t>La ribonucleoprotein domain family, member 7</t>
  </si>
  <si>
    <t>RNA processing</t>
  </si>
  <si>
    <t>OG0009656</t>
  </si>
  <si>
    <t>Ofaveolata024713</t>
  </si>
  <si>
    <t>Ssiderea016961</t>
  </si>
  <si>
    <t>TBC LysM-associated domain containing 1</t>
  </si>
  <si>
    <t>negative regulation of oxidative stress-induced neuron death</t>
  </si>
  <si>
    <t>OG0009716</t>
  </si>
  <si>
    <t>Ofaveolata026640</t>
  </si>
  <si>
    <t>Ssiderea017635</t>
  </si>
  <si>
    <t>negative regulation of growth rate</t>
  </si>
  <si>
    <t>OG0009724</t>
  </si>
  <si>
    <t>Ofaveolata005171</t>
  </si>
  <si>
    <t>Ssiderea010635</t>
  </si>
  <si>
    <t>radial glial cell differentiation</t>
  </si>
  <si>
    <t>OG0009912</t>
  </si>
  <si>
    <t>Ofaveolata010243</t>
  </si>
  <si>
    <t>Ssiderea019444</t>
  </si>
  <si>
    <t>OG0009971</t>
  </si>
  <si>
    <t>Ofaveolata002025</t>
  </si>
  <si>
    <t>Ssiderea013611</t>
  </si>
  <si>
    <t>transcriptional enhancer factor</t>
  </si>
  <si>
    <t>OG0010048</t>
  </si>
  <si>
    <t>Ofaveolata006966</t>
  </si>
  <si>
    <t>Ssiderea032053</t>
  </si>
  <si>
    <t>DNA strand elongation involved in nuclear cell cycle DNA replication</t>
  </si>
  <si>
    <t>OG0010114</t>
  </si>
  <si>
    <t>Ofaveolata026638</t>
  </si>
  <si>
    <t>Ssiderea017638</t>
  </si>
  <si>
    <t>OG0010122</t>
  </si>
  <si>
    <t>Ofaveolata018324</t>
  </si>
  <si>
    <t>Ssiderea018647</t>
  </si>
  <si>
    <t>OG0010257</t>
  </si>
  <si>
    <t>Ofaveolata031112</t>
  </si>
  <si>
    <t>Ssiderea048859</t>
  </si>
  <si>
    <t>Small nuclear ribonucleoprotein</t>
  </si>
  <si>
    <t>OG0010327</t>
  </si>
  <si>
    <t>Ofaveolata022369</t>
  </si>
  <si>
    <t>Ssiderea023251</t>
  </si>
  <si>
    <t>OG0010533</t>
  </si>
  <si>
    <t>Ofaveolata018782</t>
  </si>
  <si>
    <t>Ssiderea003304</t>
  </si>
  <si>
    <t>TMEM192 family</t>
  </si>
  <si>
    <t>OG0010635</t>
  </si>
  <si>
    <t>Ofaveolata025100</t>
  </si>
  <si>
    <t>Ssiderea021434</t>
  </si>
  <si>
    <t>OG0010894</t>
  </si>
  <si>
    <t>Ofaveolata001227</t>
  </si>
  <si>
    <t>Ssiderea029275</t>
  </si>
  <si>
    <t>positive regulation of glomerular metanephric mesangial cell proliferation</t>
  </si>
  <si>
    <t>Transcriptional regulator. Recognizes and binds to the DNA sequence 5'-GCG(T G)GGGCG-3'(EGR-site) in the promoter region of target genes. Binds double-stranded target DNA, irrespective of the cytosine methylation status. Regulates the transcription of numerous target genes, and thereby plays an important role in regulating the response to growth factors, DNA damage, and ischemia. Plays a role in the regulation of cell survival, proliferation and cell death</t>
  </si>
  <si>
    <t>OG0010935</t>
  </si>
  <si>
    <t>Ofaveolata008486</t>
  </si>
  <si>
    <t>Ssiderea008747</t>
  </si>
  <si>
    <t>retrograde transport, endosome to plasma membrane</t>
  </si>
  <si>
    <t>OG0010972</t>
  </si>
  <si>
    <t>Ofaveolata006372</t>
  </si>
  <si>
    <t>Ssiderea028354</t>
  </si>
  <si>
    <t>Cornichon family AMPA receptor auxiliary protein 1</t>
  </si>
  <si>
    <t>OG0011049</t>
  </si>
  <si>
    <t>Ofaveolata000126</t>
  </si>
  <si>
    <t>Ssiderea021909</t>
  </si>
  <si>
    <t>replication fork processing</t>
  </si>
  <si>
    <t>mitotic sister chromatid biorientation</t>
  </si>
  <si>
    <t>OG0011224</t>
  </si>
  <si>
    <t>Ofaveolata031986</t>
  </si>
  <si>
    <t>Ssiderea048810</t>
  </si>
  <si>
    <t>OG0011232</t>
  </si>
  <si>
    <t>Ofaveolata026486</t>
  </si>
  <si>
    <t>Ssiderea038565</t>
  </si>
  <si>
    <t>acetylesterase activity</t>
  </si>
  <si>
    <t>OG0011380</t>
  </si>
  <si>
    <t>Ofaveolata013671</t>
  </si>
  <si>
    <t>Ssiderea049268</t>
  </si>
  <si>
    <t>Clusterin-associated protein 1</t>
  </si>
  <si>
    <t>OG0011389</t>
  </si>
  <si>
    <t>Ofaveolata000336</t>
  </si>
  <si>
    <t>Ssiderea022101</t>
  </si>
  <si>
    <t>OG0011505</t>
  </si>
  <si>
    <t>Ofaveolata035786</t>
  </si>
  <si>
    <t>Ssiderea044673</t>
  </si>
  <si>
    <t>Meprin A</t>
  </si>
  <si>
    <t>OG0011557</t>
  </si>
  <si>
    <t>Ofaveolata014552</t>
  </si>
  <si>
    <t>Ssiderea004387</t>
  </si>
  <si>
    <t>regulation of canonical Wnt signaling pathway involved in osteoblast differentiation</t>
  </si>
  <si>
    <t>OG0011606</t>
  </si>
  <si>
    <t>Ofaveolata001300</t>
  </si>
  <si>
    <t>Ssiderea049628</t>
  </si>
  <si>
    <t>erythrocyte development</t>
  </si>
  <si>
    <t>OG0011640</t>
  </si>
  <si>
    <t>Ofaveolata003063</t>
  </si>
  <si>
    <t>Ssiderea024796</t>
  </si>
  <si>
    <t>pyruvate kinase activity</t>
  </si>
  <si>
    <t>OG0011645</t>
  </si>
  <si>
    <t>Ofaveolata005591</t>
  </si>
  <si>
    <t>Ssiderea016151</t>
  </si>
  <si>
    <t>protein KIAA0895 homolog</t>
  </si>
  <si>
    <t>OG0011744</t>
  </si>
  <si>
    <t>Ofaveolata022598</t>
  </si>
  <si>
    <t>Ssiderea015270</t>
  </si>
  <si>
    <t>transcription initiation from RNA polymerase III promoter</t>
  </si>
  <si>
    <t>OG0011875</t>
  </si>
  <si>
    <t>Ofaveolata011466</t>
  </si>
  <si>
    <t>Ssiderea019386</t>
  </si>
  <si>
    <t>Catalyzes the formation of N(7)-methylguanine at position 46 (m7G46) in tRNA</t>
  </si>
  <si>
    <t>OG0011896</t>
  </si>
  <si>
    <t>Ofaveolata007066</t>
  </si>
  <si>
    <t>Ssiderea028275</t>
  </si>
  <si>
    <t>E3 ubiquitin-protein ligase RNF216</t>
  </si>
  <si>
    <t>OG0012007</t>
  </si>
  <si>
    <t>Ofaveolata001000</t>
  </si>
  <si>
    <t>Ssiderea022425</t>
  </si>
  <si>
    <t>transmembrane receptor protein tyrosine kinase activity</t>
  </si>
  <si>
    <t>OG0012081</t>
  </si>
  <si>
    <t>Ofaveolata005434</t>
  </si>
  <si>
    <t>Ssiderea015745</t>
  </si>
  <si>
    <t>OG0012104</t>
  </si>
  <si>
    <t>Ofaveolata013649</t>
  </si>
  <si>
    <t>Ssiderea000158</t>
  </si>
  <si>
    <t>OG0012279</t>
  </si>
  <si>
    <t>Ofaveolata002314</t>
  </si>
  <si>
    <t>Ssiderea012825</t>
  </si>
  <si>
    <t>positive regulation of neural precursor cell proliferation</t>
  </si>
  <si>
    <t>OG0012413</t>
  </si>
  <si>
    <t>Ofaveolata022061</t>
  </si>
  <si>
    <t>Ssiderea022936</t>
  </si>
  <si>
    <t>OG0012489</t>
  </si>
  <si>
    <t>Ofaveolata004788</t>
  </si>
  <si>
    <t>Ssiderea010974</t>
  </si>
  <si>
    <t>Zinc-binding dehydrogenase</t>
  </si>
  <si>
    <t>OG0012508</t>
  </si>
  <si>
    <t>Ofaveolata001060</t>
  </si>
  <si>
    <t>Ssiderea022291</t>
  </si>
  <si>
    <t>OG0012680</t>
  </si>
  <si>
    <t>Ofaveolata016372</t>
  </si>
  <si>
    <t>Ssiderea036587</t>
  </si>
  <si>
    <t>mothers against decapentaplegic homolog</t>
  </si>
  <si>
    <t>OG0012903</t>
  </si>
  <si>
    <t>Ofaveolata019348</t>
  </si>
  <si>
    <t>Ssiderea011388</t>
  </si>
  <si>
    <t>dolichyl pyrophosphate Man9GlcNAc2 alpha-1,3-glucosyltransferase activity</t>
  </si>
  <si>
    <t>OG0012914</t>
  </si>
  <si>
    <t>Ofaveolata017124</t>
  </si>
  <si>
    <t>Ssiderea052660</t>
  </si>
  <si>
    <t>SCF-dependent proteasomal ubiquitin-dependent protein catabolic process</t>
  </si>
  <si>
    <t>OG0013008</t>
  </si>
  <si>
    <t>Ofaveolata015292</t>
  </si>
  <si>
    <t>Ssiderea057465</t>
  </si>
  <si>
    <t>positive regulation of fibroblast apoptotic process</t>
  </si>
  <si>
    <t>OG0013009</t>
  </si>
  <si>
    <t>Ofaveolata014280</t>
  </si>
  <si>
    <t>Ssiderea003609</t>
  </si>
  <si>
    <t>Leucine-rich repeat LGI family, member 3</t>
  </si>
  <si>
    <t>OG0013035</t>
  </si>
  <si>
    <t>Ofaveolata012655</t>
  </si>
  <si>
    <t>Ssiderea000686</t>
  </si>
  <si>
    <t>OG0013055</t>
  </si>
  <si>
    <t>Ofaveolata036465</t>
  </si>
  <si>
    <t>Ssiderea056584</t>
  </si>
  <si>
    <t>meiotic spindle elongation</t>
  </si>
  <si>
    <t>OG0013251</t>
  </si>
  <si>
    <t>Ofaveolata025849</t>
  </si>
  <si>
    <t>Ssiderea055502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</si>
</sst>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family val="2"/>
      <scheme val="minor"/>
    </font>
    <font>
      <b/>
      <sz val="12"/>
      <color rgb="FF000000"/>
      <name val="Times New Roman"/>
      <family val="1"/>
    </font>
    <font>
      <b/>
      <sz val="12"/>
      <color theme="1"/>
      <name val="Aptos Narrow"/>
      <scheme val="minor"/>
    </font>
    <font>
      <b/>
      <sz val="12"/>
      <color theme="1"/>
      <name val="Times New Roman"/>
      <family val="1"/>
    </font>
    <font>
      <sz val="12"/>
      <color rgb="FF000000"/>
      <name val="Times New Roman"/>
      <family val="1"/>
    </font>
    <font>
      <sz val="12"/>
      <color theme="1"/>
      <name val="Times New Roman"/>
      <family val="1"/>
    </font>
  </fonts>
  <fills count="2">
    <fill>
      <patternFill patternType="none"/>
    </fill>
    <fill>
      <patternFill patternType="gray125"/>
    </fill>
  </fills>
  <borders count="10">
    <border>
      <left/>
      <right/>
      <top/>
      <bottom/>
      <diagonal/>
    </border>
    <border>
      <left style="thin">
        <color rgb="FF999999"/>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65"/>
      </top>
      <bottom/>
      <diagonal/>
    </border>
    <border>
      <left style="thin">
        <color rgb="FF999999"/>
      </left>
      <right/>
      <top/>
      <bottom/>
      <diagonal/>
    </border>
    <border>
      <left style="thin">
        <color rgb="FF999999"/>
      </left>
      <right style="thin">
        <color rgb="FF999999"/>
      </right>
      <top/>
      <bottom/>
      <diagonal/>
    </border>
    <border>
      <left style="thin">
        <color indexed="65"/>
      </left>
      <right/>
      <top style="thin">
        <color rgb="FF999999"/>
      </top>
      <bottom/>
      <diagonal/>
    </border>
    <border>
      <left style="thin">
        <color rgb="FF999999"/>
      </left>
      <right/>
      <top style="thin">
        <color rgb="FF999999"/>
      </top>
      <bottom style="thin">
        <color rgb="FF999999"/>
      </bottom>
      <diagonal/>
    </border>
    <border>
      <left style="thin">
        <color indexed="65"/>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0" fillId="0" borderId="1" xfId="0" applyBorder="1"/>
    <xf numFmtId="0" fontId="0" fillId="0" borderId="2" xfId="0" applyBorder="1"/>
    <xf numFmtId="0" fontId="3" fillId="0" borderId="0" xfId="0" applyFont="1"/>
    <xf numFmtId="0" fontId="4" fillId="0" borderId="0" xfId="0" applyFont="1"/>
    <xf numFmtId="0" fontId="4" fillId="0" borderId="0" xfId="0" applyFont="1" applyAlignment="1">
      <alignment horizontal="right"/>
    </xf>
    <xf numFmtId="0" fontId="5" fillId="0" borderId="0" xfId="0" applyFont="1"/>
    <xf numFmtId="9" fontId="5" fillId="0" borderId="0" xfId="0" applyNumberFormat="1" applyFont="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 xfId="0" pivotButton="1" applyBorder="1"/>
  </cellXfs>
  <cellStyles count="1">
    <cellStyle name="Normal" xfId="0" builtinId="0"/>
  </cellStyles>
  <dxfs count="2">
    <dxf>
      <fill>
        <patternFill patternType="solid">
          <fgColor rgb="FFB6D7A8"/>
          <bgColor rgb="FFB6D7A8"/>
        </patternFill>
      </fill>
    </dxf>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urban%20resilience%20tables.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ichael Studivan" refreshedDate="46115.636437847221" refreshedVersion="8" recordCount="2169" xr:uid="{5529F07C-7DCF-EB47-BF40-A1E966AE0C4E}">
  <cacheSource type="worksheet">
    <worksheetSource ref="A1:J2170" sheet="Dataset S3 orthogroups" r:id="rId2"/>
  </cacheSource>
  <cacheFields count="10">
    <cacheField name="Factor" numFmtId="0">
      <sharedItems count="2">
        <s v="Site"/>
        <s v="Treatment"/>
      </sharedItems>
    </cacheField>
    <cacheField name="Comparison" numFmtId="0">
      <sharedItems count="12">
        <s v="MacArthur North vs Emerald Reef"/>
        <s v="MacArthur North vs Rainbow Reef"/>
        <s v="MacArthur North vs Star Island"/>
        <s v="Rainbow Reef vs Emerald Reef"/>
        <s v="Star Island vs Emerald Reef"/>
        <s v="Star Island vs Rainbow Reef"/>
        <s v="Bleaching "/>
        <s v="Bleaching vs OA"/>
        <s v="OA "/>
        <s v="OA + Bleaching "/>
        <s v="OA + Bleaching vs Bleaching"/>
        <s v="OA + Bleaching vs OA"/>
      </sharedItems>
    </cacheField>
    <cacheField name="Orthogroup ID" numFmtId="0">
      <sharedItems/>
    </cacheField>
    <cacheField name="Ofaveolata ID" numFmtId="0">
      <sharedItems/>
    </cacheField>
    <cacheField name="Ssiderea ID" numFmtId="0">
      <sharedItems/>
    </cacheField>
    <cacheField name="Ofaveolata lpv" numFmtId="0">
      <sharedItems containsSemiMixedTypes="0" containsString="0" containsNumber="1" minValue="-48.786115000000002" maxValue="53.468205900000001"/>
    </cacheField>
    <cacheField name="Ssiderea lpv" numFmtId="0">
      <sharedItems containsSemiMixedTypes="0" containsString="0" containsNumber="1" minValue="-39.769013999999999" maxValue="50.152459"/>
    </cacheField>
    <cacheField name="Relationship" numFmtId="0">
      <sharedItems/>
    </cacheField>
    <cacheField name="Ofaveolata Gene Annotation" numFmtId="0">
      <sharedItems/>
    </cacheField>
    <cacheField name="Ssiderea Gene Annotation"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9">
  <r>
    <x v="0"/>
    <x v="0"/>
    <s v="OG0000237"/>
    <s v="Ofaveolata027123"/>
    <s v="Ssiderea025805"/>
    <n v="1.06675915"/>
    <n v="-1.119714638"/>
    <s v="Inverse"/>
    <s v="Receptor-type tyrosine-protein phosphatase"/>
    <s v="Receptor-type tyrosine-protein phosphatase"/>
  </r>
  <r>
    <x v="0"/>
    <x v="0"/>
    <s v="OG0000287"/>
    <s v="Ofaveolata003751"/>
    <s v="Ssiderea012958"/>
    <n v="-4.7315477010000002"/>
    <n v="1.843950676"/>
    <s v="Inverse"/>
    <s v="Tachylectin"/>
    <s v="Tachylectin"/>
  </r>
  <r>
    <x v="0"/>
    <x v="0"/>
    <s v="OG0000288"/>
    <s v="Ofaveolata014826"/>
    <s v="Ssiderea60736"/>
    <n v="-4.5998994169999996"/>
    <n v="-1.1154625789999999"/>
    <s v="Direct"/>
    <s v="DNA topoisomerase type I activity"/>
    <s v="DNA topoisomerase type I activity"/>
  </r>
  <r>
    <x v="0"/>
    <x v="0"/>
    <s v="OG0000290"/>
    <s v="Ofaveolata010939"/>
    <s v="Ssiderea019959"/>
    <n v="-2.6854363380000001"/>
    <n v="1.340084933"/>
    <s v="Inverse"/>
    <s v="GTPase activity"/>
    <s v="GTPase activity"/>
  </r>
  <r>
    <x v="0"/>
    <x v="0"/>
    <s v="OG0000297"/>
    <s v="Ofaveolata029192"/>
    <s v="Ssiderea027774"/>
    <n v="4.3025978540000001"/>
    <n v="-2.6957021659999998"/>
    <s v="Inverse"/>
    <s v="MAC/Perforin domain"/>
    <s v="MAC/Perforin domain"/>
  </r>
  <r>
    <x v="0"/>
    <x v="0"/>
    <s v="OG0000415"/>
    <s v="Ofaveolata027945"/>
    <s v="Ssiderea025137"/>
    <n v="-1.4366473879999999"/>
    <n v="-1.0252166650000001"/>
    <s v="Direct"/>
    <s v="osmolarity-sensing cation channel activity"/>
    <s v="Transient receptor potential cation channel, subfamily A, member"/>
  </r>
  <r>
    <x v="0"/>
    <x v="0"/>
    <s v="OG0000453"/>
    <s v="Ofaveolata015496"/>
    <s v="Ssiderea056037"/>
    <n v="-2.969665215"/>
    <n v="-1.206961849"/>
    <s v="Direct"/>
    <s v="NA"/>
    <s v="NA"/>
  </r>
  <r>
    <x v="0"/>
    <x v="0"/>
    <s v="OG0000462"/>
    <s v="Ofaveolata005644"/>
    <s v="Ssiderea010508"/>
    <n v="1.8535895739999999"/>
    <n v="-1.0981870419999999"/>
    <s v="Inverse"/>
    <s v="NA"/>
    <s v="structural constituent of cuticle"/>
  </r>
  <r>
    <x v="0"/>
    <x v="0"/>
    <s v="OG0000473"/>
    <s v="Ofaveolata030379"/>
    <s v="Ssiderea034234"/>
    <n v="-2.831126206"/>
    <n v="-2.2690883390000001"/>
    <s v="Direct"/>
    <s v="negative regulation of non-canonical Wnt signaling pathway"/>
    <s v="negative regulation of non-canonical Wnt signaling pathway"/>
  </r>
  <r>
    <x v="0"/>
    <x v="0"/>
    <s v="OG0000477"/>
    <s v="Ofaveolata009785"/>
    <s v="Ssiderea017874"/>
    <n v="5.4359440489999997"/>
    <n v="-1.013127508"/>
    <s v="Inverse"/>
    <s v="NADP-retinol dehydrogenase activity"/>
    <s v="retinol dehydrogenase"/>
  </r>
  <r>
    <x v="0"/>
    <x v="0"/>
    <s v="OG0000534"/>
    <s v="Ofaveolata032090"/>
    <s v="Ssiderea048704"/>
    <n v="-1.987047491"/>
    <n v="-1.6260707029999999"/>
    <s v="Direct"/>
    <s v="Heat shock 70 kDa protein 12A-like"/>
    <s v="Heat shock 70 kDa protein 12A-like"/>
  </r>
  <r>
    <x v="0"/>
    <x v="0"/>
    <s v="OG0000592"/>
    <s v="Ofaveolata014308"/>
    <s v="Ssiderea003590"/>
    <n v="-1.4548513599999999"/>
    <n v="1.2145020959999999"/>
    <s v="Inverse"/>
    <s v="Placenta-specific gene 8 protein-like"/>
    <s v="Placenta-specific gene 8 protein-like"/>
  </r>
  <r>
    <x v="0"/>
    <x v="0"/>
    <s v="OG0000633"/>
    <s v="Ofaveolata019961"/>
    <s v="Ssiderea057815"/>
    <n v="-1.178972436"/>
    <n v="2.6711843150000001"/>
    <s v="Inverse"/>
    <s v="ATP-binding cassette, subfamily B (MDR TAP), member"/>
    <s v="ATP-binding cassette, subfamily B (MDR TAP), member"/>
  </r>
  <r>
    <x v="0"/>
    <x v="0"/>
    <s v="OG0000636"/>
    <s v="Ofaveolata005640"/>
    <s v="Ssiderea010446"/>
    <n v="1.8949550820000001"/>
    <n v="-2.228607588"/>
    <s v="Inverse"/>
    <s v="NA"/>
    <s v="coreceptor activity involved in Wnt signaling pathway, planar cell polarity pathway"/>
  </r>
  <r>
    <x v="0"/>
    <x v="0"/>
    <s v="OG0000713"/>
    <s v="Ofaveolata021402"/>
    <s v="Ssiderea020017"/>
    <n v="11.08971624"/>
    <n v="1.5566285879999999"/>
    <s v="Direct"/>
    <s v="urate homeostasis"/>
    <s v="transcript (3"/>
  </r>
  <r>
    <x v="0"/>
    <x v="0"/>
    <s v="OG0000817"/>
    <s v="Ofaveolata010854"/>
    <s v="Ssiderea043373"/>
    <n v="-5.62652822"/>
    <n v="-1.328824427"/>
    <s v="Direct"/>
    <s v="Galactose binding lectin domain"/>
    <s v="Galactose binding lectin domain"/>
  </r>
  <r>
    <x v="0"/>
    <x v="0"/>
    <s v="OG0001035"/>
    <s v="Ofaveolata013447"/>
    <s v="Ssiderea000550"/>
    <n v="2.498344898"/>
    <n v="-1.783546058"/>
    <s v="Inverse"/>
    <s v="ammonium transmembrane transporter activity"/>
    <s v="ammonium transmembrane transporter activity"/>
  </r>
  <r>
    <x v="0"/>
    <x v="0"/>
    <s v="OG0001060"/>
    <s v="Ofaveolata021998"/>
    <s v="Ssiderea023406"/>
    <n v="-1.529552866"/>
    <n v="1.7698692659999999"/>
    <s v="Inverse"/>
    <s v="tumor necrosis factor-activated receptor activity"/>
    <s v="Tumor necrosis factor receptor / nerve growth factor receptor repeats."/>
  </r>
  <r>
    <x v="0"/>
    <x v="0"/>
    <s v="OG0001135"/>
    <s v="Ofaveolata029868"/>
    <s v="Ssiderea024098"/>
    <n v="-1.6615436530000001"/>
    <n v="-3.2574922599999998"/>
    <s v="Direct"/>
    <s v="SCP / Tpx-1 / Ag5 / PR-1 / Sc7 family of extracellular domains."/>
    <s v="positive regulation of epithelial to mesenchymal transition"/>
  </r>
  <r>
    <x v="0"/>
    <x v="0"/>
    <s v="OG0001170"/>
    <s v="Ofaveolata031182"/>
    <s v="Ssiderea026681"/>
    <n v="1.7170187349999999"/>
    <n v="3.4347977209999998"/>
    <s v="Direct"/>
    <s v="carbohydrate binding"/>
    <s v="C-type lectin (CTL) or carbohydrate-recognition domain (CRD)"/>
  </r>
  <r>
    <x v="0"/>
    <x v="0"/>
    <s v="OG0001499"/>
    <s v="Ofaveolata028713"/>
    <s v="Ssiderea042784"/>
    <n v="-1.2411526070000001"/>
    <n v="-2.31633106"/>
    <s v="Direct"/>
    <s v="Lamin Tail Domain"/>
    <s v="structural molecule activity"/>
  </r>
  <r>
    <x v="0"/>
    <x v="0"/>
    <s v="OG0001524"/>
    <s v="Ofaveolata029080"/>
    <s v="Ssiderea002801"/>
    <n v="1.010340765"/>
    <n v="-1.208138121"/>
    <s v="Inverse"/>
    <s v="NA"/>
    <s v="Tetratricopeptide repeat"/>
  </r>
  <r>
    <x v="0"/>
    <x v="0"/>
    <s v="OG0001562"/>
    <s v="Ofaveolata015523"/>
    <s v="Ssiderea056865"/>
    <n v="-3.1961572569999999"/>
    <n v="1.325049173"/>
    <s v="Inverse"/>
    <s v="NA"/>
    <s v="GTPase activity"/>
  </r>
  <r>
    <x v="0"/>
    <x v="0"/>
    <s v="OG0001593"/>
    <s v="Ofaveolata014508"/>
    <s v="Ssiderea046106"/>
    <n v="-1.190565799"/>
    <n v="3.4770130830000001"/>
    <s v="Inverse"/>
    <s v="NA"/>
    <s v="Death effector domain"/>
  </r>
  <r>
    <x v="0"/>
    <x v="0"/>
    <s v="OG0001629"/>
    <s v="Ofaveolata005498"/>
    <s v="Ssiderea010414"/>
    <n v="-3.2568617780000002"/>
    <n v="-1.180641874"/>
    <s v="Direct"/>
    <s v="AMP catabolic process"/>
    <s v="AMP catabolic process"/>
  </r>
  <r>
    <x v="0"/>
    <x v="0"/>
    <s v="OG0001687"/>
    <s v="Ofaveolata025322"/>
    <s v="Ssiderea041999"/>
    <n v="1.9312879949999999"/>
    <n v="1.5511016849999999"/>
    <s v="Direct"/>
    <s v="MAP kinase phosphatase activity"/>
    <s v="MAP kinase phosphatase activity"/>
  </r>
  <r>
    <x v="0"/>
    <x v="0"/>
    <s v="OG0001704"/>
    <s v="Ofaveolata030052"/>
    <s v="Ssiderea047439"/>
    <n v="-2.2331427260000001"/>
    <n v="-2.4057499830000002"/>
    <s v="Direct"/>
    <s v="Belongs to the CD36 family"/>
    <s v="Belongs to the CD36 family"/>
  </r>
  <r>
    <x v="0"/>
    <x v="0"/>
    <s v="OG0001758"/>
    <s v="Ofaveolata026913"/>
    <s v="Ssiderea017924"/>
    <n v="2.1766923770000002"/>
    <n v="-1.3939555400000001"/>
    <s v="Inverse"/>
    <s v="NA"/>
    <s v="lipoprotein receptor-related protein 2"/>
  </r>
  <r>
    <x v="0"/>
    <x v="0"/>
    <s v="OG0001824"/>
    <s v="Ofaveolata011784"/>
    <s v="Ssiderea003649"/>
    <n v="-1.1562924320000001"/>
    <n v="-1.8449577909999999"/>
    <s v="Direct"/>
    <s v="NA"/>
    <s v="four-way junction helicase activity"/>
  </r>
  <r>
    <x v="0"/>
    <x v="0"/>
    <s v="OG0001872"/>
    <s v="Ofaveolata029158"/>
    <s v="Ssiderea058945"/>
    <n v="2.5475489580000001"/>
    <n v="-1.197191535"/>
    <s v="Inverse"/>
    <s v="G-protein coupled receptor activity"/>
    <s v="G-protein coupled receptor activity"/>
  </r>
  <r>
    <x v="0"/>
    <x v="0"/>
    <s v="OG0001882"/>
    <s v="Ofaveolata009900"/>
    <s v="Ssiderea054746"/>
    <n v="1.1891779979999999"/>
    <n v="-1.0770585660000001"/>
    <s v="Inverse"/>
    <s v="UDP-Gal betaGlcNAc beta 1,4- galactosyltransferase, polypeptide"/>
    <s v="UDP-Gal betaGlcNAc beta 1,4- galactosyltransferase, polypeptide 4"/>
  </r>
  <r>
    <x v="0"/>
    <x v="0"/>
    <s v="OG0001916"/>
    <s v="Ofaveolata034914"/>
    <s v="Ssiderea62027"/>
    <n v="-3.1767524030000001"/>
    <n v="-1.469035501"/>
    <s v="Direct"/>
    <s v="K02A2.6-like"/>
    <s v="K02A2.6-like"/>
  </r>
  <r>
    <x v="0"/>
    <x v="0"/>
    <s v="OG0001930"/>
    <s v="Ofaveolata005637"/>
    <s v="Ssiderea013259"/>
    <n v="6.0424470460000004"/>
    <n v="2.7190929549999998"/>
    <s v="Direct"/>
    <s v="acyl-L-homoserine-lactone lactonohydrolase activity"/>
    <s v="arylesterase activity"/>
  </r>
  <r>
    <x v="0"/>
    <x v="0"/>
    <s v="OG0002094"/>
    <s v="Ofaveolata004443"/>
    <s v="Ssiderea053074"/>
    <n v="-1.3501520380000001"/>
    <n v="-1.255675359"/>
    <s v="Direct"/>
    <s v="pyridoxal 5'-phosphate salvage"/>
    <s v="Pyridoxal (Pyridoxine, vitamin B6) kinase"/>
  </r>
  <r>
    <x v="0"/>
    <x v="0"/>
    <s v="OG0002112"/>
    <s v="Ofaveolata002550"/>
    <s v="Ssiderea013071"/>
    <n v="-1.5814303860000001"/>
    <n v="-1.014553276"/>
    <s v="Direct"/>
    <s v="diphosphoinositol-pentakisphosphate kinase activity"/>
    <s v="diphosphoinositol-pentakisphosphate kinase activity"/>
  </r>
  <r>
    <x v="0"/>
    <x v="0"/>
    <s v="OG0002119"/>
    <s v="Ofaveolata014701"/>
    <s v="Ssiderea004568"/>
    <n v="4.231117545"/>
    <n v="-3.1916125750000002"/>
    <s v="Inverse"/>
    <s v="temperature-gated cation channel activity"/>
    <s v="Transient receptor potential cation channel, subfamily A, member"/>
  </r>
  <r>
    <x v="0"/>
    <x v="0"/>
    <s v="OG0002165"/>
    <s v="Ofaveolata005122"/>
    <s v="Ssiderea010612"/>
    <n v="1.6192979139999999"/>
    <n v="-1.039380644"/>
    <s v="Inverse"/>
    <s v="NA"/>
    <s v="sterile alpha motif"/>
  </r>
  <r>
    <x v="0"/>
    <x v="0"/>
    <s v="OG0002169"/>
    <s v="Ofaveolata007407"/>
    <s v="Ssiderea044665"/>
    <n v="-2.1984036439999999"/>
    <n v="1.0938879020000001"/>
    <s v="Inverse"/>
    <s v="NA"/>
    <s v="phosphatidylserine exposure on apoptotic cell surface"/>
  </r>
  <r>
    <x v="0"/>
    <x v="0"/>
    <s v="OG0002175"/>
    <s v="Ofaveolata003889"/>
    <s v="Ssiderea030331"/>
    <n v="-1.1025616949999999"/>
    <n v="1.749137876"/>
    <s v="Inverse"/>
    <s v="DNA-directed 5'-3' RNA polymerase activity"/>
    <s v="G-protein coupled receptor activity"/>
  </r>
  <r>
    <x v="0"/>
    <x v="0"/>
    <s v="OG0002187"/>
    <s v="Ofaveolata035049"/>
    <s v="Ssiderea038673"/>
    <n v="4.0544749089999996"/>
    <n v="1.5758341890000001"/>
    <s v="Direct"/>
    <s v="Mindbomb E3 ubiquitin protein ligase 2"/>
    <s v="Regulator of chromosome condensation (RCC1) repeat"/>
  </r>
  <r>
    <x v="0"/>
    <x v="0"/>
    <s v="OG0002234"/>
    <s v="Ofaveolata018827"/>
    <s v="Ssiderea003038"/>
    <n v="-3.4781281719999999"/>
    <n v="-2.1040194140000001"/>
    <s v="Direct"/>
    <s v="NA"/>
    <s v="Ribonuclease P"/>
  </r>
  <r>
    <x v="0"/>
    <x v="0"/>
    <s v="OG0002272"/>
    <s v="Ofaveolata017458"/>
    <s v="Ssiderea041651"/>
    <n v="-1.358838255"/>
    <n v="1.192962206"/>
    <s v="Inverse"/>
    <s v="NA"/>
    <s v="PFAM SMP-30 Gluconolaconase"/>
  </r>
  <r>
    <x v="0"/>
    <x v="0"/>
    <s v="OG0002275"/>
    <s v="Ofaveolata024347"/>
    <s v="Ssiderea005820"/>
    <n v="2.1378343260000001"/>
    <n v="-1.105218136"/>
    <s v="Inverse"/>
    <s v="e3 ubiquitin-protein ligase"/>
    <s v="e3 ubiquitin-protein ligase"/>
  </r>
  <r>
    <x v="0"/>
    <x v="0"/>
    <s v="OG0002308"/>
    <s v="Ofaveolata005310"/>
    <s v="Ssiderea015840"/>
    <n v="-4.8644039299999999"/>
    <n v="-1.0000315870000001"/>
    <s v="Direct"/>
    <s v="E3 ubiquitin-protein ligase parkin"/>
    <s v="E3 ubiquitin-protein ligase parkin"/>
  </r>
  <r>
    <x v="0"/>
    <x v="0"/>
    <s v="OG0002387"/>
    <s v="Ofaveolata030627"/>
    <s v="Ssiderea054386"/>
    <n v="1.780319926"/>
    <n v="1.181514172"/>
    <s v="Direct"/>
    <s v="Poly(ADP-ribose) polymerase catalytic domain"/>
    <s v="Poly (ADP-ribose) polymerase"/>
  </r>
  <r>
    <x v="0"/>
    <x v="0"/>
    <s v="OG0002478"/>
    <s v="Ofaveolata033066"/>
    <s v="Ssiderea026130"/>
    <n v="-2.936035789"/>
    <n v="3.1687851720000002"/>
    <s v="Inverse"/>
    <s v="HD domain"/>
    <s v="HD domain"/>
  </r>
  <r>
    <x v="0"/>
    <x v="0"/>
    <s v="OG0002508"/>
    <s v="Ofaveolata001082"/>
    <s v="Ssiderea022230"/>
    <n v="1.8523036390000001"/>
    <n v="1.2415124129999999"/>
    <s v="Direct"/>
    <s v="histone pre-mRNA stem-loop binding"/>
    <s v="histone pre-mRNA stem-loop binding"/>
  </r>
  <r>
    <x v="0"/>
    <x v="0"/>
    <s v="OG0002615"/>
    <s v="Ofaveolata019617"/>
    <s v="Ssiderea005809"/>
    <n v="1.156598365"/>
    <n v="1.7477224819999999"/>
    <s v="Direct"/>
    <s v="tripeptidyl-peptidase activity"/>
    <s v="tripeptidyl-peptidase activity"/>
  </r>
  <r>
    <x v="0"/>
    <x v="0"/>
    <s v="OG0002804"/>
    <s v="Ofaveolata010953"/>
    <s v="Ssiderea057082"/>
    <n v="-1.9096040599999999"/>
    <n v="3.4744944160000002"/>
    <s v="Inverse"/>
    <s v="GTPase activity"/>
    <s v="GTPase activity"/>
  </r>
  <r>
    <x v="0"/>
    <x v="0"/>
    <s v="OG0002863"/>
    <s v="Ofaveolata024078"/>
    <s v="Ssiderea005462"/>
    <n v="-3.2195480910000001"/>
    <n v="1.4125933319999999"/>
    <s v="Inverse"/>
    <s v="RNA-directed 5'-3' RNA polymerase activity"/>
    <s v="AAA domain"/>
  </r>
  <r>
    <x v="0"/>
    <x v="0"/>
    <s v="OG0002906"/>
    <s v="Ofaveolata006587"/>
    <s v="Ssiderea028132"/>
    <n v="-2.8410812320000001"/>
    <n v="1.184916289"/>
    <s v="Inverse"/>
    <s v="Acid sphingomyelinase-like phosphodiesterase 3b"/>
    <s v="Acid sphingomyelinase-like phosphodiesterase 3b"/>
  </r>
  <r>
    <x v="0"/>
    <x v="0"/>
    <s v="OG0003006"/>
    <s v="Ofaveolata029112"/>
    <s v="Ssiderea042600"/>
    <n v="1.7519151260000001"/>
    <n v="3.4157248280000001"/>
    <s v="Direct"/>
    <s v="NA"/>
    <s v="mannose binding"/>
  </r>
  <r>
    <x v="0"/>
    <x v="0"/>
    <s v="OG0003060"/>
    <s v="Ofaveolata032100"/>
    <s v="Ssiderea048701"/>
    <n v="-2.563828719"/>
    <n v="-2.5016420570000002"/>
    <s v="Direct"/>
    <s v="Heat shock 70 kDa protein 12A-like"/>
    <s v="Heat shock 70 kDa protein 12A-like"/>
  </r>
  <r>
    <x v="0"/>
    <x v="0"/>
    <s v="OG0003092"/>
    <s v="Ofaveolata032692"/>
    <s v="Ssiderea031958"/>
    <n v="-2.136250311"/>
    <n v="1.3189489169999999"/>
    <s v="Inverse"/>
    <s v="metanephric macula densa development"/>
    <s v="POU domain, class 3, transcription factor"/>
  </r>
  <r>
    <x v="0"/>
    <x v="0"/>
    <s v="OG0003125"/>
    <s v="Ofaveolata001436"/>
    <s v="Ssiderea026474"/>
    <n v="-2.6159301529999999"/>
    <n v="1.033321688"/>
    <s v="Inverse"/>
    <s v="bile acid:sodium symporter activity"/>
    <s v="Hermansky-Pudlak Syndrome 1"/>
  </r>
  <r>
    <x v="0"/>
    <x v="0"/>
    <s v="OG0003157"/>
    <s v="Ofaveolata031730"/>
    <s v="Ssiderea007531"/>
    <n v="3.669447109"/>
    <n v="-2.0056630989999999"/>
    <s v="Inverse"/>
    <s v="hydroxyacid-oxoacid transhydrogenase activity"/>
    <s v="hydroxyacid-oxoacid transhydrogenase activity"/>
  </r>
  <r>
    <x v="0"/>
    <x v="0"/>
    <s v="OG0003171"/>
    <s v="Ofaveolata005754"/>
    <s v="Ssiderea047803"/>
    <n v="-3.0542296879999999"/>
    <n v="1.129793163"/>
    <s v="Inverse"/>
    <s v="NA"/>
    <s v="Glycosyl transferases group 1"/>
  </r>
  <r>
    <x v="0"/>
    <x v="0"/>
    <s v="OG0003253"/>
    <s v="Ofaveolata036247"/>
    <s v="Ssiderea038083"/>
    <n v="2.9918141380000001"/>
    <n v="4.2709696209999999"/>
    <s v="Direct"/>
    <s v="Amidohydrolase family"/>
    <s v="Amidohydrolase family"/>
  </r>
  <r>
    <x v="0"/>
    <x v="0"/>
    <s v="OG0003273"/>
    <s v="Ofaveolata035324"/>
    <s v="Ssiderea006470"/>
    <n v="-5.2103295870000004"/>
    <n v="-1.4268933690000001"/>
    <s v="Direct"/>
    <s v="Mov10 RISC complex RNA helicase like 1"/>
    <s v="Mov10 RISC complex RNA helicase like 1"/>
  </r>
  <r>
    <x v="0"/>
    <x v="0"/>
    <s v="OG0003278"/>
    <s v="Ofaveolata007122"/>
    <s v="Ssiderea027956"/>
    <n v="2.2573712210000001"/>
    <n v="-1.906574188"/>
    <s v="Inverse"/>
    <s v="NA"/>
    <s v="Kinetochore associated 1"/>
  </r>
  <r>
    <x v="0"/>
    <x v="0"/>
    <s v="OG0003319"/>
    <s v="Ofaveolata012651"/>
    <s v="Ssiderea000689"/>
    <n v="-1.740466243"/>
    <n v="1.3730110390000001"/>
    <s v="Inverse"/>
    <s v="zinc ion binding"/>
    <s v="zinc ion binding"/>
  </r>
  <r>
    <x v="0"/>
    <x v="0"/>
    <s v="OG0003320"/>
    <s v="Ofaveolata025112"/>
    <s v="Ssiderea055794"/>
    <n v="1.0177808269999999"/>
    <n v="-1.556133558"/>
    <s v="Inverse"/>
    <s v="Fatty acid desaturase"/>
    <s v="Fatty acid desaturase"/>
  </r>
  <r>
    <x v="0"/>
    <x v="0"/>
    <s v="OG0003360"/>
    <s v="Ofaveolata005157"/>
    <s v="Ssiderea010361"/>
    <n v="2.1500706539999999"/>
    <n v="-1.2258250500000001"/>
    <s v="Inverse"/>
    <s v="SH3 domain-containing kinase-binding protein"/>
    <s v="SH3 domain binding"/>
  </r>
  <r>
    <x v="0"/>
    <x v="0"/>
    <s v="OG0003629"/>
    <s v="Ofaveolata024037"/>
    <s v="Ssiderea005361"/>
    <n v="-1.0626469519999999"/>
    <n v="-1.189619191"/>
    <s v="Direct"/>
    <s v="Vacuolar Protein"/>
    <s v="Vacuolar Protein"/>
  </r>
  <r>
    <x v="0"/>
    <x v="0"/>
    <s v="OG0003636"/>
    <s v="Ofaveolata034366"/>
    <s v="Ssiderea052833"/>
    <n v="1.6022154580000001"/>
    <n v="1.291592321"/>
    <s v="Direct"/>
    <s v="quinone biosynthetic process"/>
    <s v="ubiquinone biosynthetic process"/>
  </r>
  <r>
    <x v="0"/>
    <x v="0"/>
    <s v="OG0003721"/>
    <s v="Ofaveolata030407"/>
    <s v="Ssiderea034147"/>
    <n v="2.1130008619999998"/>
    <n v="-1.0740312359999999"/>
    <s v="Inverse"/>
    <s v="Ion transport protein"/>
    <s v="high voltage-gated calcium channel activity"/>
  </r>
  <r>
    <x v="0"/>
    <x v="0"/>
    <s v="OG0003815"/>
    <s v="Ofaveolata028767"/>
    <s v="Ssiderea027809"/>
    <n v="1.125526711"/>
    <n v="-6.2516605780000001"/>
    <s v="Inverse"/>
    <s v="PPIases accelerate the folding of proteins. It catalyzes the cis-trans isomerization of proline imidic peptide bonds in oligopeptides"/>
    <s v="PPIases accelerate the folding of proteins. It catalyzes the cis-trans isomerization of proline imidic peptide bonds in oligopeptides"/>
  </r>
  <r>
    <x v="0"/>
    <x v="0"/>
    <s v="OG0004036"/>
    <s v="Ofaveolata029290"/>
    <s v="Ssiderea033150"/>
    <n v="2.9676020670000001"/>
    <n v="1.8854836660000001"/>
    <s v="Direct"/>
    <s v="Chondroitin sulfate synthase"/>
    <s v="Chondroitin sulfate synthase"/>
  </r>
  <r>
    <x v="0"/>
    <x v="0"/>
    <s v="OG0004205"/>
    <s v="Ofaveolata029703"/>
    <s v="Ssiderea023754"/>
    <n v="3.239901261"/>
    <n v="1.9626791939999999"/>
    <s v="Direct"/>
    <s v="sodium:proton antiporter activity"/>
    <s v="sodium:proton antiporter activity"/>
  </r>
  <r>
    <x v="0"/>
    <x v="0"/>
    <s v="OG0004206"/>
    <s v="Ofaveolata015422"/>
    <s v="Ssiderea038170"/>
    <n v="2.1219481880000002"/>
    <n v="-1.0052042430000001"/>
    <s v="Inverse"/>
    <s v="Amine oxidase flavin-containing"/>
    <s v="Amine oxidase flavin-containing"/>
  </r>
  <r>
    <x v="0"/>
    <x v="0"/>
    <s v="OG0004271"/>
    <s v="Ofaveolata012695"/>
    <s v="Ssiderea001255"/>
    <n v="1.4711202889999999"/>
    <n v="1.3660684970000001"/>
    <s v="Direct"/>
    <s v="Activating transcription factor"/>
    <s v="Activating transcription factor"/>
  </r>
  <r>
    <x v="0"/>
    <x v="0"/>
    <s v="OG0004321"/>
    <s v="Ofaveolata024708"/>
    <s v="Ssiderea016963"/>
    <n v="-1.888169574"/>
    <n v="1.0288556019999999"/>
    <s v="Inverse"/>
    <s v="dCMP deaminase activity"/>
    <s v="Cytidine and deoxycytidylate deaminase zinc-binding region"/>
  </r>
  <r>
    <x v="0"/>
    <x v="0"/>
    <s v="OG0004343"/>
    <s v="Ofaveolata019429"/>
    <s v="Ssiderea055932"/>
    <n v="-1.742171876"/>
    <n v="1.2085597100000001"/>
    <s v="Inverse"/>
    <s v="negative regulation of skeletal muscle tissue growth"/>
    <s v="It is involved in the biological process described with receptor-mediated endocytosis"/>
  </r>
  <r>
    <x v="0"/>
    <x v="0"/>
    <s v="OG0004604"/>
    <s v="Ofaveolata013633"/>
    <s v="Ssiderea044691"/>
    <n v="2.3934414300000002"/>
    <n v="-1.945032482"/>
    <s v="Inverse"/>
    <s v="NA"/>
    <s v="Required for formation of the RNA induced silencing complex (RISC). Component of the RISC loading complex (RLC), also known as the micro-RNA (miRNA) loading complex (miRLC), which is composed of dicer1, ago2 and tarbp2. Within the RLC miRLC, dicer1 and ta"/>
  </r>
  <r>
    <x v="0"/>
    <x v="0"/>
    <s v="OG0004667"/>
    <s v="Ofaveolata023648"/>
    <s v="Ssiderea015610"/>
    <n v="-2.815974915"/>
    <n v="1.868805292"/>
    <s v="Inverse"/>
    <s v="histone H4-K20 monomethylation"/>
    <s v="histone H4-K20 monomethylation"/>
  </r>
  <r>
    <x v="0"/>
    <x v="0"/>
    <s v="OG0004755"/>
    <s v="Ofaveolata029110"/>
    <s v="Ssiderea034453"/>
    <n v="1.2508463590000001"/>
    <n v="2.5489783250000002"/>
    <s v="Direct"/>
    <s v="NA"/>
    <s v="mannose binding"/>
  </r>
  <r>
    <x v="0"/>
    <x v="0"/>
    <s v="OG0004781"/>
    <s v="Ofaveolata025449"/>
    <s v="Ssiderea039819"/>
    <n v="3.2936487859999999"/>
    <n v="-2.305641375"/>
    <s v="Inverse"/>
    <s v="BolA-like protein"/>
    <s v="bolA-like protein"/>
  </r>
  <r>
    <x v="0"/>
    <x v="0"/>
    <s v="OG0004839"/>
    <s v="Ofaveolata003503"/>
    <s v="Ssiderea046242"/>
    <n v="1.440151636"/>
    <n v="1.361739611"/>
    <s v="Direct"/>
    <s v="NA"/>
    <s v="Domain abundant in complement control proteins; SUSHI repeat; short complement-like repeat (SCR)"/>
  </r>
  <r>
    <x v="0"/>
    <x v="0"/>
    <s v="OG0004882"/>
    <s v="Ofaveolata023529"/>
    <s v="Ssiderea015692"/>
    <n v="-8.2152151129999993"/>
    <n v="1.3490518309999999"/>
    <s v="Inverse"/>
    <s v="lipopolysaccharide-induced transcription factor regulating tumor necrosis factor alpha"/>
    <s v="lipopolysaccharide-induced transcription factor regulating tumor necrosis factor alpha"/>
  </r>
  <r>
    <x v="0"/>
    <x v="0"/>
    <s v="OG0004891"/>
    <s v="Ofaveolata033244"/>
    <s v="Ssiderea026218"/>
    <n v="-1.122846936"/>
    <n v="1.296142291"/>
    <s v="Inverse"/>
    <s v="NA"/>
    <s v="NA"/>
  </r>
  <r>
    <x v="0"/>
    <x v="0"/>
    <s v="OG0005146"/>
    <s v="Ofaveolata030445"/>
    <s v="Ssiderea037884"/>
    <n v="2.2055654649999998"/>
    <n v="1.4113423679999999"/>
    <s v="Direct"/>
    <s v="histone H3-S10 phosphorylation involved in chromosome condensation"/>
    <s v="histone H3-S10 phosphorylation involved in chromosome condensation"/>
  </r>
  <r>
    <x v="0"/>
    <x v="0"/>
    <s v="OG0005151"/>
    <s v="Ofaveolata001177"/>
    <s v="Ssiderea029356"/>
    <n v="2.5539562550000001"/>
    <n v="1.117606893"/>
    <s v="Direct"/>
    <s v="positive regulation of epithelial to mesenchymal transition"/>
    <s v="positive regulation of epithelial to mesenchymal transition"/>
  </r>
  <r>
    <x v="0"/>
    <x v="0"/>
    <s v="OG0005239"/>
    <s v="Ofaveolata013693"/>
    <s v="Ssiderea049246"/>
    <n v="2.8679073349999999"/>
    <n v="-1.2855370829999999"/>
    <s v="Inverse"/>
    <s v="polycystic kidney disease protein 1-like"/>
    <s v="polycystic kidney disease protein 1-like"/>
  </r>
  <r>
    <x v="0"/>
    <x v="0"/>
    <s v="OG0005250"/>
    <s v="Ofaveolata029294"/>
    <s v="Ssiderea033145"/>
    <n v="-3.7188947570000002"/>
    <n v="1.2786408380000001"/>
    <s v="Inverse"/>
    <s v="Belongs to the oxygen-dependent FAD-linked oxidoreductase family"/>
    <s v="PFAM FAD linked oxidase domain protein"/>
  </r>
  <r>
    <x v="0"/>
    <x v="0"/>
    <s v="OG0005337"/>
    <s v="Ofaveolata012625"/>
    <s v="Ssiderea017202"/>
    <n v="1.6114348709999999"/>
    <n v="1.0067456880000001"/>
    <s v="Direct"/>
    <s v="regulation of cilium-dependent cell motility"/>
    <s v="Cilia and flagella associated protein 20"/>
  </r>
  <r>
    <x v="0"/>
    <x v="0"/>
    <s v="OG0005358"/>
    <s v="Ofaveolata027699"/>
    <s v="Ssiderea025557"/>
    <n v="-1.2924209529999999"/>
    <n v="-1.601882169"/>
    <s v="Direct"/>
    <s v="prolyl 4-hydroxylase"/>
    <s v="prolyl 4-hydroxylase"/>
  </r>
  <r>
    <x v="0"/>
    <x v="0"/>
    <s v="OG0005370"/>
    <s v="Ofaveolata006247"/>
    <s v="Ssiderea032524"/>
    <n v="-1.0272642299999999"/>
    <n v="-1.549005623"/>
    <s v="Direct"/>
    <s v="negative regulation of lamellipodium morphogenesis"/>
    <s v="negative regulation of lamellipodium morphogenesis"/>
  </r>
  <r>
    <x v="0"/>
    <x v="0"/>
    <s v="OG0005377"/>
    <s v="Ofaveolata033528"/>
    <s v="Ssiderea026325"/>
    <n v="-1.1586703780000001"/>
    <n v="-1.003772401"/>
    <s v="Direct"/>
    <s v="Protein kinase C conserved region 2 (CalB)"/>
    <s v="Protein kinase C conserved region 2 (CalB)"/>
  </r>
  <r>
    <x v="0"/>
    <x v="0"/>
    <s v="OG0005402"/>
    <s v="Ofaveolata000358"/>
    <s v="Ssiderea022063"/>
    <n v="1.2665725640000001"/>
    <n v="1.880497659"/>
    <s v="Direct"/>
    <s v="actin binding"/>
    <s v="actin binding"/>
  </r>
  <r>
    <x v="0"/>
    <x v="0"/>
    <s v="OG0005439"/>
    <s v="Ofaveolata023992"/>
    <s v="Ssiderea045915"/>
    <n v="1.0976059060000001"/>
    <n v="1.015201807"/>
    <s v="Direct"/>
    <s v="4 iron, 4 sulfur cluster binding"/>
    <s v="4 iron, 4 sulfur cluster binding"/>
  </r>
  <r>
    <x v="0"/>
    <x v="0"/>
    <s v="OG0005460"/>
    <s v="Ofaveolata023693"/>
    <s v="Ssiderea050051"/>
    <n v="2.667132171"/>
    <n v="-2.6269545000000001"/>
    <s v="Inverse"/>
    <s v="regulation of ATP citrate synthase activity"/>
    <s v="Nipsnap homolog 1"/>
  </r>
  <r>
    <x v="0"/>
    <x v="0"/>
    <s v="OG0005466"/>
    <s v="Ofaveolata028383"/>
    <s v="Ssiderea042579"/>
    <n v="1.918759967"/>
    <n v="-1.289536373"/>
    <s v="Inverse"/>
    <s v="NADH dehydrogenase ubiquinone 1 alpha subcomplex subunit 9"/>
    <s v="NADH dehydrogenase ubiquinone 1 alpha subcomplex subunit 9"/>
  </r>
  <r>
    <x v="0"/>
    <x v="0"/>
    <s v="OG0005545"/>
    <s v="Ofaveolata008053"/>
    <s v="Ssiderea009586"/>
    <n v="1.3860089"/>
    <n v="1.0087328360000001"/>
    <s v="Direct"/>
    <s v="tRNA 2'-phosphotransferase 1"/>
    <s v="tRNA 2'-phosphotransferase 1"/>
  </r>
  <r>
    <x v="0"/>
    <x v="0"/>
    <s v="OG0005575"/>
    <s v="Ofaveolata023578"/>
    <s v="Ssiderea050016"/>
    <n v="1.065381607"/>
    <n v="1.0717467839999999"/>
    <s v="Direct"/>
    <s v="peptidyl-threonine dephosphorylation"/>
    <s v="peptidyl-threonine dephosphorylation"/>
  </r>
  <r>
    <x v="0"/>
    <x v="0"/>
    <s v="OG0005639"/>
    <s v="Ofaveolata030690"/>
    <s v="Ssiderea013981"/>
    <n v="-1.5825606029999999"/>
    <n v="-1.0301929590000001"/>
    <s v="Direct"/>
    <s v="NA"/>
    <s v="NA"/>
  </r>
  <r>
    <x v="0"/>
    <x v="0"/>
    <s v="OG0005663"/>
    <s v="Ofaveolata015121"/>
    <s v="Ssiderea051210"/>
    <n v="-1.3950876139999999"/>
    <n v="1.1082754020000001"/>
    <s v="Inverse"/>
    <s v="Transcription factor"/>
    <s v="Transcription factor"/>
  </r>
  <r>
    <x v="0"/>
    <x v="0"/>
    <s v="OG0005766"/>
    <s v="Ofaveolata027573"/>
    <s v="Ssiderea042303"/>
    <n v="3.1792851070000001"/>
    <n v="-1.272900956"/>
    <s v="Inverse"/>
    <s v="Threonine dehydratase"/>
    <s v="Threonine dehydratase"/>
  </r>
  <r>
    <x v="0"/>
    <x v="0"/>
    <s v="OG0005767"/>
    <s v="Ofaveolata006978"/>
    <s v="Ssiderea027873"/>
    <n v="-1.3478672460000001"/>
    <n v="2.278027587"/>
    <s v="Inverse"/>
    <s v="NA"/>
    <s v="Nidogen 2a (osteonidogen)"/>
  </r>
  <r>
    <x v="0"/>
    <x v="0"/>
    <s v="OG0005806"/>
    <s v="Ofaveolata022498"/>
    <s v="Ssiderea015579"/>
    <n v="2.4740535819999998"/>
    <n v="-1.8511012060000001"/>
    <s v="Inverse"/>
    <s v="calcium ion binding"/>
    <s v="calcium ion binding"/>
  </r>
  <r>
    <x v="0"/>
    <x v="0"/>
    <s v="OG0005834"/>
    <s v="Ofaveolata021192"/>
    <s v="Ssiderea62784"/>
    <n v="1.593101085"/>
    <n v="1.5477303929999999"/>
    <s v="Direct"/>
    <s v="Coagulation factor 5/8 C-terminal domain, discoidin domain"/>
    <s v="C-terminal domain of neuropilin glycoprotein"/>
  </r>
  <r>
    <x v="0"/>
    <x v="0"/>
    <s v="OG0005913"/>
    <s v="Ofaveolata024345"/>
    <s v="Ssiderea006219"/>
    <n v="-5.9030133239999998"/>
    <n v="-1.205133421"/>
    <s v="Direct"/>
    <s v="negative regulation of negative chemotaxis"/>
    <s v="negative regulation of negative chemotaxis"/>
  </r>
  <r>
    <x v="0"/>
    <x v="0"/>
    <s v="OG0005954"/>
    <s v="Ofaveolata031778"/>
    <s v="Ssiderea006713"/>
    <n v="3.21595136"/>
    <n v="-1.4203043019999999"/>
    <s v="Inverse"/>
    <s v="ankyrin repeat"/>
    <s v="ATPase activity, coupled to transmembrane movement of substances"/>
  </r>
  <r>
    <x v="0"/>
    <x v="0"/>
    <s v="OG0006176"/>
    <s v="Ofaveolata014336"/>
    <s v="Ssiderea003822"/>
    <n v="1.03443193"/>
    <n v="1.137911117"/>
    <s v="Direct"/>
    <s v="rRNA binding"/>
    <s v="rRNA binding"/>
  </r>
  <r>
    <x v="0"/>
    <x v="0"/>
    <s v="OG0006289"/>
    <s v="Ofaveolata015393"/>
    <s v="Ssiderea038281"/>
    <n v="-2.3446586759999999"/>
    <n v="1.539836183"/>
    <s v="Inverse"/>
    <s v="tRNA modification"/>
    <s v="tRNA modification"/>
  </r>
  <r>
    <x v="0"/>
    <x v="0"/>
    <s v="OG0006296"/>
    <s v="Ofaveolata003309"/>
    <s v="Ssiderea030049"/>
    <n v="-1.2723703099999999"/>
    <n v="1.1689016910000001"/>
    <s v="Inverse"/>
    <s v="eukaryotic translation initiation factor"/>
    <s v="Initiation factor 5a"/>
  </r>
  <r>
    <x v="0"/>
    <x v="0"/>
    <s v="OG0006310"/>
    <s v="Ofaveolata000974"/>
    <s v="Ssiderea022465"/>
    <n v="-4.6185768380000001"/>
    <n v="-1.113426692"/>
    <s v="Direct"/>
    <s v="cerebellar granular layer formation"/>
    <s v="cerebellar granular layer formation"/>
  </r>
  <r>
    <x v="0"/>
    <x v="0"/>
    <s v="OG0006537"/>
    <s v="Ofaveolata029067"/>
    <s v="Ssiderea013770"/>
    <n v="-3.1965268519999999"/>
    <n v="-1.074374401"/>
    <s v="Direct"/>
    <s v="Galactose-3-O-sulfotransferase"/>
    <s v="Galactose-3-O-sulfotransferase"/>
  </r>
  <r>
    <x v="0"/>
    <x v="0"/>
    <s v="OG0006552"/>
    <s v="Ofaveolata011110"/>
    <s v="Ssiderea056770"/>
    <n v="-1.2980002319999999"/>
    <n v="1.0491338139999999"/>
    <s v="Inverse"/>
    <s v="histidine transport"/>
    <s v="histidine transport"/>
  </r>
  <r>
    <x v="0"/>
    <x v="0"/>
    <s v="OG0006894"/>
    <s v="Ofaveolata033691"/>
    <s v="Ssiderea053633"/>
    <n v="2.9574644569999999"/>
    <n v="-4.2608994249999999"/>
    <s v="Inverse"/>
    <s v="NA"/>
    <s v="Von Willebrand factor"/>
  </r>
  <r>
    <x v="0"/>
    <x v="0"/>
    <s v="OG0006927"/>
    <s v="Ofaveolata016863"/>
    <s v="Ssiderea039399"/>
    <n v="-1.0055954890000001"/>
    <n v="1.1938152980000001"/>
    <s v="Inverse"/>
    <s v="aminopeptidase activity"/>
    <s v="aminopeptidase activity"/>
  </r>
  <r>
    <x v="0"/>
    <x v="0"/>
    <s v="OG0006938"/>
    <s v="Ofaveolata034295"/>
    <s v="Ssiderea052983"/>
    <n v="-1.29290493"/>
    <n v="-1.168976405"/>
    <s v="Direct"/>
    <s v="NA"/>
    <s v="transmembrane signaling receptor activity. It is involved in the biological process described with cell surface receptor signaling pathway"/>
  </r>
  <r>
    <x v="0"/>
    <x v="0"/>
    <s v="OG0006971"/>
    <s v="Ofaveolata008809"/>
    <s v="Ssiderea008227"/>
    <n v="1.732253394"/>
    <n v="-1.160460568"/>
    <s v="Inverse"/>
    <s v="belongs to the NAD synthetase family"/>
    <s v="belongs to the NAD synthetase family"/>
  </r>
  <r>
    <x v="0"/>
    <x v="0"/>
    <s v="OG0007014"/>
    <s v="Ofaveolata027737"/>
    <s v="Ssiderea042291"/>
    <n v="2.167925994"/>
    <n v="1.5454651850000001"/>
    <s v="Direct"/>
    <s v="Belongs to the enoyl-CoA hydratase isomerase family"/>
    <s v="Belongs to the enoyl-CoA hydratase isomerase family"/>
  </r>
  <r>
    <x v="0"/>
    <x v="0"/>
    <s v="OG0007031"/>
    <s v="Ofaveolata009398"/>
    <s v="Ssiderea035793"/>
    <n v="4.7394155949999996"/>
    <n v="1.7033791739999999"/>
    <s v="Direct"/>
    <s v="apoptotic process"/>
    <s v="apoptotic process"/>
  </r>
  <r>
    <x v="0"/>
    <x v="0"/>
    <s v="OG0007060"/>
    <s v="Ofaveolata031923"/>
    <s v="Ssiderea007355"/>
    <n v="-3.8159869729999998"/>
    <n v="-1.3490518309999999"/>
    <s v="Direct"/>
    <s v="metanephric glomerular basement membrane development"/>
    <s v="metanephric glomerular basement membrane development"/>
  </r>
  <r>
    <x v="0"/>
    <x v="0"/>
    <s v="OG0007183"/>
    <s v="Ofaveolata033224"/>
    <s v="Ssiderea055305"/>
    <n v="1.458336978"/>
    <n v="-1.209552594"/>
    <s v="Inverse"/>
    <s v="protein O-linked-mannose beta-1,2-N-acetylglucosaminyltransferase 1"/>
    <s v="protein O-linked-mannose beta-1,2-N-acetylglucosaminyltransferase 1"/>
  </r>
  <r>
    <x v="0"/>
    <x v="0"/>
    <s v="OG0007198"/>
    <s v="Ofaveolata034154"/>
    <s v="Ssiderea010956"/>
    <n v="-10.33872925"/>
    <n v="-1.6450914729999999"/>
    <s v="Direct"/>
    <s v="NA"/>
    <s v="Dermatopontin"/>
  </r>
  <r>
    <x v="0"/>
    <x v="0"/>
    <s v="OG0007749"/>
    <s v="Ofaveolata024406"/>
    <s v="Ssiderea006083"/>
    <n v="-1.4620630999999999"/>
    <n v="1.241457035"/>
    <s v="Inverse"/>
    <s v="Putative transmembrane family 234"/>
    <s v="Transmembrane protein 234"/>
  </r>
  <r>
    <x v="0"/>
    <x v="0"/>
    <s v="OG0007853"/>
    <s v="Ofaveolata026254"/>
    <s v="Ssiderea039621"/>
    <n v="2.0872757690000001"/>
    <n v="3.7318106110000002"/>
    <s v="Direct"/>
    <s v="NA"/>
    <s v="U11-48K-like CHHC zinc finger"/>
  </r>
  <r>
    <x v="0"/>
    <x v="0"/>
    <s v="OG0007901"/>
    <s v="Ofaveolata036110"/>
    <s v="Ssiderea052336"/>
    <n v="-4.660244434"/>
    <n v="-1.008424725"/>
    <s v="Direct"/>
    <s v="Transposase IS4"/>
    <s v="Transposase IS4"/>
  </r>
  <r>
    <x v="0"/>
    <x v="0"/>
    <s v="OG0007989"/>
    <s v="Ofaveolata004498"/>
    <s v="Ssiderea052407"/>
    <n v="1.0695498569999999"/>
    <n v="1.039380644"/>
    <s v="Direct"/>
    <s v="RWD domain-containing protein"/>
    <s v="RWD domain containing 1"/>
  </r>
  <r>
    <x v="0"/>
    <x v="0"/>
    <s v="OG0008011"/>
    <s v="Ofaveolata005679"/>
    <s v="Ssiderea016688"/>
    <n v="-2.5508756159999999"/>
    <n v="1.1814330900000001"/>
    <s v="Inverse"/>
    <s v="RNA binding"/>
    <s v="RNA binding"/>
  </r>
  <r>
    <x v="0"/>
    <x v="0"/>
    <s v="OG0008336"/>
    <s v="Ofaveolata024229"/>
    <s v="Ssiderea005706"/>
    <n v="1.615823615"/>
    <n v="1.0191653940000001"/>
    <s v="Direct"/>
    <s v="mRNA export"/>
    <s v="mRNA export"/>
  </r>
  <r>
    <x v="0"/>
    <x v="0"/>
    <s v="OG0008350"/>
    <s v="Ofaveolata017291"/>
    <s v="Ssiderea046616"/>
    <n v="1.7491315620000001"/>
    <n v="1.272900956"/>
    <s v="Direct"/>
    <s v="Acyl-CoA synthetase long-chain family member"/>
    <s v="Acyl-CoA synthetase long-chain family member"/>
  </r>
  <r>
    <x v="0"/>
    <x v="0"/>
    <s v="OG0008352"/>
    <s v="Ofaveolata015433"/>
    <s v="Ssiderea033919"/>
    <n v="-2.1169152530000002"/>
    <n v="-4.3066673929999997"/>
    <s v="Direct"/>
    <s v="microtubule motor activity"/>
    <s v="microtubule motor activity"/>
  </r>
  <r>
    <x v="0"/>
    <x v="0"/>
    <s v="OG0008364"/>
    <s v="Ofaveolata034384"/>
    <s v="Ssiderea052808"/>
    <n v="1.213535944"/>
    <n v="-1.2742501230000001"/>
    <s v="Inverse"/>
    <s v="NA"/>
    <s v="positive regulation of interleukin-6-mediated signaling pathway"/>
  </r>
  <r>
    <x v="0"/>
    <x v="0"/>
    <s v="OG0008410"/>
    <s v="Ofaveolata005622"/>
    <s v="Ssiderea053041"/>
    <n v="-1.1421541390000001"/>
    <n v="1.440799001"/>
    <s v="Inverse"/>
    <s v="Belongs to the peroxisomal membrane protein PXMP2 4 family"/>
    <s v="Mpv17 / PMP22 family"/>
  </r>
  <r>
    <x v="0"/>
    <x v="0"/>
    <s v="OG0008444"/>
    <s v="Ofaveolata010907"/>
    <s v="Ssiderea019917"/>
    <n v="1.2907840450000001"/>
    <n v="1.7096134869999999"/>
    <s v="Direct"/>
    <s v="DOMON domain-containing protein"/>
    <s v="DOMON domain-containing protein"/>
  </r>
  <r>
    <x v="0"/>
    <x v="0"/>
    <s v="OG0008524"/>
    <s v="Ofaveolata004630"/>
    <s v="Ssiderea016539"/>
    <n v="2.9602287289999998"/>
    <n v="-1.35518155"/>
    <s v="Inverse"/>
    <s v="microtubule motor activity"/>
    <s v="microtubule motor activity"/>
  </r>
  <r>
    <x v="0"/>
    <x v="0"/>
    <s v="OG0008541"/>
    <s v="Ofaveolata002461"/>
    <s v="Ssiderea024988"/>
    <n v="1.97261423"/>
    <n v="-1.733130142"/>
    <s v="Inverse"/>
    <s v="ephrin receptor binding"/>
    <s v="ephrin receptor binding"/>
  </r>
  <r>
    <x v="0"/>
    <x v="0"/>
    <s v="OG0008660"/>
    <s v="Ofaveolata026747"/>
    <s v="Ssiderea017751"/>
    <n v="-1.656840909"/>
    <n v="-1.062884019"/>
    <s v="Direct"/>
    <s v="lipoprotein receptor-related protein"/>
    <s v="lipoprotein receptor-related protein"/>
  </r>
  <r>
    <x v="0"/>
    <x v="0"/>
    <s v="OG0008735"/>
    <s v="Ofaveolata033534"/>
    <s v="Ssiderea026331"/>
    <n v="-2.9149595160000001"/>
    <n v="-5.5081878790000003"/>
    <s v="Direct"/>
    <s v="Belongs to the ATP guanido phosphotransferase family"/>
    <s v="Belongs to the ATP guanido phosphotransferase family"/>
  </r>
  <r>
    <x v="0"/>
    <x v="0"/>
    <s v="OG0008831"/>
    <s v="Ofaveolata000816"/>
    <s v="Ssiderea022688"/>
    <n v="2.2659495299999999"/>
    <n v="1.0473789440000001"/>
    <s v="Direct"/>
    <s v="Kelch motif"/>
    <s v="Kelch motif"/>
  </r>
  <r>
    <x v="0"/>
    <x v="0"/>
    <s v="OG0008878"/>
    <s v="Ofaveolata007092"/>
    <s v="Ssiderea028226"/>
    <n v="2.2992797600000001"/>
    <n v="1.616424648"/>
    <s v="Direct"/>
    <s v="positive regulation of gluconeogenesis"/>
    <s v="positive regulation of gluconeogenesis"/>
  </r>
  <r>
    <x v="0"/>
    <x v="0"/>
    <s v="OG0008881"/>
    <s v="Ofaveolata025437"/>
    <s v="Ssiderea039806"/>
    <n v="-1.3650854800000001"/>
    <n v="-1.4435737449999999"/>
    <s v="Direct"/>
    <s v="peptidase inhibitor activity"/>
    <s v="positive regulation of epithelial to mesenchymal transition"/>
  </r>
  <r>
    <x v="0"/>
    <x v="0"/>
    <s v="OG0008966"/>
    <s v="Ofaveolata024196"/>
    <s v="Ssiderea005677"/>
    <n v="-2.1122768349999999"/>
    <n v="1.238492954"/>
    <s v="Inverse"/>
    <s v="Armadillo repeat containing 1"/>
    <s v="Armadillo repeat containing 1"/>
  </r>
  <r>
    <x v="0"/>
    <x v="0"/>
    <s v="OG0008969"/>
    <s v="Ofaveolata000728"/>
    <s v="Ssiderea044862"/>
    <n v="1.23043832"/>
    <n v="-1.002377844"/>
    <s v="Inverse"/>
    <s v="translation regulator activity"/>
    <s v="translation regulator activity"/>
  </r>
  <r>
    <x v="0"/>
    <x v="0"/>
    <s v="OG0009047"/>
    <s v="Ofaveolata017639"/>
    <s v="Ssiderea046884"/>
    <n v="3.9138661830000001"/>
    <n v="-1.3217786419999999"/>
    <s v="Inverse"/>
    <s v="G protein-coupled receptor 180"/>
    <s v="G protein-coupled receptor 180"/>
  </r>
  <r>
    <x v="0"/>
    <x v="0"/>
    <s v="OG0009065"/>
    <s v="Ofaveolata003292"/>
    <s v="Ssiderea030069"/>
    <n v="-1.028110399"/>
    <n v="1.5345696820000001"/>
    <s v="Inverse"/>
    <s v="phosphopyruvate hydratase activity"/>
    <s v="phosphopyruvate hydratase activity"/>
  </r>
  <r>
    <x v="0"/>
    <x v="0"/>
    <s v="OG0009081"/>
    <s v="Ofaveolata027902"/>
    <s v="Ssiderea042436"/>
    <n v="1.013916212"/>
    <n v="-1.5428729329999999"/>
    <s v="Inverse"/>
    <s v="Glycine dehydrogenase (decarboxylating)"/>
    <s v="Glycine dehydrogenase (decarboxylating)"/>
  </r>
  <r>
    <x v="0"/>
    <x v="0"/>
    <s v="OG0009310"/>
    <s v="Ofaveolata036500"/>
    <s v="Ssiderea61034"/>
    <n v="-1.231573115"/>
    <n v="-1.0499754080000001"/>
    <s v="Direct"/>
    <s v="Integrase core domain"/>
    <s v="K02A2.6-like"/>
  </r>
  <r>
    <x v="0"/>
    <x v="0"/>
    <s v="OG0009873"/>
    <s v="Ofaveolata021924"/>
    <s v="Ssiderea60285"/>
    <n v="-2.987317204"/>
    <n v="-1.2592338409999999"/>
    <s v="Direct"/>
    <s v="Kinesin family"/>
    <s v="Chromosome-associated kinesin KIF4A"/>
  </r>
  <r>
    <x v="0"/>
    <x v="0"/>
    <s v="OG0009926"/>
    <s v="Ofaveolata012658"/>
    <s v="Ssiderea000678"/>
    <n v="1.515231174"/>
    <n v="2.5859206760000002"/>
    <s v="Direct"/>
    <s v="SUMO conjugating enzyme activity"/>
    <s v="SUMO conjugating enzyme activity"/>
  </r>
  <r>
    <x v="0"/>
    <x v="0"/>
    <s v="OG0009990"/>
    <s v="Ofaveolata029421"/>
    <s v="Ssiderea032915"/>
    <n v="2.861196165"/>
    <n v="2.146556527"/>
    <s v="Direct"/>
    <s v="GRIM-19 protein"/>
    <s v="GRIM-19 protein"/>
  </r>
  <r>
    <x v="0"/>
    <x v="0"/>
    <s v="OG0010060"/>
    <s v="Ofaveolata006485"/>
    <s v="Ssiderea010064"/>
    <n v="-1.0915496069999999"/>
    <n v="1.0346026109999999"/>
    <s v="Inverse"/>
    <s v="NA"/>
    <s v="CREB ATF bZIP transcription factor"/>
  </r>
  <r>
    <x v="0"/>
    <x v="0"/>
    <s v="OG0010085"/>
    <s v="Ofaveolata007310"/>
    <s v="Ssiderea058217"/>
    <n v="-1.3669099979999999"/>
    <n v="-1.4663263559999999"/>
    <s v="Direct"/>
    <s v="Lys63-specific deubiquitinase activity"/>
    <s v="Lys63-specific deubiquitinase activity"/>
  </r>
  <r>
    <x v="0"/>
    <x v="0"/>
    <s v="OG0010208"/>
    <s v="Ofaveolata007900"/>
    <s v="Ssiderea009350"/>
    <n v="5.4980153060000001"/>
    <n v="1.646217821"/>
    <s v="Direct"/>
    <s v="L-2-hydroxyglutarate dehydrogenase"/>
    <s v="L-2-hydroxyglutarate dehydrogenase"/>
  </r>
  <r>
    <x v="0"/>
    <x v="0"/>
    <s v="OG0010399"/>
    <s v="Ofaveolata001155"/>
    <s v="Ssiderea029395"/>
    <n v="1.3534767860000001"/>
    <n v="-1.9320892940000001"/>
    <s v="Inverse"/>
    <s v="alpha-1,6-mannosylglycoprotein 2-beta-N-acetylglucosaminyltransferase activity"/>
    <s v="Alpha-1,6-mannosylglycoprotein 2-beta-N-acetylglucosaminyltransferase activity. It is involved in the biological process described with oligosaccharide biosynthetic process"/>
  </r>
  <r>
    <x v="0"/>
    <x v="0"/>
    <s v="OG0010400"/>
    <s v="Ofaveolata022918"/>
    <s v="Ssiderea014951"/>
    <n v="-3.7830520829999998"/>
    <n v="1.0050057059999999"/>
    <s v="Inverse"/>
    <s v="Trypsin-like serine protease"/>
    <s v="Trypsin-like serine protease"/>
  </r>
  <r>
    <x v="0"/>
    <x v="0"/>
    <s v="OG0010600"/>
    <s v="Ofaveolata016823"/>
    <s v="Ssiderea054550"/>
    <n v="1.2087261250000001"/>
    <n v="-1.662000664"/>
    <s v="Inverse"/>
    <s v="eukaryotic translation initiation factor"/>
    <s v="RNA strand-exchange activity"/>
  </r>
  <r>
    <x v="0"/>
    <x v="0"/>
    <s v="OG0010664"/>
    <s v="Ofaveolata001645"/>
    <s v="Ssiderea049613"/>
    <n v="1.3748096190000001"/>
    <n v="1.294259687"/>
    <s v="Direct"/>
    <s v="Hairy and enhancer of split-related protein helt"/>
    <s v="Hairy and enhancer of split-related protein helt"/>
  </r>
  <r>
    <x v="0"/>
    <x v="0"/>
    <s v="OG0010842"/>
    <s v="Ofaveolata016023"/>
    <s v="Ssiderea033498"/>
    <n v="-1.0372274969999999"/>
    <n v="-1.131085686"/>
    <s v="Direct"/>
    <s v="AAA domain"/>
    <s v="nuclear-transcribed mRNA catabolic process, nonsense-mediated decay"/>
  </r>
  <r>
    <x v="0"/>
    <x v="0"/>
    <s v="OG0010995"/>
    <s v="Ofaveolata007495"/>
    <s v="Ssiderea044419"/>
    <n v="1.4868209100000001"/>
    <n v="5.512610295"/>
    <s v="Direct"/>
    <s v="Belongs to the small heat shock protein (HSP20) family"/>
    <s v="Belongs to the small heat shock protein (HSP20) family"/>
  </r>
  <r>
    <x v="0"/>
    <x v="0"/>
    <s v="OG0011010"/>
    <s v="Ofaveolata018309"/>
    <s v="Ssiderea018632"/>
    <n v="-1.3880288510000001"/>
    <n v="1.28872678"/>
    <s v="Inverse"/>
    <s v="propionyl-CoA carboxylase activity"/>
    <s v="propionyl-CoA carboxylase activity"/>
  </r>
  <r>
    <x v="0"/>
    <x v="0"/>
    <s v="OG0011070"/>
    <s v="Ofaveolata011236"/>
    <s v="Ssiderea051431"/>
    <n v="-9.1557623360000004"/>
    <n v="1.0681046080000001"/>
    <s v="Inverse"/>
    <s v="glycerate dehydrogenase activity"/>
    <s v="glycerate dehydrogenase activity"/>
  </r>
  <r>
    <x v="0"/>
    <x v="0"/>
    <s v="OG0011229"/>
    <s v="Ofaveolata004222"/>
    <s v="Ssiderea029117"/>
    <n v="-1.0904903610000001"/>
    <n v="-1.1160096799999999"/>
    <s v="Direct"/>
    <s v="GABA-A receptor activity"/>
    <s v="GABA-A receptor activity"/>
  </r>
  <r>
    <x v="0"/>
    <x v="0"/>
    <s v="OG0011360"/>
    <s v="Ofaveolata025862"/>
    <s v="Ssiderea055489"/>
    <n v="2.0036584909999999"/>
    <n v="-2.2372180529999999"/>
    <s v="Inverse"/>
    <s v="homologous chromosome movement towards spindle pole involved in homologous chromosome segregation"/>
    <s v="homologous chromosome movement towards spindle pole involved in homologous chromosome segregation"/>
  </r>
  <r>
    <x v="0"/>
    <x v="0"/>
    <s v="OG0011426"/>
    <s v="Ofaveolata016294"/>
    <s v="Ssiderea052675"/>
    <n v="-1.1300156589999999"/>
    <n v="1.491693806"/>
    <s v="Inverse"/>
    <s v="NA"/>
    <s v="Cytochrome p-450"/>
  </r>
  <r>
    <x v="0"/>
    <x v="0"/>
    <s v="OG0011451"/>
    <s v="Ofaveolata001473"/>
    <s v="Ssiderea043685"/>
    <n v="-2.8722368010000001"/>
    <n v="-1.469035501"/>
    <s v="Direct"/>
    <s v="acid phosphatase activity"/>
    <s v="acid phosphatase activity"/>
  </r>
  <r>
    <x v="0"/>
    <x v="0"/>
    <s v="OG0011482"/>
    <s v="Ofaveolata005158"/>
    <s v="Ssiderea62307"/>
    <n v="-1.0079241910000001"/>
    <n v="-2.0686900540000002"/>
    <s v="Direct"/>
    <s v="NA"/>
    <s v="calcium ion binding"/>
  </r>
  <r>
    <x v="0"/>
    <x v="0"/>
    <s v="OG0011829"/>
    <s v="Ofaveolata025813"/>
    <s v="Ssiderea055555"/>
    <n v="-8.0919937609999995"/>
    <n v="-1.3615870489999999"/>
    <s v="Direct"/>
    <s v="phospholipid-translocating ATPase activity"/>
    <s v="phospholipid-translocating ATPase activity"/>
  </r>
  <r>
    <x v="0"/>
    <x v="0"/>
    <s v="OG0011885"/>
    <s v="Ofaveolata033256"/>
    <s v="Ssiderea055301"/>
    <n v="1.248036752"/>
    <n v="1.1728781450000001"/>
    <s v="Direct"/>
    <s v="Src homology 3 domains"/>
    <s v="Src homology 3 domains"/>
  </r>
  <r>
    <x v="0"/>
    <x v="0"/>
    <s v="OG0011928"/>
    <s v="Ofaveolata006623"/>
    <s v="Ssiderea010003"/>
    <n v="1.097355726"/>
    <n v="2.732444761"/>
    <s v="Direct"/>
    <s v="NA"/>
    <s v="NA"/>
  </r>
  <r>
    <x v="0"/>
    <x v="0"/>
    <s v="OG0011947"/>
    <s v="Ofaveolata026506"/>
    <s v="Ssiderea021770"/>
    <n v="1.385709648"/>
    <n v="-1.361718789"/>
    <s v="Inverse"/>
    <s v="U6 snRNA binding"/>
    <s v="U6 snRNA binding"/>
  </r>
  <r>
    <x v="0"/>
    <x v="0"/>
    <s v="OG0012041"/>
    <s v="Ofaveolata009050"/>
    <s v="Ssiderea055063"/>
    <n v="-1.831711557"/>
    <n v="-1.055794637"/>
    <s v="Direct"/>
    <s v="NA"/>
    <s v="neurogenic locus notch homolog protein"/>
  </r>
  <r>
    <x v="0"/>
    <x v="0"/>
    <s v="OG0012083"/>
    <s v="Ofaveolata029185"/>
    <s v="Ssiderea027760"/>
    <n v="-1.859356099"/>
    <n v="-1.4768232429999999"/>
    <s v="Direct"/>
    <s v="growth factor 1 receptor"/>
    <s v="Receptor L domain"/>
  </r>
  <r>
    <x v="0"/>
    <x v="0"/>
    <s v="OG0012143"/>
    <s v="Ofaveolata002328"/>
    <s v="Ssiderea012842"/>
    <n v="3.8705298730000002"/>
    <n v="-1.239682234"/>
    <s v="Inverse"/>
    <s v="NA"/>
    <s v="Lactose-binding lectin l-2-like"/>
  </r>
  <r>
    <x v="0"/>
    <x v="0"/>
    <s v="OG0012179"/>
    <s v="Ofaveolata002556"/>
    <s v="Ssiderea013067"/>
    <n v="-4.1275559529999999"/>
    <n v="6.2949581329999997"/>
    <s v="Inverse"/>
    <s v="dihydrofolate reductase activity"/>
    <s v="dihydrofolate reductase activity"/>
  </r>
  <r>
    <x v="0"/>
    <x v="0"/>
    <s v="OG0012242"/>
    <s v="Ofaveolata034333"/>
    <s v="Ssiderea052907"/>
    <n v="1.1790899889999999"/>
    <n v="-2.3220039049999999"/>
    <s v="Inverse"/>
    <s v="carbohydrate binding"/>
    <s v="carbohydrate binding"/>
  </r>
  <r>
    <x v="0"/>
    <x v="0"/>
    <s v="OG0012318"/>
    <s v="Ofaveolata007200"/>
    <s v="Ssiderea009898"/>
    <n v="-1.13467104"/>
    <n v="4.2160103769999999"/>
    <s v="Inverse"/>
    <s v="Papain family cysteine protease"/>
    <s v="Papain family cysteine protease"/>
  </r>
  <r>
    <x v="0"/>
    <x v="0"/>
    <s v="OG0012425"/>
    <s v="Ofaveolata033404"/>
    <s v="Ssiderea040239"/>
    <n v="-2.7133995199999998"/>
    <n v="1.310445018"/>
    <s v="Inverse"/>
    <s v="beta-tubulin binding"/>
    <s v="Leucine-rich PPR motif-containing protein"/>
  </r>
  <r>
    <x v="0"/>
    <x v="0"/>
    <s v="OG0012535"/>
    <s v="Ofaveolata015180"/>
    <s v="Ssiderea051132"/>
    <n v="1.326411998"/>
    <n v="-2.5304513649999998"/>
    <s v="Inverse"/>
    <s v="calcium ion-regulated exocytosis of neurotransmitter"/>
    <s v="calcium ion-regulated exocytosis of neurotransmitter"/>
  </r>
  <r>
    <x v="0"/>
    <x v="0"/>
    <s v="OG0012629"/>
    <s v="Ofaveolata018037"/>
    <s v="Ssiderea002220"/>
    <n v="-1.052349295"/>
    <n v="-1.3730110390000001"/>
    <s v="Direct"/>
    <s v="NA"/>
    <s v="trypsinogen activation"/>
  </r>
  <r>
    <x v="0"/>
    <x v="0"/>
    <s v="OG0012655"/>
    <s v="Ofaveolata004748"/>
    <s v="Ssiderea010924"/>
    <n v="-1.527603227"/>
    <n v="1.030982568"/>
    <s v="Inverse"/>
    <s v="NA"/>
    <s v="cyclin binding"/>
  </r>
  <r>
    <x v="0"/>
    <x v="0"/>
    <s v="OG0012893"/>
    <s v="Ofaveolata008827"/>
    <s v="Ssiderea007938"/>
    <n v="1.3469819089999999"/>
    <n v="1.7516225569999999"/>
    <s v="Direct"/>
    <s v="Nuclear assembly factor 1 homolog (S. cerevisiae)"/>
    <s v="Nuclear assembly factor 1 homolog (S. cerevisiae)"/>
  </r>
  <r>
    <x v="0"/>
    <x v="0"/>
    <s v="OG0013076"/>
    <s v="Ofaveolata026686"/>
    <s v="Ssiderea002294"/>
    <n v="-4.8653720810000003"/>
    <n v="1.095687904"/>
    <s v="Inverse"/>
    <s v="gamma-glutamylcyclotransferase activity"/>
    <s v="PFAM AIG2 family protein"/>
  </r>
  <r>
    <x v="0"/>
    <x v="0"/>
    <s v="OG0013085"/>
    <s v="Ofaveolata031804"/>
    <s v="Ssiderea006778"/>
    <n v="-6.1883015959999996"/>
    <n v="-1.5428729329999999"/>
    <s v="Direct"/>
    <s v="Leukotriene A-4 hydrolase"/>
    <s v="Leukotriene A-4 hydrolase"/>
  </r>
  <r>
    <x v="0"/>
    <x v="0"/>
    <s v="OG0013090"/>
    <s v="Ofaveolata010536"/>
    <s v="Ssiderea045355"/>
    <n v="7.3940741030000003"/>
    <n v="2.6156851030000001"/>
    <s v="Direct"/>
    <s v="NAADP-sensitive calcium-release channel activity"/>
    <s v="NAADP-sensitive calcium-release channel activity"/>
  </r>
  <r>
    <x v="0"/>
    <x v="0"/>
    <s v="OG0013170"/>
    <s v="Ofaveolata009169"/>
    <s v="Ssiderea051634"/>
    <n v="7.352333679"/>
    <n v="1.061888395"/>
    <s v="Direct"/>
    <s v="aspartate N-acetyltransferase activity"/>
    <s v="aspartate N-acetyltransferase activity"/>
  </r>
  <r>
    <x v="0"/>
    <x v="0"/>
    <s v="OG0013222"/>
    <s v="Ofaveolata002214"/>
    <s v="Ssiderea012721"/>
    <n v="1.0002967439999999"/>
    <n v="1.7028513300000001"/>
    <s v="Direct"/>
    <s v="NA"/>
    <s v="Belongs to the class I-like SAM-binding methyltransferase superfamily. Cation-independent O- methyltransferase family"/>
  </r>
  <r>
    <x v="0"/>
    <x v="1"/>
    <s v="OG0000159"/>
    <s v="Ofaveolata035798"/>
    <s v="Ssiderea034404"/>
    <n v="1.2562196299999999"/>
    <n v="-1.568779285"/>
    <s v="Inverse"/>
    <s v="carbohydrate binding"/>
    <s v="carbohydrate binding"/>
  </r>
  <r>
    <x v="0"/>
    <x v="1"/>
    <s v="OG0000163"/>
    <s v="Ofaveolata023831"/>
    <s v="Ssiderea045838"/>
    <n v="2.1454892110000001"/>
    <n v="4.262578134"/>
    <s v="Direct"/>
    <s v="NA"/>
    <s v="NA"/>
  </r>
  <r>
    <x v="0"/>
    <x v="1"/>
    <s v="OG0000217"/>
    <s v="Ofaveolata002958"/>
    <s v="Ssiderea023623"/>
    <n v="2.2671323069999998"/>
    <n v="-1.2399487979999999"/>
    <s v="Inverse"/>
    <s v="NA"/>
    <s v="endocytosis"/>
  </r>
  <r>
    <x v="0"/>
    <x v="1"/>
    <s v="OG0000233"/>
    <s v="Ofaveolata024356"/>
    <s v="Ssiderea045997"/>
    <n v="-4.7273998180000003"/>
    <n v="1.6064346169999999"/>
    <s v="Inverse"/>
    <s v="FAD dependent oxidoreductase"/>
    <s v="FAD dependent oxidoreductase"/>
  </r>
  <r>
    <x v="0"/>
    <x v="1"/>
    <s v="OG0000237"/>
    <s v="Ofaveolata027123"/>
    <s v="Ssiderea025805"/>
    <n v="1.030769761"/>
    <n v="-1.0518953010000001"/>
    <s v="Inverse"/>
    <s v="Receptor-type tyrosine-protein phosphatase"/>
    <s v="Receptor-type tyrosine-protein phosphatase"/>
  </r>
  <r>
    <x v="0"/>
    <x v="1"/>
    <s v="OG0000279"/>
    <s v="Ofaveolata024964"/>
    <s v="Ssiderea021212"/>
    <n v="1.6244567560000001"/>
    <n v="1.3231238489999999"/>
    <s v="Direct"/>
    <s v="cysteine-type endopeptidase activity"/>
    <s v="cysteine-type endopeptidase activity"/>
  </r>
  <r>
    <x v="0"/>
    <x v="1"/>
    <s v="OG0000421"/>
    <s v="Ofaveolata032911"/>
    <s v="Ssiderea027777"/>
    <n v="1.1695590600000001"/>
    <n v="-1.211014824"/>
    <s v="Inverse"/>
    <s v="guanylate cyclase activity"/>
    <s v="Adenylyl- / guanylyl cyclase, catalytic domain"/>
  </r>
  <r>
    <x v="0"/>
    <x v="1"/>
    <s v="OG0000444"/>
    <s v="Ofaveolata026424"/>
    <s v="Ssiderea038632"/>
    <n v="8.0178811569999997"/>
    <n v="-3.3250349809999999"/>
    <s v="Inverse"/>
    <s v="zinc ion binding"/>
    <s v="zinc ion binding"/>
  </r>
  <r>
    <x v="0"/>
    <x v="1"/>
    <s v="OG0000453"/>
    <s v="Ofaveolata015496"/>
    <s v="Ssiderea056037"/>
    <n v="-3.5379030669999998"/>
    <n v="-1.900699693"/>
    <s v="Direct"/>
    <s v="NA"/>
    <s v="NA"/>
  </r>
  <r>
    <x v="0"/>
    <x v="1"/>
    <s v="OG0000533"/>
    <s v="Ofaveolata035093"/>
    <s v="Ssiderea60971"/>
    <n v="-1.62826446"/>
    <n v="-1.5673584410000001"/>
    <s v="Direct"/>
    <s v="transposition, RNA-mediated"/>
    <s v="transposition, RNA-mediated"/>
  </r>
  <r>
    <x v="0"/>
    <x v="1"/>
    <s v="OG0000570"/>
    <s v="Ofaveolata001035"/>
    <s v="Ssiderea022318"/>
    <n v="-2.690241887"/>
    <n v="1.578036413"/>
    <s v="Inverse"/>
    <s v="fibroblast growth factor-activated receptor activity"/>
    <s v="fibroblast growth factor-activated receptor activity"/>
  </r>
  <r>
    <x v="0"/>
    <x v="1"/>
    <s v="OG0000616"/>
    <s v="Ofaveolata024831"/>
    <s v="Ssiderea016706"/>
    <n v="1.983955575"/>
    <n v="-1.764987013"/>
    <s v="Inverse"/>
    <s v="NA"/>
    <s v="C-terminal of Roc, COR, domain"/>
  </r>
  <r>
    <x v="0"/>
    <x v="1"/>
    <s v="OG0000633"/>
    <s v="Ofaveolata019961"/>
    <s v="Ssiderea057815"/>
    <n v="-2.617737151"/>
    <n v="1.446913152"/>
    <s v="Inverse"/>
    <s v="ATP-binding cassette, subfamily B (MDR TAP), member"/>
    <s v="ATP-binding cassette, subfamily B (MDR TAP), member"/>
  </r>
  <r>
    <x v="0"/>
    <x v="1"/>
    <s v="OG0000861"/>
    <s v="Ofaveolata027502"/>
    <s v="Ssiderea047867"/>
    <n v="3.8130670339999999"/>
    <n v="-1.769101187"/>
    <s v="Inverse"/>
    <s v="Belongs to the peptidase M10A family"/>
    <s v="Belongs to the peptidase M10A family"/>
  </r>
  <r>
    <x v="0"/>
    <x v="1"/>
    <s v="OG0000980"/>
    <s v="Ofaveolata015386"/>
    <s v="Ssiderea038323"/>
    <n v="-1.3304620110000001"/>
    <n v="-2.2446374410000001"/>
    <s v="Direct"/>
    <s v="BIR domain binding"/>
    <s v="Caspase 9, apoptosis-related cysteine protease"/>
  </r>
  <r>
    <x v="0"/>
    <x v="1"/>
    <s v="OG0001014"/>
    <s v="Ofaveolata018880"/>
    <s v="Ssiderea002982"/>
    <n v="2.6150853710000002"/>
    <n v="1.0159104450000001"/>
    <s v="Direct"/>
    <s v="L-glutamate import across plasma membrane"/>
    <s v="L-glutamate import across plasma membrane"/>
  </r>
  <r>
    <x v="0"/>
    <x v="1"/>
    <s v="OG0001035"/>
    <s v="Ofaveolata013447"/>
    <s v="Ssiderea000550"/>
    <n v="3.2756305220000002"/>
    <n v="-1.8550501210000001"/>
    <s v="Inverse"/>
    <s v="ammonium transmembrane transporter activity"/>
    <s v="ammonium transmembrane transporter activity"/>
  </r>
  <r>
    <x v="0"/>
    <x v="1"/>
    <s v="OG0001060"/>
    <s v="Ofaveolata021998"/>
    <s v="Ssiderea023406"/>
    <n v="-6.6504951849999996"/>
    <n v="1.3914981360000001"/>
    <s v="Inverse"/>
    <s v="tumor necrosis factor-activated receptor activity"/>
    <s v="Tumor necrosis factor receptor / nerve growth factor receptor repeats."/>
  </r>
  <r>
    <x v="0"/>
    <x v="1"/>
    <s v="OG0001068"/>
    <s v="Ofaveolata035843"/>
    <s v="Ssiderea000261"/>
    <n v="4.2127941809999996"/>
    <n v="3.3385308610000002"/>
    <s v="Direct"/>
    <s v="transcription regulator activity"/>
    <s v="DNA-binding transcription factor activity, RNA polymerase II-specific"/>
  </r>
  <r>
    <x v="0"/>
    <x v="1"/>
    <s v="OG0001135"/>
    <s v="Ofaveolata029868"/>
    <s v="Ssiderea024098"/>
    <n v="-3.8308684510000002"/>
    <n v="-1.603602456"/>
    <s v="Direct"/>
    <s v="SCP / Tpx-1 / Ag5 / PR-1 / Sc7 family of extracellular domains."/>
    <s v="positive regulation of epithelial to mesenchymal transition"/>
  </r>
  <r>
    <x v="0"/>
    <x v="1"/>
    <s v="OG0001135_1"/>
    <s v="Ofaveolata029867"/>
    <s v="Ssiderea039160"/>
    <n v="1.7824142869999999"/>
    <n v="1.4191801690000001"/>
    <s v="Direct"/>
    <s v="positive regulation of epithelial to mesenchymal transition"/>
    <s v="positive regulation of epithelial to mesenchymal transition"/>
  </r>
  <r>
    <x v="0"/>
    <x v="1"/>
    <s v="OG0001173"/>
    <s v="Ofaveolata030656"/>
    <s v="Ssiderea013904"/>
    <n v="9.7481093269999999"/>
    <n v="-1.6485605940000001"/>
    <s v="Inverse"/>
    <s v="Crystallin, zeta (quinone reductase)"/>
    <s v="Crystallin, zeta (quinone reductase)"/>
  </r>
  <r>
    <x v="0"/>
    <x v="1"/>
    <s v="OG0001499"/>
    <s v="Ofaveolata028713"/>
    <s v="Ssiderea042784"/>
    <n v="-3.0776842250000001"/>
    <n v="-1.1478583410000001"/>
    <s v="Direct"/>
    <s v="Lamin Tail Domain"/>
    <s v="structural molecule activity"/>
  </r>
  <r>
    <x v="0"/>
    <x v="1"/>
    <s v="OG0001510"/>
    <s v="Ofaveolata026785"/>
    <s v="Ssiderea018341"/>
    <n v="-3.1254851879999999"/>
    <n v="1.8841024909999999"/>
    <s v="Inverse"/>
    <s v="dipeptidyl-peptidase activity"/>
    <s v="dipeptidyl-peptidase activity"/>
  </r>
  <r>
    <x v="0"/>
    <x v="1"/>
    <s v="OG0001545"/>
    <s v="Ofaveolata031665"/>
    <s v="Ssiderea006828"/>
    <n v="-3.5804681999999999"/>
    <n v="-1.9277596379999999"/>
    <s v="Direct"/>
    <s v="protection from non-homologous end joining at telomere"/>
    <s v="protection from non-homologous end joining at telomere"/>
  </r>
  <r>
    <x v="0"/>
    <x v="1"/>
    <s v="OG0001548"/>
    <s v="Ofaveolata018113"/>
    <s v="Ssiderea001921"/>
    <n v="4.0616946240000003"/>
    <n v="1.370066953"/>
    <s v="Direct"/>
    <s v="NA"/>
    <s v="axonal fasciculation"/>
  </r>
  <r>
    <x v="0"/>
    <x v="1"/>
    <s v="OG0001780"/>
    <s v="Ofaveolata010105"/>
    <s v="Ssiderea049435"/>
    <n v="1.955076179"/>
    <n v="1.240292401"/>
    <s v="Direct"/>
    <s v="UPF0554 protein C2orf43 homolog"/>
    <s v="UPF0554 protein C2orf43 homolog"/>
  </r>
  <r>
    <x v="0"/>
    <x v="1"/>
    <s v="OG0001866"/>
    <s v="Ofaveolata019305"/>
    <s v="Ssiderea043956"/>
    <n v="1.28146988"/>
    <n v="-1.3125790820000001"/>
    <s v="Inverse"/>
    <s v="serine-type endopeptidase activity"/>
    <s v="serine-type endopeptidase activity"/>
  </r>
  <r>
    <x v="0"/>
    <x v="1"/>
    <s v="OG0001873"/>
    <s v="Ofaveolata017721"/>
    <s v="Ssiderea046959"/>
    <n v="-1.2821358890000001"/>
    <n v="-1.2019386969999999"/>
    <s v="Direct"/>
    <s v="Glycosyl transferase"/>
    <s v="Glycosyl transferases group 1"/>
  </r>
  <r>
    <x v="0"/>
    <x v="1"/>
    <s v="OG0002144"/>
    <s v="Ofaveolata000890"/>
    <s v="Ssiderea022553"/>
    <n v="-1.0365181590000001"/>
    <n v="-1.7794051019999999"/>
    <s v="Direct"/>
    <s v="NFX1-type zinc finger-containing protein"/>
    <s v="NFX1-type zinc finger-containing protein"/>
  </r>
  <r>
    <x v="0"/>
    <x v="1"/>
    <s v="OG0002263"/>
    <s v="Ofaveolata024686"/>
    <s v="Ssiderea017096"/>
    <n v="-1.5151235190000001"/>
    <n v="-1.5315906589999999"/>
    <s v="Direct"/>
    <s v="NA"/>
    <s v="homophilic cell adhesion via plasma membrane adhesion molecules"/>
  </r>
  <r>
    <x v="0"/>
    <x v="1"/>
    <s v="OG0002395"/>
    <s v="Ofaveolata030986"/>
    <s v="Ssiderea006565"/>
    <n v="2.0694297229999998"/>
    <n v="1.406002958"/>
    <s v="Direct"/>
    <s v="fibroblast growth factor-activated receptor activity"/>
    <s v="fibroblast growth factor-activated receptor activity"/>
  </r>
  <r>
    <x v="0"/>
    <x v="1"/>
    <s v="OG0002538"/>
    <s v="Ofaveolata014814"/>
    <s v="Ssiderea021625"/>
    <n v="-1.2491056229999999"/>
    <n v="-1.068468419"/>
    <s v="Direct"/>
    <s v="NA"/>
    <s v="Fic/DOC family"/>
  </r>
  <r>
    <x v="0"/>
    <x v="1"/>
    <s v="OG0002586"/>
    <s v="Ofaveolata030575"/>
    <s v="Ssiderea034030"/>
    <n v="1.412597251"/>
    <n v="1.2817825899999999"/>
    <s v="Direct"/>
    <s v="DNA repair protein"/>
    <s v="repair protein"/>
  </r>
  <r>
    <x v="0"/>
    <x v="1"/>
    <s v="OG0002871"/>
    <s v="Ofaveolata018010"/>
    <s v="Ssiderea002238"/>
    <n v="1.8033327830000001"/>
    <n v="-1.302168591"/>
    <s v="Inverse"/>
    <s v="NA"/>
    <s v="trypsinogen activation"/>
  </r>
  <r>
    <x v="0"/>
    <x v="1"/>
    <s v="OG0003004"/>
    <s v="Ofaveolata032422"/>
    <s v="Ssiderea007654"/>
    <n v="2.6588734139999999"/>
    <n v="-1.8486343279999999"/>
    <s v="Inverse"/>
    <s v="NA"/>
    <s v="NA"/>
  </r>
  <r>
    <x v="0"/>
    <x v="1"/>
    <s v="OG0003060"/>
    <s v="Ofaveolata032100"/>
    <s v="Ssiderea048701"/>
    <n v="-1.823028761"/>
    <n v="-1.653219488"/>
    <s v="Direct"/>
    <s v="Heat shock 70 kDa protein 12A-like"/>
    <s v="Heat shock 70 kDa protein 12A-like"/>
  </r>
  <r>
    <x v="0"/>
    <x v="1"/>
    <s v="OG0003070"/>
    <s v="Ofaveolata011218"/>
    <s v="Ssiderea050623"/>
    <n v="2.0894142019999999"/>
    <n v="3.2840886980000001"/>
    <s v="Direct"/>
    <s v="NA"/>
    <s v="Nucleus accumbens associated 1, BEN and BTB (POZ) domain containing"/>
  </r>
  <r>
    <x v="0"/>
    <x v="1"/>
    <s v="OG0003182"/>
    <s v="Ofaveolata015291"/>
    <s v="Ssiderea031448"/>
    <n v="-2.2551332190000002"/>
    <n v="-1.5095359420000001"/>
    <s v="Direct"/>
    <s v="regulation of mitotic metaphase/anaphase transition"/>
    <s v="NA"/>
  </r>
  <r>
    <x v="0"/>
    <x v="1"/>
    <s v="OG0003253"/>
    <s v="Ofaveolata036247"/>
    <s v="Ssiderea038083"/>
    <n v="4.2272301350000001"/>
    <n v="2.5277352980000001"/>
    <s v="Direct"/>
    <s v="Amidohydrolase family"/>
    <s v="Amidohydrolase family"/>
  </r>
  <r>
    <x v="0"/>
    <x v="1"/>
    <s v="OG0003313"/>
    <s v="Ofaveolata004925"/>
    <s v="Ssiderea011320"/>
    <n v="1.963024229"/>
    <n v="-1.3471936760000001"/>
    <s v="Inverse"/>
    <s v="cerebellar Purkinje cell layer maturation"/>
    <s v="Arginine-glutamic acid dipeptide"/>
  </r>
  <r>
    <x v="0"/>
    <x v="1"/>
    <s v="OG0003629"/>
    <s v="Ofaveolata024037"/>
    <s v="Ssiderea005361"/>
    <n v="-1.8410311319999999"/>
    <n v="-1.947407355"/>
    <s v="Direct"/>
    <s v="Vacuolar Protein"/>
    <s v="Vacuolar Protein"/>
  </r>
  <r>
    <x v="0"/>
    <x v="1"/>
    <s v="OG0004108"/>
    <s v="Ofaveolata008029"/>
    <s v="Ssiderea009542"/>
    <n v="1.0645605419999999"/>
    <n v="1.1527819640000001"/>
    <s v="Direct"/>
    <s v="Ribosomal protein L4"/>
    <s v="Ribosomal protein L4"/>
  </r>
  <r>
    <x v="0"/>
    <x v="1"/>
    <s v="OG0004205"/>
    <s v="Ofaveolata029703"/>
    <s v="Ssiderea023754"/>
    <n v="3.7515987499999999"/>
    <n v="2.8878291699999998"/>
    <s v="Direct"/>
    <s v="sodium:proton antiporter activity"/>
    <s v="sodium:proton antiporter activity"/>
  </r>
  <r>
    <x v="0"/>
    <x v="1"/>
    <s v="OG0004258"/>
    <s v="Ofaveolata005181"/>
    <s v="Ssiderea016583"/>
    <n v="5.007344636"/>
    <n v="1.192445711"/>
    <s v="Direct"/>
    <s v="Neurotransmitter-gated ion-channel ligand binding domain"/>
    <s v="Neurotransmitter-gated ion-channel ligand binding domain"/>
  </r>
  <r>
    <x v="0"/>
    <x v="1"/>
    <s v="OG0004485"/>
    <s v="Ofaveolata031172"/>
    <s v="Ssiderea048618"/>
    <n v="1.329659317"/>
    <n v="-2.2048051540000002"/>
    <s v="Inverse"/>
    <s v="sequence-specific DNA binding"/>
    <s v="sequence-specific DNA binding"/>
  </r>
  <r>
    <x v="0"/>
    <x v="1"/>
    <s v="OG0004604"/>
    <s v="Ofaveolata013633"/>
    <s v="Ssiderea044691"/>
    <n v="2.9686286110000002"/>
    <n v="-1.8662071499999999"/>
    <s v="Inverse"/>
    <s v="NA"/>
    <s v="Required for formation of the RNA induced silencing complex (RISC). Component of the RISC loading complex (RLC), also known as the micro-RNA (miRNA) loading complex (miRLC), which is composed of dicer1, ago2 and tarbp2. Within the RLC miRLC, dicer1 and ta"/>
  </r>
  <r>
    <x v="0"/>
    <x v="1"/>
    <s v="OG0004737"/>
    <s v="Ofaveolata003318"/>
    <s v="Ssiderea030027"/>
    <n v="1.6653666110000001"/>
    <n v="-3.1932500510000001"/>
    <s v="Inverse"/>
    <s v="NA"/>
    <s v="collagen"/>
  </r>
  <r>
    <x v="0"/>
    <x v="1"/>
    <s v="OG0004748"/>
    <s v="Ofaveolata007313"/>
    <s v="Ssiderea058223"/>
    <n v="3.0647544930000001"/>
    <n v="1.9029164919999999"/>
    <s v="Direct"/>
    <s v="DNA demethylation of male pronucleus"/>
    <s v="DNA demethylation of male pronucleus"/>
  </r>
  <r>
    <x v="0"/>
    <x v="1"/>
    <s v="OG0005061"/>
    <s v="Ofaveolata010578"/>
    <s v="Ssiderea045388"/>
    <n v="1.070944699"/>
    <n v="1.3273633890000001"/>
    <s v="Direct"/>
    <s v="Trypsin-like serine protease"/>
    <s v="Trypsin-like serine protease"/>
  </r>
  <r>
    <x v="0"/>
    <x v="1"/>
    <s v="OG0005146"/>
    <s v="Ofaveolata030445"/>
    <s v="Ssiderea037884"/>
    <n v="1.804935108"/>
    <n v="1.4465914070000001"/>
    <s v="Direct"/>
    <s v="histone H3-S10 phosphorylation involved in chromosome condensation"/>
    <s v="histone H3-S10 phosphorylation involved in chromosome condensation"/>
  </r>
  <r>
    <x v="0"/>
    <x v="1"/>
    <s v="OG0005655"/>
    <s v="Ofaveolata000249"/>
    <s v="Ssiderea029600"/>
    <n v="1.8148516619999999"/>
    <n v="2.0131068650000001"/>
    <s v="Direct"/>
    <s v="serine-type carboxypeptidase activity"/>
    <s v="serine-type carboxypeptidase activity"/>
  </r>
  <r>
    <x v="0"/>
    <x v="1"/>
    <s v="OG0005954"/>
    <s v="Ofaveolata031778"/>
    <s v="Ssiderea006713"/>
    <n v="5.2541558579999998"/>
    <n v="-1.1895783609999999"/>
    <s v="Inverse"/>
    <s v="ankyrin repeat"/>
    <s v="ATPase activity, coupled to transmembrane movement of substances"/>
  </r>
  <r>
    <x v="0"/>
    <x v="1"/>
    <s v="OG0006354"/>
    <s v="Ofaveolata019333"/>
    <s v="Ssiderea037268"/>
    <n v="-5.2422796700000003"/>
    <n v="1.4413576109999999"/>
    <s v="Inverse"/>
    <s v="It is involved in the biological process described with"/>
    <s v="It is involved in the biological process described with"/>
  </r>
  <r>
    <x v="0"/>
    <x v="1"/>
    <s v="OG0006380"/>
    <s v="Ofaveolata030970"/>
    <s v="Ssiderea056438"/>
    <n v="1.228497516"/>
    <n v="1.281918501"/>
    <s v="Direct"/>
    <s v="RNA binding motif protein"/>
    <s v="RNA binding motif protein"/>
  </r>
  <r>
    <x v="0"/>
    <x v="1"/>
    <s v="OG0006385"/>
    <s v="Ofaveolata024791"/>
    <s v="Ssiderea016771"/>
    <n v="5.2479186200000001"/>
    <n v="1.881715596"/>
    <s v="Direct"/>
    <s v="calcium ion binding"/>
    <s v="calcium ion binding"/>
  </r>
  <r>
    <x v="0"/>
    <x v="1"/>
    <s v="OG0006523"/>
    <s v="Ofaveolata024440"/>
    <s v="Ssiderea006119"/>
    <n v="1.8154939889999999"/>
    <n v="2.1374055420000002"/>
    <s v="Direct"/>
    <s v="2 iron, 2 sulfur cluster binding"/>
    <s v="2 iron, 2 sulfur cluster binding"/>
  </r>
  <r>
    <x v="0"/>
    <x v="1"/>
    <s v="OG0006550"/>
    <s v="Ofaveolata026049"/>
    <s v="Ssiderea021792"/>
    <n v="-1.0234181090000001"/>
    <n v="-1.2817825899999999"/>
    <s v="Direct"/>
    <s v="NA"/>
    <s v="Tudor domain"/>
  </r>
  <r>
    <x v="0"/>
    <x v="1"/>
    <s v="OG0006604"/>
    <s v="Ofaveolata030665"/>
    <s v="Ssiderea013912"/>
    <n v="2.9864095879999999"/>
    <n v="-3.0616409710000001"/>
    <s v="Inverse"/>
    <s v="heat shock protein binding"/>
    <s v="regulation of nitrosative stress-induced intrinsic apoptotic signaling pathway"/>
  </r>
  <r>
    <x v="0"/>
    <x v="1"/>
    <s v="OG0006643"/>
    <s v="Ofaveolata017575"/>
    <s v="Ssiderea018481"/>
    <n v="4.879746989"/>
    <n v="-1.542157336"/>
    <s v="Inverse"/>
    <s v="Belongs to the sterol desaturase family"/>
    <s v="lathosterol oxidase activity"/>
  </r>
  <r>
    <x v="0"/>
    <x v="1"/>
    <s v="OG0006814"/>
    <s v="Ofaveolata013102"/>
    <s v="Ssiderea001391"/>
    <n v="-1.307287522"/>
    <n v="1.780091775"/>
    <s v="Inverse"/>
    <s v="sequence-specific DNA binding"/>
    <s v="sequence-specific DNA binding"/>
  </r>
  <r>
    <x v="0"/>
    <x v="1"/>
    <s v="OG0006894"/>
    <s v="Ofaveolata033691"/>
    <s v="Ssiderea053633"/>
    <n v="8.0174180859999993"/>
    <n v="-1.272874974"/>
    <s v="Inverse"/>
    <s v="NA"/>
    <s v="Von Willebrand factor"/>
  </r>
  <r>
    <x v="0"/>
    <x v="1"/>
    <s v="OG0007235"/>
    <s v="Ofaveolata034746"/>
    <s v="Ssiderea044950"/>
    <n v="2.6958454459999999"/>
    <n v="1.8543909780000001"/>
    <s v="Direct"/>
    <s v="NA"/>
    <s v="regulation of establishment of blood-brain barrier"/>
  </r>
  <r>
    <x v="0"/>
    <x v="1"/>
    <s v="OG0007422"/>
    <s v="Ofaveolata026288"/>
    <s v="Ssiderea039581"/>
    <n v="-2.2857187940000001"/>
    <n v="1.2122337560000001"/>
    <s v="Inverse"/>
    <s v="CENP-S protein"/>
    <s v="centromere protein T"/>
  </r>
  <r>
    <x v="0"/>
    <x v="1"/>
    <s v="OG0007445"/>
    <s v="Ofaveolata005254"/>
    <s v="Ssiderea015912"/>
    <n v="3.835801418"/>
    <n v="1.7068428019999999"/>
    <s v="Direct"/>
    <s v="ornithine carbamoyltransferase activity"/>
    <s v="ornithine carbamoyltransferase activity"/>
  </r>
  <r>
    <x v="0"/>
    <x v="1"/>
    <s v="OG0007585"/>
    <s v="Ofaveolata032055"/>
    <s v="Ssiderea039244"/>
    <n v="1.9645933069999999"/>
    <n v="1.8089236909999999"/>
    <s v="Direct"/>
    <s v="NA"/>
    <s v="DEAD/DEAH box helicase"/>
  </r>
  <r>
    <x v="0"/>
    <x v="1"/>
    <s v="OG0007602"/>
    <s v="Ofaveolata009888"/>
    <s v="Ssiderea051823"/>
    <n v="-1.9436763800000001"/>
    <n v="1.2513489250000001"/>
    <s v="Inverse"/>
    <s v="planar cell polarity effector"/>
    <s v="planar cell polarity effector"/>
  </r>
  <r>
    <x v="0"/>
    <x v="1"/>
    <s v="OG0007729"/>
    <s v="Ofaveolata006488"/>
    <s v="Ssiderea010069"/>
    <n v="-1.3352480120000001"/>
    <n v="1.9747561140000001"/>
    <s v="Inverse"/>
    <s v="adenosine 3'-phospho 5'-phosphosulfate transporter"/>
    <s v="adenosine 3'-phospho 5'-phosphosulfate transporter"/>
  </r>
  <r>
    <x v="0"/>
    <x v="1"/>
    <s v="OG0007747"/>
    <s v="Ofaveolata030402"/>
    <s v="Ssiderea034170"/>
    <n v="-2.3329798730000002"/>
    <n v="1.237113033"/>
    <s v="Inverse"/>
    <s v="vesicle fusion with Golgi apparatus"/>
    <s v="vesicle fusion with Golgi apparatus"/>
  </r>
  <r>
    <x v="0"/>
    <x v="1"/>
    <s v="OG0007750"/>
    <s v="Ofaveolata020982"/>
    <s v="Ssiderea012168"/>
    <n v="-2.5762519340000001"/>
    <n v="-1.823880172"/>
    <s v="Direct"/>
    <s v="PAP2 superfamily"/>
    <s v="PAP2 superfamily"/>
  </r>
  <r>
    <x v="0"/>
    <x v="1"/>
    <s v="OG0007807"/>
    <s v="Ofaveolata030950"/>
    <s v="Ssiderea048874"/>
    <n v="4.0191338390000002"/>
    <n v="2.1182076489999999"/>
    <s v="Direct"/>
    <s v="G/U mismatch-specific uracil-DNA glycosylase activity"/>
    <s v="G/U mismatch-specific uracil-DNA glycosylase activity"/>
  </r>
  <r>
    <x v="0"/>
    <x v="1"/>
    <s v="OG0008194"/>
    <s v="Ofaveolata026924"/>
    <s v="Ssiderea018035"/>
    <n v="2.1763284330000001"/>
    <n v="1.1000423239999999"/>
    <s v="Direct"/>
    <s v="endonucleolytic cleavage in ITS1 to separate SSU-rRNA from 5.8S rRNA and LSU-rRNA from tricistronic rRNA transcript (SSU-rRNA, 5.8S rRNA, LSU-rRNA)"/>
    <s v="endonucleolytic cleavage in ITS1 to separate SSU-rRNA from 5.8S rRNA and LSU-rRNA from tricistronic rRNA transcript (SSU-rRNA, 5.8S rRNA, LSU-rRNA)"/>
  </r>
  <r>
    <x v="0"/>
    <x v="1"/>
    <s v="OG0008542"/>
    <s v="Ofaveolata014037"/>
    <s v="Ssiderea003449"/>
    <n v="2.1202402889999998"/>
    <n v="1.3182316110000001"/>
    <s v="Direct"/>
    <s v="mannosyl-glycoprotein endo-beta-N-acetylglucosaminidase activity"/>
    <s v="mannosyl-glycoprotein endo-beta-N-acetylglucosaminidase activity"/>
  </r>
  <r>
    <x v="0"/>
    <x v="1"/>
    <s v="OG0008561"/>
    <s v="Ofaveolata027250"/>
    <s v="Ssiderea025588"/>
    <n v="-1.119308178"/>
    <n v="-1.2653186910000001"/>
    <s v="Direct"/>
    <s v="Polysaccharide deacetylase"/>
    <s v="Polysaccharide deacetylase"/>
  </r>
  <r>
    <x v="0"/>
    <x v="1"/>
    <s v="OG0008587"/>
    <s v="Ofaveolata029911"/>
    <s v="Ssiderea024170"/>
    <n v="1.4559857979999999"/>
    <n v="1.446913152"/>
    <s v="Direct"/>
    <s v="Alcohol dehydrogenase GroES-like domain"/>
    <s v="Alcohol dehydrogenase GroES-like domain"/>
  </r>
  <r>
    <x v="0"/>
    <x v="1"/>
    <s v="OG0009197"/>
    <s v="Ofaveolata025991"/>
    <s v="Ssiderea038867"/>
    <n v="-2.7200019860000002"/>
    <n v="1.2405280000000001"/>
    <s v="Inverse"/>
    <s v="RanBP-type and C3HC4-type zinc"/>
    <s v="ranBP-type and C3HC4-type zinc finger-containing protein"/>
  </r>
  <r>
    <x v="0"/>
    <x v="1"/>
    <s v="OG0009198"/>
    <s v="Ofaveolata010955"/>
    <s v="Ssiderea055738"/>
    <n v="3.1327313879999998"/>
    <n v="-1.9471394639999999"/>
    <s v="Inverse"/>
    <s v="ionotropic glutamate receptor activity"/>
    <s v="ionotropic glutamate receptor activity"/>
  </r>
  <r>
    <x v="0"/>
    <x v="1"/>
    <s v="OG0009296"/>
    <s v="Ofaveolata031482"/>
    <s v="Ssiderea048742"/>
    <n v="1.780859543"/>
    <n v="1.4200937490000001"/>
    <s v="Direct"/>
    <s v="aminomethyltransferase activity"/>
    <s v="aminomethyltransferase activity"/>
  </r>
  <r>
    <x v="0"/>
    <x v="1"/>
    <s v="OG0009387"/>
    <s v="Ofaveolata000187"/>
    <s v="Ssiderea022147"/>
    <n v="2.505525118"/>
    <n v="1.096520435"/>
    <s v="Direct"/>
    <s v="guanine nucleotide-binding protein"/>
    <s v="guanine nucleotide-binding protein"/>
  </r>
  <r>
    <x v="0"/>
    <x v="1"/>
    <s v="OG0009490"/>
    <s v="Ofaveolata002891"/>
    <s v="Ssiderea024554"/>
    <n v="-2.1641695049999998"/>
    <n v="1.171885786"/>
    <s v="Inverse"/>
    <s v="phytanoyl-CoA dioxygenase activity"/>
    <s v="phytanoyl-CoA dioxygenase activity"/>
  </r>
  <r>
    <x v="0"/>
    <x v="1"/>
    <s v="OG0009510"/>
    <s v="Ofaveolata005880"/>
    <s v="Ssiderea047898"/>
    <n v="1.0871149769999999"/>
    <n v="-1.3828826569999999"/>
    <s v="Inverse"/>
    <s v="transmembrane transport"/>
    <s v="transmembrane transport"/>
  </r>
  <r>
    <x v="0"/>
    <x v="1"/>
    <s v="OG0009552"/>
    <s v="Ofaveolata022992"/>
    <s v="Ssiderea014842"/>
    <n v="-3.1063700390000002"/>
    <n v="-1.1926822850000001"/>
    <s v="Direct"/>
    <s v="NA"/>
    <s v="kinase 36"/>
  </r>
  <r>
    <x v="0"/>
    <x v="1"/>
    <s v="OG0009652"/>
    <s v="Ofaveolata025017"/>
    <s v="Ssiderea021332"/>
    <n v="-1.212019409"/>
    <n v="1.3425930290000001"/>
    <s v="Inverse"/>
    <s v="saccharopine dehydrogenase (NAD+, L-lysine-forming) activity"/>
    <s v="saccharopine dehydrogenase (NAD+, L-lysine-forming) activity"/>
  </r>
  <r>
    <x v="0"/>
    <x v="1"/>
    <s v="OG0009700"/>
    <s v="Ofaveolata031851"/>
    <s v="Ssiderea007204"/>
    <n v="3.2589739849999999"/>
    <n v="1.0230526600000001"/>
    <s v="Direct"/>
    <s v="granuloma formation"/>
    <s v="granuloma formation"/>
  </r>
  <r>
    <x v="0"/>
    <x v="1"/>
    <s v="OG0009767"/>
    <s v="Ofaveolata008116"/>
    <s v="Ssiderea009645"/>
    <n v="1.399726451"/>
    <n v="-1.302168591"/>
    <s v="Inverse"/>
    <s v="Initiation factor"/>
    <s v="Initiation factor"/>
  </r>
  <r>
    <x v="0"/>
    <x v="1"/>
    <s v="OG0010040"/>
    <s v="Ofaveolata003052"/>
    <s v="Ssiderea024813"/>
    <n v="-1.050054896"/>
    <n v="-1.249772068"/>
    <s v="Direct"/>
    <s v="glycine amidinotransferase"/>
    <s v="glycine amidinotransferase"/>
  </r>
  <r>
    <x v="0"/>
    <x v="1"/>
    <s v="OG0010340"/>
    <s v="Ofaveolata026277"/>
    <s v="Ssiderea039594"/>
    <n v="4.0401683390000001"/>
    <n v="1.6579346779999999"/>
    <s v="Direct"/>
    <s v="snRNA 3'-end processing"/>
    <s v="Integrator complex subunit 8"/>
  </r>
  <r>
    <x v="0"/>
    <x v="1"/>
    <s v="OG0010524"/>
    <s v="Ofaveolata035924"/>
    <s v="Ssiderea053980"/>
    <n v="-2.1705876069999999"/>
    <n v="-1.5267813320000001"/>
    <s v="Direct"/>
    <s v="hyaluronic acid binding"/>
    <s v="hyaluronic acid binding"/>
  </r>
  <r>
    <x v="0"/>
    <x v="1"/>
    <s v="OG0010817"/>
    <s v="Ofaveolata007716"/>
    <s v="Ssiderea009315"/>
    <n v="5.312457878"/>
    <n v="-1.018487001"/>
    <s v="Inverse"/>
    <s v="polycystic kidney disease protein 1-like"/>
    <s v="polycystic kidney disease protein 1-like"/>
  </r>
  <r>
    <x v="0"/>
    <x v="1"/>
    <s v="OG0010826"/>
    <s v="Ofaveolata034866"/>
    <s v="Ssiderea62489"/>
    <n v="-2.2501918930000002"/>
    <n v="-1.046624658"/>
    <s v="Direct"/>
    <s v="K02A2.6-like"/>
    <s v="K02A2.6-like"/>
  </r>
  <r>
    <x v="0"/>
    <x v="1"/>
    <s v="OG0010926"/>
    <s v="Ofaveolata014414"/>
    <s v="Ssiderea004889"/>
    <n v="2.8765064140000001"/>
    <n v="1.001350014"/>
    <s v="Direct"/>
    <s v="negative regulation of Arp2/3 complex-mediated actin nucleation"/>
    <s v="negative regulation of Arp2/3 complex-mediated actin nucleation"/>
  </r>
  <r>
    <x v="0"/>
    <x v="1"/>
    <s v="OG0010995"/>
    <s v="Ofaveolata007495"/>
    <s v="Ssiderea044419"/>
    <n v="1.4284689429999999"/>
    <n v="1.1482125270000001"/>
    <s v="Direct"/>
    <s v="Belongs to the small heat shock protein (HSP20) family"/>
    <s v="Belongs to the small heat shock protein (HSP20) family"/>
  </r>
  <r>
    <x v="0"/>
    <x v="1"/>
    <s v="OG0011071"/>
    <s v="Ofaveolata034096"/>
    <s v="Ssiderea031692"/>
    <n v="2.0453956419999999"/>
    <n v="-1.8570231669999999"/>
    <s v="Inverse"/>
    <s v="LETM1 domain containing 1"/>
    <s v="LETM1 domain containing 1"/>
  </r>
  <r>
    <x v="0"/>
    <x v="1"/>
    <s v="OG0011115"/>
    <s v="Ofaveolata006719"/>
    <s v="Ssiderea032352"/>
    <n v="-1.03238348"/>
    <n v="1.891220546"/>
    <s v="Inverse"/>
    <s v="tRNA methylation"/>
    <s v="tRNA methylation"/>
  </r>
  <r>
    <x v="0"/>
    <x v="1"/>
    <s v="OG0011284"/>
    <s v="Ofaveolata023237"/>
    <s v="Ssiderea045978"/>
    <n v="3.249508482"/>
    <n v="-2.6703593400000001"/>
    <s v="Inverse"/>
    <s v="BRCA1 interacting protein C-terminal helicase 1"/>
    <s v="BRCA1 interacting protein C-terminal helicase 1"/>
  </r>
  <r>
    <x v="0"/>
    <x v="1"/>
    <s v="OG0011304"/>
    <s v="Ofaveolata014004"/>
    <s v="Ssiderea043937"/>
    <n v="3.473767069"/>
    <n v="1.0962104619999999"/>
    <s v="Direct"/>
    <s v="NA"/>
    <s v="protein monoubiquitination"/>
  </r>
  <r>
    <x v="0"/>
    <x v="1"/>
    <s v="OG0011451"/>
    <s v="Ofaveolata001473"/>
    <s v="Ssiderea043685"/>
    <n v="-1.0246838380000001"/>
    <n v="-1.30420443"/>
    <s v="Direct"/>
    <s v="acid phosphatase activity"/>
    <s v="acid phosphatase activity"/>
  </r>
  <r>
    <x v="0"/>
    <x v="1"/>
    <s v="OG0011460"/>
    <s v="Ofaveolata008331"/>
    <s v="Ssiderea008909"/>
    <n v="1.217156838"/>
    <n v="1.0343816130000001"/>
    <s v="Direct"/>
    <s v="Structural maintenance of chromosomes flexible hinge"/>
    <s v="Structural maintenance of chromosomes flexible hinge"/>
  </r>
  <r>
    <x v="0"/>
    <x v="1"/>
    <s v="OG0011780"/>
    <s v="Ofaveolata002448"/>
    <s v="Ssiderea024969"/>
    <n v="1.2169809330000001"/>
    <n v="1.0305762039999999"/>
    <s v="Direct"/>
    <s v="Chromosome 5 open reading frame 28"/>
    <s v="Chromosome 5 open reading frame 28"/>
  </r>
  <r>
    <x v="0"/>
    <x v="1"/>
    <s v="OG0011821"/>
    <s v="Ofaveolata008962"/>
    <s v="Ssiderea007806"/>
    <n v="4.2675154129999999"/>
    <n v="1.0213940050000001"/>
    <s v="Direct"/>
    <s v="SCF complex assembly"/>
    <s v="SCF complex assembly"/>
  </r>
  <r>
    <x v="0"/>
    <x v="1"/>
    <s v="OG0011829"/>
    <s v="Ofaveolata025813"/>
    <s v="Ssiderea055555"/>
    <n v="-3.3398363820000001"/>
    <n v="-1.1236773819999999"/>
    <s v="Direct"/>
    <s v="phospholipid-translocating ATPase activity"/>
    <s v="phospholipid-translocating ATPase activity"/>
  </r>
  <r>
    <x v="0"/>
    <x v="1"/>
    <s v="OG0011897"/>
    <s v="Ofaveolata030404"/>
    <s v="Ssiderea034168"/>
    <n v="2.6500636700000002"/>
    <n v="-1.780336691"/>
    <s v="Inverse"/>
    <s v="F-box and WD repeat domain containing 7, E3 ubiquitin protein ligase"/>
    <s v="F-box and WD repeat domain containing 7, E3 ubiquitin protein ligase"/>
  </r>
  <r>
    <x v="0"/>
    <x v="1"/>
    <s v="OG0011925"/>
    <s v="Ofaveolata017705"/>
    <s v="Ssiderea046933"/>
    <n v="-1.577386059"/>
    <n v="-1.0307420110000001"/>
    <s v="Direct"/>
    <s v="Dihydrodipicolinate synthetase family"/>
    <s v="Belongs to the DapA family"/>
  </r>
  <r>
    <x v="0"/>
    <x v="1"/>
    <s v="OG0011928"/>
    <s v="Ofaveolata006623"/>
    <s v="Ssiderea010003"/>
    <n v="2.908869809"/>
    <n v="1.3098263720000001"/>
    <s v="Direct"/>
    <s v="NA"/>
    <s v="NA"/>
  </r>
  <r>
    <x v="0"/>
    <x v="1"/>
    <s v="OG0011944"/>
    <s v="Ofaveolata014908"/>
    <s v="Ssiderea004908"/>
    <n v="-2.1347972670000002"/>
    <n v="1.4533174760000001"/>
    <s v="Inverse"/>
    <s v="Belongs to the enoyl-CoA hydratase isomerase family"/>
    <s v="Belongs to the enoyl-CoA hydratase isomerase family"/>
  </r>
  <r>
    <x v="0"/>
    <x v="1"/>
    <s v="OG0012109"/>
    <s v="Ofaveolata015207"/>
    <s v="Ssiderea051110"/>
    <n v="-3.6482209939999999"/>
    <n v="-1.161061109"/>
    <s v="Direct"/>
    <s v="Polymerase (DNA directed) iota"/>
    <s v="DNA-directed DNA polymerase activity"/>
  </r>
  <r>
    <x v="0"/>
    <x v="1"/>
    <s v="OG0012143"/>
    <s v="Ofaveolata002328"/>
    <s v="Ssiderea012842"/>
    <n v="8.9318157300000003"/>
    <n v="-1.018427985"/>
    <s v="Inverse"/>
    <s v="NA"/>
    <s v="Lactose-binding lectin l-2-like"/>
  </r>
  <r>
    <x v="0"/>
    <x v="1"/>
    <s v="OG0012530"/>
    <s v="Ofaveolata034074"/>
    <s v="Ssiderea031743"/>
    <n v="-1.0565012460000001"/>
    <n v="-1.165924773"/>
    <s v="Direct"/>
    <s v="determination of stomach left/right asymmetry"/>
    <s v="determination of stomach left/right asymmetry"/>
  </r>
  <r>
    <x v="0"/>
    <x v="1"/>
    <s v="OG0012596"/>
    <s v="Ofaveolata030676"/>
    <s v="Ssiderea013935"/>
    <n v="-1.2517013260000001"/>
    <n v="2.2446374410000001"/>
    <s v="Inverse"/>
    <s v="Dienelactone hydrolase family"/>
    <s v="Dienelactone hydrolase family"/>
  </r>
  <r>
    <x v="0"/>
    <x v="1"/>
    <s v="OG0012615"/>
    <s v="Ofaveolata031920"/>
    <s v="Ssiderea007342"/>
    <n v="-1.0263675919999999"/>
    <n v="-2.3940679949999999"/>
    <s v="Direct"/>
    <s v="cellular response to calcium ion"/>
    <s v="cellular response to calcium ion"/>
  </r>
  <r>
    <x v="0"/>
    <x v="1"/>
    <s v="OG0012674"/>
    <s v="Ofaveolata001066"/>
    <s v="Ssiderea022281"/>
    <n v="3.4814064259999999"/>
    <n v="1.774017392"/>
    <s v="Direct"/>
    <s v="NA"/>
    <s v="zinc ion binding"/>
  </r>
  <r>
    <x v="0"/>
    <x v="1"/>
    <s v="OG0012893"/>
    <s v="Ofaveolata008827"/>
    <s v="Ssiderea007938"/>
    <n v="1.23420887"/>
    <n v="1.3019471039999999"/>
    <s v="Direct"/>
    <s v="Nuclear assembly factor 1 homolog (S. cerevisiae)"/>
    <s v="Nuclear assembly factor 1 homolog (S. cerevisiae)"/>
  </r>
  <r>
    <x v="0"/>
    <x v="1"/>
    <s v="OG0013048"/>
    <s v="Ofaveolata008482"/>
    <s v="Ssiderea008750"/>
    <n v="-1.000581511"/>
    <n v="-1.522343615"/>
    <s v="Direct"/>
    <s v="positive regulation of interleukin-13 biosynthetic process"/>
    <s v="positive regulation of interleukin-13 biosynthetic process"/>
  </r>
  <r>
    <x v="0"/>
    <x v="1"/>
    <s v="OG0013181"/>
    <s v="Ofaveolata009235"/>
    <s v="Ssiderea035575"/>
    <n v="-2.2152170560000002"/>
    <n v="-1.0213940050000001"/>
    <s v="Direct"/>
    <s v="X-ray repair cross-complementing protein 5"/>
    <s v="X-ray repair cross-complementing protein 5"/>
  </r>
  <r>
    <x v="0"/>
    <x v="2"/>
    <s v="OG0000236"/>
    <s v="Ofaveolata013360"/>
    <s v="Ssiderea043795"/>
    <n v="3.097387087"/>
    <n v="2.0585880489999999"/>
    <s v="Direct"/>
    <s v="fibroblast growth factor-activated receptor activity"/>
    <s v="ATP binding. It is involved in the biological process described with protein phosphorylation"/>
  </r>
  <r>
    <x v="0"/>
    <x v="2"/>
    <s v="OG0000237"/>
    <s v="Ofaveolata027123"/>
    <s v="Ssiderea025805"/>
    <n v="1.332771269"/>
    <n v="-2.314326179"/>
    <s v="Inverse"/>
    <s v="Receptor-type tyrosine-protein phosphatase"/>
    <s v="Receptor-type tyrosine-protein phosphatase"/>
  </r>
  <r>
    <x v="0"/>
    <x v="2"/>
    <s v="OG0000413"/>
    <s v="Ofaveolata007887"/>
    <s v="Ssiderea009036"/>
    <n v="-1.8817260179999999"/>
    <n v="1.2104585409999999"/>
    <s v="Inverse"/>
    <s v="NA"/>
    <s v="negative regulation of DNA replication"/>
  </r>
  <r>
    <x v="0"/>
    <x v="2"/>
    <s v="OG0000451"/>
    <s v="Ofaveolata021443"/>
    <s v="Ssiderea057287"/>
    <n v="-1.2961152490000001"/>
    <n v="-3.4084528779999999"/>
    <s v="Direct"/>
    <s v="transitional stage B cell differentiation"/>
    <s v="non-membrane spanning protein tyrosine kinase activity"/>
  </r>
  <r>
    <x v="0"/>
    <x v="2"/>
    <s v="OG0000570"/>
    <s v="Ofaveolata001035"/>
    <s v="Ssiderea022318"/>
    <n v="-2.6590057809999998"/>
    <n v="5.6517782140000001"/>
    <s v="Inverse"/>
    <s v="fibroblast growth factor-activated receptor activity"/>
    <s v="fibroblast growth factor-activated receptor activity"/>
  </r>
  <r>
    <x v="0"/>
    <x v="2"/>
    <s v="OG0001011"/>
    <s v="Ofaveolata001276"/>
    <s v="Ssiderea049748"/>
    <n v="-2.1390456539999998"/>
    <n v="-2.2718721369999999"/>
    <s v="Direct"/>
    <s v="chromatin binding"/>
    <s v="chromatin binding"/>
  </r>
  <r>
    <x v="0"/>
    <x v="2"/>
    <s v="OG0001035"/>
    <s v="Ofaveolata013447"/>
    <s v="Ssiderea000550"/>
    <n v="1.7849230789999999"/>
    <n v="-1.0571377200000001"/>
    <s v="Inverse"/>
    <s v="ammonium transmembrane transporter activity"/>
    <s v="ammonium transmembrane transporter activity"/>
  </r>
  <r>
    <x v="0"/>
    <x v="2"/>
    <s v="OG0001057"/>
    <s v="Ofaveolata027119"/>
    <s v="Ssiderea025760"/>
    <n v="-1.386591116"/>
    <n v="-2.2705682039999999"/>
    <s v="Direct"/>
    <s v="netrin receptor activity"/>
    <s v="calcium ion binding"/>
  </r>
  <r>
    <x v="0"/>
    <x v="2"/>
    <s v="OG0001102"/>
    <s v="Ofaveolata035834"/>
    <s v="Ssiderea007891"/>
    <n v="1.231987173"/>
    <n v="1.9054644489999999"/>
    <s v="Direct"/>
    <s v="NA"/>
    <s v="Signal peptide, CUB"/>
  </r>
  <r>
    <x v="0"/>
    <x v="2"/>
    <s v="OG0001182"/>
    <s v="Ofaveolata007702"/>
    <s v="Ssiderea009685"/>
    <n v="1.35217455"/>
    <n v="2.8086720299999999"/>
    <s v="Direct"/>
    <s v="5-methyltetrahydrofolate-dependent methyltransferase activity"/>
    <s v="5-methyltetrahydrofolate-dependent methyltransferase activity"/>
  </r>
  <r>
    <x v="0"/>
    <x v="2"/>
    <s v="OG0001202"/>
    <s v="Ofaveolata019732"/>
    <s v="Ssiderea018518"/>
    <n v="1.2070767549999999"/>
    <n v="3.218503551"/>
    <s v="Direct"/>
    <s v="NACHT and WD repeat"/>
    <s v="telomerase activity"/>
  </r>
  <r>
    <x v="0"/>
    <x v="2"/>
    <s v="OG0001623"/>
    <s v="Ofaveolata008336"/>
    <s v="Ssiderea008827"/>
    <n v="4.7413945560000004"/>
    <n v="1.887883392"/>
    <s v="Direct"/>
    <s v="lipid catabolic process"/>
    <s v="lipid catabolic process"/>
  </r>
  <r>
    <x v="0"/>
    <x v="2"/>
    <s v="OG0001690"/>
    <s v="Ofaveolata001039"/>
    <s v="Ssiderea022313"/>
    <n v="-1.4147821759999999"/>
    <n v="1.3067897500000001"/>
    <s v="Inverse"/>
    <s v="NA"/>
    <s v="fibroblast growth factor-activated receptor activity"/>
  </r>
  <r>
    <x v="0"/>
    <x v="2"/>
    <s v="OG0001916"/>
    <s v="Ofaveolata034914"/>
    <s v="Ssiderea62027"/>
    <n v="-4.1513091219999998"/>
    <n v="-1.088411912"/>
    <s v="Direct"/>
    <s v="K02A2.6-like"/>
    <s v="K02A2.6-like"/>
  </r>
  <r>
    <x v="0"/>
    <x v="2"/>
    <s v="OG0002140"/>
    <s v="Ofaveolata021349"/>
    <s v="Ssiderea047484"/>
    <n v="3.7991524010000002"/>
    <n v="-2.0381055579999998"/>
    <s v="Inverse"/>
    <s v="embryonic heart tube elongation"/>
    <s v="embryonic heart tube elongation"/>
  </r>
  <r>
    <x v="0"/>
    <x v="2"/>
    <s v="OG0002166"/>
    <s v="Ofaveolata014644"/>
    <s v="Ssiderea004121"/>
    <n v="-2.3184570760000001"/>
    <n v="2.138770772"/>
    <s v="Inverse"/>
    <s v="NA"/>
    <s v="polycystic kidney disease protein 1-like"/>
  </r>
  <r>
    <x v="0"/>
    <x v="2"/>
    <s v="OG0002590"/>
    <s v="Ofaveolata036172"/>
    <s v="Ssiderea027822"/>
    <n v="-1.221121651"/>
    <n v="-1.7196721150000001"/>
    <s v="Direct"/>
    <s v="forked DNA-dependent helicase activity"/>
    <s v="Bloom syndrome"/>
  </r>
  <r>
    <x v="0"/>
    <x v="2"/>
    <s v="OG0002838"/>
    <s v="Ofaveolata017838"/>
    <s v="Ssiderea002334"/>
    <n v="1.110428559"/>
    <n v="-1.2341344519999999"/>
    <s v="Inverse"/>
    <s v="Tyrosine kinase, catalytic domain"/>
    <s v="Tyrosine kinase, catalytic domain"/>
  </r>
  <r>
    <x v="0"/>
    <x v="2"/>
    <s v="OG0003068"/>
    <s v="Ofaveolata007910"/>
    <s v="Ssiderea009375"/>
    <n v="-1.644603107"/>
    <n v="-1.14845362"/>
    <s v="Direct"/>
    <s v="adipocyte plasma"/>
    <s v="adipocyte plasma"/>
  </r>
  <r>
    <x v="0"/>
    <x v="2"/>
    <s v="OG0003125"/>
    <s v="Ofaveolata001436"/>
    <s v="Ssiderea026474"/>
    <n v="-2.3667266339999999"/>
    <n v="1.6088334799999999"/>
    <s v="Inverse"/>
    <s v="bile acid:sodium symporter activity"/>
    <s v="Hermansky-Pudlak Syndrome 1"/>
  </r>
  <r>
    <x v="0"/>
    <x v="2"/>
    <s v="OG0003629"/>
    <s v="Ofaveolata024037"/>
    <s v="Ssiderea005361"/>
    <n v="-1.611204973"/>
    <n v="-1.0542949509999999"/>
    <s v="Direct"/>
    <s v="Vacuolar Protein"/>
    <s v="Vacuolar Protein"/>
  </r>
  <r>
    <x v="0"/>
    <x v="2"/>
    <s v="OG0003766"/>
    <s v="Ofaveolata031849"/>
    <s v="Ssiderea007202"/>
    <n v="-1.48329439"/>
    <n v="1.285669991"/>
    <s v="Inverse"/>
    <s v="Major Facilitator Superfamily"/>
    <s v="Major Facilitator Superfamily"/>
  </r>
  <r>
    <x v="0"/>
    <x v="2"/>
    <s v="OG0004202"/>
    <s v="Ofaveolata030015"/>
    <s v="Ssiderea052996"/>
    <n v="-1.041780473"/>
    <n v="1.3119981839999999"/>
    <s v="Inverse"/>
    <s v="extrinsic apoptotic signaling pathway in absence of ligand"/>
    <s v="extrinsic apoptotic signaling pathway in absence of ligand"/>
  </r>
  <r>
    <x v="0"/>
    <x v="2"/>
    <s v="OG0004406"/>
    <s v="Ofaveolata005645"/>
    <s v="Ssiderea010526"/>
    <n v="1.228695189"/>
    <n v="2.3259770450000001"/>
    <s v="Direct"/>
    <s v="NA"/>
    <s v="structural constituent of cuticle"/>
  </r>
  <r>
    <x v="0"/>
    <x v="2"/>
    <s v="OG0004795"/>
    <s v="Ofaveolata013904"/>
    <s v="Ssiderea044032"/>
    <n v="-1.446846877"/>
    <n v="-1.814633886"/>
    <s v="Direct"/>
    <s v="HAUS augmin-like complex subunit 2"/>
    <s v="HAUS augmin-like complex subunit 2"/>
  </r>
  <r>
    <x v="0"/>
    <x v="2"/>
    <s v="OG0004906"/>
    <s v="Ofaveolata007799"/>
    <s v="Ssiderea009300"/>
    <n v="1.1573220790000001"/>
    <n v="1.0447997529999999"/>
    <s v="Direct"/>
    <s v="Tubulin-tyrosine ligase family"/>
    <s v="ligase activity"/>
  </r>
  <r>
    <x v="0"/>
    <x v="2"/>
    <s v="OG0004970"/>
    <s v="Ofaveolata012817"/>
    <s v="Ssiderea058309"/>
    <n v="1.221399922"/>
    <n v="1.040261855"/>
    <s v="Direct"/>
    <s v="photoreceptor cell maintenance"/>
    <s v="photoreceptor cell maintenance"/>
  </r>
  <r>
    <x v="0"/>
    <x v="2"/>
    <s v="OG0005954"/>
    <s v="Ofaveolata031778"/>
    <s v="Ssiderea006713"/>
    <n v="2.3045428650000002"/>
    <n v="-1.3096360680000001"/>
    <s v="Inverse"/>
    <s v="ankyrin repeat"/>
    <s v="ATPase activity, coupled to transmembrane movement of substances"/>
  </r>
  <r>
    <x v="0"/>
    <x v="2"/>
    <s v="OG0005956"/>
    <s v="Ofaveolata004276"/>
    <s v="Ssiderea029057"/>
    <n v="2.229319496"/>
    <n v="1.1305548999999999"/>
    <s v="Direct"/>
    <s v="NA"/>
    <s v="NA"/>
  </r>
  <r>
    <x v="0"/>
    <x v="2"/>
    <s v="OG0006292"/>
    <s v="Ofaveolata021886"/>
    <s v="Ssiderea020410"/>
    <n v="1.299869138"/>
    <n v="-1.339350413"/>
    <s v="Inverse"/>
    <s v="NA"/>
    <s v="melanosome organization"/>
  </r>
  <r>
    <x v="0"/>
    <x v="2"/>
    <s v="OG0006310"/>
    <s v="Ofaveolata000974"/>
    <s v="Ssiderea022465"/>
    <n v="-2.9775305250000002"/>
    <n v="-1.289466402"/>
    <s v="Direct"/>
    <s v="cerebellar granular layer formation"/>
    <s v="cerebellar granular layer formation"/>
  </r>
  <r>
    <x v="0"/>
    <x v="2"/>
    <s v="OG0006385"/>
    <s v="Ofaveolata024791"/>
    <s v="Ssiderea016771"/>
    <n v="1.6277820730000001"/>
    <n v="1.4799556519999999"/>
    <s v="Direct"/>
    <s v="calcium ion binding"/>
    <s v="calcium ion binding"/>
  </r>
  <r>
    <x v="0"/>
    <x v="2"/>
    <s v="OG0006449"/>
    <s v="Ofaveolata003392"/>
    <s v="Ssiderea029895"/>
    <n v="1.0407977289999999"/>
    <n v="-1.3431919779999999"/>
    <s v="Inverse"/>
    <s v="UDP-glucose 6-dehydrogenase activity"/>
    <s v="UDP-glucose 6-dehydrogenase activity"/>
  </r>
  <r>
    <x v="0"/>
    <x v="2"/>
    <s v="OG0006663"/>
    <s v="Ofaveolata034385"/>
    <s v="Ssiderea052807"/>
    <n v="1.0042623470000001"/>
    <n v="-1.062573548"/>
    <s v="Inverse"/>
    <s v="medium-chain-acyl-CoA dehydrogenase activity"/>
    <s v="medium-chain-acyl-CoA dehydrogenase activity"/>
  </r>
  <r>
    <x v="0"/>
    <x v="2"/>
    <s v="OG0006894"/>
    <s v="Ofaveolata033691"/>
    <s v="Ssiderea053633"/>
    <n v="1.3659505240000001"/>
    <n v="-1.8802921770000001"/>
    <s v="Inverse"/>
    <s v="NA"/>
    <s v="Von Willebrand factor"/>
  </r>
  <r>
    <x v="0"/>
    <x v="2"/>
    <s v="OG0006997"/>
    <s v="Ofaveolata031701"/>
    <s v="Ssiderea007172"/>
    <n v="-1.8874040160000001"/>
    <n v="-1.3144288019999999"/>
    <s v="Direct"/>
    <s v="acylglycerol lipase activity"/>
    <s v="acylglycerol lipase activity"/>
  </r>
  <r>
    <x v="0"/>
    <x v="2"/>
    <s v="OG0007026"/>
    <s v="Ofaveolata022019"/>
    <s v="Ssiderea023373"/>
    <n v="1.681886456"/>
    <n v="-1.087531698"/>
    <s v="Inverse"/>
    <s v="WD domain, G-beta repeat"/>
    <s v="WD repeat-containing protein 17"/>
  </r>
  <r>
    <x v="0"/>
    <x v="2"/>
    <s v="OG0007585"/>
    <s v="Ofaveolata032055"/>
    <s v="Ssiderea039244"/>
    <n v="1.4690702840000001"/>
    <n v="2.528625855"/>
    <s v="Direct"/>
    <s v="NA"/>
    <s v="DEAD/DEAH box helicase"/>
  </r>
  <r>
    <x v="0"/>
    <x v="2"/>
    <s v="OG0007954"/>
    <s v="Ofaveolata032478"/>
    <s v="Ssiderea034805"/>
    <n v="3.6551295979999998"/>
    <n v="-1.5180207509999999"/>
    <s v="Inverse"/>
    <s v="tRNA re-export from nucleus"/>
    <s v="tRNA re-export from nucleus"/>
  </r>
  <r>
    <x v="0"/>
    <x v="2"/>
    <s v="OG0007991"/>
    <s v="Ofaveolata015836"/>
    <s v="Ssiderea033795"/>
    <n v="-1.7744729130000001"/>
    <n v="1.225339336"/>
    <s v="Inverse"/>
    <s v="transmembrane transport"/>
    <s v="transmembrane transport"/>
  </r>
  <r>
    <x v="0"/>
    <x v="2"/>
    <s v="OG0008101"/>
    <s v="Ofaveolata027948"/>
    <s v="Ssiderea007534"/>
    <n v="-1.6124255750000001"/>
    <n v="1.49355525"/>
    <s v="Inverse"/>
    <s v="NA"/>
    <s v="protein kinase regulator activity"/>
  </r>
  <r>
    <x v="0"/>
    <x v="2"/>
    <s v="OG0008444"/>
    <s v="Ofaveolata010907"/>
    <s v="Ssiderea019917"/>
    <n v="1.9400686599999999"/>
    <n v="1.064699048"/>
    <s v="Direct"/>
    <s v="DOMON domain-containing protein"/>
    <s v="DOMON domain-containing protein"/>
  </r>
  <r>
    <x v="0"/>
    <x v="2"/>
    <s v="OG0008524"/>
    <s v="Ofaveolata004630"/>
    <s v="Ssiderea016539"/>
    <n v="1.603381532"/>
    <n v="-1.817793631"/>
    <s v="Inverse"/>
    <s v="microtubule motor activity"/>
    <s v="microtubule motor activity"/>
  </r>
  <r>
    <x v="0"/>
    <x v="2"/>
    <s v="OG0008538"/>
    <s v="Ofaveolata014702"/>
    <s v="Ssiderea004167"/>
    <n v="-2.1229865800000001"/>
    <n v="-1.250952356"/>
    <s v="Direct"/>
    <s v="WD40 repeats"/>
    <s v="WD40 repeats"/>
  </r>
  <r>
    <x v="0"/>
    <x v="2"/>
    <s v="OG0008542"/>
    <s v="Ofaveolata014037"/>
    <s v="Ssiderea003449"/>
    <n v="1.5889397199999999"/>
    <n v="1.093174455"/>
    <s v="Direct"/>
    <s v="mannosyl-glycoprotein endo-beta-N-acetylglucosaminidase activity"/>
    <s v="mannosyl-glycoprotein endo-beta-N-acetylglucosaminidase activity"/>
  </r>
  <r>
    <x v="0"/>
    <x v="2"/>
    <s v="OG0008549"/>
    <s v="Ofaveolata002443"/>
    <s v="Ssiderea024960"/>
    <n v="7.5888540039999999"/>
    <n v="1.051037526"/>
    <s v="Direct"/>
    <s v="Rab-GTPase-TBC domain"/>
    <s v="TBC1 domain family member 15-like"/>
  </r>
  <r>
    <x v="0"/>
    <x v="2"/>
    <s v="OG0008573"/>
    <s v="Ofaveolata017845"/>
    <s v="Ssiderea002326"/>
    <n v="1.56531771"/>
    <n v="1.051911689"/>
    <s v="Direct"/>
    <s v="Notch signaling pathway"/>
    <s v="Notch signaling pathway"/>
  </r>
  <r>
    <x v="0"/>
    <x v="2"/>
    <s v="OG0009069"/>
    <s v="Ofaveolata018779"/>
    <s v="Ssiderea003306"/>
    <n v="-1.1447650089999999"/>
    <n v="1.0875919460000001"/>
    <s v="Inverse"/>
    <s v="phosphodiesterase"/>
    <s v="Phosphodiesterase 9A"/>
  </r>
  <r>
    <x v="0"/>
    <x v="2"/>
    <s v="OG0009811"/>
    <s v="Ofaveolata030299"/>
    <s v="Ssiderea027589"/>
    <n v="1.124827552"/>
    <n v="-1.0268796870000001"/>
    <s v="Inverse"/>
    <s v="Protein C10"/>
    <s v="Chromosome 12 open reading frame 57"/>
  </r>
  <r>
    <x v="0"/>
    <x v="2"/>
    <s v="OG0009990"/>
    <s v="Ofaveolata029421"/>
    <s v="Ssiderea032915"/>
    <n v="2.9437115650000001"/>
    <n v="1.515399148"/>
    <s v="Direct"/>
    <s v="GRIM-19 protein"/>
    <s v="GRIM-19 protein"/>
  </r>
  <r>
    <x v="0"/>
    <x v="2"/>
    <s v="OG0010182"/>
    <s v="Ofaveolata025358"/>
    <s v="Ssiderea051812"/>
    <n v="-1.609699741"/>
    <n v="-1.3899887019999999"/>
    <s v="Direct"/>
    <s v="NA"/>
    <s v="PHAX RNA-binding domain"/>
  </r>
  <r>
    <x v="0"/>
    <x v="2"/>
    <s v="OG0010340"/>
    <s v="Ofaveolata026277"/>
    <s v="Ssiderea039594"/>
    <n v="2.2840080880000002"/>
    <n v="2.0668026839999998"/>
    <s v="Direct"/>
    <s v="snRNA 3'-end processing"/>
    <s v="Integrator complex subunit 8"/>
  </r>
  <r>
    <x v="0"/>
    <x v="2"/>
    <s v="OG0010524"/>
    <s v="Ofaveolata035924"/>
    <s v="Ssiderea053980"/>
    <n v="-1.287283094"/>
    <n v="-1.210643578"/>
    <s v="Direct"/>
    <s v="hyaluronic acid binding"/>
    <s v="hyaluronic acid binding"/>
  </r>
  <r>
    <x v="0"/>
    <x v="2"/>
    <s v="OG0010816"/>
    <s v="Ofaveolata019794"/>
    <s v="Ssiderea012056"/>
    <n v="-5.8066535159999999"/>
    <n v="1.3277381420000001"/>
    <s v="Inverse"/>
    <s v="major facilitator superfamily"/>
    <s v="major facilitator superfamily"/>
  </r>
  <r>
    <x v="0"/>
    <x v="2"/>
    <s v="OG0010911"/>
    <s v="Ofaveolata027224"/>
    <s v="Ssiderea025214"/>
    <n v="1.9005841349999999"/>
    <n v="-1.661840534"/>
    <s v="Inverse"/>
    <s v="adenylate cyclase-activating adrenergic receptor signaling pathway involved in positive regulation of heart rate"/>
    <s v="adenylate cyclase-activating adrenergic receptor signaling pathway involved in positive regulation of heart rate"/>
  </r>
  <r>
    <x v="0"/>
    <x v="2"/>
    <s v="OG0010995"/>
    <s v="Ofaveolata007495"/>
    <s v="Ssiderea044419"/>
    <n v="1.2096327929999999"/>
    <n v="1.882425783"/>
    <s v="Direct"/>
    <s v="Belongs to the small heat shock protein (HSP20) family"/>
    <s v="Belongs to the small heat shock protein (HSP20) family"/>
  </r>
  <r>
    <x v="0"/>
    <x v="2"/>
    <s v="OG0011178"/>
    <s v="Ofaveolata022633"/>
    <s v="Ssiderea050130"/>
    <n v="-2.0092244770000001"/>
    <n v="-1.1733947060000001"/>
    <s v="Direct"/>
    <s v="C-type lectin (CTL) or carbohydrate-recognition domain (CRD)"/>
    <s v="carbohydrate binding"/>
  </r>
  <r>
    <x v="0"/>
    <x v="2"/>
    <s v="OG0011467"/>
    <s v="Ofaveolata028464"/>
    <s v="Ssiderea042645"/>
    <n v="3.0228342979999998"/>
    <n v="1.667560347"/>
    <s v="Direct"/>
    <s v="Dolichol kinase"/>
    <s v="dolichyl monophosphate biosynthetic process"/>
  </r>
  <r>
    <x v="0"/>
    <x v="2"/>
    <s v="OG0011824"/>
    <s v="Ofaveolata002392"/>
    <s v="Ssiderea012921"/>
    <n v="-1.437207589"/>
    <n v="-1.6371963780000001"/>
    <s v="Direct"/>
    <s v="Cryptochrome circadian clock 1ba"/>
    <s v="Cryptochrome circadian clock"/>
  </r>
  <r>
    <x v="0"/>
    <x v="3"/>
    <s v="OG0000159"/>
    <s v="Ofaveolata035798"/>
    <s v="Ssiderea034404"/>
    <n v="-2.583936536"/>
    <n v="3.3338047180000001"/>
    <s v="Inverse"/>
    <s v="carbohydrate binding"/>
    <s v="carbohydrate binding"/>
  </r>
  <r>
    <x v="0"/>
    <x v="3"/>
    <s v="OG0000233"/>
    <s v="Ofaveolata024356"/>
    <s v="Ssiderea045997"/>
    <n v="3.4791770199999998"/>
    <n v="-1.7332038030000001"/>
    <s v="Inverse"/>
    <s v="FAD dependent oxidoreductase"/>
    <s v="FAD dependent oxidoreductase"/>
  </r>
  <r>
    <x v="0"/>
    <x v="3"/>
    <s v="OG0000444"/>
    <s v="Ofaveolata026424"/>
    <s v="Ssiderea038632"/>
    <n v="-4.8139073110000004"/>
    <n v="3.479730269"/>
    <s v="Inverse"/>
    <s v="zinc ion binding"/>
    <s v="zinc ion binding"/>
  </r>
  <r>
    <x v="0"/>
    <x v="3"/>
    <s v="OG0000592"/>
    <s v="Ofaveolata014308"/>
    <s v="Ssiderea003590"/>
    <n v="-2.318727768"/>
    <n v="1.282776355"/>
    <s v="Inverse"/>
    <s v="Placenta-specific gene 8 protein-like"/>
    <s v="Placenta-specific gene 8 protein-like"/>
  </r>
  <r>
    <x v="0"/>
    <x v="3"/>
    <s v="OG0000597"/>
    <s v="Ofaveolata005223"/>
    <s v="Ssiderea016645"/>
    <n v="1.837703227"/>
    <n v="-1.0390046980000001"/>
    <s v="Inverse"/>
    <s v="SUMO-specific protease activity"/>
    <s v="SUMO1 sentrin specific peptidase"/>
  </r>
  <r>
    <x v="0"/>
    <x v="3"/>
    <s v="OG0000618"/>
    <s v="Ofaveolata003213"/>
    <s v="Ssiderea030177"/>
    <n v="-1.319305095"/>
    <n v="2.1592940839999999"/>
    <s v="Inverse"/>
    <s v="zinc ion binding"/>
    <s v="zinc ion binding"/>
  </r>
  <r>
    <x v="0"/>
    <x v="3"/>
    <s v="OG0000713"/>
    <s v="Ofaveolata021402"/>
    <s v="Ssiderea020017"/>
    <n v="3.6041744069999999"/>
    <n v="1.299281339"/>
    <s v="Direct"/>
    <s v="urate homeostasis"/>
    <s v="transcript (3"/>
  </r>
  <r>
    <x v="0"/>
    <x v="3"/>
    <s v="OG0001094"/>
    <s v="Ofaveolata035497"/>
    <s v="Ssiderea60931"/>
    <n v="1.883913336"/>
    <n v="-1.0683908040000001"/>
    <s v="Inverse"/>
    <s v="protein tag"/>
    <s v="intracellular transport of virus"/>
  </r>
  <r>
    <x v="0"/>
    <x v="3"/>
    <s v="OG0001364"/>
    <s v="Ofaveolata017549"/>
    <s v="Ssiderea048577"/>
    <n v="1.0861421739999999"/>
    <n v="-2.3141251060000001"/>
    <s v="Inverse"/>
    <s v="Protein kinase C terminal domain"/>
    <s v="Protein tyrosine kinase"/>
  </r>
  <r>
    <x v="0"/>
    <x v="3"/>
    <s v="OG0001560"/>
    <s v="Ofaveolata003254"/>
    <s v="Ssiderea030126"/>
    <n v="-1.132342196"/>
    <n v="1.8188382510000001"/>
    <s v="Inverse"/>
    <s v="ATP-dependent RNA helicase"/>
    <s v="ATP-dependent RNA helicase"/>
  </r>
  <r>
    <x v="0"/>
    <x v="3"/>
    <s v="OG0002175"/>
    <s v="Ofaveolata003889"/>
    <s v="Ssiderea030331"/>
    <n v="-1.079403173"/>
    <n v="1.126944653"/>
    <s v="Inverse"/>
    <s v="DNA-directed 5'-3' RNA polymerase activity"/>
    <s v="G-protein coupled receptor activity"/>
  </r>
  <r>
    <x v="0"/>
    <x v="3"/>
    <s v="OG0002373"/>
    <s v="Ofaveolata034392"/>
    <s v="Ssiderea052824"/>
    <n v="1.017480027"/>
    <n v="-1.217584223"/>
    <s v="Inverse"/>
    <s v="NA"/>
    <s v="neurogenic locus notch homolog protein"/>
  </r>
  <r>
    <x v="0"/>
    <x v="3"/>
    <s v="OG0003006"/>
    <s v="Ofaveolata029112"/>
    <s v="Ssiderea042600"/>
    <n v="1.366778305"/>
    <n v="1.745726533"/>
    <s v="Direct"/>
    <s v="NA"/>
    <s v="mannose binding"/>
  </r>
  <r>
    <x v="0"/>
    <x v="3"/>
    <s v="OG0003313"/>
    <s v="Ofaveolata004925"/>
    <s v="Ssiderea011320"/>
    <n v="-1.203269347"/>
    <n v="1.312145444"/>
    <s v="Inverse"/>
    <s v="cerebellar Purkinje cell layer maturation"/>
    <s v="Arginine-glutamic acid dipeptide"/>
  </r>
  <r>
    <x v="0"/>
    <x v="3"/>
    <s v="OG0003815"/>
    <s v="Ofaveolata028767"/>
    <s v="Ssiderea027809"/>
    <n v="-1.910531414"/>
    <n v="-6.2242884199999997"/>
    <s v="Direct"/>
    <s v="PPIases accelerate the folding of proteins. It catalyzes the cis-trans isomerization of proline imidic peptide bonds in oligopeptides"/>
    <s v="PPIases accelerate the folding of proteins. It catalyzes the cis-trans isomerization of proline imidic peptide bonds in oligopeptides"/>
  </r>
  <r>
    <x v="0"/>
    <x v="3"/>
    <s v="OG0004279"/>
    <s v="Ofaveolata025180"/>
    <s v="Ssiderea021583"/>
    <n v="1.0738931330000001"/>
    <n v="1.3774181649999999"/>
    <s v="Direct"/>
    <s v="unfolded protein binding"/>
    <s v="unfolded protein binding"/>
  </r>
  <r>
    <x v="0"/>
    <x v="3"/>
    <s v="OG0004637"/>
    <s v="Ofaveolata028966"/>
    <s v="Ssiderea014220"/>
    <n v="3.4761066459999999"/>
    <n v="-1.8421448810000001"/>
    <s v="Inverse"/>
    <s v="Putative Interleukin 2 receptor, gamma chain"/>
    <s v="Putative Interleukin 2 receptor, gamma chain"/>
  </r>
  <r>
    <x v="0"/>
    <x v="3"/>
    <s v="OG0004974"/>
    <s v="Ofaveolata027031"/>
    <s v="Ssiderea018178"/>
    <n v="1.31810396"/>
    <n v="-1.014722557"/>
    <s v="Inverse"/>
    <s v="Chromosome 1 open reading frame 177"/>
    <s v="Chromosome 1 open reading frame 177"/>
  </r>
  <r>
    <x v="0"/>
    <x v="3"/>
    <s v="OG0006563"/>
    <s v="Ofaveolata004654"/>
    <s v="Ssiderea010637"/>
    <n v="-1.106658337"/>
    <n v="1.4326647290000001"/>
    <s v="Inverse"/>
    <s v="NADP-retinol dehydrogenase activity"/>
    <s v="NADP-retinol dehydrogenase activity"/>
  </r>
  <r>
    <x v="0"/>
    <x v="3"/>
    <s v="OG0008352"/>
    <s v="Ofaveolata015433"/>
    <s v="Ssiderea033919"/>
    <n v="-1.417718499"/>
    <n v="-1.392706521"/>
    <s v="Direct"/>
    <s v="microtubule motor activity"/>
    <s v="microtubule motor activity"/>
  </r>
  <r>
    <x v="0"/>
    <x v="3"/>
    <s v="OG0008579"/>
    <s v="Ofaveolata017828"/>
    <s v="Ssiderea048552"/>
    <n v="1.2367807"/>
    <n v="-1.049393419"/>
    <s v="Inverse"/>
    <s v="transmembrane transport"/>
    <s v="major facilitator superfamily"/>
  </r>
  <r>
    <x v="0"/>
    <x v="3"/>
    <s v="OG0008767"/>
    <s v="Ofaveolata023038"/>
    <s v="Ssiderea014777"/>
    <n v="-1.3679817089999999"/>
    <n v="1.1409693329999999"/>
    <s v="Inverse"/>
    <s v="NA"/>
    <s v="Cobalamin binding. It is involved in the biological process described with cobalamin transport"/>
  </r>
  <r>
    <x v="0"/>
    <x v="3"/>
    <s v="OG0009047"/>
    <s v="Ofaveolata017639"/>
    <s v="Ssiderea046884"/>
    <n v="1.0713290980000001"/>
    <n v="-1.205381109"/>
    <s v="Inverse"/>
    <s v="G protein-coupled receptor 180"/>
    <s v="G protein-coupled receptor 180"/>
  </r>
  <r>
    <x v="0"/>
    <x v="3"/>
    <s v="OG0009623"/>
    <s v="Ofaveolata022834"/>
    <s v="Ssiderea015474"/>
    <n v="1.0248947399999999"/>
    <n v="-2.154760284"/>
    <s v="Inverse"/>
    <s v="3'-phosphoadenosine 5'-phosphosulfate transmembrane transporter activity"/>
    <s v="3'-phosphoadenosine 5'-phosphosulfate transmembrane transporter activity"/>
  </r>
  <r>
    <x v="0"/>
    <x v="3"/>
    <s v="OG0009836"/>
    <s v="Ofaveolata015759"/>
    <s v="Ssiderea033861"/>
    <n v="3.3836743130000002"/>
    <n v="-1.3230663220000001"/>
    <s v="Inverse"/>
    <s v="inner cell mass cell proliferation"/>
    <s v="inner cell mass cell proliferation"/>
  </r>
  <r>
    <x v="0"/>
    <x v="3"/>
    <s v="OG0010386"/>
    <s v="Ofaveolata029869"/>
    <s v="Ssiderea024099"/>
    <n v="-4.2852149370000001"/>
    <n v="1.0141620060000001"/>
    <s v="Inverse"/>
    <s v="NA"/>
    <s v="Domain of unknown function (DUF4487)"/>
  </r>
  <r>
    <x v="0"/>
    <x v="3"/>
    <s v="OG0011098"/>
    <s v="Ofaveolata025755"/>
    <s v="Ssiderea055622"/>
    <n v="1.072239103"/>
    <n v="1.5990189020000001"/>
    <s v="Direct"/>
    <s v="negative regulation of sequestering of triglyceride"/>
    <s v="negative regulation of sequestering of triglyceride"/>
  </r>
  <r>
    <x v="0"/>
    <x v="3"/>
    <s v="OG0011820"/>
    <s v="Ofaveolata028872"/>
    <s v="Ssiderea014365"/>
    <n v="1.2996036390000001"/>
    <n v="-2.035419825"/>
    <s v="Inverse"/>
    <s v="ribosomal protein import into nucleus"/>
    <s v="ribosomal protein import into nucleus"/>
  </r>
  <r>
    <x v="0"/>
    <x v="3"/>
    <s v="OG0011908"/>
    <s v="Ofaveolata029688"/>
    <s v="Ssiderea023731"/>
    <n v="-2.4230523580000001"/>
    <n v="1.087137078"/>
    <s v="Inverse"/>
    <s v="NA"/>
    <s v="glomerular parietal epithelial cell differentiation"/>
  </r>
  <r>
    <x v="0"/>
    <x v="3"/>
    <s v="OG0012362"/>
    <s v="Ofaveolata022425"/>
    <s v="Ssiderea023521"/>
    <n v="-3.0675355940000002"/>
    <n v="1.2568151599999999"/>
    <s v="Inverse"/>
    <s v="FAD binding domain of DNA photolyase"/>
    <s v="negative regulation of glucocorticoid receptor signaling pathway"/>
  </r>
  <r>
    <x v="0"/>
    <x v="3"/>
    <s v="OG0012803"/>
    <s v="Ofaveolata014988"/>
    <s v="Ssiderea051219"/>
    <n v="1.237682349"/>
    <n v="1.0047913850000001"/>
    <s v="Direct"/>
    <s v="Transformation transcription domain-associated"/>
    <s v="Transformation transcription domain-associated protein"/>
  </r>
  <r>
    <x v="0"/>
    <x v="4"/>
    <s v="OG0000297"/>
    <s v="Ofaveolata029192"/>
    <s v="Ssiderea027774"/>
    <n v="2.3198340900000001"/>
    <n v="-6.1094160039999998"/>
    <s v="Inverse"/>
    <s v="MAC/Perforin domain"/>
    <s v="MAC/Perforin domain"/>
  </r>
  <r>
    <x v="0"/>
    <x v="4"/>
    <s v="OG0000430"/>
    <s v="Ofaveolata016514"/>
    <s v="Ssiderea034936"/>
    <n v="-2.1340126700000002"/>
    <n v="1.9710265789999999"/>
    <s v="Inverse"/>
    <s v="NA"/>
    <s v="Cell adhesion molecule"/>
  </r>
  <r>
    <x v="0"/>
    <x v="4"/>
    <s v="OG0000473"/>
    <s v="Ofaveolata030379"/>
    <s v="Ssiderea034234"/>
    <n v="-2.9383088119999998"/>
    <n v="-3.1779903169999999"/>
    <s v="Direct"/>
    <s v="negative regulation of non-canonical Wnt signaling pathway"/>
    <s v="negative regulation of non-canonical Wnt signaling pathway"/>
  </r>
  <r>
    <x v="0"/>
    <x v="4"/>
    <s v="OG0000477"/>
    <s v="Ofaveolata009785"/>
    <s v="Ssiderea017874"/>
    <n v="3.1779679679999999"/>
    <n v="-1.14135835"/>
    <s v="Inverse"/>
    <s v="NADP-retinol dehydrogenase activity"/>
    <s v="retinol dehydrogenase"/>
  </r>
  <r>
    <x v="0"/>
    <x v="4"/>
    <s v="OG0000696"/>
    <s v="Ofaveolata011199"/>
    <s v="Ssiderea051589"/>
    <n v="1.8660982749999999"/>
    <n v="-3.6933828580000001"/>
    <s v="Inverse"/>
    <s v="acyl-CoA synthetase medium-chain family member 4"/>
    <s v="PFAM AMP-dependent synthetase and ligase"/>
  </r>
  <r>
    <x v="0"/>
    <x v="4"/>
    <s v="OG0000962"/>
    <s v="Ofaveolata015339"/>
    <s v="Ssiderea057455"/>
    <n v="3.451656925"/>
    <n v="-2.2213356219999998"/>
    <s v="Inverse"/>
    <s v="selenoprotein"/>
    <s v="Uncharacterized ACR, YdiU/UPF0061 family"/>
  </r>
  <r>
    <x v="0"/>
    <x v="4"/>
    <s v="OG0001139"/>
    <s v="Ofaveolata006385"/>
    <s v="Ssiderea60593"/>
    <n v="1.8179299840000001"/>
    <n v="-1.333590665"/>
    <s v="Inverse"/>
    <s v="NA"/>
    <s v="thyroid hormone transmembrane transporter activity"/>
  </r>
  <r>
    <x v="0"/>
    <x v="4"/>
    <s v="OG0001628"/>
    <s v="Ofaveolata030493"/>
    <s v="Ssiderea037801"/>
    <n v="-1.2959234100000001"/>
    <n v="-1.1971127420000001"/>
    <s v="Direct"/>
    <s v="Formyl transferase, C-terminal domain"/>
    <s v="Enoyl-CoA hydratase"/>
  </r>
  <r>
    <x v="0"/>
    <x v="4"/>
    <s v="OG0001930"/>
    <s v="Ofaveolata005637"/>
    <s v="Ssiderea013259"/>
    <n v="2.888520309"/>
    <n v="5.6313333639999996"/>
    <s v="Direct"/>
    <s v="acyl-L-homoserine-lactone lactonohydrolase activity"/>
    <s v="arylesterase activity"/>
  </r>
  <r>
    <x v="0"/>
    <x v="4"/>
    <s v="OG0002144"/>
    <s v="Ofaveolata000890"/>
    <s v="Ssiderea022553"/>
    <n v="-1.6474427410000001"/>
    <n v="-1.5543327170000001"/>
    <s v="Direct"/>
    <s v="NFX1-type zinc finger-containing protein"/>
    <s v="NFX1-type zinc finger-containing protein"/>
  </r>
  <r>
    <x v="0"/>
    <x v="4"/>
    <s v="OG0002272"/>
    <s v="Ofaveolata017458"/>
    <s v="Ssiderea041651"/>
    <n v="-2.8735455600000002"/>
    <n v="1.8228441529999999"/>
    <s v="Inverse"/>
    <s v="NA"/>
    <s v="PFAM SMP-30 Gluconolaconase"/>
  </r>
  <r>
    <x v="0"/>
    <x v="4"/>
    <s v="OG0002522"/>
    <s v="Ofaveolata018861"/>
    <s v="Ssiderea003111"/>
    <n v="-1.3512421160000001"/>
    <n v="1.196935351"/>
    <s v="Inverse"/>
    <s v="thioesterase binding"/>
    <s v="thioesterase binding"/>
  </r>
  <r>
    <x v="0"/>
    <x v="4"/>
    <s v="OG0003070"/>
    <s v="Ofaveolata011218"/>
    <s v="Ssiderea050623"/>
    <n v="1.2041659709999999"/>
    <n v="1.5610371999999999"/>
    <s v="Direct"/>
    <s v="NA"/>
    <s v="Nucleus accumbens associated 1, BEN and BTB (POZ) domain containing"/>
  </r>
  <r>
    <x v="0"/>
    <x v="4"/>
    <s v="OG0003096"/>
    <s v="Ofaveolata035075"/>
    <s v="Ssiderea047289"/>
    <n v="-1.9722036730000001"/>
    <n v="-2.9137363650000001"/>
    <s v="Direct"/>
    <s v="NA"/>
    <s v="Glycosyl transferases group 1"/>
  </r>
  <r>
    <x v="0"/>
    <x v="4"/>
    <s v="OG0003952"/>
    <s v="Ofaveolata030284"/>
    <s v="Ssiderea027544"/>
    <n v="-2.3001409669999999"/>
    <n v="-3.195940829"/>
    <s v="Direct"/>
    <s v="regulation of transcription by RNA polymerase II"/>
    <s v="regulation of transcription by RNA polymerase II"/>
  </r>
  <r>
    <x v="0"/>
    <x v="4"/>
    <s v="OG0004969"/>
    <s v="Ofaveolata035960"/>
    <s v="Ssiderea047263"/>
    <n v="-1.034565932"/>
    <n v="-1.918099494"/>
    <s v="Direct"/>
    <s v="thiol-dependent ubiquitin-specific protease activity"/>
    <s v="Glycosyl transferases group 1"/>
  </r>
  <r>
    <x v="0"/>
    <x v="4"/>
    <s v="OG0005229"/>
    <s v="Ofaveolata000853"/>
    <s v="Ssiderea022618"/>
    <n v="1.0013112310000001"/>
    <n v="-1.058156686"/>
    <s v="Inverse"/>
    <s v="Catalytic subunit of the poly(A)-nuclease (PAN) deadenylation complex, one of two cytoplasmic mRNA deadenylases involved in general and miRNA-mediated mRNA turnover. PAN specifically shortens poly(A) tails of RNA and the activity is stimulated by poly(A)-"/>
    <s v="Catalytic subunit of the poly(A)-nuclease (PAN) deadenylation complex, one of two cytoplasmic mRNA deadenylases involved in general and miRNA-mediated mRNA turnover. PAN specifically shortens poly(A) tails of RNA and the activity is stimulated by poly(A)-"/>
  </r>
  <r>
    <x v="0"/>
    <x v="4"/>
    <s v="OG0006176"/>
    <s v="Ofaveolata014336"/>
    <s v="Ssiderea003822"/>
    <n v="1.0961123189999999"/>
    <n v="1.7880014289999999"/>
    <s v="Direct"/>
    <s v="rRNA binding"/>
    <s v="rRNA binding"/>
  </r>
  <r>
    <x v="0"/>
    <x v="4"/>
    <s v="OG0006415"/>
    <s v="Ofaveolata014966"/>
    <s v="Ssiderea038351"/>
    <n v="1.3988363079999999"/>
    <n v="-1.8316015240000001"/>
    <s v="Inverse"/>
    <s v="succinate-hydroxymethylglutarate CoA-transferase activity"/>
    <s v="succinate-hydroxymethylglutarate CoA-transferase activity"/>
  </r>
  <r>
    <x v="0"/>
    <x v="4"/>
    <s v="OG0006625"/>
    <s v="Ofaveolata030750"/>
    <s v="Ssiderea013833"/>
    <n v="1.1737892379999999"/>
    <n v="2.30305917"/>
    <s v="Direct"/>
    <s v="Ring finger and WD repeat domain 2"/>
    <s v="Ring finger and WD repeat domain 2"/>
  </r>
  <r>
    <x v="0"/>
    <x v="4"/>
    <s v="OG0007060"/>
    <s v="Ofaveolata031923"/>
    <s v="Ssiderea007355"/>
    <n v="-1.5646716730000001"/>
    <n v="-2.2450833659999998"/>
    <s v="Direct"/>
    <s v="metanephric glomerular basement membrane development"/>
    <s v="metanephric glomerular basement membrane development"/>
  </r>
  <r>
    <x v="0"/>
    <x v="4"/>
    <s v="OG0007401"/>
    <s v="Ofaveolata021227"/>
    <s v="Ssiderea052204"/>
    <n v="1.340138362"/>
    <n v="-1.496359998"/>
    <s v="Inverse"/>
    <s v="metalloendopeptidase activity"/>
    <s v="metalloendopeptidase activity"/>
  </r>
  <r>
    <x v="0"/>
    <x v="4"/>
    <s v="OG0007839"/>
    <s v="Ofaveolata012730"/>
    <s v="Ssiderea001302"/>
    <n v="-1.421227923"/>
    <n v="2.4823358999999998"/>
    <s v="Inverse"/>
    <s v="microtubule plus-end binding"/>
    <s v="microtubule plus-end binding"/>
  </r>
  <r>
    <x v="0"/>
    <x v="4"/>
    <s v="OG0007991"/>
    <s v="Ofaveolata015836"/>
    <s v="Ssiderea033795"/>
    <n v="1.7010457619999999"/>
    <n v="-1.1719608690000001"/>
    <s v="Inverse"/>
    <s v="transmembrane transport"/>
    <s v="transmembrane transport"/>
  </r>
  <r>
    <x v="0"/>
    <x v="4"/>
    <s v="OG0008422"/>
    <s v="Ofaveolata018929"/>
    <s v="Ssiderea001959"/>
    <n v="-1.256035282"/>
    <n v="-1.2875475670000001"/>
    <s v="Direct"/>
    <s v="NA"/>
    <s v="NA"/>
  </r>
  <r>
    <x v="0"/>
    <x v="4"/>
    <s v="OG0009682"/>
    <s v="Ofaveolata026368"/>
    <s v="Ssiderea038740"/>
    <n v="1.770549894"/>
    <n v="-2.565659439"/>
    <s v="Inverse"/>
    <s v="Metastasis suppressor protein 1-like"/>
    <s v="Metastasis suppressor protein 1-like"/>
  </r>
  <r>
    <x v="0"/>
    <x v="4"/>
    <s v="OG0009902"/>
    <s v="Ofaveolata030333"/>
    <s v="Ssiderea027649"/>
    <n v="1.961223358"/>
    <n v="-1.1318428659999999"/>
    <s v="Inverse"/>
    <s v="WD domain, G-beta repeat"/>
    <s v="WD domain, G-beta repeat"/>
  </r>
  <r>
    <x v="0"/>
    <x v="4"/>
    <s v="OG0010173"/>
    <s v="Ofaveolata026870"/>
    <s v="Ssiderea017831"/>
    <n v="1.3502587850000001"/>
    <n v="4.9362743880000002"/>
    <s v="Direct"/>
    <s v="propanoyl-CoA C-acyltransferase activity"/>
    <s v="propanoyl-CoA C-acyltransferase activity"/>
  </r>
  <r>
    <x v="0"/>
    <x v="4"/>
    <s v="OG0010221"/>
    <s v="Ofaveolata023174"/>
    <s v="Ssiderea014617"/>
    <n v="3.392433086"/>
    <n v="1.251979422"/>
    <s v="Direct"/>
    <s v="fucose metabolic process"/>
    <s v="fucose metabolic process"/>
  </r>
  <r>
    <x v="0"/>
    <x v="4"/>
    <s v="OG0010689"/>
    <s v="Ofaveolata027830"/>
    <s v="Ssiderea035432"/>
    <n v="-1.0610506529999999"/>
    <n v="1.2709015640000001"/>
    <s v="Inverse"/>
    <s v="nuclear localization sequence binding"/>
    <s v="nuclear localization sequence binding"/>
  </r>
  <r>
    <x v="0"/>
    <x v="4"/>
    <s v="OG0010929"/>
    <s v="Ofaveolata017642"/>
    <s v="Ssiderea046885"/>
    <n v="1.527913726"/>
    <n v="1.0654190649999999"/>
    <s v="Direct"/>
    <s v="mRNA-containing ribonucleoprotein complex export from nucleus"/>
    <s v="mRNA-containing ribonucleoprotein complex export from nucleus"/>
  </r>
  <r>
    <x v="0"/>
    <x v="4"/>
    <s v="OG0011861"/>
    <s v="Ofaveolata031462"/>
    <s v="Ssiderea048776"/>
    <n v="1.699503277"/>
    <n v="-1.6673820189999999"/>
    <s v="Inverse"/>
    <s v="Solute carrier family 35 (UDP-galactose transporter), member A2"/>
    <s v="pyrimidine nucleotide-sugar transmembrane transporter activity"/>
  </r>
  <r>
    <x v="0"/>
    <x v="4"/>
    <s v="OG0012612"/>
    <s v="Ofaveolata025365"/>
    <s v="Ssiderea042040"/>
    <n v="1.2422661829999999"/>
    <n v="2.5045511440000001"/>
    <s v="Direct"/>
    <s v="NA"/>
    <s v="Domain of unknown function (DUF4618)"/>
  </r>
  <r>
    <x v="0"/>
    <x v="4"/>
    <s v="OG0012729"/>
    <s v="Ofaveolata031793"/>
    <s v="Ssiderea006757"/>
    <n v="1.6911682800000001"/>
    <n v="1.058087639"/>
    <s v="Direct"/>
    <s v="Belongs to the major facilitator superfamily. Sugar transporter (TC 2.A.1.1) family"/>
    <s v="Belongs to the major facilitator superfamily. Sugar transporter (TC 2.A.1.1) family"/>
  </r>
  <r>
    <x v="0"/>
    <x v="4"/>
    <s v="OG0012875"/>
    <s v="Ofaveolata032272"/>
    <s v="Ssiderea006919"/>
    <n v="1.8680080729999999"/>
    <n v="2.8489388870000001"/>
    <s v="Direct"/>
    <s v="Threonine synthase N terminus"/>
    <s v="Threonine synthase N terminus"/>
  </r>
  <r>
    <x v="0"/>
    <x v="5"/>
    <s v="OG0000123"/>
    <s v="Ofaveolata013490"/>
    <s v="Ssiderea045294"/>
    <n v="-1.159041574"/>
    <n v="1.6144101500000001"/>
    <s v="Inverse"/>
    <s v="N-acetyl-beta-glucosaminyl-glycoprotein 4-beta-N-acetylgalactosaminyltransferase activity"/>
    <s v="N-acetyl-beta-glucosaminyl-glycoprotein 4-beta-N-acetylgalactosaminyltransferase activity"/>
  </r>
  <r>
    <x v="0"/>
    <x v="5"/>
    <s v="OG0000162"/>
    <s v="Ofaveolata017565"/>
    <s v="Ssiderea048570"/>
    <n v="-1.1914456849999999"/>
    <n v="-1.218832015"/>
    <s v="Direct"/>
    <s v="cAMP-dependent protein kinase activity"/>
    <s v="Protein tyrosine kinase"/>
  </r>
  <r>
    <x v="0"/>
    <x v="5"/>
    <s v="OG0000248"/>
    <s v="Ofaveolata027100"/>
    <s v="Ssiderea020932"/>
    <n v="1.5127782729999999"/>
    <n v="1.104276923"/>
    <s v="Direct"/>
    <s v="BLOC-2 complex binding"/>
    <s v="BLOC-2 complex binding"/>
  </r>
  <r>
    <x v="0"/>
    <x v="5"/>
    <s v="OG0000307"/>
    <s v="Ofaveolata024256"/>
    <s v="Ssiderea006371"/>
    <n v="1.051862965"/>
    <n v="2.2950367489999999"/>
    <s v="Direct"/>
    <s v="NA"/>
    <s v="NA"/>
  </r>
  <r>
    <x v="0"/>
    <x v="5"/>
    <s v="OG0000369"/>
    <s v="Ofaveolata017708"/>
    <s v="Ssiderea037493"/>
    <n v="1.268646226"/>
    <n v="1.2969245819999999"/>
    <s v="Direct"/>
    <s v="NA"/>
    <s v="NA"/>
  </r>
  <r>
    <x v="0"/>
    <x v="5"/>
    <s v="OG0000444"/>
    <s v="Ofaveolata026424"/>
    <s v="Ssiderea038632"/>
    <n v="6.1237504200000004"/>
    <n v="-2.8016165320000002"/>
    <s v="Inverse"/>
    <s v="zinc ion binding"/>
    <s v="zinc ion binding"/>
  </r>
  <r>
    <x v="0"/>
    <x v="5"/>
    <s v="OG0000861"/>
    <s v="Ofaveolata027502"/>
    <s v="Ssiderea047867"/>
    <n v="1.1914063020000001"/>
    <n v="-2.9169026219999998"/>
    <s v="Inverse"/>
    <s v="Belongs to the peptidase M10A family"/>
    <s v="Belongs to the peptidase M10A family"/>
  </r>
  <r>
    <x v="0"/>
    <x v="5"/>
    <s v="OG0001049"/>
    <s v="Ofaveolata023246"/>
    <s v="Ssiderea045848"/>
    <n v="-2.1690200110000002"/>
    <n v="-2.2613526990000001"/>
    <s v="Direct"/>
    <s v="nitric-oxide synthase activity"/>
    <s v="nitric-oxide synthase activity"/>
  </r>
  <r>
    <x v="0"/>
    <x v="5"/>
    <s v="OG0001441"/>
    <s v="Ofaveolata004510"/>
    <s v="Ssiderea052434"/>
    <n v="1.410410642"/>
    <n v="1.3154394599999999"/>
    <s v="Direct"/>
    <s v="NA"/>
    <s v="DNA helicase B"/>
  </r>
  <r>
    <x v="0"/>
    <x v="5"/>
    <s v="OG0001533"/>
    <s v="Ofaveolata003365"/>
    <s v="Ssiderea049275"/>
    <n v="-1.8054560239999999"/>
    <n v="-1.366735247"/>
    <s v="Direct"/>
    <s v="cytochrome P450"/>
    <s v="Cytochrome p-450"/>
  </r>
  <r>
    <x v="0"/>
    <x v="5"/>
    <s v="OG0001548"/>
    <s v="Ofaveolata018113"/>
    <s v="Ssiderea001921"/>
    <n v="2.475089793"/>
    <n v="1.638592805"/>
    <s v="Direct"/>
    <s v="NA"/>
    <s v="axonal fasciculation"/>
  </r>
  <r>
    <x v="0"/>
    <x v="5"/>
    <s v="OG0001606"/>
    <s v="Ofaveolata034190"/>
    <s v="Ssiderea051003"/>
    <n v="2.890438021"/>
    <n v="2.6766739949999998"/>
    <s v="Direct"/>
    <s v="phosphatidylserine decarboxylase"/>
    <s v="phosphatidylserine decarboxylase"/>
  </r>
  <r>
    <x v="0"/>
    <x v="5"/>
    <s v="OG0002339"/>
    <s v="Ofaveolata024971"/>
    <s v="Ssiderea021220"/>
    <n v="1.987322531"/>
    <n v="1.6017829130000001"/>
    <s v="Direct"/>
    <s v="Synaptic vesicle membrane protein VAT-1 homolog"/>
    <s v="Synaptic vesicle membrane protein VAT-1 homolog"/>
  </r>
  <r>
    <x v="0"/>
    <x v="5"/>
    <s v="OG0002395"/>
    <s v="Ofaveolata030986"/>
    <s v="Ssiderea006565"/>
    <n v="1.8705547650000001"/>
    <n v="2.4031651580000002"/>
    <s v="Direct"/>
    <s v="fibroblast growth factor-activated receptor activity"/>
    <s v="fibroblast growth factor-activated receptor activity"/>
  </r>
  <r>
    <x v="0"/>
    <x v="5"/>
    <s v="OG0002913"/>
    <s v="Ofaveolata021947"/>
    <s v="Ssiderea023505"/>
    <n v="1.761378441"/>
    <n v="-1.2969245819999999"/>
    <s v="Inverse"/>
    <s v="May act as a scaffolding protein within caveolar membranes. Interacts directly with G-protein alpha subunits and can functionally regulate their activity"/>
    <s v="May act as a scaffolding protein within caveolar membranes. Interacts directly with G-protein alpha subunits and can functionally regulate their activity"/>
  </r>
  <r>
    <x v="0"/>
    <x v="5"/>
    <s v="OG0002975"/>
    <s v="Ofaveolata022455"/>
    <s v="Ssiderea050136"/>
    <n v="2.2336497450000001"/>
    <n v="-1.2990535350000001"/>
    <s v="Inverse"/>
    <s v="laminin subunit"/>
    <s v="Receptor binding. It is involved in the biological process described with regulation of cell migration"/>
  </r>
  <r>
    <x v="0"/>
    <x v="5"/>
    <s v="OG0003070"/>
    <s v="Ofaveolata011218"/>
    <s v="Ssiderea050623"/>
    <n v="2.4034810009999998"/>
    <n v="9.2006835220000003"/>
    <s v="Direct"/>
    <s v="NA"/>
    <s v="Nucleus accumbens associated 1, BEN and BTB (POZ) domain containing"/>
  </r>
  <r>
    <x v="0"/>
    <x v="5"/>
    <s v="OG0005725"/>
    <s v="Ofaveolata023015"/>
    <s v="Ssiderea014817"/>
    <n v="1.1429870419999999"/>
    <n v="1.080622441"/>
    <s v="Direct"/>
    <s v="o-methyltransferase"/>
    <s v="o-methyltransferase"/>
  </r>
  <r>
    <x v="0"/>
    <x v="5"/>
    <s v="OG0005766"/>
    <s v="Ofaveolata027573"/>
    <s v="Ssiderea042303"/>
    <n v="1.2129790979999999"/>
    <n v="1.662506316"/>
    <s v="Direct"/>
    <s v="Threonine dehydratase"/>
    <s v="Threonine dehydratase"/>
  </r>
  <r>
    <x v="0"/>
    <x v="5"/>
    <s v="OG0006218"/>
    <s v="Ofaveolata030092"/>
    <s v="Ssiderea054260"/>
    <n v="1.056443502"/>
    <n v="-1.1193103849999999"/>
    <s v="Inverse"/>
    <s v="9-cis retinoic acid receptor activity"/>
    <s v="9-cis retinoic acid receptor activity"/>
  </r>
  <r>
    <x v="0"/>
    <x v="5"/>
    <s v="OG0006562"/>
    <s v="Ofaveolata023847"/>
    <s v="Ssiderea041541"/>
    <n v="-1.6818461330000001"/>
    <n v="-1.2270776569999999"/>
    <s v="Direct"/>
    <s v="NA"/>
    <s v="DBH-like monooxygenase protein 1"/>
  </r>
  <r>
    <x v="0"/>
    <x v="5"/>
    <s v="OG0006612"/>
    <s v="Ofaveolata028571"/>
    <s v="Ssiderea057950"/>
    <n v="-1.2070972499999999"/>
    <n v="1.1975614000000001"/>
    <s v="Inverse"/>
    <s v="calcium ion binding"/>
    <s v="calcium ion binding"/>
  </r>
  <r>
    <x v="0"/>
    <x v="5"/>
    <s v="OG0006638"/>
    <s v="Ofaveolata005433"/>
    <s v="Ssiderea000222"/>
    <n v="2.134198853"/>
    <n v="1.997540782"/>
    <s v="Direct"/>
    <s v="Chromosome 5 open reading frame 63"/>
    <s v="It is involved in the biological process described with metabolic process"/>
  </r>
  <r>
    <x v="0"/>
    <x v="5"/>
    <s v="OG0006643"/>
    <s v="Ofaveolata017575"/>
    <s v="Ssiderea018481"/>
    <n v="1.601107759"/>
    <n v="-1.064279204"/>
    <s v="Inverse"/>
    <s v="Belongs to the sterol desaturase family"/>
    <s v="lathosterol oxidase activity"/>
  </r>
  <r>
    <x v="0"/>
    <x v="5"/>
    <s v="OG0007445"/>
    <s v="Ofaveolata005254"/>
    <s v="Ssiderea015912"/>
    <n v="1.103742013"/>
    <n v="1.9001065559999999"/>
    <s v="Direct"/>
    <s v="ornithine carbamoyltransferase activity"/>
    <s v="ornithine carbamoyltransferase activity"/>
  </r>
  <r>
    <x v="0"/>
    <x v="5"/>
    <s v="OG0007668"/>
    <s v="Ofaveolata034325"/>
    <s v="Ssiderea052904"/>
    <n v="1.791672344"/>
    <n v="1.169542351"/>
    <s v="Direct"/>
    <s v="nucleic acid-templated transcription"/>
    <s v="nucleic acid-templated transcription"/>
  </r>
  <r>
    <x v="0"/>
    <x v="5"/>
    <s v="OG0007991"/>
    <s v="Ofaveolata015836"/>
    <s v="Ssiderea033795"/>
    <n v="1.5155788560000001"/>
    <n v="-2.6850122399999998"/>
    <s v="Inverse"/>
    <s v="transmembrane transport"/>
    <s v="transmembrane transport"/>
  </r>
  <r>
    <x v="0"/>
    <x v="5"/>
    <s v="OG0008350"/>
    <s v="Ofaveolata017291"/>
    <s v="Ssiderea046616"/>
    <n v="1.0548182820000001"/>
    <n v="2.3980811929999999"/>
    <s v="Direct"/>
    <s v="Acyl-CoA synthetase long-chain family member"/>
    <s v="Acyl-CoA synthetase long-chain family member"/>
  </r>
  <r>
    <x v="0"/>
    <x v="5"/>
    <s v="OG0009167"/>
    <s v="Ofaveolata002576"/>
    <s v="Ssiderea013042"/>
    <n v="-1.309289199"/>
    <n v="-1.8377660330000001"/>
    <s v="Direct"/>
    <s v="CD5 molecule-like"/>
    <s v="scavenger receptor activity"/>
  </r>
  <r>
    <x v="0"/>
    <x v="5"/>
    <s v="OG0009949"/>
    <s v="Ofaveolata017015"/>
    <s v="Ssiderea052635"/>
    <n v="-5.1622430970000002"/>
    <n v="1.4018541760000001"/>
    <s v="Inverse"/>
    <s v="microtubule motor activity"/>
    <s v="microtubule motor activity"/>
  </r>
  <r>
    <x v="0"/>
    <x v="5"/>
    <s v="OG0010221"/>
    <s v="Ofaveolata023174"/>
    <s v="Ssiderea014617"/>
    <n v="2.773346332"/>
    <n v="1.8423563220000001"/>
    <s v="Direct"/>
    <s v="fucose metabolic process"/>
    <s v="fucose metabolic process"/>
  </r>
  <r>
    <x v="0"/>
    <x v="5"/>
    <s v="OG0010707"/>
    <s v="Ofaveolata003364"/>
    <s v="Ssiderea049274"/>
    <n v="-2.0390525159999999"/>
    <n v="-1.8149695640000001"/>
    <s v="Direct"/>
    <s v="NA"/>
    <s v="Cyclodipeptide synthase"/>
  </r>
  <r>
    <x v="0"/>
    <x v="5"/>
    <s v="OG0011098"/>
    <s v="Ofaveolata025755"/>
    <s v="Ssiderea055622"/>
    <n v="-1.9012239609999999"/>
    <n v="-1.9165894530000001"/>
    <s v="Direct"/>
    <s v="negative regulation of sequestering of triglyceride"/>
    <s v="negative regulation of sequestering of triglyceride"/>
  </r>
  <r>
    <x v="0"/>
    <x v="5"/>
    <s v="OG0011115"/>
    <s v="Ofaveolata006719"/>
    <s v="Ssiderea032352"/>
    <n v="-1.8334491639999999"/>
    <n v="1.141503301"/>
    <s v="Inverse"/>
    <s v="tRNA methylation"/>
    <s v="tRNA methylation"/>
  </r>
  <r>
    <x v="0"/>
    <x v="5"/>
    <s v="OG0011729"/>
    <s v="Ofaveolata010493"/>
    <s v="Ssiderea019532"/>
    <n v="-1.026804056"/>
    <n v="1.889319644"/>
    <s v="Inverse"/>
    <s v="negative regulation of heat generation"/>
    <s v="cyclic nucleotide-gated ion channel activity"/>
  </r>
  <r>
    <x v="0"/>
    <x v="5"/>
    <s v="OG0011860"/>
    <s v="Ofaveolata005470"/>
    <s v="Ssiderea052528"/>
    <n v="1.7351452030000001"/>
    <n v="-1.026970143"/>
    <s v="Inverse"/>
    <s v="NA"/>
    <s v="NA"/>
  </r>
  <r>
    <x v="0"/>
    <x v="5"/>
    <s v="OG0011936"/>
    <s v="Ofaveolata023203"/>
    <s v="Ssiderea046063"/>
    <n v="1.1914456849999999"/>
    <n v="1.4570955889999999"/>
    <s v="Direct"/>
    <s v="ribosomal protein S23"/>
    <s v="Structural constituent of ribosome. It is involved in the biological process described with"/>
  </r>
  <r>
    <x v="0"/>
    <x v="5"/>
    <s v="OG0012289"/>
    <s v="Ofaveolata015425"/>
    <s v="Ssiderea055429"/>
    <n v="1.1748360390000001"/>
    <n v="-2.210286532"/>
    <s v="Inverse"/>
    <s v="Mannose-6-phosphate receptor"/>
    <s v="Mannose-6-phosphate receptor"/>
  </r>
  <r>
    <x v="0"/>
    <x v="5"/>
    <s v="OG0013173"/>
    <s v="Ofaveolata027056"/>
    <s v="Ssiderea042129"/>
    <n v="3.4627206940000002"/>
    <n v="-1.2921569230000001"/>
    <s v="Inverse"/>
    <s v="metalloendopeptidase activity"/>
    <s v="Disintegrin and metalloproteinase domain-containing protein 12"/>
  </r>
  <r>
    <x v="0"/>
    <x v="5"/>
    <s v="OG0013207"/>
    <s v="Ofaveolata001053"/>
    <s v="Ssiderea022298"/>
    <n v="-2.575322355"/>
    <n v="2.6041194339999998"/>
    <s v="Inverse"/>
    <s v="Regulatory subunit of the condensin complex, a complex required for conversion of interphase chromatin into mitotic-like condense chromosomes"/>
    <s v="Regulatory subunit of the condensin complex, a complex required for conversion of interphase chromatin into mitotic-like condense chromosomes"/>
  </r>
  <r>
    <x v="1"/>
    <x v="6"/>
    <s v="OG0000133"/>
    <s v="Ofaveolata018073"/>
    <s v="Ssiderea002867"/>
    <n v="-5.3792302999999997"/>
    <n v="-2.3100811999999999"/>
    <s v="Direct"/>
    <s v="Multidrug resistance-associated protein 1"/>
    <s v="ATPase activity, coupled to transmembrane movement of substances"/>
  </r>
  <r>
    <x v="1"/>
    <x v="6"/>
    <s v="OG0000290"/>
    <s v="Ofaveolata010939"/>
    <s v="Ssiderea019959"/>
    <n v="1.0589023200000001"/>
    <n v="-2.2598734"/>
    <s v="Inverse"/>
    <s v="GTPase activity"/>
    <s v="GTPase activity"/>
  </r>
  <r>
    <x v="1"/>
    <x v="6"/>
    <s v="OG0000360"/>
    <s v="Ofaveolata007753"/>
    <s v="Ssiderea009076"/>
    <n v="-2.8697157999999998"/>
    <n v="-1.63913"/>
    <s v="Direct"/>
    <s v="Spondin 2b, extracellular matrix protein"/>
    <s v="Spondin 1, extracellular matrix protein"/>
  </r>
  <r>
    <x v="1"/>
    <x v="6"/>
    <s v="OG0000365"/>
    <s v="Ofaveolata032821"/>
    <s v="Ssiderea053815"/>
    <n v="2.0635980799999998"/>
    <n v="1.97236594"/>
    <s v="Direct"/>
    <s v="heat shock"/>
    <s v="heat shock"/>
  </r>
  <r>
    <x v="1"/>
    <x v="6"/>
    <s v="OG0000418"/>
    <s v="Ofaveolata015488"/>
    <s v="Ssiderea013867"/>
    <n v="-1.0873808"/>
    <n v="-1.7217538999999999"/>
    <s v="Direct"/>
    <s v="NA"/>
    <s v="CUB and zona pellucida-like domain-containing protein"/>
  </r>
  <r>
    <x v="1"/>
    <x v="6"/>
    <s v="OG0001035"/>
    <s v="Ofaveolata013447"/>
    <s v="Ssiderea000550"/>
    <n v="-1.5904210999999999"/>
    <n v="-14.399245000000001"/>
    <s v="Direct"/>
    <s v="ammonium transmembrane transporter activity"/>
    <s v="ammonium transmembrane transporter activity"/>
  </r>
  <r>
    <x v="1"/>
    <x v="6"/>
    <s v="OG0001054"/>
    <s v="Ofaveolata026401"/>
    <s v="Ssiderea038678"/>
    <n v="4.42828233"/>
    <n v="3.48516315"/>
    <s v="Direct"/>
    <s v="V-maf avian musculoaponeurotic fibrosarcoma oncogene homolog"/>
    <s v="lens fiber cell differentiation"/>
  </r>
  <r>
    <x v="1"/>
    <x v="6"/>
    <s v="OG0001060"/>
    <s v="Ofaveolata021998"/>
    <s v="Ssiderea023406"/>
    <n v="2.2573645600000001"/>
    <n v="2.8874729399999999"/>
    <s v="Direct"/>
    <s v="tumor necrosis factor-activated receptor activity"/>
    <s v="Tumor necrosis factor receptor / nerve growth factor receptor repeats."/>
  </r>
  <r>
    <x v="1"/>
    <x v="6"/>
    <s v="OG0001085"/>
    <s v="Ofaveolata027609"/>
    <s v="Ssiderea042330"/>
    <n v="-6.7325001999999996"/>
    <n v="-8.7179164"/>
    <s v="Direct"/>
    <s v="Sterol-sensing domain of SREBP cleavage-activation"/>
    <s v="Sterol-sensing domain of SREBP cleavage-activation"/>
  </r>
  <r>
    <x v="1"/>
    <x v="6"/>
    <s v="OG0001135"/>
    <s v="Ofaveolata029867"/>
    <s v="Ssiderea039160"/>
    <n v="-1.6069983999999999"/>
    <n v="-1.7815977999999999"/>
    <s v="Direct"/>
    <s v="positive regulation of epithelial to mesenchymal transition"/>
    <s v="positive regulation of epithelial to mesenchymal transition"/>
  </r>
  <r>
    <x v="1"/>
    <x v="6"/>
    <s v="OG0001245"/>
    <s v="Ofaveolata013966"/>
    <s v="Ssiderea043968"/>
    <n v="-5.5288168999999998"/>
    <n v="-1.843548"/>
    <s v="Direct"/>
    <s v="ATPase activity, coupled to transmembrane movement of substances"/>
    <s v="ATPase activity, coupled to transmembrane movement of substances"/>
  </r>
  <r>
    <x v="1"/>
    <x v="6"/>
    <s v="OG0001372"/>
    <s v="Ofaveolata014693"/>
    <s v="Ssiderea004543"/>
    <n v="-1.4254157000000001"/>
    <n v="-1.9670110000000001"/>
    <s v="Direct"/>
    <s v="alpha-L-fucosidase activity"/>
    <s v="alpha-L-fucosidase activity"/>
  </r>
  <r>
    <x v="1"/>
    <x v="6"/>
    <s v="OG0001471"/>
    <s v="Ofaveolata001616"/>
    <s v="Ssiderea026735"/>
    <n v="-6.8788004999999997"/>
    <n v="-1.0018773999999999"/>
    <s v="Direct"/>
    <s v="DOMON domain-containing protein"/>
    <s v="Ferric-chelate reductase"/>
  </r>
  <r>
    <x v="1"/>
    <x v="6"/>
    <s v="OG0001522"/>
    <s v="Ofaveolata024604"/>
    <s v="Ssiderea005862"/>
    <n v="-1.4407591"/>
    <n v="-1.0400474"/>
    <s v="Direct"/>
    <s v="lipid catabolic process"/>
    <s v="Phospholipase B domain containing 2"/>
  </r>
  <r>
    <x v="1"/>
    <x v="6"/>
    <s v="OG0001552"/>
    <s v="Ofaveolata018305"/>
    <s v="Ssiderea018612"/>
    <n v="-1.4921844"/>
    <n v="-4.3468869000000003"/>
    <s v="Direct"/>
    <s v="negative regulation of ectoderm development"/>
    <s v="negative regulation of ectoderm development"/>
  </r>
  <r>
    <x v="1"/>
    <x v="6"/>
    <s v="OG0001581"/>
    <s v="Ofaveolata022011"/>
    <s v="Ssiderea023382"/>
    <n v="3.14536836"/>
    <n v="6.0718119699999997"/>
    <s v="Direct"/>
    <s v="NA"/>
    <s v="Tumor necrosis factor receptor / nerve growth factor receptor repeats."/>
  </r>
  <r>
    <x v="1"/>
    <x v="6"/>
    <s v="OG0001587"/>
    <s v="Ofaveolata007545"/>
    <s v="Ssiderea006776"/>
    <n v="1.84475148"/>
    <n v="-4.4600609999999996"/>
    <s v="Inverse"/>
    <s v="tyrosinase"/>
    <s v="tyrosinase"/>
  </r>
  <r>
    <x v="1"/>
    <x v="6"/>
    <s v="OG0001686"/>
    <s v="Ofaveolata000104"/>
    <s v="Ssiderea021959"/>
    <n v="-3.3399323999999999"/>
    <n v="-3.7263128999999999"/>
    <s v="Direct"/>
    <s v="PX domain"/>
    <s v="PX domain"/>
  </r>
  <r>
    <x v="1"/>
    <x v="6"/>
    <s v="OG0001711"/>
    <s v="Ofaveolata009170"/>
    <s v="Ssiderea035562"/>
    <n v="-1.210108"/>
    <n v="-3.6364561000000002"/>
    <s v="Direct"/>
    <s v="glutamate-cysteine ligase activity"/>
    <s v="glutamate-cysteine ligase activity"/>
  </r>
  <r>
    <x v="1"/>
    <x v="6"/>
    <s v="OG0001917"/>
    <s v="Ofaveolata008800"/>
    <s v="Ssiderea008234"/>
    <n v="1.4967907199999999"/>
    <n v="1.1593608399999999"/>
    <s v="Direct"/>
    <s v="Integrin-alpha FG-GAP repeat-containing protein 2"/>
    <s v="germinal center B cell differentiation"/>
  </r>
  <r>
    <x v="1"/>
    <x v="6"/>
    <s v="OG0002249"/>
    <s v="Ofaveolata027035"/>
    <s v="Ssiderea018181"/>
    <n v="1.44424346"/>
    <n v="-1.7446718999999999"/>
    <s v="Inverse"/>
    <s v="NA"/>
    <s v="non-membrane spanning protein tyrosine kinase activity"/>
  </r>
  <r>
    <x v="1"/>
    <x v="6"/>
    <s v="OG0002339"/>
    <s v="Ofaveolata024971"/>
    <s v="Ssiderea021220"/>
    <n v="1.383669"/>
    <n v="9.4989865400000006"/>
    <s v="Direct"/>
    <s v="Synaptic vesicle membrane protein VAT-1 homolog"/>
    <s v="Synaptic vesicle membrane protein VAT-1 homolog"/>
  </r>
  <r>
    <x v="1"/>
    <x v="6"/>
    <s v="OG0002356"/>
    <s v="Ofaveolata031896"/>
    <s v="Ssiderea007305"/>
    <n v="-5.2609216999999999"/>
    <n v="-3.8610769"/>
    <s v="Direct"/>
    <s v="thioredoxin-disulfide reductase activity"/>
    <s v="thioredoxin-disulfide reductase activity"/>
  </r>
  <r>
    <x v="1"/>
    <x v="6"/>
    <s v="OG0002408"/>
    <s v="Ofaveolata007767"/>
    <s v="Ssiderea009243"/>
    <n v="1.3620446399999999"/>
    <n v="6.2081015400000004"/>
    <s v="Direct"/>
    <s v="unfolded protein binding"/>
    <s v="unfolded protein binding"/>
  </r>
  <r>
    <x v="1"/>
    <x v="6"/>
    <s v="OG0002597"/>
    <s v="Ofaveolata028471"/>
    <s v="Ssiderea042652"/>
    <n v="2.4838366399999998"/>
    <n v="1.0870381899999999"/>
    <s v="Direct"/>
    <s v="betaine-homocysteine S-methyltransferase activity"/>
    <s v="betaine-homocysteine S-methyltransferase activity"/>
  </r>
  <r>
    <x v="1"/>
    <x v="6"/>
    <s v="OG0002629"/>
    <s v="Ofaveolata013050"/>
    <s v="Ssiderea001426"/>
    <n v="-15.981878999999999"/>
    <n v="-25.630765"/>
    <s v="Direct"/>
    <s v="adiponectin receptor"/>
    <s v="adiponectin receptor"/>
  </r>
  <r>
    <x v="1"/>
    <x v="6"/>
    <s v="OG0002668"/>
    <s v="Ofaveolata009577"/>
    <s v="Ssiderea058053"/>
    <n v="-1.0314304999999999"/>
    <n v="1.53167334"/>
    <s v="Inverse"/>
    <s v="Mitochondrial carrier protein"/>
    <s v="Mitochondrial carrier protein"/>
  </r>
  <r>
    <x v="1"/>
    <x v="6"/>
    <s v="OG0002759"/>
    <s v="Ofaveolata006196"/>
    <s v="Ssiderea053428"/>
    <n v="-1.2492764999999999"/>
    <n v="-1.1101916000000001"/>
    <s v="Direct"/>
    <s v="Ribosomal protein L30p/L7e"/>
    <s v="Ribosomal protein L30p/L7e"/>
  </r>
  <r>
    <x v="1"/>
    <x v="6"/>
    <s v="OG0002827"/>
    <s v="Ofaveolata005263"/>
    <s v="Ssiderea015872"/>
    <n v="-6.7266336999999998"/>
    <n v="2.2957640700000002"/>
    <s v="Inverse"/>
    <s v="negative chemotaxis"/>
    <s v="structural constituent of cuticle"/>
  </r>
  <r>
    <x v="1"/>
    <x v="6"/>
    <s v="OG0002922"/>
    <s v="Ofaveolata001863"/>
    <s v="Ssiderea050453"/>
    <n v="-1.0734572"/>
    <n v="-1.5473124"/>
    <s v="Direct"/>
    <s v="Belongs to the universal ribosomal protein uL1 family"/>
    <s v="Belongs to the universal ribosomal protein uL1 family"/>
  </r>
  <r>
    <x v="1"/>
    <x v="6"/>
    <s v="OG0002933"/>
    <s v="Ofaveolata004714"/>
    <s v="Ssiderea042375"/>
    <n v="-1.0559886000000001"/>
    <n v="2.6037495100000001"/>
    <s v="Inverse"/>
    <s v="Disintegrin and metalloproteinase domain-containing protein"/>
    <s v="metalloendopeptidase activity"/>
  </r>
  <r>
    <x v="1"/>
    <x v="6"/>
    <s v="OG0003044"/>
    <s v="Ofaveolata014443"/>
    <s v="Ssiderea057624"/>
    <n v="-1.2606899"/>
    <n v="-1.6480395000000001"/>
    <s v="Direct"/>
    <s v="gamma-glutamyl-peptidase activity"/>
    <s v="gamma-glutamyl-peptidase activity"/>
  </r>
  <r>
    <x v="1"/>
    <x v="6"/>
    <s v="OG0003046"/>
    <s v="Ofaveolata029525"/>
    <s v="Ssiderea054712"/>
    <n v="1.63901462"/>
    <n v="2.1838826199999999"/>
    <s v="Direct"/>
    <s v="Interferon induced with helicase C domain 1"/>
    <s v="Interferon induced with helicase C domain 1"/>
  </r>
  <r>
    <x v="1"/>
    <x v="6"/>
    <s v="OG0003076"/>
    <s v="Ofaveolata026396"/>
    <s v="Ssiderea038683"/>
    <n v="1.5027483699999999"/>
    <n v="15.2840144"/>
    <s v="Direct"/>
    <s v="abducens nerve formation"/>
    <s v="abducens nerve formation"/>
  </r>
  <r>
    <x v="1"/>
    <x v="6"/>
    <s v="OG0003131"/>
    <s v="Ofaveolata003761"/>
    <s v="Ssiderea028731"/>
    <n v="-2.9619143999999999"/>
    <n v="-2.6901367999999999"/>
    <s v="Direct"/>
    <s v="methylenetetrahydrofolate reductase (NAD(P)H) activity"/>
    <s v="methylenetetrahydrofolate reductase (NAD(P)H) activity"/>
  </r>
  <r>
    <x v="1"/>
    <x v="6"/>
    <s v="OG0003165"/>
    <s v="Ofaveolata030220"/>
    <s v="Ssiderea027372"/>
    <n v="6.4409224199999997"/>
    <n v="1.09785628"/>
    <s v="Direct"/>
    <s v="thioesterase binding"/>
    <s v="Tnf receptor-associated factor 2"/>
  </r>
  <r>
    <x v="1"/>
    <x v="6"/>
    <s v="OG0003684"/>
    <s v="Ofaveolata014115"/>
    <s v="Ssiderea003510"/>
    <n v="-3.1908310000000002"/>
    <n v="-5.0350843000000003"/>
    <s v="Direct"/>
    <s v="Component of the eukaryotic translation initiation factor 3 (eIF-3) complex, which is involved in protein synthesis and, together with other initiation factors, stimulates binding of mRNA and methionyl-tRNAi to the 40S ribosome"/>
    <s v="Component of the eukaryotic translation initiation factor 3 (eIF-3) complex, which is involved in protein synthesis and, together with other initiation factors, stimulates binding of mRNA and methionyl-tRNAi to the 40S ribosome"/>
  </r>
  <r>
    <x v="1"/>
    <x v="6"/>
    <s v="OG0003692"/>
    <s v="Ofaveolata002357"/>
    <s v="Ssiderea012861"/>
    <n v="-3.6252751999999999"/>
    <n v="1.1466803299999999"/>
    <s v="Inverse"/>
    <s v="acidic dipeptidase"/>
    <s v="acidic dipeptidase"/>
  </r>
  <r>
    <x v="1"/>
    <x v="6"/>
    <s v="OG0003737"/>
    <s v="Ofaveolata017050"/>
    <s v="Ssiderea052614"/>
    <n v="-2.7234655999999999"/>
    <n v="-1.2219084"/>
    <s v="Direct"/>
    <s v="NA"/>
    <s v="SAP domain containing ribonucleoprotein"/>
  </r>
  <r>
    <x v="1"/>
    <x v="6"/>
    <s v="OG0003754"/>
    <s v="Ofaveolata013958"/>
    <s v="Ssiderea043984"/>
    <n v="-1.6230868000000001"/>
    <n v="-1.1115889000000001"/>
    <s v="Direct"/>
    <s v="TENA/THI-4/PQQC family"/>
    <s v="TENA/THI-4/PQQC family"/>
  </r>
  <r>
    <x v="1"/>
    <x v="6"/>
    <s v="OG0003759"/>
    <s v="Ofaveolata019842"/>
    <s v="Ssiderea012242"/>
    <n v="3.3081879500000002"/>
    <n v="1.16486416"/>
    <s v="Direct"/>
    <s v="cytoskeletal anchoring at plasma membrane"/>
    <s v="cytoskeletal anchoring at plasma membrane"/>
  </r>
  <r>
    <x v="1"/>
    <x v="6"/>
    <s v="OG0003815"/>
    <s v="Ofaveolata028767"/>
    <s v="Ssiderea027809"/>
    <n v="-8.9641552999999998"/>
    <n v="-8.5645387999999993"/>
    <s v="Direct"/>
    <s v="PPIases accelerate the folding of proteins. It catalyzes the cis-trans isomerization of proline imidic peptide bonds in oligopeptides"/>
    <s v="PPIases accelerate the folding of proteins. It catalyzes the cis-trans isomerization of proline imidic peptide bonds in oligopeptides"/>
  </r>
  <r>
    <x v="1"/>
    <x v="6"/>
    <s v="OG0003844"/>
    <s v="Ofaveolata032467"/>
    <s v="Ssiderea034725"/>
    <n v="-5.8132910999999998"/>
    <n v="-1.3419128"/>
    <s v="Direct"/>
    <s v="purine-rich negative regulatory element binding"/>
    <s v="purine-rich negative regulatory element binding"/>
  </r>
  <r>
    <x v="1"/>
    <x v="6"/>
    <s v="OG0003896"/>
    <s v="Ofaveolata014756"/>
    <s v="Ssiderea004756"/>
    <n v="-1.6314654"/>
    <n v="-3.0808559999999998"/>
    <s v="Direct"/>
    <s v="zinc ion transmembrane transporter activity"/>
    <s v="zinc ion transmembrane transporter activity"/>
  </r>
  <r>
    <x v="1"/>
    <x v="6"/>
    <s v="OG0003901"/>
    <s v="Ofaveolata009315"/>
    <s v="Ssiderea035673"/>
    <n v="1.9741887499999999"/>
    <n v="1.2027238099999999"/>
    <s v="Direct"/>
    <s v="mitochondrial transport"/>
    <s v="mitochondrial transport"/>
  </r>
  <r>
    <x v="1"/>
    <x v="6"/>
    <s v="OG0003938"/>
    <s v="Ofaveolata034028"/>
    <s v="Ssiderea031960"/>
    <n v="3.23325263"/>
    <n v="9.4550382499999994"/>
    <s v="Direct"/>
    <s v="protein kinase activity"/>
    <s v="myosin light chain kinase activity"/>
  </r>
  <r>
    <x v="1"/>
    <x v="6"/>
    <s v="OG0003951"/>
    <s v="Ofaveolata017695"/>
    <s v="Ssiderea046918"/>
    <n v="-3.90842"/>
    <n v="-1.5312030999999999"/>
    <s v="Direct"/>
    <s v="positive regulation of TOR signaling"/>
    <s v="positive regulation of TOR signaling"/>
  </r>
  <r>
    <x v="1"/>
    <x v="6"/>
    <s v="OG0004065"/>
    <s v="Ofaveolata034137"/>
    <s v="Ssiderea031554"/>
    <n v="1.00549957"/>
    <n v="1.12792764"/>
    <s v="Direct"/>
    <s v="response to hypoxia"/>
    <s v="response to hypoxia"/>
  </r>
  <r>
    <x v="1"/>
    <x v="6"/>
    <s v="OG0004075"/>
    <s v="Ofaveolata010918"/>
    <s v="Ssiderea019927"/>
    <n v="-8.5346575999999992"/>
    <n v="-3.3756254999999999"/>
    <s v="Direct"/>
    <s v="L-gulonolactone oxidase-like"/>
    <s v="L-gulonolactone oxidase-like"/>
  </r>
  <r>
    <x v="1"/>
    <x v="6"/>
    <s v="OG0004083"/>
    <s v="Ofaveolata005246"/>
    <s v="Ssiderea010152"/>
    <n v="1.66220415"/>
    <n v="2.6847601499999998"/>
    <s v="Direct"/>
    <s v="PEST proteolytic signal containing nuclear protein"/>
    <s v="PEST proteolytic signal containing nuclear protein"/>
  </r>
  <r>
    <x v="1"/>
    <x v="6"/>
    <s v="OG0004139"/>
    <s v="Ofaveolata030646"/>
    <s v="Ssiderea054350"/>
    <n v="-1.3486644999999999"/>
    <n v="-3.7352626999999998"/>
    <s v="Direct"/>
    <s v="NA"/>
    <s v="Transferrin"/>
  </r>
  <r>
    <x v="1"/>
    <x v="6"/>
    <s v="OG0004166"/>
    <s v="Ofaveolata015811"/>
    <s v="Ssiderea033818"/>
    <n v="-1.1000620999999999"/>
    <n v="-1.2992885000000001"/>
    <s v="Direct"/>
    <s v="Myeloid lymphoid or mixed-lineage leukemia (trithorax homolog, Drosophila)"/>
    <s v="Myeloid lymphoid or mixed-lineage leukemia (trithorax homolog, Drosophila)"/>
  </r>
  <r>
    <x v="1"/>
    <x v="6"/>
    <s v="OG0004183"/>
    <s v="Ofaveolata029083"/>
    <s v="Ssiderea013771"/>
    <n v="-3.0104483000000002"/>
    <n v="-3.5167411999999998"/>
    <s v="Direct"/>
    <s v="calcium, potassium:sodium antiporter activity"/>
    <s v="calcium, potassium:sodium antiporter activity"/>
  </r>
  <r>
    <x v="1"/>
    <x v="6"/>
    <s v="OG0004231"/>
    <s v="Ofaveolata025838"/>
    <s v="Ssiderea055516"/>
    <n v="-1.0706149"/>
    <n v="-1.0985376"/>
    <s v="Direct"/>
    <s v="Belongs to the 5'-nucleotidase family"/>
    <s v="Belongs to the 5'-nucleotidase family"/>
  </r>
  <r>
    <x v="1"/>
    <x v="6"/>
    <s v="OG0004276"/>
    <s v="Ofaveolata015184"/>
    <s v="Ssiderea051137"/>
    <n v="-1.674596"/>
    <n v="-7.6636113000000003"/>
    <s v="Direct"/>
    <s v="recombination hotspot binding"/>
    <s v="recombination hotspot binding"/>
  </r>
  <r>
    <x v="1"/>
    <x v="6"/>
    <s v="OG0004300"/>
    <s v="Ofaveolata001752"/>
    <s v="Ssiderea026962"/>
    <n v="-3.4608373000000001"/>
    <n v="-7.6201034999999999"/>
    <s v="Direct"/>
    <s v="adenosine kinase activity"/>
    <s v="adenosine kinase activity"/>
  </r>
  <r>
    <x v="1"/>
    <x v="6"/>
    <s v="OG0004341"/>
    <s v="Ofaveolata013097"/>
    <s v="Ssiderea001380"/>
    <n v="-4.4269816999999998"/>
    <n v="-1.4267742999999999"/>
    <s v="Direct"/>
    <s v="Activating molecule in BECN1-regulated autophagy protein"/>
    <s v="Activating molecule in BECN1-regulated autophagy protein"/>
  </r>
  <r>
    <x v="1"/>
    <x v="6"/>
    <s v="OG0004388"/>
    <s v="Ofaveolata010126"/>
    <s v="Ssiderea049489"/>
    <n v="7.3020952399999999"/>
    <n v="2.58759015"/>
    <s v="Direct"/>
    <s v="enhancer sequence-specific DNA binding"/>
    <s v="enhancer sequence-specific DNA binding"/>
  </r>
  <r>
    <x v="1"/>
    <x v="6"/>
    <s v="OG0004437"/>
    <s v="Ofaveolata024852"/>
    <s v="Ssiderea020916"/>
    <n v="7.0985635599999997"/>
    <n v="3.08085604"/>
    <s v="Direct"/>
    <s v="abducens nerve formation"/>
    <s v="abducens nerve formation"/>
  </r>
  <r>
    <x v="1"/>
    <x v="6"/>
    <s v="OG0004469"/>
    <s v="Ofaveolata020047"/>
    <s v="Ssiderea056512"/>
    <n v="-2.3976111000000002"/>
    <n v="-2.5807802"/>
    <s v="Direct"/>
    <s v="Nucleoporin"/>
    <s v="Nucleoporin"/>
  </r>
  <r>
    <x v="1"/>
    <x v="6"/>
    <s v="OG0004489"/>
    <s v="Ofaveolata011442"/>
    <s v="Ssiderea019354"/>
    <n v="4.6263524900000004"/>
    <n v="2.87379249"/>
    <s v="Direct"/>
    <s v="protein phosphatase inhibitor activity"/>
    <s v="protein phosphatase inhibitor activity"/>
  </r>
  <r>
    <x v="1"/>
    <x v="6"/>
    <s v="OG0004522"/>
    <s v="Ofaveolata032820"/>
    <s v="Ssiderea053812"/>
    <n v="-5.3323397999999997"/>
    <n v="-6.9613262999999996"/>
    <s v="Direct"/>
    <s v="NA"/>
    <s v="ubiquitin binding"/>
  </r>
  <r>
    <x v="1"/>
    <x v="6"/>
    <s v="OG0004546"/>
    <s v="Ofaveolata028893"/>
    <s v="Ssiderea014319"/>
    <n v="2.5700118700000001"/>
    <n v="2.0636210500000001"/>
    <s v="Direct"/>
    <s v="NA"/>
    <s v="Hemicentin 1"/>
  </r>
  <r>
    <x v="1"/>
    <x v="6"/>
    <s v="OG0004551"/>
    <s v="Ofaveolata029233"/>
    <s v="Ssiderea034377"/>
    <n v="-1.4894000999999999"/>
    <n v="-2.0890059999999999"/>
    <s v="Direct"/>
    <s v="Ubiquitin-conjugating enzyme"/>
    <s v="Ubiquitin-conjugating enzyme"/>
  </r>
  <r>
    <x v="1"/>
    <x v="6"/>
    <s v="OG0004565"/>
    <s v="Ofaveolata002833"/>
    <s v="Ssiderea013425"/>
    <n v="5.4654556300000001"/>
    <n v="4.3258736999999998"/>
    <s v="Direct"/>
    <s v="Sulfide quinone"/>
    <s v="Sulfide quinone"/>
  </r>
  <r>
    <x v="1"/>
    <x v="6"/>
    <s v="OG0004628"/>
    <s v="Ofaveolata027059"/>
    <s v="Ssiderea042164"/>
    <n v="-4.5269816"/>
    <n v="-1.4464604999999999"/>
    <s v="Direct"/>
    <s v="glycerol ether metabolic process"/>
    <s v="glycerol ether metabolic process"/>
  </r>
  <r>
    <x v="1"/>
    <x v="6"/>
    <s v="OG0004650"/>
    <s v="Ofaveolata034244"/>
    <s v="Ssiderea053590"/>
    <n v="-11.701999000000001"/>
    <n v="-13.837192999999999"/>
    <s v="Direct"/>
    <s v="ATPase activity, coupled to transmembrane movement of substances"/>
    <s v="ATPase activity, coupled to transmembrane movement of substances"/>
  </r>
  <r>
    <x v="1"/>
    <x v="6"/>
    <s v="OG0004661"/>
    <s v="Ofaveolata019723"/>
    <s v="Ssiderea011990"/>
    <n v="-10.918164000000001"/>
    <n v="-2.3189283999999999"/>
    <s v="Direct"/>
    <s v="ATP-dependent chromatin remodeling"/>
    <s v="ATP-dependent chromatin remodeling"/>
  </r>
  <r>
    <x v="1"/>
    <x v="6"/>
    <s v="OG0004694"/>
    <s v="Ofaveolata014777"/>
    <s v="Ssiderea004702"/>
    <n v="3.24880075"/>
    <n v="1.37676643"/>
    <s v="Direct"/>
    <s v="intracellular chloride channel activity"/>
    <s v="intracellular chloride channel activity"/>
  </r>
  <r>
    <x v="1"/>
    <x v="6"/>
    <s v="OG0004710"/>
    <s v="Ofaveolata015394"/>
    <s v="Ssiderea038280"/>
    <n v="2.09455452"/>
    <n v="1.8311782000000001"/>
    <s v="Direct"/>
    <s v="cyclin-dependent protein serine/threonine kinase activity"/>
    <s v="cyclin-dependent protein serine/threonine kinase activity"/>
  </r>
  <r>
    <x v="1"/>
    <x v="6"/>
    <s v="OG0004721"/>
    <s v="Ofaveolata002455"/>
    <s v="Ssiderea024974"/>
    <n v="3.3320459800000002"/>
    <n v="1.90228288"/>
    <s v="Direct"/>
    <s v="cytoskeletal anchoring at plasma membrane"/>
    <s v="cytoskeletal anchoring at plasma membrane"/>
  </r>
  <r>
    <x v="1"/>
    <x v="6"/>
    <s v="OG0004739"/>
    <s v="Ofaveolata028816"/>
    <s v="Ssiderea014506"/>
    <n v="-3.6287216999999998"/>
    <n v="-1.0852379999999999"/>
    <s v="Direct"/>
    <s v="calcium ion binding"/>
    <s v="calcium ion binding"/>
  </r>
  <r>
    <x v="1"/>
    <x v="6"/>
    <s v="OG0004911"/>
    <s v="Ofaveolata034075"/>
    <s v="Ssiderea031748"/>
    <n v="1.26741679"/>
    <n v="1.8317318"/>
    <s v="Direct"/>
    <s v="phosphatidic acid transporter activity"/>
    <s v="phosphatidic acid transporter activity"/>
  </r>
  <r>
    <x v="1"/>
    <x v="6"/>
    <s v="OG0004978"/>
    <s v="Ofaveolata014006"/>
    <s v="Ssiderea043935"/>
    <n v="9.9479958699999997"/>
    <n v="5.9759807900000004"/>
    <s v="Direct"/>
    <s v="Histone H1-delta-like"/>
    <s v="Histone H1-delta-like"/>
  </r>
  <r>
    <x v="1"/>
    <x v="6"/>
    <s v="OG0005009"/>
    <s v="Ofaveolata012900"/>
    <s v="Ssiderea001517"/>
    <n v="1.1297164799999999"/>
    <n v="1.49583065"/>
    <s v="Direct"/>
    <s v="positive regulation of smoothened signaling pathway"/>
    <s v="Signal peptide, CUB and EGF-like domain-containing protein 3"/>
  </r>
  <r>
    <x v="1"/>
    <x v="6"/>
    <s v="OG0005030"/>
    <s v="Ofaveolata017502"/>
    <s v="Ssiderea046730"/>
    <n v="-1.9281868"/>
    <n v="-1.3712124000000001"/>
    <s v="Direct"/>
    <s v="O-acyltransferase"/>
    <s v="O-acyltransferase"/>
  </r>
  <r>
    <x v="1"/>
    <x v="6"/>
    <s v="OG0005039"/>
    <s v="Ofaveolata015148"/>
    <s v="Ssiderea051151"/>
    <n v="3.35001215"/>
    <n v="3.5651686800000002"/>
    <s v="Direct"/>
    <s v="NA"/>
    <s v="calcium ion-regulated exocytosis of neurotransmitter"/>
  </r>
  <r>
    <x v="1"/>
    <x v="6"/>
    <s v="OG0005081"/>
    <s v="Ofaveolata023286"/>
    <s v="Ssiderea005295"/>
    <n v="-2.6374094000000001"/>
    <n v="-1.4267742999999999"/>
    <s v="Direct"/>
    <s v="Signal transducer activity. It is involved in the biological process described with intracellular signal transduction"/>
    <s v="SH2B adapter protein"/>
  </r>
  <r>
    <x v="1"/>
    <x v="6"/>
    <s v="OG0005139"/>
    <s v="Ofaveolata004470"/>
    <s v="Ssiderea053264"/>
    <n v="-25.408259999999999"/>
    <n v="-2.5538983000000002"/>
    <s v="Direct"/>
    <s v="GXGXG motif"/>
    <s v="glutamate synthase (NADH) activity. It is involved in the biological process described with oxidation-reduction process"/>
  </r>
  <r>
    <x v="1"/>
    <x v="6"/>
    <s v="OG0005204"/>
    <s v="Ofaveolata017010"/>
    <s v="Ssiderea039255"/>
    <n v="1.2559428800000001"/>
    <n v="4.66305353"/>
    <s v="Direct"/>
    <s v="adenylate cyclase-activating G-protein coupled receptor signaling pathway"/>
    <s v="Belongs to the G-protein coupled receptor 2 family"/>
  </r>
  <r>
    <x v="1"/>
    <x v="6"/>
    <s v="OG0005250"/>
    <s v="Ofaveolata029294"/>
    <s v="Ssiderea033145"/>
    <n v="7.8573070999999999"/>
    <n v="-1.6968653"/>
    <s v="Inverse"/>
    <s v="Belongs to the oxygen-dependent FAD-linked oxidoreductase family"/>
    <s v="PFAM FAD linked oxidase domain protein"/>
  </r>
  <r>
    <x v="1"/>
    <x v="6"/>
    <s v="OG0005407"/>
    <s v="Ofaveolata014376"/>
    <s v="Ssiderea004853"/>
    <n v="-6.5201409999999997"/>
    <n v="-3.2626759000000001"/>
    <s v="Direct"/>
    <s v="glycine biosynthetic process from serine"/>
    <s v="glycine biosynthetic process from serine"/>
  </r>
  <r>
    <x v="1"/>
    <x v="6"/>
    <s v="OG0005424"/>
    <s v="Ofaveolata008015"/>
    <s v="Ssiderea009517"/>
    <n v="-4.3961722999999999"/>
    <n v="-1.9832540000000001"/>
    <s v="Direct"/>
    <s v="regulation of T cell differentiation in thymus"/>
    <s v="regulation of T cell differentiation in thymus"/>
  </r>
  <r>
    <x v="1"/>
    <x v="6"/>
    <s v="OG0005451"/>
    <s v="Ofaveolata013725"/>
    <s v="Ssiderea049211"/>
    <n v="-1.6451427000000001"/>
    <n v="-1.0106149"/>
    <s v="Direct"/>
    <s v="Involved in intracellular signal transduction mediated by cytokines and growth factors. When associated with STAM, it suppresses DNA signaling upon stimulation by IL-2 and GM-CSF. Could be a direct effector of PI3-kinase in vesicular pathway via early end"/>
    <s v="Involved in intracellular signal transduction mediated by cytokines and growth factors. When associated with STAM, it suppresses DNA signaling upon stimulation by IL-2 and GM-CSF. Could be a direct effector of PI3-kinase in vesicular pathway via early end"/>
  </r>
  <r>
    <x v="1"/>
    <x v="6"/>
    <s v="OG0005469"/>
    <s v="Ofaveolata024493"/>
    <s v="Ssiderea005742"/>
    <n v="-2.2500950999999998"/>
    <n v="-1.0121829"/>
    <s v="Direct"/>
    <s v="intracellular distribution of mitochondria"/>
    <s v="intracellular distribution of mitochondria"/>
  </r>
  <r>
    <x v="1"/>
    <x v="6"/>
    <s v="OG0005483"/>
    <s v="Ofaveolata004231"/>
    <s v="Ssiderea036455"/>
    <n v="-5.9039951000000004"/>
    <n v="2.0742511700000001"/>
    <s v="Inverse"/>
    <s v="NA"/>
    <s v="NA"/>
  </r>
  <r>
    <x v="1"/>
    <x v="6"/>
    <s v="OG0005521"/>
    <s v="Ofaveolata021922"/>
    <s v="Ssiderea023552"/>
    <n v="3.53735942"/>
    <n v="2.51041011"/>
    <s v="Direct"/>
    <s v="Suppression of tumorigenicity 13 (colon carcinoma) (Hsp70 interacting protein)"/>
    <s v="suppression of tumorigenicity 13 (colon carcinoma) (Hsp70 interacting protein)"/>
  </r>
  <r>
    <x v="1"/>
    <x v="6"/>
    <s v="OG0005544"/>
    <s v="Ofaveolata032923"/>
    <s v="Ssiderea026461"/>
    <n v="-2.0937234"/>
    <n v="-1.0317855"/>
    <s v="Direct"/>
    <s v="homolog subfamily C member 7"/>
    <s v="homolog subfamily C member 7"/>
  </r>
  <r>
    <x v="1"/>
    <x v="6"/>
    <s v="OG0005579"/>
    <s v="Ofaveolata029931"/>
    <s v="Ssiderea024198"/>
    <n v="1.2355471099999999"/>
    <n v="-1.8078665"/>
    <s v="Inverse"/>
    <s v="metal ion binding"/>
    <s v="metal ion binding"/>
  </r>
  <r>
    <x v="1"/>
    <x v="6"/>
    <s v="OG0005685"/>
    <s v="Ofaveolata032514"/>
    <s v="Ssiderea034877"/>
    <n v="1.5366096600000001"/>
    <n v="1.4453441600000001"/>
    <s v="Direct"/>
    <s v="NA"/>
    <s v="Transcriptional regulatory protein LGE1"/>
  </r>
  <r>
    <x v="1"/>
    <x v="6"/>
    <s v="OG0005698"/>
    <s v="Ofaveolata013555"/>
    <s v="Ssiderea000112"/>
    <n v="-2.7154289"/>
    <n v="-2.9073858000000001"/>
    <s v="Direct"/>
    <s v="FMN transmembrane transporter activity"/>
    <s v="FMN transmembrane transporter activity"/>
  </r>
  <r>
    <x v="1"/>
    <x v="6"/>
    <s v="OG0005716"/>
    <s v="Ofaveolata003304"/>
    <s v="Ssiderea046375"/>
    <n v="2.3120412099999998"/>
    <n v="2.1414672800000001"/>
    <s v="Direct"/>
    <s v="EF-hand domain family, member"/>
    <s v="EF-hand domain family, member"/>
  </r>
  <r>
    <x v="1"/>
    <x v="6"/>
    <s v="OG0005720"/>
    <s v="Ofaveolata010245"/>
    <s v="Ssiderea019442"/>
    <n v="-1.3357132"/>
    <n v="-1.0199251"/>
    <s v="Direct"/>
    <s v="phosphatidate cytidylyltransferase activity"/>
    <s v="phosphatidate cytidylyltransferase activity"/>
  </r>
  <r>
    <x v="1"/>
    <x v="6"/>
    <s v="OG0005731"/>
    <s v="Ofaveolata026274"/>
    <s v="Ssiderea039599"/>
    <n v="-1.1184997000000001"/>
    <n v="-4.4029885999999996"/>
    <s v="Direct"/>
    <s v="nuclear protein 1"/>
    <s v="nuclear protein 1"/>
  </r>
  <r>
    <x v="1"/>
    <x v="6"/>
    <s v="OG0005832"/>
    <s v="Ofaveolata025081"/>
    <s v="Ssiderea021447"/>
    <n v="3.0160592899999998"/>
    <n v="1.25100177"/>
    <s v="Direct"/>
    <s v="regulation of mRNA export from nucleus"/>
    <s v="regulation of mRNA export from nucleus"/>
  </r>
  <r>
    <x v="1"/>
    <x v="6"/>
    <s v="OG0005900"/>
    <s v="Ofaveolata023634"/>
    <s v="Ssiderea050025"/>
    <n v="1.28209284"/>
    <n v="-1.9439226000000001"/>
    <s v="Inverse"/>
    <s v="nonsense mediated mRNA decay factor"/>
    <s v="SMG6 nonsense mediated mRNA decay factor"/>
  </r>
  <r>
    <x v="1"/>
    <x v="6"/>
    <s v="OG0005958"/>
    <s v="Ofaveolata033491"/>
    <s v="Ssiderea058235"/>
    <n v="1.86766348"/>
    <n v="-1.0833664999999999"/>
    <s v="Inverse"/>
    <s v="phosphatase, non-receptor type"/>
    <s v="phosphatase, non-receptor type"/>
  </r>
  <r>
    <x v="1"/>
    <x v="6"/>
    <s v="OG0005967"/>
    <s v="Ofaveolata031441"/>
    <s v="Ssiderea048793"/>
    <n v="-10.550367"/>
    <n v="-1.9832540000000001"/>
    <s v="Direct"/>
    <s v="Solute carrier family 35"/>
    <s v="Solute carrier family 35"/>
  </r>
  <r>
    <x v="1"/>
    <x v="6"/>
    <s v="OG0005974"/>
    <s v="Ofaveolata027445"/>
    <s v="Ssiderea035532"/>
    <n v="-1.1965805"/>
    <n v="2.6892970699999998"/>
    <s v="Inverse"/>
    <s v="glutamine biosynthetic process"/>
    <s v="glutamine biosynthetic process"/>
  </r>
  <r>
    <x v="1"/>
    <x v="6"/>
    <s v="OG0006010"/>
    <s v="Ofaveolata030528"/>
    <s v="Ssiderea037729"/>
    <n v="-3.6749081000000001"/>
    <n v="2.7627841200000001"/>
    <s v="Inverse"/>
    <s v="quinone binding"/>
    <s v="quinone binding"/>
  </r>
  <r>
    <x v="1"/>
    <x v="6"/>
    <s v="OG0006020"/>
    <s v="Ofaveolata030278"/>
    <s v="Ssiderea027537"/>
    <n v="-6.2531584999999996"/>
    <n v="-1.5504560999999999"/>
    <s v="Direct"/>
    <s v="Catalyzes conversion of folates to polyglutamate derivatives allowing concentration of folate compounds in the cell and the intracellular retention of these cofactors, which are important substrates for most of the folate-dependent enzymes that are involv"/>
    <s v="Catalyzes conversion of folates to polyglutamate derivatives allowing concentration of folate compounds in the cell and the intracellular retention of these cofactors, which are important substrates for most of the folate-dependent enzymes that are involv"/>
  </r>
  <r>
    <x v="1"/>
    <x v="6"/>
    <s v="OG0006039"/>
    <s v="Ofaveolata013634"/>
    <s v="Ssiderea000138"/>
    <n v="1.23790533"/>
    <n v="1.79726477"/>
    <s v="Direct"/>
    <s v="Luc7-like protein 3"/>
    <s v="Luc7-like protein 3"/>
  </r>
  <r>
    <x v="1"/>
    <x v="6"/>
    <s v="OG0006049"/>
    <s v="Ofaveolata026524"/>
    <s v="Ssiderea021669"/>
    <n v="3.27914824"/>
    <n v="4.7548245700000003"/>
    <s v="Direct"/>
    <s v="N-acetyl-beta-glucosaminyl-glycoprotein 4-beta-N-acetylgalactosaminyltransferase activity"/>
    <s v="N-acetyl-beta-glucosaminyl-glycoprotein 4-beta-N-acetylgalactosaminyltransferase activity"/>
  </r>
  <r>
    <x v="1"/>
    <x v="6"/>
    <s v="OG0006060"/>
    <s v="Ofaveolata022112"/>
    <s v="Ssiderea022925"/>
    <n v="-1.4441181000000001"/>
    <n v="-1.5256613999999999"/>
    <s v="Direct"/>
    <s v="NA"/>
    <s v="TNFR/NGFR cysteine-rich region"/>
  </r>
  <r>
    <x v="1"/>
    <x v="6"/>
    <s v="OG0006063"/>
    <s v="Ofaveolata030283"/>
    <s v="Ssiderea027541"/>
    <n v="-2.3570940999999999"/>
    <n v="-14.298185"/>
    <s v="Direct"/>
    <s v="negative regulation of glucocorticoid receptor signaling pathway"/>
    <s v="negative regulation of glucocorticoid receptor signaling pathway"/>
  </r>
  <r>
    <x v="1"/>
    <x v="6"/>
    <s v="OG0006103"/>
    <s v="Ofaveolata024578"/>
    <s v="Ssiderea005928"/>
    <n v="1.8899238"/>
    <n v="1.7798646199999999"/>
    <s v="Direct"/>
    <s v="lethal(3)malignant brain tumor-like protein"/>
    <s v="lethal(3)malignant brain tumor-like protein"/>
  </r>
  <r>
    <x v="1"/>
    <x v="6"/>
    <s v="OG0006119"/>
    <s v="Ofaveolata027201"/>
    <s v="Ssiderea035234"/>
    <n v="2.2959963700000001"/>
    <n v="-1.4072106"/>
    <s v="Inverse"/>
    <s v="Belongs to the ammonium transporter (TC 2.A.49) family. Rh subfamily"/>
    <s v="Belongs to the ammonium transporter (TC 2.A.49) family. Rh subfamily"/>
  </r>
  <r>
    <x v="1"/>
    <x v="6"/>
    <s v="OG0006214"/>
    <s v="Ofaveolata009031"/>
    <s v="Ssiderea055050"/>
    <n v="4.3750886500000004"/>
    <n v="5.5727155799999997"/>
    <s v="Direct"/>
    <s v="endoplasmic reticulum-plasma membrane tethering"/>
    <s v="endoplasmic reticulum-plasma membrane tethering"/>
  </r>
  <r>
    <x v="1"/>
    <x v="6"/>
    <s v="OG0006224"/>
    <s v="Ofaveolata024652"/>
    <s v="Ssiderea017214"/>
    <n v="-1.2824589"/>
    <n v="1.2174552000000001"/>
    <s v="Inverse"/>
    <s v="iron-sulfur cluster assembly"/>
    <s v="iron-sulfur cluster assembly"/>
  </r>
  <r>
    <x v="1"/>
    <x v="6"/>
    <s v="OG0006254"/>
    <s v="Ofaveolata028859"/>
    <s v="Ssiderea014425"/>
    <n v="-5.2314281999999999"/>
    <n v="-1.6039669999999999"/>
    <s v="Direct"/>
    <s v="Non-lysosomal glucosylceramidase that catalyzes the conversion of glucosylceramide to free glucose and ceramide"/>
    <s v="Non-lysosomal glucosylceramidase that catalyzes the conversion of glucosylceramide to free glucose and ceramide"/>
  </r>
  <r>
    <x v="1"/>
    <x v="6"/>
    <s v="OG0006285"/>
    <s v="Ofaveolata027055"/>
    <s v="Ssiderea042128"/>
    <n v="-1.5143542000000001"/>
    <n v="1.5101600900000001"/>
    <s v="Inverse"/>
    <s v="Myosin, light"/>
    <s v="Myosin, light"/>
  </r>
  <r>
    <x v="1"/>
    <x v="6"/>
    <s v="OG0006287"/>
    <s v="Ofaveolata028745"/>
    <s v="Ssiderea014562"/>
    <n v="-1.0975458"/>
    <n v="-2.1657304000000002"/>
    <s v="Direct"/>
    <s v="Zinc ion binding"/>
    <s v="Zinc ion binding"/>
  </r>
  <r>
    <x v="1"/>
    <x v="6"/>
    <s v="OG0006296"/>
    <s v="Ofaveolata003309"/>
    <s v="Ssiderea030049"/>
    <n v="-6.1442953999999999"/>
    <n v="-18.977264000000002"/>
    <s v="Direct"/>
    <s v="eukaryotic translation initiation factor"/>
    <s v="Initiation factor 5a"/>
  </r>
  <r>
    <x v="1"/>
    <x v="6"/>
    <s v="OG0006306"/>
    <s v="Ofaveolata004236"/>
    <s v="Ssiderea042869"/>
    <n v="-1.3630002999999999"/>
    <n v="-1.0578555999999999"/>
    <s v="Direct"/>
    <s v="RNA recognition motif"/>
    <s v="glutamate dehydrogenase [NAD(P)+] activity"/>
  </r>
  <r>
    <x v="1"/>
    <x v="6"/>
    <s v="OG0006321"/>
    <s v="Ofaveolata010194"/>
    <s v="Ssiderea054850"/>
    <n v="-3.2007501"/>
    <n v="12.362603200000001"/>
    <s v="Inverse"/>
    <s v="Marginal zone B and"/>
    <s v="Marginal zone B and"/>
  </r>
  <r>
    <x v="1"/>
    <x v="6"/>
    <s v="OG0006384"/>
    <s v="Ofaveolata025979"/>
    <s v="Ssiderea038966"/>
    <n v="-6.7315785999999997"/>
    <n v="-1.7318764"/>
    <s v="Direct"/>
    <s v="defense response to fungus"/>
    <s v="defense response to fungus"/>
  </r>
  <r>
    <x v="1"/>
    <x v="6"/>
    <s v="OG0006545"/>
    <s v="Ofaveolata007848"/>
    <s v="Ssiderea009129"/>
    <n v="2.2118431799999998"/>
    <n v="2.0983818300000001"/>
    <s v="Direct"/>
    <s v="stress-induced-phosphoprotein 1"/>
    <s v="Stress-induced-phosphoprotein 1 (Hsp70 Hsp90-organizing protein)"/>
  </r>
  <r>
    <x v="1"/>
    <x v="6"/>
    <s v="OG0006565"/>
    <s v="Ofaveolata028768"/>
    <s v="Ssiderea027808"/>
    <n v="-1.0418343999999999"/>
    <n v="8.6213777599999997"/>
    <s v="Inverse"/>
    <s v="PPIases accelerate the folding of proteins. It catalyzes the cis-trans isomerization of proline imidic peptide bonds in oligopeptides"/>
    <s v="PPIases accelerate the folding of proteins. It catalyzes the cis-trans isomerization of proline imidic peptide bonds in oligopeptides"/>
  </r>
  <r>
    <x v="1"/>
    <x v="6"/>
    <s v="OG0006571"/>
    <s v="Ofaveolata025070"/>
    <s v="Ssiderea021418"/>
    <n v="-2.6054941"/>
    <n v="-1.1366874"/>
    <s v="Direct"/>
    <s v="positive regulation of NLRP3 inflammasome complex assembly"/>
    <s v="positive regulation of NLRP3 inflammasome complex assembly"/>
  </r>
  <r>
    <x v="1"/>
    <x v="6"/>
    <s v="OG0006586"/>
    <s v="Ofaveolata009927"/>
    <s v="Ssiderea036089"/>
    <n v="-2.1956058000000001"/>
    <n v="-1.2570691000000001"/>
    <s v="Direct"/>
    <s v="microtubule motor activity"/>
    <s v="microtubule motor activity"/>
  </r>
  <r>
    <x v="1"/>
    <x v="6"/>
    <s v="OG0006629"/>
    <s v="Ofaveolata013088"/>
    <s v="Ssiderea001370"/>
    <n v="33.775493300000001"/>
    <n v="39.724664199999999"/>
    <s v="Direct"/>
    <s v="calcium ion binding"/>
    <s v="Calcium ion binding"/>
  </r>
  <r>
    <x v="1"/>
    <x v="6"/>
    <s v="OG0006690"/>
    <s v="Ofaveolata020752"/>
    <s v="Ssiderea011613"/>
    <n v="-2.2997895000000002"/>
    <n v="-1.8258460000000001"/>
    <s v="Direct"/>
    <s v="Belongs to the class I-like SAM-binding methyltransferase superfamily. RsmB NOP family"/>
    <s v="Belongs to the class I-like SAM-binding methyltransferase superfamily. RsmB NOP family"/>
  </r>
  <r>
    <x v="1"/>
    <x v="6"/>
    <s v="OG0006765"/>
    <s v="Ofaveolata032664"/>
    <s v="Ssiderea056251"/>
    <n v="-4.3851250999999998"/>
    <n v="-3.0865176999999999"/>
    <s v="Direct"/>
    <s v="N-succinyltransferase activity"/>
    <s v="N-succinyltransferase activity"/>
  </r>
  <r>
    <x v="1"/>
    <x v="6"/>
    <s v="OG0006777"/>
    <s v="Ofaveolata033347"/>
    <s v="Ssiderea040273"/>
    <n v="-2.0802524999999998"/>
    <n v="-1.7842528"/>
    <s v="Direct"/>
    <s v="heterogeneous nuclear ribonucleoprotein"/>
    <s v="heterogeneous nuclear ribonucleoprotein"/>
  </r>
  <r>
    <x v="1"/>
    <x v="6"/>
    <s v="OG0006834"/>
    <s v="Ofaveolata000215"/>
    <s v="Ssiderea029727"/>
    <n v="-1.5730295000000001"/>
    <n v="-1.1341623000000001"/>
    <s v="Direct"/>
    <s v="heme a metabolic process"/>
    <s v="heme a metabolic process"/>
  </r>
  <r>
    <x v="1"/>
    <x v="6"/>
    <s v="OG0006894"/>
    <s v="Ofaveolata033691"/>
    <s v="Ssiderea053633"/>
    <n v="-3.0746666"/>
    <n v="-9.8708533999999997"/>
    <s v="Direct"/>
    <s v="NA"/>
    <s v="Von Willebrand factor"/>
  </r>
  <r>
    <x v="1"/>
    <x v="6"/>
    <s v="OG0006974"/>
    <s v="Ofaveolata001972"/>
    <s v="Ssiderea050181"/>
    <n v="1.00187505"/>
    <n v="1.4109246"/>
    <s v="Direct"/>
    <s v="cullin family protein binding"/>
    <s v="cullin family protein binding"/>
  </r>
  <r>
    <x v="1"/>
    <x v="6"/>
    <s v="OG0006998"/>
    <s v="Ofaveolata002535"/>
    <s v="Ssiderea013109"/>
    <n v="-7.2874008000000003"/>
    <n v="-3.2802639999999998"/>
    <s v="Direct"/>
    <s v="BCCT, betaine/carnitine/choline family transporter"/>
    <s v="BCCT, betaine/carnitine/choline family transporter"/>
  </r>
  <r>
    <x v="1"/>
    <x v="6"/>
    <s v="OG0007013"/>
    <s v="Ofaveolata017525"/>
    <s v="Ssiderea018525"/>
    <n v="-3.8810711000000002"/>
    <n v="-4.7145967999999998"/>
    <s v="Direct"/>
    <s v="box H/ACA snoRNA 3'-end processing"/>
    <s v="box H/ACA snoRNA 3'-end processing"/>
  </r>
  <r>
    <x v="1"/>
    <x v="6"/>
    <s v="OG0007115"/>
    <s v="Ofaveolata026967"/>
    <s v="Ssiderea017954"/>
    <n v="2.08193713"/>
    <n v="4.6336249199999999"/>
    <s v="Direct"/>
    <s v="metal ion binding"/>
    <s v="RNA splicing"/>
  </r>
  <r>
    <x v="1"/>
    <x v="6"/>
    <s v="OG0007204"/>
    <s v="Ofaveolata012672"/>
    <s v="Ssiderea000611"/>
    <n v="2.0753470599999999"/>
    <n v="2.5715584800000002"/>
    <s v="Direct"/>
    <s v="V-myc avian myelocytomatosis viral oncogene neuroblastoma derived homolog"/>
    <s v="V-myc avian myelocytomatosis viral oncogene homolog"/>
  </r>
  <r>
    <x v="1"/>
    <x v="6"/>
    <s v="OG0007240"/>
    <s v="Ofaveolata014500"/>
    <s v="Ssiderea004426"/>
    <n v="-1.6011226999999999"/>
    <n v="-1.3071807"/>
    <s v="Direct"/>
    <s v="ribosomal protein L12"/>
    <s v="ribosomal protein L12"/>
  </r>
  <r>
    <x v="1"/>
    <x v="6"/>
    <s v="OG0007255"/>
    <s v="Ofaveolata015866"/>
    <s v="Ssiderea033759"/>
    <n v="-2.7215410000000002"/>
    <n v="-1.9148174"/>
    <s v="Direct"/>
    <s v="NA"/>
    <s v="semaphorin receptor binding"/>
  </r>
  <r>
    <x v="1"/>
    <x v="6"/>
    <s v="OG0007289"/>
    <s v="Ofaveolata021069"/>
    <s v="Ssiderea011779"/>
    <n v="-1.1165749"/>
    <n v="-1.1792583999999999"/>
    <s v="Direct"/>
    <s v="Lysosomal Pro-X"/>
    <s v="Lysosomal Pro-X"/>
  </r>
  <r>
    <x v="1"/>
    <x v="6"/>
    <s v="OG0007308"/>
    <s v="Ofaveolata029875"/>
    <s v="Ssiderea024105"/>
    <n v="1.9230928"/>
    <n v="-1.4964816999999999"/>
    <s v="Inverse"/>
    <s v="spectrin binding"/>
    <s v="spectrin binding"/>
  </r>
  <r>
    <x v="1"/>
    <x v="6"/>
    <s v="OG0007322"/>
    <s v="Ofaveolata032657"/>
    <s v="Ssiderea052005"/>
    <n v="-1.9299852"/>
    <n v="2.8119184100000001"/>
    <s v="Inverse"/>
    <s v="GTP-specific succinyl-CoA synthetase functions in the citric acid cycle (TCA), coupling the hydrolysis of succinyl-CoA to the synthesis of GTP and thus represents the only step of substrate-level phosphorylation in the TCA. The beta subunit provides nucle"/>
    <s v="GTP-specific succinyl-CoA synthetase functions in the citric acid cycle (TCA), coupling the hydrolysis of succinyl-CoA to the synthesis of GTP and thus represents the only step of substrate-level phosphorylation in the TCA. The beta subunit provides nucle"/>
  </r>
  <r>
    <x v="1"/>
    <x v="6"/>
    <s v="OG0007324"/>
    <s v="Ofaveolata005802"/>
    <s v="Ssiderea045582"/>
    <n v="-4.0761082000000002"/>
    <n v="-6.6985640000000002"/>
    <s v="Direct"/>
    <s v="N-glycan processing to lysosome"/>
    <s v="N-glycan processing to lysosome"/>
  </r>
  <r>
    <x v="1"/>
    <x v="6"/>
    <s v="OG0007327"/>
    <s v="Ofaveolata010456"/>
    <s v="Ssiderea019516"/>
    <n v="-7.7143147000000001"/>
    <n v="-1.0005138"/>
    <s v="Direct"/>
    <s v="Belongs to the aldehyde dehydrogenase family"/>
    <s v="Belongs to the aldehyde dehydrogenase family"/>
  </r>
  <r>
    <x v="1"/>
    <x v="6"/>
    <s v="OG0007376"/>
    <s v="Ofaveolata013659"/>
    <s v="Ssiderea000169"/>
    <n v="-2.5027686"/>
    <n v="-1.7209574999999999"/>
    <s v="Direct"/>
    <s v="ribosomal large subunit assembly"/>
    <s v="ribosomal large subunit assembly"/>
  </r>
  <r>
    <x v="1"/>
    <x v="6"/>
    <s v="OG0007386"/>
    <s v="Ofaveolata023673"/>
    <s v="Ssiderea050109"/>
    <n v="-2.6133223999999999"/>
    <n v="-1.1101916000000001"/>
    <s v="Direct"/>
    <s v="family with sequence similarity 57, member A"/>
    <s v="family with sequence similarity 57, member A"/>
  </r>
  <r>
    <x v="1"/>
    <x v="6"/>
    <s v="OG0007457"/>
    <s v="Ofaveolata007621"/>
    <s v="Ssiderea044343"/>
    <n v="-1.0460961"/>
    <n v="1.8542974999999999"/>
    <s v="Inverse"/>
    <s v="mesenchymal-epithelial cell signaling involved in prostate gland development"/>
    <s v="Fibrinogen beta and gamma chains, C-terminal globular domain"/>
  </r>
  <r>
    <x v="1"/>
    <x v="6"/>
    <s v="OG0007465"/>
    <s v="Ofaveolata002957"/>
    <s v="Ssiderea013007"/>
    <n v="-1.0559886000000001"/>
    <n v="-2.4102993000000001"/>
    <s v="Direct"/>
    <s v="lipoprotein receptor-related protein"/>
    <s v="lipoprotein receptor-related protein"/>
  </r>
  <r>
    <x v="1"/>
    <x v="6"/>
    <s v="OG0007546"/>
    <s v="Ofaveolata010169"/>
    <s v="Ssiderea055795"/>
    <n v="-1.9242025"/>
    <n v="3.17828562"/>
    <s v="Inverse"/>
    <s v="dolichyl-phosphate-mannose-protein mannosyltransferase activity"/>
    <s v="dolichyl-phosphate-mannose-protein mannosyltransferase activity"/>
  </r>
  <r>
    <x v="1"/>
    <x v="6"/>
    <s v="OG0007582"/>
    <s v="Ofaveolata019911"/>
    <s v="Ssiderea052255"/>
    <n v="-3.2299502000000002"/>
    <n v="-2.6892971000000001"/>
    <s v="Direct"/>
    <s v="RNA polymerase II sequence-specific DNA-binding transcription factor binding"/>
    <s v="RNA polymerase II sequence-specific DNA-binding transcription factor binding"/>
  </r>
  <r>
    <x v="1"/>
    <x v="6"/>
    <s v="OG0007627"/>
    <s v="Ofaveolata011375"/>
    <s v="Ssiderea019309"/>
    <n v="-1.2729280999999999"/>
    <n v="4.3350114800000004"/>
    <s v="Inverse"/>
    <s v="Universal stress protein family"/>
    <s v="Universal stress protein family"/>
  </r>
  <r>
    <x v="1"/>
    <x v="6"/>
    <s v="OG0007692"/>
    <s v="Ofaveolata012818"/>
    <s v="Ssiderea058311"/>
    <n v="-4.2140867999999996"/>
    <n v="-1.5077224"/>
    <s v="Direct"/>
    <s v="hydrolase activity"/>
    <s v="hydrolase activity"/>
  </r>
  <r>
    <x v="1"/>
    <x v="6"/>
    <s v="OG0007712"/>
    <s v="Ofaveolata016273"/>
    <s v="Ssiderea052692"/>
    <n v="-5.7105923000000001"/>
    <n v="-3.4914907999999998"/>
    <s v="Direct"/>
    <s v="26s proteasome non-ATPase regulatory subunit"/>
    <s v="26s proteasome non-ATPase regulatory subunit"/>
  </r>
  <r>
    <x v="1"/>
    <x v="6"/>
    <s v="OG0007779"/>
    <s v="Ofaveolata017067"/>
    <s v="Ssiderea054485"/>
    <n v="-10.101601"/>
    <n v="-5.9266889999999997"/>
    <s v="Direct"/>
    <s v="Solute carrier family 12"/>
    <s v="Solute carrier family 12"/>
  </r>
  <r>
    <x v="1"/>
    <x v="6"/>
    <s v="OG0007881"/>
    <s v="Ofaveolata007471"/>
    <s v="Ssiderea044458"/>
    <n v="3.5462875899999999"/>
    <n v="2.8758537999999998"/>
    <s v="Direct"/>
    <s v="structural constituent of eye lens"/>
    <s v="Belongs to the small heat shock protein (HSP20) family"/>
  </r>
  <r>
    <x v="1"/>
    <x v="6"/>
    <s v="OG0007907"/>
    <s v="Ofaveolata003303"/>
    <s v="Ssiderea046376"/>
    <n v="-2.3463907000000002"/>
    <n v="-4.0821044000000004"/>
    <s v="Direct"/>
    <s v="prostaglandin-F synthase activity"/>
    <s v="prostaglandin-F synthase activity"/>
  </r>
  <r>
    <x v="1"/>
    <x v="6"/>
    <s v="OG0007926"/>
    <s v="Ofaveolata024312"/>
    <s v="Ssiderea006291"/>
    <n v="1.5151312299999999"/>
    <n v="-1.3881854"/>
    <s v="Inverse"/>
    <s v="histone acetyltransferase activity"/>
    <s v="histone acetyltransferase activity"/>
  </r>
  <r>
    <x v="1"/>
    <x v="6"/>
    <s v="OG0008049"/>
    <s v="Ofaveolata024407"/>
    <s v="Ssiderea006084"/>
    <n v="1.1616616"/>
    <n v="2.3634828099999998"/>
    <s v="Direct"/>
    <s v="NA"/>
    <s v="Complement Clr-like EGF-like"/>
  </r>
  <r>
    <x v="1"/>
    <x v="6"/>
    <s v="OG0008171"/>
    <s v="Ofaveolata008350"/>
    <s v="Ssiderea050491"/>
    <n v="9.7993055600000005"/>
    <n v="2.7468694500000002"/>
    <s v="Direct"/>
    <s v="Dual specificity protein kinase"/>
    <s v="Dual specificity protein kinase"/>
  </r>
  <r>
    <x v="1"/>
    <x v="6"/>
    <s v="OG0008193"/>
    <s v="Ofaveolata008101"/>
    <s v="Ssiderea009632"/>
    <n v="-3.6739025999999999"/>
    <n v="-1.9626748999999999"/>
    <s v="Direct"/>
    <s v="threonine-type endopeptidase activity"/>
    <s v="threonine-type endopeptidase activity"/>
  </r>
  <r>
    <x v="1"/>
    <x v="6"/>
    <s v="OG0008195"/>
    <s v="Ofaveolata019793"/>
    <s v="Ssiderea012055"/>
    <n v="-1.7872665999999999"/>
    <n v="-15.113773"/>
    <s v="Direct"/>
    <s v="major facilitator superfamily"/>
    <s v="major facilitator superfamily"/>
  </r>
  <r>
    <x v="1"/>
    <x v="6"/>
    <s v="OG0008209"/>
    <s v="Ofaveolata005715"/>
    <s v="Ssiderea045546"/>
    <n v="-3.7215023"/>
    <n v="-5.1139520999999997"/>
    <s v="Direct"/>
    <s v="protein kinase activity"/>
    <s v="protein kinase activity"/>
  </r>
  <r>
    <x v="1"/>
    <x v="6"/>
    <s v="OG0008262"/>
    <s v="Ofaveolata019112"/>
    <s v="Ssiderea018985"/>
    <n v="-1.8749733"/>
    <n v="-1.2298349"/>
    <s v="Direct"/>
    <s v="structural constituent of ribosome"/>
    <s v="structural constituent of ribosome"/>
  </r>
  <r>
    <x v="1"/>
    <x v="6"/>
    <s v="OG0008299"/>
    <s v="Ofaveolata028722"/>
    <s v="Ssiderea014567"/>
    <n v="-1.2336023"/>
    <n v="-1.8208085000000001"/>
    <s v="Direct"/>
    <s v="Paired box protein 7"/>
    <s v="Paired box protein 7"/>
  </r>
  <r>
    <x v="1"/>
    <x v="6"/>
    <s v="OG0008335"/>
    <s v="Ofaveolata027442"/>
    <s v="Ssiderea035529"/>
    <n v="-3.7974171000000001"/>
    <n v="-1.7473844000000001"/>
    <s v="Direct"/>
    <s v="glutamine biosynthetic process"/>
    <s v="glutamine biosynthetic process"/>
  </r>
  <r>
    <x v="1"/>
    <x v="6"/>
    <s v="OG0008339"/>
    <s v="Ofaveolata016948"/>
    <s v="Ssiderea039355"/>
    <n v="-2.9756828"/>
    <n v="-1.2082265000000001"/>
    <s v="Direct"/>
    <s v="60s ribosomal protein"/>
    <s v="60s ribosomal protein"/>
  </r>
  <r>
    <x v="1"/>
    <x v="6"/>
    <s v="OG0008350"/>
    <s v="Ofaveolata017291"/>
    <s v="Ssiderea046616"/>
    <n v="-6.8078526000000004"/>
    <n v="-4.2105892999999996"/>
    <s v="Direct"/>
    <s v="Acyl-CoA synthetase long-chain family member"/>
    <s v="Acyl-CoA synthetase long-chain family member"/>
  </r>
  <r>
    <x v="1"/>
    <x v="6"/>
    <s v="OG0008373"/>
    <s v="Ofaveolata022583"/>
    <s v="Ssiderea015310"/>
    <n v="-6.8078526000000004"/>
    <n v="-2.7133352999999998"/>
    <s v="Direct"/>
    <s v="Isocitrate lyase family"/>
    <s v="Isocitrate lyase family"/>
  </r>
  <r>
    <x v="1"/>
    <x v="6"/>
    <s v="OG0008393"/>
    <s v="Ofaveolata026445"/>
    <s v="Ssiderea038602"/>
    <n v="2.4736392"/>
    <n v="1.3278865799999999"/>
    <s v="Direct"/>
    <s v="Starch/carbohydrate-binding module (family 53)"/>
    <s v="Starch/carbohydrate-binding module (family 53)"/>
  </r>
  <r>
    <x v="1"/>
    <x v="6"/>
    <s v="OG0008404"/>
    <s v="Ofaveolata002477"/>
    <s v="Ssiderea025047"/>
    <n v="-7.4202697999999998"/>
    <n v="1.44904981"/>
    <s v="Inverse"/>
    <s v="Belongs to the peptidase S1 family"/>
    <s v="serine-type endopeptidase activity"/>
  </r>
  <r>
    <x v="1"/>
    <x v="6"/>
    <s v="OG0008455"/>
    <s v="Ofaveolata005305"/>
    <s v="Ssiderea015846"/>
    <n v="-7.5633414999999999"/>
    <n v="-1.2773786"/>
    <s v="Direct"/>
    <s v="zinc ion binding"/>
    <s v="zinc ion binding"/>
  </r>
  <r>
    <x v="1"/>
    <x v="6"/>
    <s v="OG0008484"/>
    <s v="Ofaveolata005692"/>
    <s v="Ssiderea057264"/>
    <n v="1.6533750700000001"/>
    <n v="1.86639734"/>
    <s v="Direct"/>
    <s v="establishment of Sertoli cell barrier"/>
    <s v="establishment of Sertoli cell barrier"/>
  </r>
  <r>
    <x v="1"/>
    <x v="6"/>
    <s v="OG0008512"/>
    <s v="Ofaveolata004786"/>
    <s v="Ssiderea010972"/>
    <n v="-1.6394074999999999"/>
    <n v="-2.6152875999999998"/>
    <s v="Direct"/>
    <s v="osmolarity-sensing cation channel activity"/>
    <s v="temperature-gated cation channel activity"/>
  </r>
  <r>
    <x v="1"/>
    <x v="6"/>
    <s v="OG0008754"/>
    <s v="Ofaveolata013087"/>
    <s v="Ssiderea001369"/>
    <n v="12.310794599999999"/>
    <n v="6.3690696500000001"/>
    <s v="Direct"/>
    <s v="calcium ion binding"/>
    <s v="calcium ion binding"/>
  </r>
  <r>
    <x v="1"/>
    <x v="6"/>
    <s v="OG0008790"/>
    <s v="Ofaveolata033271"/>
    <s v="Ssiderea055287"/>
    <n v="-6.2835482999999996"/>
    <n v="-4.8241791000000003"/>
    <s v="Direct"/>
    <s v="phosphatase 5"/>
    <s v="phosphatase 5"/>
  </r>
  <r>
    <x v="1"/>
    <x v="6"/>
    <s v="OG0008799"/>
    <s v="Ofaveolata026264"/>
    <s v="Ssiderea041915"/>
    <n v="-5.8317771"/>
    <n v="-9.9470644999999998"/>
    <s v="Direct"/>
    <s v="Cys/Met metabolism PLP-dependent enzyme"/>
    <s v="Cys/Met metabolism PLP-dependent enzyme"/>
  </r>
  <r>
    <x v="1"/>
    <x v="6"/>
    <s v="OG0008952"/>
    <s v="Ofaveolata022997"/>
    <s v="Ssiderea014838"/>
    <n v="1.0198035700000001"/>
    <n v="16.344738599999999"/>
    <s v="Direct"/>
    <s v="regulation of endoplasmic reticulum stress-induced intrinsic apoptotic signaling pathway"/>
    <s v="regulation of endoplasmic reticulum stress-induced intrinsic apoptotic signaling pathway"/>
  </r>
  <r>
    <x v="1"/>
    <x v="6"/>
    <s v="OG0008980"/>
    <s v="Ofaveolata032487"/>
    <s v="Ssiderea034815"/>
    <n v="-4.0335339000000001"/>
    <n v="-4.2914164000000001"/>
    <s v="Direct"/>
    <s v="acyl-CoA dehydrogenase family member 9"/>
    <s v="medium-chain-acyl-CoA dehydrogenase activity"/>
  </r>
  <r>
    <x v="1"/>
    <x v="6"/>
    <s v="OG0008985"/>
    <s v="Ofaveolata032885"/>
    <s v="Ssiderea055254"/>
    <n v="-2.3336329"/>
    <n v="-1.9623586"/>
    <s v="Direct"/>
    <s v="alpha-1,6-mannosylglycoprotein 6-beta-N-acetylglucosaminyltransferase activity"/>
    <s v="alpha-1,6-mannosylglycoprotein 6-beta-N-acetylglucosaminyltransferase activity"/>
  </r>
  <r>
    <x v="1"/>
    <x v="6"/>
    <s v="OG0009042"/>
    <s v="Ofaveolata023053"/>
    <s v="Ssiderea014765"/>
    <n v="1.3122558"/>
    <n v="1.90699054"/>
    <s v="Direct"/>
    <s v="Vitamin K epoxide reductase complex, subunit"/>
    <s v="Vitamin K epoxide reductase complex, subunit"/>
  </r>
  <r>
    <x v="1"/>
    <x v="6"/>
    <s v="OG0009168"/>
    <s v="Ofaveolata006594"/>
    <s v="Ssiderea028145"/>
    <n v="1.8876858700000001"/>
    <n v="1.41078291"/>
    <s v="Direct"/>
    <s v="NA"/>
    <s v="NA"/>
  </r>
  <r>
    <x v="1"/>
    <x v="6"/>
    <s v="OG0009244"/>
    <s v="Ofaveolata023828"/>
    <s v="Ssiderea041613"/>
    <n v="6.4681963099999997"/>
    <n v="1.4170304600000001"/>
    <s v="Direct"/>
    <s v="protein-disulfide reductase activity"/>
    <s v="Thioredoxin domain-containing protein 17"/>
  </r>
  <r>
    <x v="1"/>
    <x v="6"/>
    <s v="OG0009332"/>
    <s v="Ofaveolata025856"/>
    <s v="Ssiderea055496"/>
    <n v="-1.8303244000000001"/>
    <n v="-3.7433040000000002"/>
    <s v="Direct"/>
    <s v="RmlD substrate binding domain"/>
    <s v="RmlD substrate binding domain"/>
  </r>
  <r>
    <x v="1"/>
    <x v="6"/>
    <s v="OG0009519"/>
    <s v="Ofaveolata005300"/>
    <s v="Ssiderea015838"/>
    <n v="-4.5580657000000002"/>
    <n v="-1.6020224000000001"/>
    <s v="Direct"/>
    <s v="Belongs to the universal ribosomal protein uL13 family"/>
    <s v="Belongs to the universal ribosomal protein uL13 family"/>
  </r>
  <r>
    <x v="1"/>
    <x v="6"/>
    <s v="OG0009551"/>
    <s v="Ofaveolata026600"/>
    <s v="Ssiderea035170"/>
    <n v="1.73649381"/>
    <n v="-2.558227"/>
    <s v="Inverse"/>
    <s v="2 iron, 2 sulfur cluster binding"/>
    <s v="2Fe-2S iron-sulfur cluster binding domain"/>
  </r>
  <r>
    <x v="1"/>
    <x v="6"/>
    <s v="OG0009555"/>
    <s v="Ofaveolata023565"/>
    <s v="Ssiderea015602"/>
    <n v="-3.1542976999999999"/>
    <n v="-2.406399"/>
    <s v="Direct"/>
    <s v="translational elongation"/>
    <s v="translational elongation"/>
  </r>
  <r>
    <x v="1"/>
    <x v="6"/>
    <s v="OG0009651"/>
    <s v="Ofaveolata024088"/>
    <s v="Ssiderea005472"/>
    <n v="-1.4540682"/>
    <n v="-4.1854313000000003"/>
    <s v="Direct"/>
    <s v="protein ubiquitination"/>
    <s v="protein ubiquitination"/>
  </r>
  <r>
    <x v="1"/>
    <x v="6"/>
    <s v="OG0009652"/>
    <s v="Ofaveolata025017"/>
    <s v="Ssiderea021332"/>
    <n v="3.59253701"/>
    <n v="7.3004946799999999"/>
    <s v="Direct"/>
    <s v="saccharopine dehydrogenase (NAD+, L-lysine-forming) activity"/>
    <s v="saccharopine dehydrogenase (NAD+, L-lysine-forming) activity"/>
  </r>
  <r>
    <x v="1"/>
    <x v="6"/>
    <s v="OG0009661"/>
    <s v="Ofaveolata019954"/>
    <s v="Ssiderea052352"/>
    <n v="-1.3180149999999999"/>
    <n v="-2.5939290000000002"/>
    <s v="Direct"/>
    <s v="ITP binding"/>
    <s v="ITP binding"/>
  </r>
  <r>
    <x v="1"/>
    <x v="6"/>
    <s v="OG0009685"/>
    <s v="Ofaveolata032877"/>
    <s v="Ssiderea055212"/>
    <n v="-4.0655058999999998"/>
    <n v="-1.3283611"/>
    <s v="Direct"/>
    <s v="cysteine-type endopeptidase activity"/>
    <s v="cysteine-type endopeptidase activity"/>
  </r>
  <r>
    <x v="1"/>
    <x v="6"/>
    <s v="OG0009704"/>
    <s v="Ofaveolata014858"/>
    <s v="Ssiderea004499"/>
    <n v="-1.0289741999999999"/>
    <n v="1.35703095"/>
    <s v="Inverse"/>
    <s v="Dermatopontin"/>
    <s v="Dermatopontin"/>
  </r>
  <r>
    <x v="1"/>
    <x v="6"/>
    <s v="OG0009746"/>
    <s v="Ofaveolata026963"/>
    <s v="Ssiderea017960"/>
    <n v="2.9805301000000002"/>
    <n v="-1.0386255"/>
    <s v="Inverse"/>
    <s v="glutaryl-CoA dehydrogenase"/>
    <s v="glutaryl-CoA dehydrogenase"/>
  </r>
  <r>
    <x v="1"/>
    <x v="6"/>
    <s v="OG0009765"/>
    <s v="Ofaveolata008051"/>
    <s v="Ssiderea009584"/>
    <n v="2.5221043600000002"/>
    <n v="-1.1045261"/>
    <s v="Inverse"/>
    <s v="TAF6-like RNA polymerase II, p300 CBP-associated"/>
    <s v="TAF6-like RNA polymerase II, p300 CBP-associated"/>
  </r>
  <r>
    <x v="1"/>
    <x v="6"/>
    <s v="OG0009767"/>
    <s v="Ofaveolata008116"/>
    <s v="Ssiderea009645"/>
    <n v="-5.1827011000000001"/>
    <n v="-1.6624216999999999"/>
    <s v="Direct"/>
    <s v="Initiation factor"/>
    <s v="Initiation factor"/>
  </r>
  <r>
    <x v="1"/>
    <x v="6"/>
    <s v="OG0009837"/>
    <s v="Ofaveolata001267"/>
    <s v="Ssiderea049766"/>
    <n v="6.8226510200000003"/>
    <n v="2.4240984000000001"/>
    <s v="Direct"/>
    <s v="Phosphatidylethanolamine-binding protein"/>
    <s v="Phosphatidylethanolamine-binding protein"/>
  </r>
  <r>
    <x v="1"/>
    <x v="6"/>
    <s v="OG0009897"/>
    <s v="Ofaveolata029145"/>
    <s v="Ssiderea033187"/>
    <n v="-1.1232686999999999"/>
    <n v="-1.0368162000000001"/>
    <s v="Direct"/>
    <s v="ER membrane protein complex subunit"/>
    <s v="ER membrane protein complex subunit"/>
  </r>
  <r>
    <x v="1"/>
    <x v="6"/>
    <s v="OG0009933"/>
    <s v="Ofaveolata007273"/>
    <s v="Ssiderea056520"/>
    <n v="-1.8611613"/>
    <n v="-1.3798523"/>
    <s v="Direct"/>
    <s v="NA"/>
    <s v="poly(A)+ mRNA export from nucleus"/>
  </r>
  <r>
    <x v="1"/>
    <x v="6"/>
    <s v="OG0010041"/>
    <s v="Ofaveolata003777"/>
    <s v="Ssiderea028755"/>
    <n v="-3.5008645"/>
    <n v="-1.0734558000000001"/>
    <s v="Direct"/>
    <s v="Cytosolic acyl coenzyme A thioester"/>
    <s v="Cytosolic acyl coenzyme A thioester"/>
  </r>
  <r>
    <x v="1"/>
    <x v="6"/>
    <s v="OG0010042"/>
    <s v="Ofaveolata026173"/>
    <s v="Ssiderea055002"/>
    <n v="-4.4125937000000004"/>
    <n v="-8.4175529999999998"/>
    <s v="Direct"/>
    <s v="cysteine desulfurase activity"/>
    <s v="cysteine desulfurase activity"/>
  </r>
  <r>
    <x v="1"/>
    <x v="6"/>
    <s v="OG0010098"/>
    <s v="Ofaveolata001543"/>
    <s v="Ssiderea049588"/>
    <n v="4.0101033299999997"/>
    <n v="1.8588320899999999"/>
    <s v="Direct"/>
    <s v="tryptophan 5-monooxygenase activity"/>
    <s v="tryptophan 5-monooxygenase activity"/>
  </r>
  <r>
    <x v="1"/>
    <x v="6"/>
    <s v="OG0010216"/>
    <s v="Ofaveolata030565"/>
    <s v="Ssiderea034040"/>
    <n v="-2.3144360000000002"/>
    <n v="-4.8454459999999999"/>
    <s v="Direct"/>
    <s v="scavenger receptor activity"/>
    <s v="scavenger receptor activity"/>
  </r>
  <r>
    <x v="1"/>
    <x v="6"/>
    <s v="OG0010296"/>
    <s v="Ofaveolata029171"/>
    <s v="Ssiderea034330"/>
    <n v="-2.6271618000000001"/>
    <n v="-1.3518794999999999"/>
    <s v="Direct"/>
    <s v="unfolded protein binding"/>
    <s v="unfolded protein binding"/>
  </r>
  <r>
    <x v="1"/>
    <x v="6"/>
    <s v="OG0010357"/>
    <s v="Ofaveolata029786"/>
    <s v="Ssiderea023919"/>
    <n v="-12.407971999999999"/>
    <n v="-3.2179606999999999"/>
    <s v="Direct"/>
    <s v="cellular zinc ion homeostasis"/>
    <s v="cellular zinc ion homeostasis"/>
  </r>
  <r>
    <x v="1"/>
    <x v="6"/>
    <s v="OG0010445"/>
    <s v="Ofaveolata014557"/>
    <s v="Ssiderea004382"/>
    <n v="-1.0530851999999999"/>
    <n v="-1.0018773999999999"/>
    <s v="Direct"/>
    <s v="transferase activity"/>
    <s v="transferase activity"/>
  </r>
  <r>
    <x v="1"/>
    <x v="6"/>
    <s v="OG0010456"/>
    <s v="Ofaveolata003649"/>
    <s v="Ssiderea046465"/>
    <n v="-1.7703597"/>
    <n v="1.04279828"/>
    <s v="Inverse"/>
    <s v="Belongs to the peptidase M10A family"/>
    <s v="Belongs to the peptidase M10A family"/>
  </r>
  <r>
    <x v="1"/>
    <x v="6"/>
    <s v="OG0010477"/>
    <s v="Ofaveolata020822"/>
    <s v="Ssiderea047596"/>
    <n v="-7.0524708"/>
    <n v="-8.2672343000000001"/>
    <s v="Direct"/>
    <s v="oxidoreductase activity, oxidizing metal ions with flavin as acceptor"/>
    <s v="oxidoreductase activity, oxidizing metal ions with flavin as acceptor"/>
  </r>
  <r>
    <x v="1"/>
    <x v="6"/>
    <s v="OG0010499"/>
    <s v="Ofaveolata018835"/>
    <s v="Ssiderea003070"/>
    <n v="2.3770897999999998"/>
    <n v="1.5639119800000001"/>
    <s v="Direct"/>
    <s v="nucleotide binding. It is involved in the biological process described with RNA processing"/>
    <s v="nucleotide binding. It is involved in the biological process described with RNA processing"/>
  </r>
  <r>
    <x v="1"/>
    <x v="6"/>
    <s v="OG0010598"/>
    <s v="Ofaveolata001861"/>
    <s v="Ssiderea050455"/>
    <n v="5.8738959399999997"/>
    <n v="5.4230477099999996"/>
    <s v="Direct"/>
    <s v="PRELI domain-containing protein 2"/>
    <s v="PRELI domain-containing protein 2"/>
  </r>
  <r>
    <x v="1"/>
    <x v="6"/>
    <s v="OG0010612"/>
    <s v="Ofaveolata013841"/>
    <s v="Ssiderea044233"/>
    <n v="1.4360031900000001"/>
    <n v="1.9364262999999999"/>
    <s v="Direct"/>
    <s v="DNA binding"/>
    <s v="homeobox"/>
  </r>
  <r>
    <x v="1"/>
    <x v="6"/>
    <s v="OG0010646"/>
    <s v="Ofaveolata022881"/>
    <s v="Ssiderea015100"/>
    <n v="-6.6482685999999998"/>
    <n v="-1.0427983000000001"/>
    <s v="Direct"/>
    <s v="bleomycin hydrolase"/>
    <s v="bleomycin hydrolase"/>
  </r>
  <r>
    <x v="1"/>
    <x v="6"/>
    <s v="OG0010671"/>
    <s v="Ofaveolata029427"/>
    <s v="Ssiderea032912"/>
    <n v="-8.2981365"/>
    <n v="-5.4065960000000004"/>
    <s v="Direct"/>
    <s v="Elongation factor"/>
    <s v="Elongation factor"/>
  </r>
  <r>
    <x v="1"/>
    <x v="6"/>
    <s v="OG0010681"/>
    <s v="Ofaveolata034974"/>
    <s v="Ssiderea017213"/>
    <n v="-1.6033101000000001"/>
    <n v="-1.1003006"/>
    <s v="Direct"/>
    <s v="RNA pseudouridylate synthase"/>
    <s v="RNA pseudouridylate synthase"/>
  </r>
  <r>
    <x v="1"/>
    <x v="6"/>
    <s v="OG0010700"/>
    <s v="Ofaveolata029723"/>
    <s v="Ssiderea023814"/>
    <n v="-8.2676832000000005"/>
    <n v="-1.4638525"/>
    <s v="Direct"/>
    <s v="NA"/>
    <s v="endoplasmic reticulum stress-induced pre-emptive quality control"/>
  </r>
  <r>
    <x v="1"/>
    <x v="6"/>
    <s v="OG0010750"/>
    <s v="Ofaveolata008828"/>
    <s v="Ssiderea007939"/>
    <n v="-2.1542620000000001"/>
    <n v="-1.1569566"/>
    <s v="Direct"/>
    <s v="structural constituent of ribosome"/>
    <s v="structural constituent of ribosome"/>
  </r>
  <r>
    <x v="1"/>
    <x v="6"/>
    <s v="OG0010777"/>
    <s v="Ofaveolata034148"/>
    <s v="Ssiderea031598"/>
    <n v="2.3366361100000002"/>
    <n v="13.439522800000001"/>
    <s v="Direct"/>
    <s v="Egl-9 family hypoxia-inducible factor"/>
    <s v="Egl-9 family hypoxia-inducible factor"/>
  </r>
  <r>
    <x v="1"/>
    <x v="6"/>
    <s v="OG0010808"/>
    <s v="Ofaveolata017337"/>
    <s v="Ssiderea046671"/>
    <n v="-2.6374094000000001"/>
    <n v="-1.6845220000000001"/>
    <s v="Direct"/>
    <s v="Defective in cullin neddylation 1 domain containing"/>
    <s v="Defective in cullin neddylation 1 domain containing"/>
  </r>
  <r>
    <x v="1"/>
    <x v="6"/>
    <s v="OG0010812"/>
    <s v="Ofaveolata026263"/>
    <s v="Ssiderea039605"/>
    <n v="-1.5878071"/>
    <n v="-3.6666664"/>
    <s v="Direct"/>
    <s v="Phosphoethanolamine methyltransferase"/>
    <s v="phosphoethanolamine N-methyltransferase"/>
  </r>
  <r>
    <x v="1"/>
    <x v="6"/>
    <s v="OG0010853"/>
    <s v="Ofaveolata022539"/>
    <s v="Ssiderea015358"/>
    <n v="1.13869215"/>
    <n v="-2.2404286999999998"/>
    <s v="Inverse"/>
    <s v="DGCR8 microprocessor complex subunit"/>
    <s v="primary miRNA processing"/>
  </r>
  <r>
    <x v="1"/>
    <x v="6"/>
    <s v="OG0010877"/>
    <s v="Ofaveolata006054"/>
    <s v="Ssiderea057216"/>
    <n v="-3.3971884999999999"/>
    <n v="-1.5577802000000001"/>
    <s v="Direct"/>
    <s v="Belongs to the Ca(2 ) cation antiporter (CaCA) (TC 2.A.19) family"/>
    <s v="Belongs to the Ca(2 ) cation antiporter (CaCA) (TC 2.A.19) family"/>
  </r>
  <r>
    <x v="1"/>
    <x v="6"/>
    <s v="OG0010896"/>
    <s v="Ofaveolata023169"/>
    <s v="Ssiderea046213"/>
    <n v="-1.4711064"/>
    <n v="2.1657304499999999"/>
    <s v="Inverse"/>
    <s v="sphingolipid transporter activity"/>
    <s v="sphingolipid transporter activity"/>
  </r>
  <r>
    <x v="1"/>
    <x v="6"/>
    <s v="OG0010958"/>
    <s v="Ofaveolata009609"/>
    <s v="Ssiderea051622"/>
    <n v="4.6728561900000001"/>
    <n v="1.39891648"/>
    <s v="Direct"/>
    <s v="RNA binding motif protein"/>
    <s v="RNA binding motif protein"/>
  </r>
  <r>
    <x v="1"/>
    <x v="6"/>
    <s v="OG0011008"/>
    <s v="Ofaveolata013053"/>
    <s v="Ssiderea001422"/>
    <n v="-4.3235393999999996"/>
    <n v="-1.3009301"/>
    <s v="Direct"/>
    <s v="Solute carrier family 4, sodium bicarbonate transporter, member 10"/>
    <s v="Solute carrier family 4, sodium bicarbonate cotransporter, member 7"/>
  </r>
  <r>
    <x v="1"/>
    <x v="6"/>
    <s v="OG0011010"/>
    <s v="Ofaveolata018309"/>
    <s v="Ssiderea018632"/>
    <n v="1.1911020400000001"/>
    <n v="3.8837304700000002"/>
    <s v="Direct"/>
    <s v="propionyl-CoA carboxylase activity"/>
    <s v="propionyl-CoA carboxylase activity"/>
  </r>
  <r>
    <x v="1"/>
    <x v="6"/>
    <s v="OG0011056"/>
    <s v="Ofaveolata033693"/>
    <s v="Ssiderea053631"/>
    <n v="2.9564675"/>
    <n v="-6.7870726000000001"/>
    <s v="Inverse"/>
    <s v="NA"/>
    <s v="cytoskeletal anchoring at nuclear membrane"/>
  </r>
  <r>
    <x v="1"/>
    <x v="6"/>
    <s v="OG0011122"/>
    <s v="Ofaveolata008342"/>
    <s v="Ssiderea008901"/>
    <n v="-1.6368456"/>
    <n v="-3.5251223"/>
    <s v="Direct"/>
    <s v="phosphatidylserine synthase"/>
    <s v="phosphatidylserine biosynthetic process"/>
  </r>
  <r>
    <x v="1"/>
    <x v="6"/>
    <s v="OG0011134"/>
    <s v="Ofaveolata010552"/>
    <s v="Ssiderea045367"/>
    <n v="-1.1822322000000001"/>
    <n v="2.0886506100000002"/>
    <s v="Inverse"/>
    <s v="Domain first found in C1r, C1s, uEGF, and bone morphogenetic protein."/>
    <s v="zymogen binding"/>
  </r>
  <r>
    <x v="1"/>
    <x v="6"/>
    <s v="OG0011192"/>
    <s v="Ofaveolata019396"/>
    <s v="Ssiderea055950"/>
    <n v="-2.7222618999999999"/>
    <n v="1.36207849"/>
    <s v="Inverse"/>
    <s v="NA"/>
    <s v="NA"/>
  </r>
  <r>
    <x v="1"/>
    <x v="6"/>
    <s v="OG0011200"/>
    <s v="Ofaveolata003430"/>
    <s v="Ssiderea029846"/>
    <n v="1.26486896"/>
    <n v="2.8178960100000001"/>
    <s v="Direct"/>
    <s v="Cupin-like domain"/>
    <s v="Cupin-like domain"/>
  </r>
  <r>
    <x v="1"/>
    <x v="6"/>
    <s v="OG0011214"/>
    <s v="Ofaveolata010131"/>
    <s v="Ssiderea049480"/>
    <n v="-16.921229"/>
    <n v="-5.0733153"/>
    <s v="Direct"/>
    <s v="Belongs to the short-chain dehydrogenases reductases (SDR) family"/>
    <s v="Belongs to the short-chain dehydrogenases reductases (SDR) family"/>
  </r>
  <r>
    <x v="1"/>
    <x v="6"/>
    <s v="OG0011273"/>
    <s v="Ofaveolata015586"/>
    <s v="Ssiderea038084"/>
    <n v="-2.3025897999999998"/>
    <n v="-1.6618582"/>
    <s v="Direct"/>
    <s v="Belongs to the TRAFAC class myosin-kinesin ATPase superfamily. Kinesin family"/>
    <s v="Belongs to the TRAFAC class myosin-kinesin ATPase superfamily. Kinesin family"/>
  </r>
  <r>
    <x v="1"/>
    <x v="6"/>
    <s v="OG0011280"/>
    <s v="Ofaveolata029252"/>
    <s v="Ssiderea033217"/>
    <n v="-4.1787258999999999"/>
    <n v="-1.3097352"/>
    <s v="Direct"/>
    <s v="Asparaginyl-tRNA synthetase"/>
    <s v="Asparaginyl-tRNA synthetase"/>
  </r>
  <r>
    <x v="1"/>
    <x v="6"/>
    <s v="OG0011293"/>
    <s v="Ofaveolata003606"/>
    <s v="Ssiderea046337"/>
    <n v="-4.0663131000000003"/>
    <n v="-5.5780609999999999"/>
    <s v="Direct"/>
    <s v="cellular copper ion homeostasis"/>
    <s v="cellular copper ion homeostasis"/>
  </r>
  <r>
    <x v="1"/>
    <x v="6"/>
    <s v="OG0011322"/>
    <s v="Ofaveolata025013"/>
    <s v="Ssiderea021306"/>
    <n v="-4.9245295000000002"/>
    <n v="-1.524888"/>
    <s v="Direct"/>
    <s v="GDP-mannose"/>
    <s v="GDP-mannose 4,6-dehydratase activity"/>
  </r>
  <r>
    <x v="1"/>
    <x v="6"/>
    <s v="OG0011338"/>
    <s v="Ofaveolata023019"/>
    <s v="Ssiderea014813"/>
    <n v="-1.4994654000000001"/>
    <n v="-2.7793469000000002"/>
    <s v="Direct"/>
    <s v="SOR/SNZ family"/>
    <s v="SOR/SNZ family"/>
  </r>
  <r>
    <x v="1"/>
    <x v="6"/>
    <s v="OG0011382"/>
    <s v="Ofaveolata031051"/>
    <s v="Ssiderea006575"/>
    <n v="1.77280679"/>
    <n v="2.0094198900000002"/>
    <s v="Direct"/>
    <s v="helix loop helix domain"/>
    <s v="helix loop helix domain"/>
  </r>
  <r>
    <x v="1"/>
    <x v="6"/>
    <s v="OG0011383"/>
    <s v="Ofaveolata022371"/>
    <s v="Ssiderea023254"/>
    <n v="-1.1081106000000001"/>
    <n v="-1.1270742"/>
    <s v="Direct"/>
    <s v="proteasome maturation"/>
    <s v="proteasome maturation"/>
  </r>
  <r>
    <x v="1"/>
    <x v="6"/>
    <s v="OG0011448"/>
    <s v="Ofaveolata026000"/>
    <s v="Ssiderea038858"/>
    <n v="-1.6172645000000001"/>
    <n v="-1.8841334000000001"/>
    <s v="Direct"/>
    <s v="metalloendopeptidase activity"/>
    <s v="metalloendopeptidase activity"/>
  </r>
  <r>
    <x v="1"/>
    <x v="6"/>
    <s v="OG0011451"/>
    <s v="Ofaveolata001473"/>
    <s v="Ssiderea043685"/>
    <n v="-3.3059596"/>
    <n v="2.3695299799999998"/>
    <s v="Inverse"/>
    <s v="acid phosphatase activity"/>
    <s v="acid phosphatase activity"/>
  </r>
  <r>
    <x v="1"/>
    <x v="6"/>
    <s v="OG0011480"/>
    <s v="Ofaveolata013651"/>
    <s v="Ssiderea000160"/>
    <n v="-1.0136045"/>
    <n v="2.9117812500000002"/>
    <s v="Inverse"/>
    <s v="Mitochondrial membrane ATP synthase (F(1)F(0) ATP synthase or Complex V) produces ATP from ADP in the presence of a proton gradient across the membrane which is generated by electron transport complexes of the respiratory chain. F-type ATPases consist of "/>
    <s v="Mitochondrial membrane ATP synthase (F(1)F(0) ATP synthase or Complex V) produces ATP from ADP in the presence of a proton gradient across the membrane which is generated by electron transport complexes of the respiratory chain. F-type ATPases consist of "/>
  </r>
  <r>
    <x v="1"/>
    <x v="6"/>
    <s v="OG0011499"/>
    <s v="Ofaveolata002967"/>
    <s v="Ssiderea013001"/>
    <n v="-2.3919776000000001"/>
    <n v="-1.0982215"/>
    <s v="Direct"/>
    <s v="Heat shock 70 kDa protein 14"/>
    <s v="Heat shock 70 kDa protein 14"/>
  </r>
  <r>
    <x v="1"/>
    <x v="6"/>
    <s v="OG0011592"/>
    <s v="Ofaveolata019354"/>
    <s v="Ssiderea056002"/>
    <n v="-1.9729973000000001"/>
    <n v="-1.1910038000000001"/>
    <s v="Direct"/>
    <s v="Phosphatidylinositol 3,4,5-trisphosphate 3-phosphatase TPTE2-like"/>
    <s v="Phosphatidylinositol 3,4,5-trisphosphate 3-phosphatase TPTE2-like"/>
  </r>
  <r>
    <x v="1"/>
    <x v="6"/>
    <s v="OG0011807"/>
    <s v="Ofaveolata014694"/>
    <s v="Ssiderea004577"/>
    <n v="-2.9076890999999998"/>
    <n v="-1.3626651000000001"/>
    <s v="Direct"/>
    <s v="phosphomannomutase activity"/>
    <s v="phosphomannomutase activity"/>
  </r>
  <r>
    <x v="1"/>
    <x v="6"/>
    <s v="OG0011919"/>
    <s v="Ofaveolata005301"/>
    <s v="Ssiderea015841"/>
    <n v="-3.0610819"/>
    <n v="-3.1346056999999998"/>
    <s v="Direct"/>
    <s v="iron-sulfur transferase activity"/>
    <s v="Scaffold protein for the de novo synthesis of iron- sulfur (Fe-S) clusters within mitochondria, which is required for maturation of both mitochondrial and cytoplasmic 2Fe-2S and 4Fe-4S proteins"/>
  </r>
  <r>
    <x v="1"/>
    <x v="6"/>
    <s v="OG0011930"/>
    <s v="Ofaveolata000340"/>
    <s v="Ssiderea022091"/>
    <n v="-4.0745684000000004"/>
    <n v="1.1633621999999999"/>
    <s v="Inverse"/>
    <s v="UPF0704 protein C6orf165 homolog"/>
    <s v="UPF0704 protein C6orf165 homolog"/>
  </r>
  <r>
    <x v="1"/>
    <x v="6"/>
    <s v="OG0012116"/>
    <s v="Ofaveolata010052"/>
    <s v="Ssiderea049434"/>
    <n v="-1.1830118999999999"/>
    <n v="-5.9389633000000002"/>
    <s v="Direct"/>
    <s v="respiratory chain complex III assembly"/>
    <s v="respiratory chain complex III assembly"/>
  </r>
  <r>
    <x v="1"/>
    <x v="6"/>
    <s v="OG0012179"/>
    <s v="Ofaveolata002556"/>
    <s v="Ssiderea013067"/>
    <n v="3.1737582"/>
    <n v="10.541785300000001"/>
    <s v="Direct"/>
    <s v="dihydrofolate reductase activity"/>
    <s v="dihydrofolate reductase activity"/>
  </r>
  <r>
    <x v="1"/>
    <x v="6"/>
    <s v="OG0012284"/>
    <s v="Ofaveolata003863"/>
    <s v="Ssiderea030387"/>
    <n v="1.09433391"/>
    <n v="1.06064577"/>
    <s v="Direct"/>
    <s v="protein polyubiquitination"/>
    <s v="protein polyubiquitination"/>
  </r>
  <r>
    <x v="1"/>
    <x v="6"/>
    <s v="OG0012314"/>
    <s v="Ofaveolata002363"/>
    <s v="Ssiderea012871"/>
    <n v="-5.3102717999999998"/>
    <n v="-1.0682593"/>
    <s v="Direct"/>
    <s v="Haloacid dehalogenase-like hydrolase"/>
    <s v="Haloacid dehalogenase-like hydrolase"/>
  </r>
  <r>
    <x v="1"/>
    <x v="6"/>
    <s v="OG0012321"/>
    <s v="Ofaveolata002211"/>
    <s v="Ssiderea012662"/>
    <n v="-1.3435258000000001"/>
    <n v="-1.1101916000000001"/>
    <s v="Direct"/>
    <s v="nucleobase-containing compound biosynthetic process"/>
    <s v="nucleobase-containing compound biosynthetic process"/>
  </r>
  <r>
    <x v="1"/>
    <x v="6"/>
    <s v="OG0012372"/>
    <s v="Ofaveolata033520"/>
    <s v="Ssiderea026314"/>
    <n v="2.9955752200000001"/>
    <n v="1.3727483199999999"/>
    <s v="Direct"/>
    <s v="ATP binding"/>
    <s v="belongs to the actin family"/>
  </r>
  <r>
    <x v="1"/>
    <x v="6"/>
    <s v="OG0012426"/>
    <s v="Ofaveolata016857"/>
    <s v="Ssiderea039239"/>
    <n v="-5.0186381000000004"/>
    <n v="-3.4574809000000002"/>
    <s v="Direct"/>
    <s v="MDM2/MDM4 family protein binding"/>
    <s v="MDM2/MDM4 family protein binding"/>
  </r>
  <r>
    <x v="1"/>
    <x v="6"/>
    <s v="OG0012453"/>
    <s v="Ofaveolata034261"/>
    <s v="Ssiderea031880"/>
    <n v="-1.6160794000000001"/>
    <n v="-1.6231982"/>
    <s v="Direct"/>
    <s v="YLP motif-containing protein 1"/>
    <s v="YLP motif-containing protein 1"/>
  </r>
  <r>
    <x v="1"/>
    <x v="6"/>
    <s v="OG0012470"/>
    <s v="Ofaveolata002778"/>
    <s v="Ssiderea013295"/>
    <n v="5.2304700999999998"/>
    <n v="3.0789868"/>
    <s v="Direct"/>
    <s v="positive regulation of skeletal muscle acetylcholine-gated channel clustering"/>
    <s v="positive regulation of skeletal muscle acetylcholine-gated channel clustering"/>
  </r>
  <r>
    <x v="1"/>
    <x v="6"/>
    <s v="OG0012511"/>
    <s v="Ofaveolata017710"/>
    <s v="Ssiderea046938"/>
    <n v="-7.5359973"/>
    <n v="-1.9190305000000001"/>
    <s v="Direct"/>
    <s v="Eukaryotic initiation factor 4A-II isoform X1"/>
    <s v="Eukaryotic translation initiation factor 4A, isoform"/>
  </r>
  <r>
    <x v="1"/>
    <x v="6"/>
    <s v="OG0012544"/>
    <s v="Ofaveolata013458"/>
    <s v="Ssiderea000447"/>
    <n v="-1.9143204"/>
    <n v="-2.7453082000000002"/>
    <s v="Direct"/>
    <s v="thyroid hormone transmembrane transporter activity"/>
    <s v="thyroid hormone transmembrane transporter activity"/>
  </r>
  <r>
    <x v="1"/>
    <x v="6"/>
    <s v="OG0012573"/>
    <s v="Ofaveolata030138"/>
    <s v="Ssiderea054218"/>
    <n v="-5.5497816999999996"/>
    <n v="-1.1245160999999999"/>
    <s v="Direct"/>
    <s v="Ubiquitin carboxyl-terminal hydrolase"/>
    <s v="Ubiquitin carboxyl-terminal hydrolase"/>
  </r>
  <r>
    <x v="1"/>
    <x v="6"/>
    <s v="OG0012576"/>
    <s v="Ofaveolata001171"/>
    <s v="Ssiderea029404"/>
    <n v="1.9196573800000001"/>
    <n v="-1.4736446999999999"/>
    <s v="Inverse"/>
    <s v="plasma membrane repair"/>
    <s v="plasma membrane repair"/>
  </r>
  <r>
    <x v="1"/>
    <x v="6"/>
    <s v="OG0012627"/>
    <s v="Ofaveolata018295"/>
    <s v="Ssiderea018599"/>
    <n v="-2.8261577"/>
    <n v="-6.5854647999999996"/>
    <s v="Direct"/>
    <s v="Cytidylyltransferase-like"/>
    <s v="Cytidylyltransferase-like"/>
  </r>
  <r>
    <x v="1"/>
    <x v="6"/>
    <s v="OG0012628"/>
    <s v="Ofaveolata013818"/>
    <s v="Ssiderea049064"/>
    <n v="-4.1238365000000003"/>
    <n v="-2.2118365"/>
    <s v="Direct"/>
    <s v="Glutathione S-transferase, N-terminal domain"/>
    <s v="Glutathione S-transferase, N-terminal domain"/>
  </r>
  <r>
    <x v="1"/>
    <x v="6"/>
    <s v="OG0012707"/>
    <s v="Ofaveolata019237"/>
    <s v="Ssiderea056578"/>
    <n v="-1.3169078999999999"/>
    <n v="1.1057485"/>
    <s v="Inverse"/>
    <s v="Homeodomain"/>
    <s v="Homeodomain"/>
  </r>
  <r>
    <x v="1"/>
    <x v="6"/>
    <s v="OG0012749"/>
    <s v="Ofaveolata006465"/>
    <s v="Ssiderea053340"/>
    <n v="-1.5839848999999999"/>
    <n v="-1.6845220000000001"/>
    <s v="Direct"/>
    <s v="acyl carnitine transmembrane transport"/>
    <s v="acyl carnitine transmembrane transport"/>
  </r>
  <r>
    <x v="1"/>
    <x v="6"/>
    <s v="OG0012782"/>
    <s v="Ofaveolata026010"/>
    <s v="Ssiderea038852"/>
    <n v="-7.0034678000000001"/>
    <n v="-4.3408965999999998"/>
    <s v="Direct"/>
    <s v="negative regulation of SNARE complex assembly"/>
    <s v="negative regulation of SNARE complex assembly"/>
  </r>
  <r>
    <x v="1"/>
    <x v="6"/>
    <s v="OG0012801"/>
    <s v="Ofaveolata019158"/>
    <s v="Ssiderea019086"/>
    <n v="4.7634435599999998"/>
    <n v="2.2461476899999999"/>
    <s v="Direct"/>
    <s v="calcium-dependent cysteine-type endopeptidase activity"/>
    <s v="calcium-dependent cysteine-type endopeptidase activity"/>
  </r>
  <r>
    <x v="1"/>
    <x v="6"/>
    <s v="OG0012815"/>
    <s v="Ofaveolata024193"/>
    <s v="Ssiderea005674"/>
    <n v="-1.0839861"/>
    <n v="1.0832545"/>
    <s v="Inverse"/>
    <s v="RAB10, member RAS oncogene family"/>
    <s v="RAB10, member RAS oncogene family"/>
  </r>
  <r>
    <x v="1"/>
    <x v="6"/>
    <s v="OG0012846"/>
    <s v="Ofaveolata033137"/>
    <s v="Ssiderea025984"/>
    <n v="-3.6318492999999998"/>
    <n v="-9.796735"/>
    <s v="Direct"/>
    <s v="5'-3' exoribonuclease activity"/>
    <s v="5'-3' exoribonuclease activity"/>
  </r>
  <r>
    <x v="1"/>
    <x v="6"/>
    <s v="OG0012861"/>
    <s v="Ofaveolata002355"/>
    <s v="Ssiderea012859"/>
    <n v="-2.4066046000000001"/>
    <n v="-1.8798196"/>
    <s v="Direct"/>
    <s v="Adp-ribosylation factor"/>
    <s v="Adp-ribosylation factor"/>
  </r>
  <r>
    <x v="1"/>
    <x v="6"/>
    <s v="OG0012957"/>
    <s v="Ofaveolata014949"/>
    <s v="Ssiderea038386"/>
    <n v="-2.4021992999999999"/>
    <n v="-1.4888713"/>
    <s v="Direct"/>
    <s v="Major facilitator superfamily domain-containing protein 6-like"/>
    <s v="Major facilitator superfamily domain-containing protein 6-like"/>
  </r>
  <r>
    <x v="1"/>
    <x v="6"/>
    <s v="OG0013044"/>
    <s v="Ofaveolata006152"/>
    <s v="Ssiderea053372"/>
    <n v="-1.7810009"/>
    <n v="-3.1598860000000002"/>
    <s v="Direct"/>
    <s v="glycogen phosphorylase activity"/>
    <s v="glycogen phosphorylase activity"/>
  </r>
  <r>
    <x v="1"/>
    <x v="6"/>
    <s v="OG0013046"/>
    <s v="Ofaveolata005736"/>
    <s v="Ssiderea045518"/>
    <n v="-2.6791520000000002"/>
    <n v="-1.286951"/>
    <s v="Direct"/>
    <s v="Kinesin motor, catalytic domain. ATPase."/>
    <s v="Microtubule binding"/>
  </r>
  <r>
    <x v="1"/>
    <x v="6"/>
    <s v="OG0013102"/>
    <s v="Ofaveolata011377"/>
    <s v="Ssiderea019312"/>
    <n v="-2.9011898999999999"/>
    <n v="-1.0543081000000001"/>
    <s v="Direct"/>
    <s v="heterogeneous nuclear ribonucleoprotein"/>
    <s v="heterogeneous nuclear ribonucleoprotein"/>
  </r>
  <r>
    <x v="1"/>
    <x v="6"/>
    <s v="OG0013147"/>
    <s v="Ofaveolata026455"/>
    <s v="Ssiderea038593"/>
    <n v="-11.541949000000001"/>
    <n v="-5.6539918"/>
    <s v="Direct"/>
    <s v="AFG3-like protein"/>
    <s v="AFG3-like protein"/>
  </r>
  <r>
    <x v="1"/>
    <x v="6"/>
    <s v="OG0013205"/>
    <s v="Ofaveolata019611"/>
    <s v="Ssiderea020852"/>
    <n v="-12.890516"/>
    <n v="-2.6309556999999999"/>
    <s v="Direct"/>
    <s v="high mobility group"/>
    <s v="high mobility group"/>
  </r>
  <r>
    <x v="1"/>
    <x v="6"/>
    <s v="OG0013221"/>
    <s v="Ofaveolata022024"/>
    <s v="Ssiderea023369"/>
    <n v="-1.5908043999999999"/>
    <n v="-2.600231"/>
    <s v="Direct"/>
    <s v="L-lactate"/>
    <s v="L-lactate"/>
  </r>
  <r>
    <x v="1"/>
    <x v="6"/>
    <s v="OG0013245"/>
    <s v="Ofaveolata023325"/>
    <s v="Ssiderea005256"/>
    <n v="2.3589441799999999"/>
    <n v="3.0024289099999999"/>
    <s v="Direct"/>
    <s v="Belongs to the 14-3-3 family"/>
    <s v="tyrosine 3-monooxygenase tryptophan 5-monooxygenase activation protein, epsilon"/>
  </r>
  <r>
    <x v="1"/>
    <x v="6"/>
    <s v="OG0013276"/>
    <s v="Ofaveolata009808"/>
    <s v="Ssiderea051670"/>
    <n v="-1.6543857"/>
    <n v="-1.4888713"/>
    <s v="Direct"/>
    <s v="ADP biosynthetic process"/>
    <s v="ADP biosynthetic process"/>
  </r>
  <r>
    <x v="1"/>
    <x v="7"/>
    <s v="OG0000002"/>
    <s v="Ofaveolata011486"/>
    <s v="Ssiderea045106"/>
    <n v="1.7777247899999999"/>
    <n v="1.5464108000000001"/>
    <s v="Direct"/>
    <s v="NA"/>
    <s v="myosin light chain kinase activity"/>
  </r>
  <r>
    <x v="1"/>
    <x v="7"/>
    <s v="OG0000086"/>
    <s v="Ofaveolata035275"/>
    <s v="Ssiderea59608"/>
    <n v="1.91472285"/>
    <n v="-1.1004171"/>
    <s v="Inverse"/>
    <s v="protein K33-linked ubiquitination"/>
    <s v="Kelch-like protein 12"/>
  </r>
  <r>
    <x v="1"/>
    <x v="7"/>
    <s v="OG0000133"/>
    <s v="Ofaveolata018073"/>
    <s v="Ssiderea002867"/>
    <n v="-3.1783397"/>
    <n v="-1.6430587000000001"/>
    <s v="Direct"/>
    <s v="Multidrug resistance-associated protein 1"/>
    <s v="ATPase activity, coupled to transmembrane movement of substances"/>
  </r>
  <r>
    <x v="1"/>
    <x v="7"/>
    <s v="OG0000221"/>
    <s v="Ofaveolata027885"/>
    <s v="Ssiderea050737"/>
    <n v="-1.0463644999999999"/>
    <n v="1.29986431"/>
    <s v="Inverse"/>
    <s v="glutathione hydrolase activity"/>
    <s v="glutathione hydrolase activity"/>
  </r>
  <r>
    <x v="1"/>
    <x v="7"/>
    <s v="OG0000290"/>
    <s v="Ofaveolata010939"/>
    <s v="Ssiderea019959"/>
    <n v="2.9787437200000002"/>
    <n v="-2.7471207"/>
    <s v="Inverse"/>
    <s v="GTPase activity"/>
    <s v="GTPase activity"/>
  </r>
  <r>
    <x v="1"/>
    <x v="7"/>
    <s v="OG0000302"/>
    <s v="Ofaveolata009915"/>
    <s v="Ssiderea054759"/>
    <n v="2.2686517400000001"/>
    <n v="1.8149649999999999"/>
    <s v="Direct"/>
    <s v="organic anion transmembrane transporter activity"/>
    <s v="organic anion transmembrane transporter activity"/>
  </r>
  <r>
    <x v="1"/>
    <x v="7"/>
    <s v="OG0000307"/>
    <s v="Ofaveolata024256"/>
    <s v="Ssiderea006371"/>
    <n v="-1.8901273000000001"/>
    <n v="-1.2807633"/>
    <s v="Direct"/>
    <s v="NA"/>
    <s v="NA"/>
  </r>
  <r>
    <x v="1"/>
    <x v="7"/>
    <s v="OG0000369"/>
    <s v="Ofaveolata017708"/>
    <s v="Ssiderea037493"/>
    <n v="2.4687948"/>
    <n v="-1.4661805000000001"/>
    <s v="Inverse"/>
    <s v="NA"/>
    <s v="NA"/>
  </r>
  <r>
    <x v="1"/>
    <x v="7"/>
    <s v="OG0000402"/>
    <s v="Ofaveolata009835"/>
    <s v="Ssiderea051714"/>
    <n v="1.78186662"/>
    <n v="-2.2418640000000001"/>
    <s v="Inverse"/>
    <s v="Glutathione S-transferase, C-terminal domain"/>
    <s v="transferase activity"/>
  </r>
  <r>
    <x v="1"/>
    <x v="7"/>
    <s v="OG0000566"/>
    <s v="Ofaveolata015403"/>
    <s v="Ssiderea038210"/>
    <n v="-2.2760935"/>
    <n v="1.13329977"/>
    <s v="Inverse"/>
    <s v="Carboxylesterase family"/>
    <s v="Carboxylesterase family"/>
  </r>
  <r>
    <x v="1"/>
    <x v="7"/>
    <s v="OG0000709"/>
    <s v="Ofaveolata008471"/>
    <s v="Ssiderea040156"/>
    <n v="2.07567871"/>
    <n v="1.35989358"/>
    <s v="Direct"/>
    <s v="Poly (ADP-ribose) polymerase"/>
    <s v="poly ADP-ribose polymerase"/>
  </r>
  <r>
    <x v="1"/>
    <x v="7"/>
    <s v="OG0000721"/>
    <s v="Ofaveolata007413"/>
    <s v="Ssiderea025940"/>
    <n v="1.5282041900000001"/>
    <n v="-1.7260948"/>
    <s v="Inverse"/>
    <s v="proximal promoter DNA-binding transcription activator activity, RNA polymerase II-specific"/>
    <s v="NA"/>
  </r>
  <r>
    <x v="1"/>
    <x v="7"/>
    <s v="OG0000761"/>
    <s v="Ofaveolata036439"/>
    <s v="Ssiderea005075"/>
    <n v="-1.2952235000000001"/>
    <n v="1.9765296999999999"/>
    <s v="Inverse"/>
    <s v="NA"/>
    <s v="adenylate cyclase-inhibiting G-protein coupled glutamate receptor signaling pathway"/>
  </r>
  <r>
    <x v="1"/>
    <x v="7"/>
    <s v="OG0000800"/>
    <s v="Ofaveolata003747"/>
    <s v="Ssiderea028717"/>
    <n v="1.2290995600000001"/>
    <n v="1.6915448799999999"/>
    <s v="Direct"/>
    <s v="Cytochrome P450, family 46, subfamily A, polypeptide"/>
    <s v="Cytochrome P450, family 46, subfamily A, polypeptide"/>
  </r>
  <r>
    <x v="1"/>
    <x v="7"/>
    <s v="OG0001054"/>
    <s v="Ofaveolata026401"/>
    <s v="Ssiderea038678"/>
    <n v="1.6525177900000001"/>
    <n v="2.88512558"/>
    <s v="Direct"/>
    <s v="V-maf avian musculoaponeurotic fibrosarcoma oncogene homolog"/>
    <s v="lens fiber cell differentiation"/>
  </r>
  <r>
    <x v="1"/>
    <x v="7"/>
    <s v="OG0001060"/>
    <s v="Ofaveolata021998"/>
    <s v="Ssiderea023406"/>
    <n v="3.2603717400000001"/>
    <n v="2.2890964299999998"/>
    <s v="Direct"/>
    <s v="tumor necrosis factor-activated receptor activity"/>
    <s v="Tumor necrosis factor receptor / nerve growth factor receptor repeats."/>
  </r>
  <r>
    <x v="1"/>
    <x v="7"/>
    <s v="OG0001085"/>
    <s v="Ofaveolata027609"/>
    <s v="Ssiderea042330"/>
    <n v="-3.8945305000000001"/>
    <n v="-3.2676886999999999"/>
    <s v="Direct"/>
    <s v="Sterol-sensing domain of SREBP cleavage-activation"/>
    <s v="Sterol-sensing domain of SREBP cleavage-activation"/>
  </r>
  <r>
    <x v="1"/>
    <x v="7"/>
    <s v="OG0001135"/>
    <s v="Ofaveolata029867"/>
    <s v="Ssiderea039160"/>
    <n v="-2.5536143"/>
    <n v="-5.0277303"/>
    <s v="Direct"/>
    <s v="positive regulation of epithelial to mesenchymal transition"/>
    <s v="positive regulation of epithelial to mesenchymal transition"/>
  </r>
  <r>
    <x v="1"/>
    <x v="7"/>
    <s v="OG0001144"/>
    <s v="Ofaveolata001927"/>
    <s v="Ssiderea035485"/>
    <n v="-2.1678416"/>
    <n v="-2.0718964"/>
    <s v="Direct"/>
    <s v="BCCT, betaine/carnitine/choline family transporter"/>
    <s v="BCCT, betaine/carnitine/choline family transporter"/>
  </r>
  <r>
    <x v="1"/>
    <x v="7"/>
    <s v="OG0001245"/>
    <s v="Ofaveolata013966"/>
    <s v="Ssiderea043968"/>
    <n v="-1.5517021"/>
    <n v="-1.328063"/>
    <s v="Direct"/>
    <s v="ATPase activity, coupled to transmembrane movement of substances"/>
    <s v="ATPase activity, coupled to transmembrane movement of substances"/>
  </r>
  <r>
    <x v="1"/>
    <x v="7"/>
    <s v="OG0001372"/>
    <s v="Ofaveolata014693"/>
    <s v="Ssiderea004543"/>
    <n v="-1.0127044000000001"/>
    <n v="-1.855539"/>
    <s v="Direct"/>
    <s v="alpha-L-fucosidase activity"/>
    <s v="alpha-L-fucosidase activity"/>
  </r>
  <r>
    <x v="1"/>
    <x v="7"/>
    <s v="OG0001481"/>
    <s v="Ofaveolata013123"/>
    <s v="Ssiderea000775"/>
    <n v="-7.9880284000000001"/>
    <n v="4.6984073799999999"/>
    <s v="Inverse"/>
    <s v="integrin binding"/>
    <s v="Coagulation factor 5/8 C-terminal domain, discoidin domain"/>
  </r>
  <r>
    <x v="1"/>
    <x v="7"/>
    <s v="OG0001501"/>
    <s v="Ofaveolata010777"/>
    <s v="Ssiderea017541"/>
    <n v="-1.3281015"/>
    <n v="-1.1568973"/>
    <s v="Direct"/>
    <s v="sphinganine-1-phosphate aldolase activity"/>
    <s v="sphinganine-1-phosphate aldolase activity"/>
  </r>
  <r>
    <x v="1"/>
    <x v="7"/>
    <s v="OG0001559"/>
    <s v="Ofaveolata015782"/>
    <s v="Ssiderea023460"/>
    <n v="4.5344895000000003"/>
    <n v="-1.1091902"/>
    <s v="Inverse"/>
    <s v="Belongs to the glycosyl hydrolase 18 family"/>
    <s v="Belongs to the glycosyl hydrolase 18 family"/>
  </r>
  <r>
    <x v="1"/>
    <x v="7"/>
    <s v="OG0001567"/>
    <s v="Ofaveolata027832"/>
    <s v="Ssiderea035430"/>
    <n v="-3.6991173000000002"/>
    <n v="-1.3003343999999999"/>
    <s v="Direct"/>
    <s v="NA"/>
    <s v="triglyceride mobilization"/>
  </r>
  <r>
    <x v="1"/>
    <x v="7"/>
    <s v="OG0001567_1"/>
    <s v="Ofaveolata029371"/>
    <s v="Ssiderea032994"/>
    <n v="-1.9925683000000001"/>
    <n v="-2.955505"/>
    <s v="Direct"/>
    <s v="NA"/>
    <s v="Apolipoprotein"/>
  </r>
  <r>
    <x v="1"/>
    <x v="7"/>
    <s v="OG0001581"/>
    <s v="Ofaveolata022011"/>
    <s v="Ssiderea023382"/>
    <n v="12.595013700000001"/>
    <n v="5.8288176099999998"/>
    <s v="Direct"/>
    <s v="NA"/>
    <s v="Tumor necrosis factor receptor / nerve growth factor receptor repeats."/>
  </r>
  <r>
    <x v="1"/>
    <x v="7"/>
    <s v="OG0001626"/>
    <s v="Ofaveolata002399"/>
    <s v="Ssiderea012927"/>
    <n v="-1.4591346999999999"/>
    <n v="1.10604993"/>
    <s v="Inverse"/>
    <s v="acid phosphatase activity"/>
    <s v="acid phosphatase activity"/>
  </r>
  <r>
    <x v="1"/>
    <x v="7"/>
    <s v="OG0001633"/>
    <s v="Ofaveolata022400"/>
    <s v="Ssiderea023311"/>
    <n v="-1.2470384999999999"/>
    <n v="1.49768641"/>
    <s v="Inverse"/>
    <s v="secondary active sulfate transmembrane transporter activity"/>
    <s v="secondary active sulfate transmembrane transporter activity"/>
  </r>
  <r>
    <x v="1"/>
    <x v="7"/>
    <s v="OG0001659"/>
    <s v="Ofaveolata029163"/>
    <s v="Ssiderea027778"/>
    <n v="-1.0610032"/>
    <n v="1.6547814000000001"/>
    <s v="Inverse"/>
    <s v="guanylate cyclase activity"/>
    <s v="guanylate cyclase activity"/>
  </r>
  <r>
    <x v="1"/>
    <x v="7"/>
    <s v="OG0001666"/>
    <s v="Ofaveolata005667"/>
    <s v="Ssiderea010543"/>
    <n v="-1.2977396000000001"/>
    <n v="-2.2778540999999999"/>
    <s v="Direct"/>
    <s v="heterogeneous nuclear ribonucleoprotein"/>
    <s v="heterogeneous nuclear ribonucleoprotein"/>
  </r>
  <r>
    <x v="1"/>
    <x v="7"/>
    <s v="OG0001666_1"/>
    <s v="Ofaveolata005666"/>
    <s v="Ssiderea010542"/>
    <n v="1.26394954"/>
    <n v="1.3652218599999999"/>
    <s v="Direct"/>
    <s v="heterogeneous nuclear ribonucleoprotein"/>
    <s v="heterogeneous nuclear ribonucleoprotein"/>
  </r>
  <r>
    <x v="1"/>
    <x v="7"/>
    <s v="OG0001691"/>
    <s v="Ofaveolata029890"/>
    <s v="Ssiderea024120"/>
    <n v="-1.8534059000000001"/>
    <n v="-1.1005307"/>
    <s v="Direct"/>
    <s v="Belongs to the sodium solute symporter (SSF) (TC 2.A.21) family"/>
    <s v="Belongs to the sodium solute symporter (SSF) (TC 2.A.21) family"/>
  </r>
  <r>
    <x v="1"/>
    <x v="7"/>
    <s v="OG0001711"/>
    <s v="Ofaveolata009170"/>
    <s v="Ssiderea035562"/>
    <n v="-3.729508"/>
    <n v="-6.2227041999999999"/>
    <s v="Direct"/>
    <s v="glutamate-cysteine ligase activity"/>
    <s v="glutamate-cysteine ligase activity"/>
  </r>
  <r>
    <x v="1"/>
    <x v="7"/>
    <s v="OG0001811"/>
    <s v="Ofaveolata035247"/>
    <s v="Ssiderea033014"/>
    <n v="3.3183369900000002"/>
    <n v="-1.1943820999999999"/>
    <s v="Inverse"/>
    <s v="fibrinolysis"/>
    <s v="homophilic cell adhesion via plasma membrane adhesion molecules"/>
  </r>
  <r>
    <x v="1"/>
    <x v="7"/>
    <s v="OG0001847"/>
    <s v="Ofaveolata003609"/>
    <s v="Ssiderea046340"/>
    <n v="-1.4102424"/>
    <n v="1.2246136299999999"/>
    <s v="Inverse"/>
    <s v="IMP dehydrogenase activity"/>
    <s v="IMP dehydrogenase activity"/>
  </r>
  <r>
    <x v="1"/>
    <x v="7"/>
    <s v="OG0001856"/>
    <s v="Ofaveolata028145"/>
    <s v="Ssiderea054468"/>
    <n v="3.5805387799999999"/>
    <n v="1.3955459800000001"/>
    <s v="Direct"/>
    <s v="calcium ion binding"/>
    <s v="coreceptor activity involved in Wnt signaling pathway, planar cell polarity pathway"/>
  </r>
  <r>
    <x v="1"/>
    <x v="7"/>
    <s v="OG0001891"/>
    <s v="Ofaveolata017215"/>
    <s v="Ssiderea039065"/>
    <n v="-1.6016128999999999"/>
    <n v="-1.2872144999999999"/>
    <s v="Direct"/>
    <s v="CUB and zona pellucida-like domain-containing protein"/>
    <s v="CUB and zona pellucida-like domain-containing protein"/>
  </r>
  <r>
    <x v="1"/>
    <x v="7"/>
    <s v="OG0001917"/>
    <s v="Ofaveolata008800"/>
    <s v="Ssiderea008234"/>
    <n v="1.1435521"/>
    <n v="2.4346125600000001"/>
    <s v="Direct"/>
    <s v="Integrin-alpha FG-GAP repeat-containing protein 2"/>
    <s v="germinal center B cell differentiation"/>
  </r>
  <r>
    <x v="1"/>
    <x v="7"/>
    <s v="OG0002093"/>
    <s v="Ofaveolata034108"/>
    <s v="Ssiderea031667"/>
    <n v="-2.0799432000000002"/>
    <n v="-2.1036375999999999"/>
    <s v="Direct"/>
    <s v="phosphatidylethanolamine catabolic process"/>
    <s v="phosphatidylethanolamine catabolic process"/>
  </r>
  <r>
    <x v="1"/>
    <x v="7"/>
    <s v="OG0002097"/>
    <s v="Ofaveolata005576"/>
    <s v="Ssiderea016184"/>
    <n v="-3.3152976000000001"/>
    <n v="1.00753128"/>
    <s v="Inverse"/>
    <s v="Subtilase family"/>
    <s v="Subtilase family"/>
  </r>
  <r>
    <x v="1"/>
    <x v="7"/>
    <s v="OG0002117"/>
    <s v="Ofaveolata030363"/>
    <s v="Ssiderea034264"/>
    <n v="-10.526547000000001"/>
    <n v="-1.1608704999999999"/>
    <s v="Direct"/>
    <s v="NA"/>
    <s v="Belongs to the CRISP family"/>
  </r>
  <r>
    <x v="1"/>
    <x v="7"/>
    <s v="OG0002134"/>
    <s v="Ofaveolata033724"/>
    <s v="Ssiderea053607"/>
    <n v="2.77926969"/>
    <n v="1.3368096599999999"/>
    <s v="Direct"/>
    <s v="NA"/>
    <s v="regulation of barbed-end actin filament capping"/>
  </r>
  <r>
    <x v="1"/>
    <x v="7"/>
    <s v="OG0002146"/>
    <s v="Ofaveolata021960"/>
    <s v="Ssiderea023516"/>
    <n v="-3.8906366999999999"/>
    <n v="-4.7698783999999996"/>
    <s v="Direct"/>
    <s v="ATP:ADP antiporter activity"/>
    <s v="ATP:ADP antiporter activity"/>
  </r>
  <r>
    <x v="1"/>
    <x v="7"/>
    <s v="OG0002148"/>
    <s v="Ofaveolata007390"/>
    <s v="Ssiderea044697"/>
    <n v="-1.7478232"/>
    <n v="1.34940305"/>
    <s v="Inverse"/>
    <s v="Carbonic anhydrase"/>
    <s v="Eukaryotic-type carbonic anhydrase"/>
  </r>
  <r>
    <x v="1"/>
    <x v="7"/>
    <s v="OG0002149"/>
    <s v="Ofaveolata027982"/>
    <s v="Ssiderea035471"/>
    <n v="5.5685540199999997"/>
    <n v="2.27147144"/>
    <s v="Direct"/>
    <s v="Pyruvate formate lyase-like"/>
    <s v="Pyruvate formate lyase-like"/>
  </r>
  <r>
    <x v="1"/>
    <x v="7"/>
    <s v="OG0002150"/>
    <s v="Ofaveolata020701"/>
    <s v="Ssiderea012426"/>
    <n v="3.3788771999999998"/>
    <n v="-2.3781221000000001"/>
    <s v="Inverse"/>
    <s v="tolloid-like"/>
    <s v="Tolloid-like protein 2"/>
  </r>
  <r>
    <x v="1"/>
    <x v="7"/>
    <s v="OG0002249"/>
    <s v="Ofaveolata027035"/>
    <s v="Ssiderea018181"/>
    <n v="1.8983995300000001"/>
    <n v="-1.4956638"/>
    <s v="Inverse"/>
    <s v="NA"/>
    <s v="non-membrane spanning protein tyrosine kinase activity"/>
  </r>
  <r>
    <x v="1"/>
    <x v="7"/>
    <s v="OG0002250"/>
    <s v="Ofaveolata034202"/>
    <s v="Ssiderea053752"/>
    <n v="-1.8534059000000001"/>
    <n v="1.1155197400000001"/>
    <s v="Inverse"/>
    <s v="ATPase activity"/>
    <s v="ATPase activity"/>
  </r>
  <r>
    <x v="1"/>
    <x v="7"/>
    <s v="OG0002339"/>
    <s v="Ofaveolata024971"/>
    <s v="Ssiderea021220"/>
    <n v="2.4991828200000001"/>
    <n v="3.9820457"/>
    <s v="Direct"/>
    <s v="Synaptic vesicle membrane protein VAT-1 homolog"/>
    <s v="Synaptic vesicle membrane protein VAT-1 homolog"/>
  </r>
  <r>
    <x v="1"/>
    <x v="7"/>
    <s v="OG0002356"/>
    <s v="Ofaveolata031896"/>
    <s v="Ssiderea007305"/>
    <n v="-8.7090394999999994"/>
    <n v="-3.6039653"/>
    <s v="Direct"/>
    <s v="thioredoxin-disulfide reductase activity"/>
    <s v="thioredoxin-disulfide reductase activity"/>
  </r>
  <r>
    <x v="1"/>
    <x v="7"/>
    <s v="OG0002403"/>
    <s v="Ofaveolata006471"/>
    <s v="Ssiderea053334"/>
    <n v="3.21507209"/>
    <n v="-1.0833409000000001"/>
    <s v="Inverse"/>
    <s v="calcium-independent protein kinase C activity"/>
    <s v="calcium-independent protein kinase C activity"/>
  </r>
  <r>
    <x v="1"/>
    <x v="7"/>
    <s v="OG0002408"/>
    <s v="Ofaveolata007767"/>
    <s v="Ssiderea009243"/>
    <n v="3.8722783600000001"/>
    <n v="2.55956041"/>
    <s v="Direct"/>
    <s v="unfolded protein binding"/>
    <s v="unfolded protein binding"/>
  </r>
  <r>
    <x v="1"/>
    <x v="7"/>
    <s v="OG0002565"/>
    <s v="Ofaveolata022506"/>
    <s v="Ssiderea015571"/>
    <n v="-11.837503"/>
    <n v="-2.8020516999999998"/>
    <s v="Direct"/>
    <s v="metalloendopeptidase activity"/>
    <s v="metalloendopeptidase activity"/>
  </r>
  <r>
    <x v="1"/>
    <x v="7"/>
    <s v="OG0002587"/>
    <s v="Ofaveolata032340"/>
    <s v="Ssiderea046012"/>
    <n v="-2.2847499999999998"/>
    <n v="4.4933238600000003"/>
    <s v="Inverse"/>
    <s v="diphosphoinositol polyphosphate catabolic process"/>
    <s v="diphosphoinositol polyphosphate catabolic process"/>
  </r>
  <r>
    <x v="1"/>
    <x v="7"/>
    <s v="OG0002597"/>
    <s v="Ofaveolata028471"/>
    <s v="Ssiderea042652"/>
    <n v="1.12223162"/>
    <n v="4.9399126300000002"/>
    <s v="Direct"/>
    <s v="betaine-homocysteine S-methyltransferase activity"/>
    <s v="betaine-homocysteine S-methyltransferase activity"/>
  </r>
  <r>
    <x v="1"/>
    <x v="7"/>
    <s v="OG0002629"/>
    <s v="Ofaveolata013050"/>
    <s v="Ssiderea001426"/>
    <n v="-10.037088000000001"/>
    <n v="-32.513151999999998"/>
    <s v="Direct"/>
    <s v="adiponectin receptor"/>
    <s v="adiponectin receptor"/>
  </r>
  <r>
    <x v="1"/>
    <x v="7"/>
    <s v="OG0002635"/>
    <s v="Ofaveolata002384"/>
    <s v="Ssiderea012907"/>
    <n v="-1.5413718000000001"/>
    <n v="-1.1671396000000001"/>
    <s v="Direct"/>
    <s v="vesicle-mediated cholesterol transport"/>
    <s v="vesicle-mediated cholesterol transport"/>
  </r>
  <r>
    <x v="1"/>
    <x v="7"/>
    <s v="OG0002647"/>
    <s v="Ofaveolata014781"/>
    <s v="Ssiderea004696"/>
    <n v="1.5930897500000001"/>
    <n v="1.09418824"/>
    <s v="Direct"/>
    <s v="NA"/>
    <s v="RNA pyrophosphohydrolase activity"/>
  </r>
  <r>
    <x v="1"/>
    <x v="7"/>
    <s v="OG0002710"/>
    <s v="Ofaveolata023144"/>
    <s v="Ssiderea014675"/>
    <n v="8.2943194200000008"/>
    <n v="2.5395054500000001"/>
    <s v="Direct"/>
    <s v="Ubiquitin homologues"/>
    <s v="Ubiquitin homologues"/>
  </r>
  <r>
    <x v="1"/>
    <x v="7"/>
    <s v="OG0002736"/>
    <s v="Ofaveolata013974"/>
    <s v="Ssiderea043950"/>
    <n v="-1.1181528000000001"/>
    <n v="-3.4147015000000001"/>
    <s v="Direct"/>
    <s v="rRNA export from nucleus"/>
    <s v="rRNA export from nucleus"/>
  </r>
  <r>
    <x v="1"/>
    <x v="7"/>
    <s v="OG0002744"/>
    <s v="Ofaveolata005743"/>
    <s v="Ssiderea045482"/>
    <n v="2.5547095"/>
    <n v="1.42750223"/>
    <s v="Direct"/>
    <s v="NA"/>
    <s v="protein polyubiquitination"/>
  </r>
  <r>
    <x v="1"/>
    <x v="7"/>
    <s v="OG0002804"/>
    <s v="Ofaveolata010953"/>
    <s v="Ssiderea057082"/>
    <n v="1.0807378400000001"/>
    <n v="-1.8370675999999999"/>
    <s v="Inverse"/>
    <s v="GTPase activity"/>
    <s v="GTPase activity"/>
  </r>
  <r>
    <x v="1"/>
    <x v="7"/>
    <s v="OG0002864"/>
    <s v="Ofaveolata015612"/>
    <s v="Ssiderea000994"/>
    <n v="-2.6822365000000001"/>
    <n v="-1.7485554000000001"/>
    <s v="Direct"/>
    <s v="NA"/>
    <s v="NA"/>
  </r>
  <r>
    <x v="1"/>
    <x v="7"/>
    <s v="OG0002901"/>
    <s v="Ofaveolata000376"/>
    <s v="Ssiderea022059"/>
    <n v="-7.1083521999999997"/>
    <n v="1.7309617500000001"/>
    <s v="Inverse"/>
    <s v="serine-type endopeptidase activity"/>
    <s v="serine-type endopeptidase activity"/>
  </r>
  <r>
    <x v="1"/>
    <x v="7"/>
    <s v="OG0002916"/>
    <s v="Ofaveolata004977"/>
    <s v="Ssiderea046542"/>
    <n v="-1.5583286999999999"/>
    <n v="-2.6582347"/>
    <s v="Direct"/>
    <s v="negative regulation of histone acetylation"/>
    <s v="negative regulation of histone acetylation"/>
  </r>
  <r>
    <x v="1"/>
    <x v="7"/>
    <s v="OG0002933"/>
    <s v="Ofaveolata004714"/>
    <s v="Ssiderea042375"/>
    <n v="-6.1127656000000004"/>
    <n v="1.5615797300000001"/>
    <s v="Inverse"/>
    <s v="Disintegrin and metalloproteinase domain-containing protein"/>
    <s v="metalloendopeptidase activity"/>
  </r>
  <r>
    <x v="1"/>
    <x v="7"/>
    <s v="OG0002979"/>
    <s v="Ofaveolata014480"/>
    <s v="Ssiderea004457"/>
    <n v="-7.9714429999999998"/>
    <n v="-1.3131170999999999"/>
    <s v="Direct"/>
    <s v="polycystic kidney disease protein 1-like"/>
    <s v="detection of mechanical stimulus"/>
  </r>
  <r>
    <x v="1"/>
    <x v="7"/>
    <s v="OG0003046"/>
    <s v="Ofaveolata029525"/>
    <s v="Ssiderea054712"/>
    <n v="10.195027700000001"/>
    <n v="1.3304499400000001"/>
    <s v="Direct"/>
    <s v="Interferon induced with helicase C domain 1"/>
    <s v="Interferon induced with helicase C domain 1"/>
  </r>
  <r>
    <x v="1"/>
    <x v="7"/>
    <s v="OG0003076"/>
    <s v="Ofaveolata026396"/>
    <s v="Ssiderea038683"/>
    <n v="2.8648571999999999"/>
    <n v="12.1327359"/>
    <s v="Direct"/>
    <s v="abducens nerve formation"/>
    <s v="abducens nerve formation"/>
  </r>
  <r>
    <x v="1"/>
    <x v="7"/>
    <s v="OG0003165"/>
    <s v="Ofaveolata030220"/>
    <s v="Ssiderea027372"/>
    <n v="19.639681"/>
    <n v="2.4903128200000002"/>
    <s v="Direct"/>
    <s v="thioesterase binding"/>
    <s v="Tnf receptor-associated factor 2"/>
  </r>
  <r>
    <x v="1"/>
    <x v="7"/>
    <s v="OG0003243"/>
    <s v="Ofaveolata001106"/>
    <s v="Ssiderea022167"/>
    <n v="2.0994586000000002"/>
    <n v="-1.3135131"/>
    <s v="Inverse"/>
    <s v="PWWP domain containing 2B"/>
    <s v="chromatin binding"/>
  </r>
  <r>
    <x v="1"/>
    <x v="7"/>
    <s v="OG0003251"/>
    <s v="Ofaveolata013332"/>
    <s v="Ssiderea001097"/>
    <n v="-2.4745382"/>
    <n v="-2.539717"/>
    <s v="Direct"/>
    <s v="Endoribonuclease XendoU"/>
    <s v="endoribonuclease activity"/>
  </r>
  <r>
    <x v="1"/>
    <x v="7"/>
    <s v="OG0003286"/>
    <s v="Ofaveolata019014"/>
    <s v="Ssiderea020483"/>
    <n v="-28.351634000000001"/>
    <n v="-1.6553241000000001"/>
    <s v="Direct"/>
    <s v="Metalloendopeptidase activity. It is involved in the biological process described with proteolysis"/>
    <s v="Metalloendopeptidase activity. It is involved in the biological process described with proteolysis"/>
  </r>
  <r>
    <x v="1"/>
    <x v="7"/>
    <s v="OG0003288"/>
    <s v="Ofaveolata004908"/>
    <s v="Ssiderea011302"/>
    <n v="-1.0512079999999999"/>
    <n v="-1.4607821000000001"/>
    <s v="Direct"/>
    <s v="aldonic acid metabolic process"/>
    <s v="aldonic acid metabolic process"/>
  </r>
  <r>
    <x v="1"/>
    <x v="7"/>
    <s v="OG0003329"/>
    <s v="Ofaveolata025444"/>
    <s v="Ssiderea041964"/>
    <n v="-5.4572409999999998"/>
    <n v="1.63488236"/>
    <s v="Inverse"/>
    <s v="positive regulation of epithelial to mesenchymal transition"/>
    <s v="positive regulation of epithelial to mesenchymal transition"/>
  </r>
  <r>
    <x v="1"/>
    <x v="7"/>
    <s v="OG0003338"/>
    <s v="Ofaveolata019018"/>
    <s v="Ssiderea001798"/>
    <n v="-9.7793244999999995"/>
    <n v="-1.7170011000000001"/>
    <s v="Direct"/>
    <s v="krueppel associated box"/>
    <s v="krueppel associated box"/>
  </r>
  <r>
    <x v="1"/>
    <x v="7"/>
    <s v="OG0003340"/>
    <s v="Ofaveolata014269"/>
    <s v="Ssiderea054693"/>
    <n v="1.3277729899999999"/>
    <n v="1.0329216999999999"/>
    <s v="Direct"/>
    <s v="biological adhesion"/>
    <s v="biological adhesion"/>
  </r>
  <r>
    <x v="1"/>
    <x v="7"/>
    <s v="OG0003392"/>
    <s v="Ofaveolata023245"/>
    <s v="Ssiderea045990"/>
    <n v="1.8911528500000001"/>
    <n v="1.03158974"/>
    <s v="Direct"/>
    <s v="nitric-oxide synthase activity"/>
    <s v="nitric-oxide synthase activity"/>
  </r>
  <r>
    <x v="1"/>
    <x v="7"/>
    <s v="OG0003655"/>
    <s v="Ofaveolata022086"/>
    <s v="Ssiderea023002"/>
    <n v="2.28076591"/>
    <n v="1.42770164"/>
    <s v="Direct"/>
    <s v="nuclear factor of activated T-cells 5"/>
    <s v="nuclear factor of activated T-cells 5"/>
  </r>
  <r>
    <x v="1"/>
    <x v="7"/>
    <s v="OG0003656"/>
    <s v="Ofaveolata006266"/>
    <s v="Ssiderea032613"/>
    <n v="3.41419826"/>
    <n v="2.3562381499999998"/>
    <s v="Direct"/>
    <s v="ATPase activator activity"/>
    <s v="ATPase activator activity"/>
  </r>
  <r>
    <x v="1"/>
    <x v="7"/>
    <s v="OG0003684"/>
    <s v="Ofaveolata014115"/>
    <s v="Ssiderea003510"/>
    <n v="-1.0141222999999999"/>
    <n v="-10.052771"/>
    <s v="Direct"/>
    <s v="Component of the eukaryotic translation initiation factor 3 (eIF-3) complex, which is involved in protein synthesis and, together with other initiation factors, stimulates binding of mRNA and methionyl-tRNAi to the 40S ribosome"/>
    <s v="Component of the eukaryotic translation initiation factor 3 (eIF-3) complex, which is involved in protein synthesis and, together with other initiation factors, stimulates binding of mRNA and methionyl-tRNAi to the 40S ribosome"/>
  </r>
  <r>
    <x v="1"/>
    <x v="7"/>
    <s v="OG0003759"/>
    <s v="Ofaveolata019842"/>
    <s v="Ssiderea012242"/>
    <n v="4.3450116100000002"/>
    <n v="1.0947692"/>
    <s v="Direct"/>
    <s v="cytoskeletal anchoring at plasma membrane"/>
    <s v="cytoskeletal anchoring at plasma membrane"/>
  </r>
  <r>
    <x v="1"/>
    <x v="7"/>
    <s v="OG0003790"/>
    <s v="Ofaveolata028664"/>
    <s v="Ssiderea042837"/>
    <n v="1.30974938"/>
    <n v="1.3159241500000001"/>
    <s v="Direct"/>
    <s v="negative regulation of smooth muscle cell differentiation"/>
    <s v="histone-lysine N-methyltransferase PRDM6"/>
  </r>
  <r>
    <x v="1"/>
    <x v="7"/>
    <s v="OG0003815"/>
    <s v="Ofaveolata028767"/>
    <s v="Ssiderea027809"/>
    <n v="-2.3891011"/>
    <n v="-11.24295"/>
    <s v="Direct"/>
    <s v="PPIases accelerate the folding of proteins. It catalyzes the cis-trans isomerization of proline imidic peptide bonds in oligopeptides"/>
    <s v="PPIases accelerate the folding of proteins. It catalyzes the cis-trans isomerization of proline imidic peptide bonds in oligopeptides"/>
  </r>
  <r>
    <x v="1"/>
    <x v="7"/>
    <s v="OG0003817"/>
    <s v="Ofaveolata029878"/>
    <s v="Ssiderea024108"/>
    <n v="-2.6248895999999999"/>
    <n v="-1.9030362000000001"/>
    <s v="Direct"/>
    <s v="U4 U6 small nuclear ribonucleoprotein"/>
    <s v="U4 U6 small nuclear ribonucleoprotein"/>
  </r>
  <r>
    <x v="1"/>
    <x v="7"/>
    <s v="OG0003821"/>
    <s v="Ofaveolata001887"/>
    <s v="Ssiderea050427"/>
    <n v="-21.905552"/>
    <n v="-1.29372"/>
    <s v="Direct"/>
    <s v="negative regulation of canonical Wnt signaling pathway involved in cardiac muscle cell fate commitment"/>
    <s v="negative regulation of canonical Wnt signaling pathway involved in cardiac muscle cell fate commitment"/>
  </r>
  <r>
    <x v="1"/>
    <x v="7"/>
    <s v="OG0003844"/>
    <s v="Ofaveolata032467"/>
    <s v="Ssiderea034725"/>
    <n v="-2.8994241999999999"/>
    <n v="-3.4199635000000002"/>
    <s v="Direct"/>
    <s v="purine-rich negative regulatory element binding"/>
    <s v="purine-rich negative regulatory element binding"/>
  </r>
  <r>
    <x v="1"/>
    <x v="7"/>
    <s v="OG0003875"/>
    <s v="Ofaveolata029412"/>
    <s v="Ssiderea032926"/>
    <n v="6.3977542500000002"/>
    <n v="1.25257269"/>
    <s v="Direct"/>
    <s v="DUF167"/>
    <s v="DUF167"/>
  </r>
  <r>
    <x v="1"/>
    <x v="7"/>
    <s v="OG0003896"/>
    <s v="Ofaveolata014756"/>
    <s v="Ssiderea004756"/>
    <n v="-3.7448918999999998"/>
    <n v="-2.3542089000000002"/>
    <s v="Direct"/>
    <s v="zinc ion transmembrane transporter activity"/>
    <s v="zinc ion transmembrane transporter activity"/>
  </r>
  <r>
    <x v="1"/>
    <x v="7"/>
    <s v="OG0003901"/>
    <s v="Ofaveolata009315"/>
    <s v="Ssiderea035673"/>
    <n v="1.50395279"/>
    <n v="2.7654665399999998"/>
    <s v="Direct"/>
    <s v="mitochondrial transport"/>
    <s v="mitochondrial transport"/>
  </r>
  <r>
    <x v="1"/>
    <x v="7"/>
    <s v="OG0003924"/>
    <s v="Ofaveolata020969"/>
    <s v="Ssiderea012181"/>
    <n v="-1.1426212"/>
    <n v="-2.5736572999999998"/>
    <s v="Direct"/>
    <s v="ribosomal protein"/>
    <s v="ribosomal protein"/>
  </r>
  <r>
    <x v="1"/>
    <x v="7"/>
    <s v="OG0003926"/>
    <s v="Ofaveolata020989"/>
    <s v="Ssiderea012318"/>
    <n v="-1.3686765000000001"/>
    <n v="-4.0585057000000004"/>
    <s v="Direct"/>
    <s v="positive regulation of DNA N-glycosylase activity"/>
    <s v="positive regulation of DNA N-glycosylase activity"/>
  </r>
  <r>
    <x v="1"/>
    <x v="7"/>
    <s v="OG0003933"/>
    <s v="Ofaveolata010196"/>
    <s v="Ssiderea054848"/>
    <n v="-3.5314168000000001"/>
    <n v="1.0604299399999999"/>
    <s v="Inverse"/>
    <s v="arachidonate 5-lipoxygenase activity"/>
    <s v="arachidonate 5-lipoxygenase activity"/>
  </r>
  <r>
    <x v="1"/>
    <x v="7"/>
    <s v="OG0003938"/>
    <s v="Ofaveolata034028"/>
    <s v="Ssiderea031960"/>
    <n v="1.81910539"/>
    <n v="3.8750926799999998"/>
    <s v="Direct"/>
    <s v="protein kinase activity"/>
    <s v="myosin light chain kinase activity"/>
  </r>
  <r>
    <x v="1"/>
    <x v="7"/>
    <s v="OG0003951"/>
    <s v="Ofaveolata017695"/>
    <s v="Ssiderea046918"/>
    <n v="-1.5801263999999999"/>
    <n v="-2.0689253999999999"/>
    <s v="Direct"/>
    <s v="positive regulation of TOR signaling"/>
    <s v="positive regulation of TOR signaling"/>
  </r>
  <r>
    <x v="1"/>
    <x v="7"/>
    <s v="OG0004022"/>
    <s v="Ofaveolata027837"/>
    <s v="Ssiderea035419"/>
    <n v="-2.7324248"/>
    <n v="1.9875044500000001"/>
    <s v="Inverse"/>
    <s v="Calponin homology domain"/>
    <s v="regulation of membrane repolarization during atrial cardiac muscle cell action potential"/>
  </r>
  <r>
    <x v="1"/>
    <x v="7"/>
    <s v="OG0004023"/>
    <s v="Ofaveolata010883"/>
    <s v="Ssiderea019896"/>
    <n v="-1.0816543999999999"/>
    <n v="-1.3972807"/>
    <s v="Direct"/>
    <s v="EF-hand domain pair"/>
    <s v="GTPase activity"/>
  </r>
  <r>
    <x v="1"/>
    <x v="7"/>
    <s v="OG0004033"/>
    <s v="Ofaveolata002545"/>
    <s v="Ssiderea013074"/>
    <n v="-1.1362757000000001"/>
    <n v="2.3573519699999999"/>
    <s v="Inverse"/>
    <s v="metalloaminopeptidase activity"/>
    <s v="metalloaminopeptidase activity"/>
  </r>
  <r>
    <x v="1"/>
    <x v="7"/>
    <s v="OG0004061"/>
    <s v="Ofaveolata033070"/>
    <s v="Ssiderea026122"/>
    <n v="1.41020375"/>
    <n v="1.0898088100000001"/>
    <s v="Direct"/>
    <s v="NA"/>
    <s v="TNFAIP3 interacting protein 1"/>
  </r>
  <r>
    <x v="1"/>
    <x v="7"/>
    <s v="OG0004075"/>
    <s v="Ofaveolata010918"/>
    <s v="Ssiderea019927"/>
    <n v="-5.3106248999999996"/>
    <n v="-2.5277715000000001"/>
    <s v="Direct"/>
    <s v="L-gulonolactone oxidase-like"/>
    <s v="L-gulonolactone oxidase-like"/>
  </r>
  <r>
    <x v="1"/>
    <x v="7"/>
    <s v="OG0004083"/>
    <s v="Ofaveolata005246"/>
    <s v="Ssiderea010152"/>
    <n v="1.79634345"/>
    <n v="2.4185861900000001"/>
    <s v="Direct"/>
    <s v="PEST proteolytic signal containing nuclear protein"/>
    <s v="PEST proteolytic signal containing nuclear protein"/>
  </r>
  <r>
    <x v="1"/>
    <x v="7"/>
    <s v="OG0004128"/>
    <s v="Ofaveolata024768"/>
    <s v="Ssiderea016836"/>
    <n v="1.2661311799999999"/>
    <n v="-1.3270423"/>
    <s v="Inverse"/>
    <s v="dolichyl-phosphate beta-D-mannosyltransferase activity"/>
    <s v="Dolichol-phosphate mannosyltransferase"/>
  </r>
  <r>
    <x v="1"/>
    <x v="7"/>
    <s v="OG0004157"/>
    <s v="Ofaveolata013390"/>
    <s v="Ssiderea001211"/>
    <n v="-2.2362261999999999"/>
    <n v="-3.3474653999999999"/>
    <s v="Direct"/>
    <s v="lens induction in camera-type eye"/>
    <s v="lens induction in camera-type eye"/>
  </r>
  <r>
    <x v="1"/>
    <x v="7"/>
    <s v="OG0004163"/>
    <s v="Ofaveolata009307"/>
    <s v="Ssiderea035615"/>
    <n v="-2.8225050999999999"/>
    <n v="-2.4366992000000001"/>
    <s v="Direct"/>
    <s v="neurogenic locus notch homolog protein"/>
    <s v="neurogenic locus notch homolog protein"/>
  </r>
  <r>
    <x v="1"/>
    <x v="7"/>
    <s v="OG0004183"/>
    <s v="Ofaveolata029083"/>
    <s v="Ssiderea013771"/>
    <n v="-5.2118715"/>
    <n v="-2.3049618999999999"/>
    <s v="Direct"/>
    <s v="calcium, potassium:sodium antiporter activity"/>
    <s v="calcium, potassium:sodium antiporter activity"/>
  </r>
  <r>
    <x v="1"/>
    <x v="7"/>
    <s v="OG0004184"/>
    <s v="Ofaveolata003086"/>
    <s v="Ssiderea024682"/>
    <n v="-27.011185999999999"/>
    <n v="-1.4726583"/>
    <s v="Direct"/>
    <s v="NA"/>
    <s v="NA"/>
  </r>
  <r>
    <x v="1"/>
    <x v="7"/>
    <s v="OG0004188"/>
    <s v="Ofaveolata019010"/>
    <s v="Ssiderea001814"/>
    <n v="-2.0658856000000001"/>
    <n v="-1.7656189"/>
    <s v="Direct"/>
    <s v="Belongs to the metallo-dependent hydrolases superfamily. Adenosine and AMP deaminases family"/>
    <s v="Belongs to the metallo-dependent hydrolases superfamily. Adenosine and AMP deaminases family"/>
  </r>
  <r>
    <x v="1"/>
    <x v="7"/>
    <s v="OG0004196"/>
    <s v="Ofaveolata033413"/>
    <s v="Ssiderea040202"/>
    <n v="-3.3346412000000001"/>
    <n v="-3.4278767000000001"/>
    <s v="Direct"/>
    <s v="Calcium ion binding. It is involved in the biological process described with protein folding"/>
    <s v="Calcium ion binding. It is involved in the biological process described with protein folding"/>
  </r>
  <r>
    <x v="1"/>
    <x v="7"/>
    <s v="OG0004217"/>
    <s v="Ofaveolata001100"/>
    <s v="Ssiderea022172"/>
    <n v="-5.1303121000000003"/>
    <n v="-1.7284166000000001"/>
    <s v="Direct"/>
    <s v="TIA1 cytotoxic granule-associated RNA binding protein-like 1"/>
    <s v="Nucleolysin TIA-1 isoform"/>
  </r>
  <r>
    <x v="1"/>
    <x v="7"/>
    <s v="OG0004218"/>
    <s v="Ofaveolata029913"/>
    <s v="Ssiderea024176"/>
    <n v="1.2473380300000001"/>
    <n v="-1.5488929"/>
    <s v="Inverse"/>
    <s v="otolith formation"/>
    <s v="otolith formation"/>
  </r>
  <r>
    <x v="1"/>
    <x v="7"/>
    <s v="OG0004267"/>
    <s v="Ofaveolata010351"/>
    <s v="Ssiderea045274"/>
    <n v="-1.2677011"/>
    <n v="1.02781254"/>
    <s v="Inverse"/>
    <s v="protein KIAA2026 homolog"/>
    <s v="bromo domain"/>
  </r>
  <r>
    <x v="1"/>
    <x v="7"/>
    <s v="OG0004273"/>
    <s v="Ofaveolata010227"/>
    <s v="Ssiderea045314"/>
    <n v="-3.5255885"/>
    <n v="-1.3049241"/>
    <s v="Direct"/>
    <s v="NA"/>
    <s v="structural constituent of cuticle"/>
  </r>
  <r>
    <x v="1"/>
    <x v="7"/>
    <s v="OG0004300"/>
    <s v="Ofaveolata001752"/>
    <s v="Ssiderea026962"/>
    <n v="-3.3460990000000002"/>
    <n v="-13.437346"/>
    <s v="Direct"/>
    <s v="adenosine kinase activity"/>
    <s v="adenosine kinase activity"/>
  </r>
  <r>
    <x v="1"/>
    <x v="7"/>
    <s v="OG0004309"/>
    <s v="Ofaveolata012820"/>
    <s v="Ssiderea058313"/>
    <n v="2.8319121300000001"/>
    <n v="-1.0849773"/>
    <s v="Inverse"/>
    <s v="Peptidyl-prolyl cis-trans isomerase"/>
    <s v="Peptidyl-prolyl cis-trans isomerase"/>
  </r>
  <r>
    <x v="1"/>
    <x v="7"/>
    <s v="OG0004325"/>
    <s v="Ofaveolata005875"/>
    <s v="Ssiderea047890"/>
    <n v="-2.3129263"/>
    <n v="-1.7164565000000001"/>
    <s v="Direct"/>
    <s v="sphingolipid delta-4 desaturase activity"/>
    <s v="sphingolipid delta-4 desaturase activity"/>
  </r>
  <r>
    <x v="1"/>
    <x v="7"/>
    <s v="OG0004341"/>
    <s v="Ofaveolata013097"/>
    <s v="Ssiderea001380"/>
    <n v="-3.5426302999999999"/>
    <n v="-1.6456527000000001"/>
    <s v="Direct"/>
    <s v="Activating molecule in BECN1-regulated autophagy protein"/>
    <s v="Activating molecule in BECN1-regulated autophagy protein"/>
  </r>
  <r>
    <x v="1"/>
    <x v="7"/>
    <s v="OG0004351"/>
    <s v="Ofaveolata013501"/>
    <s v="Ssiderea000397"/>
    <n v="-3.2119219000000001"/>
    <n v="-1.7881374000000001"/>
    <s v="Direct"/>
    <s v="actin filament severing"/>
    <s v="actin filament severing"/>
  </r>
  <r>
    <x v="1"/>
    <x v="7"/>
    <s v="OG0004354"/>
    <s v="Ofaveolata017133"/>
    <s v="Ssiderea052667"/>
    <n v="-7.2602684000000002"/>
    <n v="-2.4703461999999998"/>
    <s v="Direct"/>
    <s v="NA"/>
    <s v="regulation of BMP signaling pathway"/>
  </r>
  <r>
    <x v="1"/>
    <x v="7"/>
    <s v="OG0004404"/>
    <s v="Ofaveolata010574"/>
    <s v="Ssiderea045386"/>
    <n v="3.0033096100000001"/>
    <n v="2.8327009799999998"/>
    <s v="Direct"/>
    <s v="Belongs to the G-protein coupled receptor Fz Smo family"/>
    <s v="frizzled-related protein"/>
  </r>
  <r>
    <x v="1"/>
    <x v="7"/>
    <s v="OG0004430"/>
    <s v="Ofaveolata032952"/>
    <s v="Ssiderea047228"/>
    <n v="-20.767533"/>
    <n v="-2.1713212999999998"/>
    <s v="Direct"/>
    <s v="GPCR-Autoproteolysis INducing (GAIN) domain"/>
    <s v="GPCR-Autoproteolysis INducing (GAIN) domain"/>
  </r>
  <r>
    <x v="1"/>
    <x v="7"/>
    <s v="OG0004437"/>
    <s v="Ofaveolata024852"/>
    <s v="Ssiderea020916"/>
    <n v="13.085755799999999"/>
    <n v="4.43083896"/>
    <s v="Direct"/>
    <s v="abducens nerve formation"/>
    <s v="abducens nerve formation"/>
  </r>
  <r>
    <x v="1"/>
    <x v="7"/>
    <s v="OG0004469"/>
    <s v="Ofaveolata020047"/>
    <s v="Ssiderea056512"/>
    <n v="-2.8151166000000001"/>
    <n v="-2.4573358999999999"/>
    <s v="Direct"/>
    <s v="Nucleoporin"/>
    <s v="Nucleoporin"/>
  </r>
  <r>
    <x v="1"/>
    <x v="7"/>
    <s v="OG0004489"/>
    <s v="Ofaveolata011442"/>
    <s v="Ssiderea019354"/>
    <n v="1.6112867"/>
    <n v="1.5563360900000001"/>
    <s v="Direct"/>
    <s v="protein phosphatase inhibitor activity"/>
    <s v="protein phosphatase inhibitor activity"/>
  </r>
  <r>
    <x v="1"/>
    <x v="7"/>
    <s v="OG0004514"/>
    <s v="Ofaveolata032377"/>
    <s v="Ssiderea034972"/>
    <n v="-1.1995226999999999"/>
    <n v="1.8986291200000001"/>
    <s v="Inverse"/>
    <s v="NA"/>
    <s v="condensed mesenchymal cell proliferation"/>
  </r>
  <r>
    <x v="1"/>
    <x v="7"/>
    <s v="OG0004522"/>
    <s v="Ofaveolata032820"/>
    <s v="Ssiderea053812"/>
    <n v="-7.0409642000000003"/>
    <n v="-3.6882606"/>
    <s v="Direct"/>
    <s v="NA"/>
    <s v="ubiquitin binding"/>
  </r>
  <r>
    <x v="1"/>
    <x v="7"/>
    <s v="OG0004546"/>
    <s v="Ofaveolata028893"/>
    <s v="Ssiderea014319"/>
    <n v="2.1143271800000001"/>
    <n v="3.6666444500000002"/>
    <s v="Direct"/>
    <s v="NA"/>
    <s v="Hemicentin 1"/>
  </r>
  <r>
    <x v="1"/>
    <x v="7"/>
    <s v="OG0004583"/>
    <s v="Ofaveolata014339"/>
    <s v="Ssiderea004623"/>
    <n v="-4.5568996000000004"/>
    <n v="-1.2818448"/>
    <s v="Direct"/>
    <s v="NA"/>
    <s v="GPI anchor biosynthetic process"/>
  </r>
  <r>
    <x v="1"/>
    <x v="7"/>
    <s v="OG0004608"/>
    <s v="Ofaveolata003157"/>
    <s v="Ssiderea030253"/>
    <n v="-3.2760362000000001"/>
    <n v="-3.3467563"/>
    <s v="Direct"/>
    <s v="ciliary basal body organization"/>
    <s v="Rootletin"/>
  </r>
  <r>
    <x v="1"/>
    <x v="7"/>
    <s v="OG0004628"/>
    <s v="Ofaveolata027059"/>
    <s v="Ssiderea042164"/>
    <n v="-1.0413139"/>
    <n v="-3.1148243"/>
    <s v="Direct"/>
    <s v="glycerol ether metabolic process"/>
    <s v="glycerol ether metabolic process"/>
  </r>
  <r>
    <x v="1"/>
    <x v="7"/>
    <s v="OG0004650"/>
    <s v="Ofaveolata034244"/>
    <s v="Ssiderea053590"/>
    <n v="-5.9174325000000003"/>
    <n v="-13.497221"/>
    <s v="Direct"/>
    <s v="ATPase activity, coupled to transmembrane movement of substances"/>
    <s v="ATPase activity, coupled to transmembrane movement of substances"/>
  </r>
  <r>
    <x v="1"/>
    <x v="7"/>
    <s v="OG0004661"/>
    <s v="Ofaveolata019723"/>
    <s v="Ssiderea011990"/>
    <n v="-4.8381284000000004"/>
    <n v="-4.2539828000000002"/>
    <s v="Direct"/>
    <s v="ATP-dependent chromatin remodeling"/>
    <s v="ATP-dependent chromatin remodeling"/>
  </r>
  <r>
    <x v="1"/>
    <x v="7"/>
    <s v="OG0004673"/>
    <s v="Ofaveolata007491"/>
    <s v="Ssiderea044424"/>
    <n v="2.55462882"/>
    <n v="-1.3270423"/>
    <s v="Inverse"/>
    <s v="hydrolase activity, acting on ester bonds"/>
    <s v="hydrolase activity, acting on ester bonds"/>
  </r>
  <r>
    <x v="1"/>
    <x v="7"/>
    <s v="OG0004710"/>
    <s v="Ofaveolata015394"/>
    <s v="Ssiderea038280"/>
    <n v="1.0535938899999999"/>
    <n v="1.8038557099999999"/>
    <s v="Direct"/>
    <s v="cyclin-dependent protein serine/threonine kinase activity"/>
    <s v="cyclin-dependent protein serine/threonine kinase activity"/>
  </r>
  <r>
    <x v="1"/>
    <x v="7"/>
    <s v="OG0004717"/>
    <s v="Ofaveolata000530"/>
    <s v="Ssiderea029232"/>
    <n v="-3.9681508999999999"/>
    <n v="-1.9942534000000001"/>
    <s v="Direct"/>
    <s v="formation of cytoplasmic translation initiation complex"/>
    <s v="formation of cytoplasmic translation initiation complex"/>
  </r>
  <r>
    <x v="1"/>
    <x v="7"/>
    <s v="OG0004729"/>
    <s v="Ofaveolata033694"/>
    <s v="Ssiderea053628"/>
    <n v="2.2716951399999998"/>
    <n v="-1.3004643"/>
    <s v="Inverse"/>
    <s v="methyltransferase activity"/>
    <s v="Lysine methyltransferase"/>
  </r>
  <r>
    <x v="1"/>
    <x v="7"/>
    <s v="OG0004739"/>
    <s v="Ofaveolata028816"/>
    <s v="Ssiderea014506"/>
    <n v="-6.2858444000000002"/>
    <n v="-3.7023362999999998"/>
    <s v="Direct"/>
    <s v="calcium ion binding"/>
    <s v="calcium ion binding"/>
  </r>
  <r>
    <x v="1"/>
    <x v="7"/>
    <s v="OG0004762"/>
    <s v="Ofaveolata017091"/>
    <s v="Ssiderea054520"/>
    <n v="-1.7982514999999999"/>
    <n v="-1.0195506000000001"/>
    <s v="Direct"/>
    <s v="actin filament polymerization"/>
    <s v="actin filament polymerization"/>
  </r>
  <r>
    <x v="1"/>
    <x v="7"/>
    <s v="OG0004782"/>
    <s v="Ofaveolata030261"/>
    <s v="Ssiderea027515"/>
    <n v="3.3736989799999999"/>
    <n v="-3.0713784"/>
    <s v="Inverse"/>
    <s v="O-methyltransferase activity"/>
    <s v="O-methyltransferase activity"/>
  </r>
  <r>
    <x v="1"/>
    <x v="7"/>
    <s v="OG0004784"/>
    <s v="Ofaveolata017528"/>
    <s v="Ssiderea018523"/>
    <n v="-1.2532361999999999"/>
    <n v="-2.3218776000000001"/>
    <s v="Direct"/>
    <s v="Putative Interleukin 2 receptor, gamma chain"/>
    <s v="Putative Interleukin 2 receptor, gamma chain"/>
  </r>
  <r>
    <x v="1"/>
    <x v="7"/>
    <s v="OG0004805"/>
    <s v="Ofaveolata022645"/>
    <s v="Ssiderea050118"/>
    <n v="-1.9428886000000001"/>
    <n v="-1.4528433000000001"/>
    <s v="Direct"/>
    <s v="cellular response to glucose starvation"/>
    <s v="cellular response to glucose starvation"/>
  </r>
  <r>
    <x v="1"/>
    <x v="7"/>
    <s v="OG0004837"/>
    <s v="Ofaveolata013896"/>
    <s v="Ssiderea044113"/>
    <n v="-1.1465110999999999"/>
    <n v="-1.3171214"/>
    <s v="Direct"/>
    <s v="GTP binding protein 1"/>
    <s v="GTP binding protein 1"/>
  </r>
  <r>
    <x v="1"/>
    <x v="7"/>
    <s v="OG0004847"/>
    <s v="Ofaveolata005316"/>
    <s v="Ssiderea015822"/>
    <n v="-1.6077117000000001"/>
    <n v="-1.2786124999999999"/>
    <s v="Direct"/>
    <s v="NA"/>
    <s v="chromatin binding"/>
  </r>
  <r>
    <x v="1"/>
    <x v="7"/>
    <s v="OG0004900"/>
    <s v="Ofaveolata033196"/>
    <s v="Ssiderea026246"/>
    <n v="-3.0293752999999999"/>
    <n v="-2.2572825999999999"/>
    <s v="Direct"/>
    <s v="Protein of unknown function (DUF1387)"/>
    <s v="Protein of unknown function (DUF1387)"/>
  </r>
  <r>
    <x v="1"/>
    <x v="7"/>
    <s v="OG0004922"/>
    <s v="Ofaveolata010215"/>
    <s v="Ssiderea045336"/>
    <n v="-2.4107297000000001"/>
    <n v="-4.1660693000000002"/>
    <s v="Direct"/>
    <s v="BIR domain binding"/>
    <s v="BIR domain binding"/>
  </r>
  <r>
    <x v="1"/>
    <x v="7"/>
    <s v="OG0004934"/>
    <s v="Ofaveolata026942"/>
    <s v="Ssiderea017976"/>
    <n v="1.5285376399999999"/>
    <n v="-1.9251133"/>
    <s v="Inverse"/>
    <s v="Phosphatidic acid phosphatase type 2B"/>
    <s v="Phosphatidic acid phosphatase type 2B"/>
  </r>
  <r>
    <x v="1"/>
    <x v="7"/>
    <s v="OG0004937"/>
    <s v="Ofaveolata022467"/>
    <s v="Ssiderea015156"/>
    <n v="-3.4837636000000001"/>
    <n v="-2.5724543999999998"/>
    <s v="Direct"/>
    <s v="protein serine/threonine phosphatase activity"/>
    <s v="protein serine/threonine phosphatase activity"/>
  </r>
  <r>
    <x v="1"/>
    <x v="7"/>
    <s v="OG0004972"/>
    <s v="Ofaveolata013189"/>
    <s v="Ssiderea000852"/>
    <n v="1.0608213099999999"/>
    <n v="2.4799916899999999"/>
    <s v="Direct"/>
    <s v="Formin-binding protein 4"/>
    <s v="Domain with 2 conserved Trp (W) residues"/>
  </r>
  <r>
    <x v="1"/>
    <x v="7"/>
    <s v="OG0004978"/>
    <s v="Ofaveolata014006"/>
    <s v="Ssiderea043935"/>
    <n v="6.4552405300000002"/>
    <n v="5.4795013800000003"/>
    <s v="Direct"/>
    <s v="Histone H1-delta-like"/>
    <s v="Histone H1-delta-like"/>
  </r>
  <r>
    <x v="1"/>
    <x v="7"/>
    <s v="OG0004995"/>
    <s v="Ofaveolata032658"/>
    <s v="Ssiderea052004"/>
    <n v="-1.0501818000000001"/>
    <n v="-1.5549113999999999"/>
    <s v="Direct"/>
    <s v="26s proteasome non-ATPase regulatory subunit"/>
    <s v="26s proteasome non-ATPase regulatory subunit"/>
  </r>
  <r>
    <x v="1"/>
    <x v="7"/>
    <s v="OG0005009"/>
    <s v="Ofaveolata012900"/>
    <s v="Ssiderea001517"/>
    <n v="2.7084203599999999"/>
    <n v="1.2656635000000001"/>
    <s v="Direct"/>
    <s v="positive regulation of smoothened signaling pathway"/>
    <s v="Signal peptide, CUB and EGF-like domain-containing protein 3"/>
  </r>
  <r>
    <x v="1"/>
    <x v="7"/>
    <s v="OG0005039"/>
    <s v="Ofaveolata015148"/>
    <s v="Ssiderea051151"/>
    <n v="7.3936257799999998"/>
    <n v="2.8015412999999998"/>
    <s v="Direct"/>
    <s v="NA"/>
    <s v="calcium ion-regulated exocytosis of neurotransmitter"/>
  </r>
  <r>
    <x v="1"/>
    <x v="7"/>
    <s v="OG0005057"/>
    <s v="Ofaveolata025069"/>
    <s v="Ssiderea021417"/>
    <n v="1.5555180099999999"/>
    <n v="-1.3344568000000001"/>
    <s v="Inverse"/>
    <s v="G-protein beta/gamma-subunit complex binding"/>
    <s v="G-protein beta/gamma-subunit complex binding"/>
  </r>
  <r>
    <x v="1"/>
    <x v="7"/>
    <s v="OG0005065"/>
    <s v="Ofaveolata024646"/>
    <s v="Ssiderea017215"/>
    <n v="-2.1807652000000002"/>
    <n v="-1.5623453"/>
    <s v="Direct"/>
    <s v="Pyridine nucleotide-disulfide oxidoreductase domain-containing protein"/>
    <s v="Pyridine nucleotide-disulfide oxidoreductase domain-containing protein"/>
  </r>
  <r>
    <x v="1"/>
    <x v="7"/>
    <s v="OG0005079"/>
    <s v="Ofaveolata015212"/>
    <s v="Ssiderea051106"/>
    <n v="-2.3041084000000001"/>
    <n v="-1.3912001000000001"/>
    <s v="Direct"/>
    <s v="zinc ion binding"/>
    <s v="zinc ion binding"/>
  </r>
  <r>
    <x v="1"/>
    <x v="7"/>
    <s v="OG0005139"/>
    <s v="Ofaveolata004470"/>
    <s v="Ssiderea053264"/>
    <n v="-17.139182000000002"/>
    <n v="-3.0735108000000002"/>
    <s v="Direct"/>
    <s v="GXGXG motif"/>
    <s v="glutamate synthase (NADH) activity. It is involved in the biological process described with oxidation-reduction process"/>
  </r>
  <r>
    <x v="1"/>
    <x v="7"/>
    <s v="OG0005170"/>
    <s v="Ofaveolata011456"/>
    <s v="Ssiderea019366"/>
    <n v="-3.3646805999999998"/>
    <n v="1.05192891"/>
    <s v="Inverse"/>
    <s v="NA"/>
    <s v="negative regulation of brain-derived neurotrophic factor receptor signaling pathway"/>
  </r>
  <r>
    <x v="1"/>
    <x v="7"/>
    <s v="OG0005202"/>
    <s v="Ofaveolata009625"/>
    <s v="Ssiderea051631"/>
    <n v="-1.1402023999999999"/>
    <n v="-2.1422832999999999"/>
    <s v="Direct"/>
    <s v="RNA splicing"/>
    <s v="RNA splicing"/>
  </r>
  <r>
    <x v="1"/>
    <x v="7"/>
    <s v="OG0005227"/>
    <s v="Ofaveolata014830"/>
    <s v="Ssiderea004549"/>
    <n v="-1.3432999000000001"/>
    <n v="1.4373829499999999"/>
    <s v="Inverse"/>
    <s v="protein complex 5, zeta 1 subunit"/>
    <s v="protein complex 5, zeta 1 subunit"/>
  </r>
  <r>
    <x v="1"/>
    <x v="7"/>
    <s v="OG0005235"/>
    <s v="Ofaveolata034414"/>
    <s v="Ssiderea057299"/>
    <n v="-3.2929580999999999"/>
    <n v="1.4783069499999999"/>
    <s v="Inverse"/>
    <s v="DNA binding"/>
    <s v="DNA binding"/>
  </r>
  <r>
    <x v="1"/>
    <x v="7"/>
    <s v="OG0005264"/>
    <s v="Ofaveolata029747"/>
    <s v="Ssiderea023767"/>
    <n v="-2.6461318999999999"/>
    <n v="-3.1235745000000001"/>
    <s v="Direct"/>
    <s v="HD domain"/>
    <s v="HD domain"/>
  </r>
  <r>
    <x v="1"/>
    <x v="7"/>
    <s v="OG0005269"/>
    <s v="Ofaveolata033406"/>
    <s v="Ssiderea040225"/>
    <n v="-3.9572782000000002"/>
    <n v="-9.1943856999999998"/>
    <s v="Direct"/>
    <s v="supervillin"/>
    <s v="supervillin"/>
  </r>
  <r>
    <x v="1"/>
    <x v="7"/>
    <s v="OG0005321"/>
    <s v="Ofaveolata032268"/>
    <s v="Ssiderea006977"/>
    <n v="-2.8358048"/>
    <n v="-2.9958735999999999"/>
    <s v="Direct"/>
    <s v="Translocon-associated protein, delta subunit precursor (TRAP-delta)"/>
    <s v="Translocon-associated protein, delta subunit precursor (TRAP-delta)"/>
  </r>
  <r>
    <x v="1"/>
    <x v="7"/>
    <s v="OG0005407"/>
    <s v="Ofaveolata014376"/>
    <s v="Ssiderea004853"/>
    <n v="-4.2195840999999996"/>
    <n v="-4.0116288000000004"/>
    <s v="Direct"/>
    <s v="glycine biosynthetic process from serine"/>
    <s v="glycine biosynthetic process from serine"/>
  </r>
  <r>
    <x v="1"/>
    <x v="7"/>
    <s v="OG0005424"/>
    <s v="Ofaveolata008015"/>
    <s v="Ssiderea009517"/>
    <n v="-3.9897171999999999"/>
    <n v="-1.6891601999999999"/>
    <s v="Direct"/>
    <s v="regulation of T cell differentiation in thymus"/>
    <s v="regulation of T cell differentiation in thymus"/>
  </r>
  <r>
    <x v="1"/>
    <x v="7"/>
    <s v="OG0005468"/>
    <s v="Ofaveolata019772"/>
    <s v="Ssiderea012090"/>
    <n v="3.0390354400000001"/>
    <n v="-1.0050195"/>
    <s v="Inverse"/>
    <s v="Peptidyl-prolyl cis-trans isomerase"/>
    <s v="Peptidyl-prolyl cis-trans isomerase"/>
  </r>
  <r>
    <x v="1"/>
    <x v="7"/>
    <s v="OG0005477"/>
    <s v="Ofaveolata019329"/>
    <s v="Ssiderea011427"/>
    <n v="-6.1637909999999998"/>
    <n v="-1.1805082"/>
    <s v="Direct"/>
    <s v="enoyl-CoA hydratase isomerase family"/>
    <s v="enoyl-CoA hydratase isomerase family"/>
  </r>
  <r>
    <x v="1"/>
    <x v="7"/>
    <s v="OG0005495"/>
    <s v="Ofaveolata027484"/>
    <s v="Ssiderea036686"/>
    <n v="-1.0704408000000001"/>
    <n v="-1.5232262999999999"/>
    <s v="Direct"/>
    <s v="guanyl-nucleotide exchange factor activity"/>
    <s v="guanyl-nucleotide exchange factor activity"/>
  </r>
  <r>
    <x v="1"/>
    <x v="7"/>
    <s v="OG0005508"/>
    <s v="Ofaveolata032883"/>
    <s v="Ssiderea055252"/>
    <n v="2.2575492800000001"/>
    <n v="-1.0568993"/>
    <s v="Inverse"/>
    <s v="NA"/>
    <s v="NA"/>
  </r>
  <r>
    <x v="1"/>
    <x v="7"/>
    <s v="OG0005535"/>
    <s v="Ofaveolata029877"/>
    <s v="Ssiderea024107"/>
    <n v="3.71102248"/>
    <n v="2.5302659599999999"/>
    <s v="Direct"/>
    <s v="positive regulation of cristae formation"/>
    <s v="positive regulation of cristae formation"/>
  </r>
  <r>
    <x v="1"/>
    <x v="7"/>
    <s v="OG0005564"/>
    <s v="Ofaveolata013518"/>
    <s v="Ssiderea000364"/>
    <n v="-9.0341246000000002"/>
    <n v="-3.6719048000000001"/>
    <s v="Direct"/>
    <s v="Neuronal PAS"/>
    <s v="Motif C-terminal to PAS motifs (likely to contribute to PAS structural domain)"/>
  </r>
  <r>
    <x v="1"/>
    <x v="7"/>
    <s v="OG0005608"/>
    <s v="Ofaveolata005616"/>
    <s v="Ssiderea053178"/>
    <n v="-2.144898"/>
    <n v="-1.2241852"/>
    <s v="Direct"/>
    <s v="negative regulation of meiotic chromosome separation"/>
    <s v="negative regulation of meiotic chromosome separation"/>
  </r>
  <r>
    <x v="1"/>
    <x v="7"/>
    <s v="OG0005611"/>
    <s v="Ofaveolata025190"/>
    <s v="Ssiderea021606"/>
    <n v="-32.956417000000002"/>
    <n v="-1.7052598999999999"/>
    <s v="Direct"/>
    <s v="structural constituent of cuticle"/>
    <s v="structural constituent of cuticle"/>
  </r>
  <r>
    <x v="1"/>
    <x v="7"/>
    <s v="OG0005685"/>
    <s v="Ofaveolata032514"/>
    <s v="Ssiderea034877"/>
    <n v="3.06249102"/>
    <n v="2.3376632499999999"/>
    <s v="Direct"/>
    <s v="NA"/>
    <s v="Transcriptional regulatory protein LGE1"/>
  </r>
  <r>
    <x v="1"/>
    <x v="7"/>
    <s v="OG0005687"/>
    <s v="Ofaveolata026642"/>
    <s v="Ssiderea017630"/>
    <n v="-1.1469240999999999"/>
    <n v="-1.6204618"/>
    <s v="Direct"/>
    <s v="carbohydrate binding"/>
    <s v="metalloendopeptidase activity"/>
  </r>
  <r>
    <x v="1"/>
    <x v="7"/>
    <s v="OG0005693"/>
    <s v="Ofaveolata033685"/>
    <s v="Ssiderea053638"/>
    <n v="-1.3974888000000001"/>
    <n v="-1.4803331"/>
    <s v="Direct"/>
    <s v="Von Willebrand factor"/>
    <s v="Von Willebrand factor"/>
  </r>
  <r>
    <x v="1"/>
    <x v="7"/>
    <s v="OG0005698"/>
    <s v="Ofaveolata013555"/>
    <s v="Ssiderea000112"/>
    <n v="-1.9928132999999999"/>
    <n v="-4.4871444"/>
    <s v="Direct"/>
    <s v="FMN transmembrane transporter activity"/>
    <s v="FMN transmembrane transporter activity"/>
  </r>
  <r>
    <x v="1"/>
    <x v="7"/>
    <s v="OG0005716"/>
    <s v="Ofaveolata003304"/>
    <s v="Ssiderea046375"/>
    <n v="7.3283934500000001"/>
    <n v="1.1903265599999999"/>
    <s v="Direct"/>
    <s v="EF-hand domain family, member"/>
    <s v="EF-hand domain family, member"/>
  </r>
  <r>
    <x v="1"/>
    <x v="7"/>
    <s v="OG0005731"/>
    <s v="Ofaveolata026274"/>
    <s v="Ssiderea039599"/>
    <n v="-1.0675899"/>
    <n v="-3.5383182999999998"/>
    <s v="Direct"/>
    <s v="nuclear protein 1"/>
    <s v="nuclear protein 1"/>
  </r>
  <r>
    <x v="1"/>
    <x v="7"/>
    <s v="OG0005814"/>
    <s v="Ofaveolata005678"/>
    <s v="Ssiderea016687"/>
    <n v="-1.7026435"/>
    <n v="-2.3525494"/>
    <s v="Direct"/>
    <s v="DnaJ (Hsp40) homolog, subfamily C, member 8"/>
    <s v="Hsp70 protein binding"/>
  </r>
  <r>
    <x v="1"/>
    <x v="7"/>
    <s v="OG0005825"/>
    <s v="Ofaveolata028784"/>
    <s v="Ssiderea014543"/>
    <n v="1.0302303500000001"/>
    <n v="-7.9825096999999996"/>
    <s v="Inverse"/>
    <s v="G kinase anchoring protein 1"/>
    <s v="G kinase anchoring protein 1"/>
  </r>
  <r>
    <x v="1"/>
    <x v="7"/>
    <s v="OG0005832"/>
    <s v="Ofaveolata025081"/>
    <s v="Ssiderea021447"/>
    <n v="1.0951582"/>
    <n v="1.25687204"/>
    <s v="Direct"/>
    <s v="regulation of mRNA export from nucleus"/>
    <s v="regulation of mRNA export from nucleus"/>
  </r>
  <r>
    <x v="1"/>
    <x v="7"/>
    <s v="OG0005838"/>
    <s v="Ofaveolata013549"/>
    <s v="Ssiderea000100"/>
    <n v="-11.331286"/>
    <n v="-1.5329689"/>
    <s v="Direct"/>
    <s v="calcium ion binding"/>
    <s v="calcium ion binding"/>
  </r>
  <r>
    <x v="1"/>
    <x v="7"/>
    <s v="OG0005850"/>
    <s v="Ofaveolata011231"/>
    <s v="Ssiderea051432"/>
    <n v="-2.7005921000000002"/>
    <n v="-2.0420942000000002"/>
    <s v="Direct"/>
    <s v="pancreatic epsilon cell differentiation"/>
    <s v="pancreatic epsilon cell differentiation"/>
  </r>
  <r>
    <x v="1"/>
    <x v="7"/>
    <s v="OG0005886"/>
    <s v="Ofaveolata009280"/>
    <s v="Ssiderea035591"/>
    <n v="-1.3564536"/>
    <n v="-1.0590329999999999"/>
    <s v="Direct"/>
    <s v="ventral midline determination"/>
    <s v="ventral midline determination"/>
  </r>
  <r>
    <x v="1"/>
    <x v="7"/>
    <s v="OG0005905"/>
    <s v="Ofaveolata008204"/>
    <s v="Ssiderea050755"/>
    <n v="7.45812016"/>
    <n v="-1.0657369000000001"/>
    <s v="Inverse"/>
    <s v="acireductone dioxygenase [iron(II)-requiring] activity"/>
    <s v="acireductone dioxygenase [iron(II)-requiring] activity"/>
  </r>
  <r>
    <x v="1"/>
    <x v="7"/>
    <s v="OG0005929"/>
    <s v="Ofaveolata021877"/>
    <s v="Ssiderea020419"/>
    <n v="3.7108188100000001"/>
    <n v="1.5676089499999999"/>
    <s v="Direct"/>
    <s v="cysteine-type endopeptidase activity"/>
    <s v="cysteine-type endopeptidase activity"/>
  </r>
  <r>
    <x v="1"/>
    <x v="7"/>
    <s v="OG0005932"/>
    <s v="Ofaveolata002017"/>
    <s v="Ssiderea013625"/>
    <n v="-15.061629"/>
    <n v="-1.478307"/>
    <s v="Direct"/>
    <s v="phospholipase A2 activity (consuming 1,2-dipalmitoylphosphatidylcholine)"/>
    <s v="phospholipase A2 activity (consuming 1,2-dipalmitoylphosphatidylcholine)"/>
  </r>
  <r>
    <x v="1"/>
    <x v="7"/>
    <s v="OG0005959"/>
    <s v="Ofaveolata008394"/>
    <s v="Ssiderea008863"/>
    <n v="-48.786115000000002"/>
    <n v="-3.972556"/>
    <s v="Direct"/>
    <s v="peptidyl-prolyl cis-trans isomerase activity"/>
    <s v="peptidyl-prolyl cis-trans isomerase activity"/>
  </r>
  <r>
    <x v="1"/>
    <x v="7"/>
    <s v="OG0005960"/>
    <s v="Ofaveolata031944"/>
    <s v="Ssiderea007410"/>
    <n v="-1.4364115"/>
    <n v="-1.8920303999999999"/>
    <s v="Direct"/>
    <s v="Ribosomal protein S12/S23"/>
    <s v="Ribosomal protein S12/S23"/>
  </r>
  <r>
    <x v="1"/>
    <x v="7"/>
    <s v="OG0005967"/>
    <s v="Ofaveolata031441"/>
    <s v="Ssiderea048793"/>
    <n v="-10.955558"/>
    <n v="-3.6572441000000002"/>
    <s v="Direct"/>
    <s v="Solute carrier family 35"/>
    <s v="Solute carrier family 35"/>
  </r>
  <r>
    <x v="1"/>
    <x v="7"/>
    <s v="OG0005978"/>
    <s v="Ofaveolata029135"/>
    <s v="Ssiderea013826"/>
    <n v="1.1432500299999999"/>
    <n v="-1.2832692999999999"/>
    <s v="Inverse"/>
    <s v="Pleckstrin homology domain."/>
    <s v="Pleckstrin homology domain."/>
  </r>
  <r>
    <x v="1"/>
    <x v="7"/>
    <s v="OG0006003"/>
    <s v="Ofaveolata025356"/>
    <s v="Ssiderea042024"/>
    <n v="-1.2917444"/>
    <n v="-3.8258757999999999"/>
    <s v="Direct"/>
    <s v="Belongs to the class I-like SAM-binding methyltransferase superfamily. mRNA cap 0 methyltransferase family"/>
    <s v="Belongs to the class I-like SAM-binding methyltransferase superfamily. mRNA cap 0 methyltransferase family"/>
  </r>
  <r>
    <x v="1"/>
    <x v="7"/>
    <s v="OG0006025"/>
    <s v="Ofaveolata017701"/>
    <s v="Ssiderea046926"/>
    <n v="-1.5182111"/>
    <n v="-1.3066963"/>
    <s v="Direct"/>
    <s v="receptor 161"/>
    <s v="receptor 161"/>
  </r>
  <r>
    <x v="1"/>
    <x v="7"/>
    <s v="OG0006096"/>
    <s v="Ofaveolata007098"/>
    <s v="Ssiderea028220"/>
    <n v="1.1104082"/>
    <n v="3.0612149099999999"/>
    <s v="Direct"/>
    <s v="negative regulation of appetite"/>
    <s v="negative regulation of appetite"/>
  </r>
  <r>
    <x v="1"/>
    <x v="7"/>
    <s v="OG0006119"/>
    <s v="Ofaveolata027201"/>
    <s v="Ssiderea035234"/>
    <n v="1.01257029"/>
    <n v="-1.7186436"/>
    <s v="Inverse"/>
    <s v="Belongs to the ammonium transporter (TC 2.A.49) family. Rh subfamily"/>
    <s v="Belongs to the ammonium transporter (TC 2.A.49) family. Rh subfamily"/>
  </r>
  <r>
    <x v="1"/>
    <x v="7"/>
    <s v="OG0006126"/>
    <s v="Ofaveolata004769"/>
    <s v="Ssiderea010954"/>
    <n v="5.1067225699999996"/>
    <n v="2.2970774399999998"/>
    <s v="Direct"/>
    <s v="Tumor necrosis factor, alpha-induced protein 3"/>
    <s v="Tumor necrosis factor, alpha-induced protein 3"/>
  </r>
  <r>
    <x v="1"/>
    <x v="7"/>
    <s v="OG0006162"/>
    <s v="Ofaveolata013073"/>
    <s v="Ssiderea001352"/>
    <n v="-1.0413139"/>
    <n v="-2.4323218"/>
    <s v="Direct"/>
    <s v="translation initiation factor activity"/>
    <s v="translation initiation factor activity"/>
  </r>
  <r>
    <x v="1"/>
    <x v="7"/>
    <s v="OG0006169"/>
    <s v="Ofaveolata000449"/>
    <s v="Ssiderea029661"/>
    <n v="-34.702724000000003"/>
    <n v="-2.8525695999999998"/>
    <s v="Direct"/>
    <s v="Lactose-binding lectin l-2-like"/>
    <s v="structural constituent of cell wall"/>
  </r>
  <r>
    <x v="1"/>
    <x v="7"/>
    <s v="OG0006179"/>
    <s v="Ofaveolata005586"/>
    <s v="Ssiderea016156"/>
    <n v="-1.0692529"/>
    <n v="-4.2639589999999998"/>
    <s v="Direct"/>
    <s v="Belongs to the eukaryotic ribosomal protein eS4 family"/>
    <s v="Belongs to the eukaryotic ribosomal protein eS4 family"/>
  </r>
  <r>
    <x v="1"/>
    <x v="7"/>
    <s v="OG0006198"/>
    <s v="Ofaveolata024770"/>
    <s v="Ssiderea016832"/>
    <n v="4.5234015000000003"/>
    <n v="-1.0294873"/>
    <s v="Inverse"/>
    <s v="Thiamine triphosphatase"/>
    <s v="thiamin-triphosphatase activity"/>
  </r>
  <r>
    <x v="1"/>
    <x v="7"/>
    <s v="OG0006214"/>
    <s v="Ofaveolata009031"/>
    <s v="Ssiderea055050"/>
    <n v="8.21243385"/>
    <n v="3.8759213899999998"/>
    <s v="Direct"/>
    <s v="endoplasmic reticulum-plasma membrane tethering"/>
    <s v="endoplasmic reticulum-plasma membrane tethering"/>
  </r>
  <r>
    <x v="1"/>
    <x v="7"/>
    <s v="OG0006216"/>
    <s v="Ofaveolata006256"/>
    <s v="Ssiderea032543"/>
    <n v="-11.367497"/>
    <n v="-1.9713982999999999"/>
    <s v="Direct"/>
    <s v="NA"/>
    <s v="Common central domain of tyrosinase"/>
  </r>
  <r>
    <x v="1"/>
    <x v="7"/>
    <s v="OG0006218"/>
    <s v="Ofaveolata030092"/>
    <s v="Ssiderea054260"/>
    <n v="4.17174449"/>
    <n v="1.97487854"/>
    <s v="Direct"/>
    <s v="9-cis retinoic acid receptor activity"/>
    <s v="9-cis retinoic acid receptor activity"/>
  </r>
  <r>
    <x v="1"/>
    <x v="7"/>
    <s v="OG0006240"/>
    <s v="Ofaveolata001400"/>
    <s v="Ssiderea026583"/>
    <n v="-1.7518686999999999"/>
    <n v="1.3472237199999999"/>
    <s v="Inverse"/>
    <s v="V-type proton ATPase subunit B"/>
    <s v="V-type proton ATPase subunit B"/>
  </r>
  <r>
    <x v="1"/>
    <x v="7"/>
    <s v="OG0006254"/>
    <s v="Ofaveolata028859"/>
    <s v="Ssiderea014425"/>
    <n v="-10.632856"/>
    <n v="-2.0057589"/>
    <s v="Direct"/>
    <s v="Non-lysosomal glucosylceramidase that catalyzes the conversion of glucosylceramide to free glucose and ceramide"/>
    <s v="Non-lysosomal glucosylceramidase that catalyzes the conversion of glucosylceramide to free glucose and ceramide"/>
  </r>
  <r>
    <x v="1"/>
    <x v="7"/>
    <s v="OG0006296"/>
    <s v="Ofaveolata003309"/>
    <s v="Ssiderea030049"/>
    <n v="-1.3559985999999999"/>
    <n v="-32.513151999999998"/>
    <s v="Direct"/>
    <s v="eukaryotic translation initiation factor"/>
    <s v="Initiation factor 5a"/>
  </r>
  <r>
    <x v="1"/>
    <x v="7"/>
    <s v="OG0006306"/>
    <s v="Ofaveolata004236"/>
    <s v="Ssiderea042869"/>
    <n v="-4.3601426999999999"/>
    <n v="-1.1108046"/>
    <s v="Direct"/>
    <s v="RNA recognition motif"/>
    <s v="glutamate dehydrogenase [NAD(P)+] activity"/>
  </r>
  <r>
    <x v="1"/>
    <x v="7"/>
    <s v="OG0006321"/>
    <s v="Ofaveolata010194"/>
    <s v="Ssiderea054850"/>
    <n v="-1.4810947000000001"/>
    <n v="7.0563547199999999"/>
    <s v="Inverse"/>
    <s v="Marginal zone B and"/>
    <s v="Marginal zone B and"/>
  </r>
  <r>
    <x v="1"/>
    <x v="7"/>
    <s v="OG0006325"/>
    <s v="Ofaveolata001492"/>
    <s v="Ssiderea043721"/>
    <n v="1.5641267400000001"/>
    <n v="-1.0719125"/>
    <s v="Inverse"/>
    <s v="negative regulation of phosphatase activity"/>
    <s v="Sfi1 homolog"/>
  </r>
  <r>
    <x v="1"/>
    <x v="7"/>
    <s v="OG0006344"/>
    <s v="Ofaveolata014923"/>
    <s v="Ssiderea003932"/>
    <n v="-5.5938412"/>
    <n v="-1.9662291000000001"/>
    <s v="Direct"/>
    <s v="pri-miRNA transcription by RNA polymerase II"/>
    <s v="pri-miRNA transcription by RNA polymerase II"/>
  </r>
  <r>
    <x v="1"/>
    <x v="7"/>
    <s v="OG0006347"/>
    <s v="Ofaveolata027771"/>
    <s v="Ssiderea025334"/>
    <n v="2.3192561199999999"/>
    <n v="1.3788363100000001"/>
    <s v="Direct"/>
    <s v="spectrin binding"/>
    <s v="spectrin binding"/>
  </r>
  <r>
    <x v="1"/>
    <x v="7"/>
    <s v="OG0006359"/>
    <s v="Ofaveolata022421"/>
    <s v="Ssiderea023532"/>
    <n v="-2.4885742999999998"/>
    <n v="1.15739032"/>
    <s v="Inverse"/>
    <s v="DIS3 exosome endoribonuclease and 3'-5' exoribonuclease"/>
    <s v="exosome endoribonuclease and 3'-5' exoribonuclease"/>
  </r>
  <r>
    <x v="1"/>
    <x v="7"/>
    <s v="OG0006383"/>
    <s v="Ofaveolata002236"/>
    <s v="Ssiderea012731"/>
    <n v="-1.9410759"/>
    <n v="-3.6815323000000002"/>
    <s v="Direct"/>
    <s v="26S proteasome non-ATPase regulatory subunit"/>
    <s v="26S proteasome non-ATPase regulatory subunit"/>
  </r>
  <r>
    <x v="1"/>
    <x v="7"/>
    <s v="OG0006384"/>
    <s v="Ofaveolata025979"/>
    <s v="Ssiderea038966"/>
    <n v="-12.508978000000001"/>
    <n v="-5.3495815999999996"/>
    <s v="Direct"/>
    <s v="defense response to fungus"/>
    <s v="defense response to fungus"/>
  </r>
  <r>
    <x v="1"/>
    <x v="7"/>
    <s v="OG0006386"/>
    <s v="Ofaveolata002580"/>
    <s v="Ssiderea013040"/>
    <n v="-2.1212222999999999"/>
    <n v="-2.0285627000000002"/>
    <s v="Direct"/>
    <s v="protein with multiple splicing"/>
    <s v="protein with multiple splicing"/>
  </r>
  <r>
    <x v="1"/>
    <x v="7"/>
    <s v="OG0006449"/>
    <s v="Ofaveolata003392"/>
    <s v="Ssiderea029895"/>
    <n v="-2.3748526000000001"/>
    <n v="-1.5057057"/>
    <s v="Direct"/>
    <s v="UDP-glucose 6-dehydrogenase activity"/>
    <s v="UDP-glucose 6-dehydrogenase activity"/>
  </r>
  <r>
    <x v="1"/>
    <x v="7"/>
    <s v="OG0006458"/>
    <s v="Ofaveolata027277"/>
    <s v="Ssiderea025618"/>
    <n v="-8.8421768000000007"/>
    <n v="-1.7775041"/>
    <s v="Direct"/>
    <s v="NA"/>
    <s v="GTPase regulator activity"/>
  </r>
  <r>
    <x v="1"/>
    <x v="7"/>
    <s v="OG0006483"/>
    <s v="Ofaveolata027695"/>
    <s v="Ssiderea025560"/>
    <n v="-1.0462244000000001"/>
    <n v="1.31496089"/>
    <s v="Inverse"/>
    <s v="prolyl 4-hydroxylase"/>
    <s v="prolyl 4-hydroxylase"/>
  </r>
  <r>
    <x v="1"/>
    <x v="7"/>
    <s v="OG0006509"/>
    <s v="Ofaveolata008802"/>
    <s v="Ssiderea008233"/>
    <n v="4.8362759500000001"/>
    <n v="-1.0645122"/>
    <s v="Inverse"/>
    <s v="inorganic diphosphatase activity"/>
    <s v="inorganic diphosphatase activity"/>
  </r>
  <r>
    <x v="1"/>
    <x v="7"/>
    <s v="OG0006545"/>
    <s v="Ofaveolata007848"/>
    <s v="Ssiderea009129"/>
    <n v="3.3305897600000001"/>
    <n v="1.58534709"/>
    <s v="Direct"/>
    <s v="stress-induced-phosphoprotein 1"/>
    <s v="Stress-induced-phosphoprotein 1 (Hsp70 Hsp90-organizing protein)"/>
  </r>
  <r>
    <x v="1"/>
    <x v="7"/>
    <s v="OG0006562"/>
    <s v="Ofaveolata023847"/>
    <s v="Ssiderea041541"/>
    <n v="-1.8021914000000001"/>
    <n v="1.44682847"/>
    <s v="Inverse"/>
    <s v="NA"/>
    <s v="DBH-like monooxygenase protein 1"/>
  </r>
  <r>
    <x v="1"/>
    <x v="7"/>
    <s v="OG0006565"/>
    <s v="Ofaveolata028768"/>
    <s v="Ssiderea027808"/>
    <n v="-5.1579848000000004"/>
    <n v="4.2886319200000003"/>
    <s v="Inverse"/>
    <s v="PPIases accelerate the folding of proteins. It catalyzes the cis-trans isomerization of proline imidic peptide bonds in oligopeptides"/>
    <s v="PPIases accelerate the folding of proteins. It catalyzes the cis-trans isomerization of proline imidic peptide bonds in oligopeptides"/>
  </r>
  <r>
    <x v="1"/>
    <x v="7"/>
    <s v="OG0006629"/>
    <s v="Ofaveolata013088"/>
    <s v="Ssiderea001370"/>
    <n v="53.468205900000001"/>
    <n v="27.084631999999999"/>
    <s v="Direct"/>
    <s v="calcium ion binding"/>
    <s v="Calcium ion binding"/>
  </r>
  <r>
    <x v="1"/>
    <x v="7"/>
    <s v="OG0006663"/>
    <s v="Ofaveolata034385"/>
    <s v="Ssiderea052807"/>
    <n v="-2.0390291999999999"/>
    <n v="-1.6351137"/>
    <s v="Direct"/>
    <s v="medium-chain-acyl-CoA dehydrogenase activity"/>
    <s v="medium-chain-acyl-CoA dehydrogenase activity"/>
  </r>
  <r>
    <x v="1"/>
    <x v="7"/>
    <s v="OG0006682"/>
    <s v="Ofaveolata008207"/>
    <s v="Ssiderea050752"/>
    <n v="-1.9057287000000001"/>
    <n v="-1.1208266"/>
    <s v="Direct"/>
    <s v="FMN binding"/>
    <s v="FMN binding"/>
  </r>
  <r>
    <x v="1"/>
    <x v="7"/>
    <s v="OG0006690"/>
    <s v="Ofaveolata020752"/>
    <s v="Ssiderea011613"/>
    <n v="-5.8017525000000001"/>
    <n v="-2.3999834999999998"/>
    <s v="Direct"/>
    <s v="Belongs to the class I-like SAM-binding methyltransferase superfamily. RsmB NOP family"/>
    <s v="Belongs to the class I-like SAM-binding methyltransferase superfamily. RsmB NOP family"/>
  </r>
  <r>
    <x v="1"/>
    <x v="7"/>
    <s v="OG0006748"/>
    <s v="Ofaveolata023572"/>
    <s v="Ssiderea015598"/>
    <n v="2.1535562499999998"/>
    <n v="1.3510216799999999"/>
    <s v="Direct"/>
    <s v="(3S)-citramalyl-CoA lyase activity"/>
    <s v="(3S)-citramalyl-CoA lyase activity"/>
  </r>
  <r>
    <x v="1"/>
    <x v="7"/>
    <s v="OG0006765"/>
    <s v="Ofaveolata032664"/>
    <s v="Ssiderea056251"/>
    <n v="-3.2613512"/>
    <n v="-3.7518535000000002"/>
    <s v="Direct"/>
    <s v="N-succinyltransferase activity"/>
    <s v="N-succinyltransferase activity"/>
  </r>
  <r>
    <x v="1"/>
    <x v="7"/>
    <s v="OG0006824"/>
    <s v="Ofaveolata013155"/>
    <s v="Ssiderea000806"/>
    <n v="1.4072980500000001"/>
    <n v="1.13799012"/>
    <s v="Direct"/>
    <s v="Ankyrin repeats (many copies)"/>
    <s v="Ankyrin repeats (many copies)"/>
  </r>
  <r>
    <x v="1"/>
    <x v="7"/>
    <s v="OG0006825"/>
    <s v="Ofaveolata010286"/>
    <s v="Ssiderea045168"/>
    <n v="-1.7289804"/>
    <n v="1.40900895"/>
    <s v="Inverse"/>
    <s v="oxidoreductase activity"/>
    <s v="oxidoreductase activity"/>
  </r>
  <r>
    <x v="1"/>
    <x v="7"/>
    <s v="OG0006872"/>
    <s v="Ofaveolata007492"/>
    <s v="Ssiderea044421"/>
    <n v="1.5683838000000001"/>
    <n v="2.4366992399999998"/>
    <s v="Direct"/>
    <s v="positive regulation of Notch signaling pathway"/>
    <s v="positive regulation of Notch signaling pathway"/>
  </r>
  <r>
    <x v="1"/>
    <x v="7"/>
    <s v="OG0006894"/>
    <s v="Ofaveolata033691"/>
    <s v="Ssiderea053633"/>
    <n v="-6.5785266"/>
    <n v="-6.1850309000000001"/>
    <s v="Direct"/>
    <s v="NA"/>
    <s v="Von Willebrand factor"/>
  </r>
  <r>
    <x v="1"/>
    <x v="7"/>
    <s v="OG0006932"/>
    <s v="Ofaveolata030428"/>
    <s v="Ssiderea034091"/>
    <n v="1.0781596200000001"/>
    <n v="1.3016618"/>
    <s v="Direct"/>
    <s v="GTPase activating protein binding"/>
    <s v="GTPase activating protein binding"/>
  </r>
  <r>
    <x v="1"/>
    <x v="7"/>
    <s v="OG0006933"/>
    <s v="Ofaveolata027838"/>
    <s v="Ssiderea035417"/>
    <n v="-8.6687592000000002"/>
    <n v="1.4992414300000001"/>
    <s v="Inverse"/>
    <s v="lung ciliated cell differentiation"/>
    <s v="lung ciliated cell differentiation"/>
  </r>
  <r>
    <x v="1"/>
    <x v="7"/>
    <s v="OG0006998"/>
    <s v="Ofaveolata002535"/>
    <s v="Ssiderea013109"/>
    <n v="-1.9995560999999999"/>
    <n v="-3.8750927000000002"/>
    <s v="Direct"/>
    <s v="BCCT, betaine/carnitine/choline family transporter"/>
    <s v="BCCT, betaine/carnitine/choline family transporter"/>
  </r>
  <r>
    <x v="1"/>
    <x v="7"/>
    <s v="OG0007013"/>
    <s v="Ofaveolata017525"/>
    <s v="Ssiderea018525"/>
    <n v="-2.4530606000000001"/>
    <n v="-6.6214117999999997"/>
    <s v="Direct"/>
    <s v="box H/ACA snoRNA 3'-end processing"/>
    <s v="box H/ACA snoRNA 3'-end processing"/>
  </r>
  <r>
    <x v="1"/>
    <x v="7"/>
    <s v="OG0007046"/>
    <s v="Ofaveolata017826"/>
    <s v="Ssiderea048533"/>
    <n v="-5.8736674999999998"/>
    <n v="-1.2511479999999999"/>
    <s v="Direct"/>
    <s v="scavenger receptor activity"/>
    <s v="scavenger receptor activity"/>
  </r>
  <r>
    <x v="1"/>
    <x v="7"/>
    <s v="OG0007060"/>
    <s v="Ofaveolata031923"/>
    <s v="Ssiderea007355"/>
    <n v="1.30974938"/>
    <n v="1.0064188999999999"/>
    <s v="Direct"/>
    <s v="metanephric glomerular basement membrane development"/>
    <s v="metanephric glomerular basement membrane development"/>
  </r>
  <r>
    <x v="1"/>
    <x v="7"/>
    <s v="OG0007092"/>
    <s v="Ofaveolata025455"/>
    <s v="Ssiderea039828"/>
    <n v="-7.0634831"/>
    <n v="-1.6260496"/>
    <s v="Direct"/>
    <s v="Calbindin 2a"/>
    <s v="connecting tubule development"/>
  </r>
  <r>
    <x v="1"/>
    <x v="7"/>
    <s v="OG0007104"/>
    <s v="Ofaveolata006325"/>
    <s v="Ssiderea048193"/>
    <n v="-9.4684734000000006"/>
    <n v="-1.8187841"/>
    <s v="Direct"/>
    <s v="maltose alpha-glucosidase activity"/>
    <s v="maltose alpha-glucosidase activity"/>
  </r>
  <r>
    <x v="1"/>
    <x v="7"/>
    <s v="OG0007115"/>
    <s v="Ofaveolata026967"/>
    <s v="Ssiderea017954"/>
    <n v="2.4054539799999999"/>
    <n v="2.1627607800000002"/>
    <s v="Direct"/>
    <s v="metal ion binding"/>
    <s v="RNA splicing"/>
  </r>
  <r>
    <x v="1"/>
    <x v="7"/>
    <s v="OG0007121"/>
    <s v="Ofaveolata009257"/>
    <s v="Ssiderea035583"/>
    <n v="-11.817335999999999"/>
    <n v="-2.3392038999999998"/>
    <s v="Direct"/>
    <s v="Belongs to the glycosyltransferase 43 family"/>
    <s v="Belongs to the glycosyltransferase 43 family"/>
  </r>
  <r>
    <x v="1"/>
    <x v="7"/>
    <s v="OG0007144"/>
    <s v="Ofaveolata002422"/>
    <s v="Ssiderea024909"/>
    <n v="1.2636504500000001"/>
    <n v="-1.1774997"/>
    <s v="Inverse"/>
    <s v="Belongs to the TRAFAC class myosin-kinesin ATPase superfamily. Myosin family"/>
    <s v="establishment of endoplasmic reticulum localization to postsynapse"/>
  </r>
  <r>
    <x v="1"/>
    <x v="7"/>
    <s v="OG0007159"/>
    <s v="Ofaveolata012650"/>
    <s v="Ssiderea000690"/>
    <n v="-3.1862911999999999"/>
    <n v="-2.1993269"/>
    <s v="Direct"/>
    <s v="acetylcholine-gated cation-selective channel activity"/>
    <s v="acetylcholine-gated cation-selective channel activity"/>
  </r>
  <r>
    <x v="1"/>
    <x v="7"/>
    <s v="OG0007181"/>
    <s v="Ofaveolata006375"/>
    <s v="Ssiderea028357"/>
    <n v="1.3247981900000001"/>
    <n v="1.4103701900000001"/>
    <s v="Direct"/>
    <s v="regulation of chemokine (C-C motif) ligand 2 secretion"/>
    <s v="regulation of chemokine (C-C motif) ligand 2 secretion"/>
  </r>
  <r>
    <x v="1"/>
    <x v="7"/>
    <s v="OG0007207"/>
    <s v="Ofaveolata033149"/>
    <s v="Ssiderea026002"/>
    <n v="-3.6980992000000001"/>
    <n v="-1.9414515999999999"/>
    <s v="Direct"/>
    <s v="WD domain, G-beta repeat"/>
    <s v="WD domain, G-beta repeat"/>
  </r>
  <r>
    <x v="1"/>
    <x v="7"/>
    <s v="OG0007211"/>
    <s v="Ofaveolata011248"/>
    <s v="Ssiderea051450"/>
    <n v="-1.8015452999999999"/>
    <n v="1.1222663900000001"/>
    <s v="Inverse"/>
    <s v="ethanolamine-phosphate phospho-lyase activity"/>
    <s v="ethanolamine-phosphate phospho-lyase activity"/>
  </r>
  <r>
    <x v="1"/>
    <x v="7"/>
    <s v="OG0007226"/>
    <s v="Ofaveolata022069"/>
    <s v="Ssiderea022984"/>
    <n v="-1.1184061000000001"/>
    <n v="-1.2454798"/>
    <s v="Direct"/>
    <s v="steroid receptor RNA activator 1"/>
    <s v="steroid receptor RNA activator 1"/>
  </r>
  <r>
    <x v="1"/>
    <x v="7"/>
    <s v="OG0007238"/>
    <s v="Ofaveolata024190"/>
    <s v="Ssiderea005659"/>
    <n v="-1.4933099999999999"/>
    <n v="-2.214404"/>
    <s v="Direct"/>
    <s v="structural constituent of ribosome"/>
    <s v="structural constituent of ribosome"/>
  </r>
  <r>
    <x v="1"/>
    <x v="7"/>
    <s v="OG0007255"/>
    <s v="Ofaveolata015866"/>
    <s v="Ssiderea033759"/>
    <n v="-2.2872785000000002"/>
    <n v="-1.7477772"/>
    <s v="Direct"/>
    <s v="NA"/>
    <s v="semaphorin receptor binding"/>
  </r>
  <r>
    <x v="1"/>
    <x v="7"/>
    <s v="OG0007278"/>
    <s v="Ofaveolata002643"/>
    <s v="Ssiderea027219"/>
    <n v="4.1580361000000003"/>
    <n v="2.0405196399999999"/>
    <s v="Direct"/>
    <s v="Ral GTPase binding"/>
    <s v="Ral GTPase binding"/>
  </r>
  <r>
    <x v="1"/>
    <x v="7"/>
    <s v="OG0007289"/>
    <s v="Ofaveolata021069"/>
    <s v="Ssiderea011779"/>
    <n v="-2.2773332000000002"/>
    <n v="-1.1444759"/>
    <s v="Direct"/>
    <s v="Lysosomal Pro-X"/>
    <s v="Lysosomal Pro-X"/>
  </r>
  <r>
    <x v="1"/>
    <x v="7"/>
    <s v="OG0007318"/>
    <s v="Ofaveolata026754"/>
    <s v="Ssiderea017757"/>
    <n v="-3.2372722999999999"/>
    <n v="-3.7605743999999999"/>
    <s v="Direct"/>
    <s v="NA"/>
    <s v="procollagen-proline 4-dioxygenase activity"/>
  </r>
  <r>
    <x v="1"/>
    <x v="7"/>
    <s v="OG0007324"/>
    <s v="Ofaveolata005802"/>
    <s v="Ssiderea045582"/>
    <n v="-1.8855873999999999"/>
    <n v="-8.4362557999999996"/>
    <s v="Direct"/>
    <s v="N-glycan processing to lysosome"/>
    <s v="N-glycan processing to lysosome"/>
  </r>
  <r>
    <x v="1"/>
    <x v="7"/>
    <s v="OG0007343"/>
    <s v="Ofaveolata003570"/>
    <s v="Ssiderea046303"/>
    <n v="-1.3682995"/>
    <n v="-1.5486781000000001"/>
    <s v="Direct"/>
    <s v="metalloendopeptidase activity"/>
    <s v="Metalloendopeptidase activity. It is involved in the biological process described with proteolysis"/>
  </r>
  <r>
    <x v="1"/>
    <x v="7"/>
    <s v="OG0007376"/>
    <s v="Ofaveolata013659"/>
    <s v="Ssiderea000169"/>
    <n v="-1.6768575999999999"/>
    <n v="-5.8799435999999998"/>
    <s v="Direct"/>
    <s v="ribosomal large subunit assembly"/>
    <s v="ribosomal large subunit assembly"/>
  </r>
  <r>
    <x v="1"/>
    <x v="7"/>
    <s v="OG0007383"/>
    <s v="Ofaveolata001623"/>
    <s v="Ssiderea026723"/>
    <n v="-1.7067009"/>
    <n v="1.11303565"/>
    <s v="Inverse"/>
    <s v="NMDA glutamate receptor activity"/>
    <s v="NMDA glutamate receptor activity"/>
  </r>
  <r>
    <x v="1"/>
    <x v="7"/>
    <s v="OG0007410"/>
    <s v="Ofaveolata024297"/>
    <s v="Ssiderea006317"/>
    <n v="-1.149608"/>
    <n v="-1.1263798"/>
    <s v="Direct"/>
    <s v="stromal membrane-associated protein"/>
    <s v="stromal membrane-associated protein"/>
  </r>
  <r>
    <x v="1"/>
    <x v="7"/>
    <s v="OG0007432"/>
    <s v="Ofaveolata017999"/>
    <s v="Ssiderea002267"/>
    <n v="-4.7632626"/>
    <n v="-1.9662291000000001"/>
    <s v="Direct"/>
    <s v="chromatin organization"/>
    <s v="chromatin organization"/>
  </r>
  <r>
    <x v="1"/>
    <x v="7"/>
    <s v="OG0007460"/>
    <s v="Ofaveolata023319"/>
    <s v="Ssiderea005263"/>
    <n v="-1.1339664"/>
    <n v="-2.9865357000000001"/>
    <s v="Direct"/>
    <s v="60s ribosomal protein"/>
    <s v="60s ribosomal protein"/>
  </r>
  <r>
    <x v="1"/>
    <x v="7"/>
    <s v="OG0007495"/>
    <s v="Ofaveolata000750"/>
    <s v="Ssiderea044931"/>
    <n v="1.4934392599999999"/>
    <n v="8.1205476799999996"/>
    <s v="Direct"/>
    <s v="lipid binding"/>
    <s v="bactericidal permeability-increasing protein"/>
  </r>
  <r>
    <x v="1"/>
    <x v="7"/>
    <s v="OG0007507"/>
    <s v="Ofaveolata030366"/>
    <s v="Ssiderea034261"/>
    <n v="4.5393862"/>
    <n v="3.0761332499999998"/>
    <s v="Direct"/>
    <s v="procollagen galactosyltransferase activity"/>
    <s v="procollagen galactosyltransferase activity"/>
  </r>
  <r>
    <x v="1"/>
    <x v="7"/>
    <s v="OG0007547"/>
    <s v="Ofaveolata007309"/>
    <s v="Ssiderea058218"/>
    <n v="-1.3359882000000001"/>
    <n v="-4.8614001"/>
    <s v="Direct"/>
    <s v="cytochrome C oxidase"/>
    <s v="cytochrome C oxidase"/>
  </r>
  <r>
    <x v="1"/>
    <x v="7"/>
    <s v="OG0007552"/>
    <s v="Ofaveolata029992"/>
    <s v="Ssiderea050925"/>
    <n v="-1.0758026000000001"/>
    <n v="-2.8618698"/>
    <s v="Direct"/>
    <s v="structural constituent of ribosome"/>
    <s v="structural constituent of ribosome"/>
  </r>
  <r>
    <x v="1"/>
    <x v="7"/>
    <s v="OG0007574"/>
    <s v="Ofaveolata028329"/>
    <s v="Ssiderea042482"/>
    <n v="-3.5405715"/>
    <n v="-1.1103273"/>
    <s v="Direct"/>
    <s v="family member"/>
    <s v="family member"/>
  </r>
  <r>
    <x v="1"/>
    <x v="7"/>
    <s v="OG0007582"/>
    <s v="Ofaveolata019911"/>
    <s v="Ssiderea052255"/>
    <n v="-3.7477765000000001"/>
    <n v="-3.5547004000000002"/>
    <s v="Direct"/>
    <s v="RNA polymerase II sequence-specific DNA-binding transcription factor binding"/>
    <s v="RNA polymerase II sequence-specific DNA-binding transcription factor binding"/>
  </r>
  <r>
    <x v="1"/>
    <x v="7"/>
    <s v="OG0007685"/>
    <s v="Ofaveolata016052"/>
    <s v="Ssiderea033514"/>
    <n v="-3.3288776000000002"/>
    <n v="-7.9584333999999997"/>
    <s v="Direct"/>
    <s v="Sodium-dependent phosphate transport protein"/>
    <s v="Sodium-dependent phosphate transport protein"/>
  </r>
  <r>
    <x v="1"/>
    <x v="7"/>
    <s v="OG0007692"/>
    <s v="Ofaveolata012818"/>
    <s v="Ssiderea058311"/>
    <n v="-1.1070532"/>
    <n v="-3.3940532999999999"/>
    <s v="Direct"/>
    <s v="hydrolase activity"/>
    <s v="hydrolase activity"/>
  </r>
  <r>
    <x v="1"/>
    <x v="7"/>
    <s v="OG0007707"/>
    <s v="Ofaveolata008341"/>
    <s v="Ssiderea008900"/>
    <n v="-2.9482485999999999"/>
    <n v="-5.8217979"/>
    <s v="Direct"/>
    <s v="Belongs to the universal ribosomal protein uL5 family"/>
    <s v="Belongs to the universal ribosomal protein uL5 family"/>
  </r>
  <r>
    <x v="1"/>
    <x v="7"/>
    <s v="OG0007712"/>
    <s v="Ofaveolata016273"/>
    <s v="Ssiderea052692"/>
    <n v="-3.9910868000000002"/>
    <n v="-5.0432626999999997"/>
    <s v="Direct"/>
    <s v="26s proteasome non-ATPase regulatory subunit"/>
    <s v="26s proteasome non-ATPase regulatory subunit"/>
  </r>
  <r>
    <x v="1"/>
    <x v="7"/>
    <s v="OG0007779"/>
    <s v="Ofaveolata017067"/>
    <s v="Ssiderea054485"/>
    <n v="-7.9880284000000001"/>
    <n v="-19.110071999999999"/>
    <s v="Direct"/>
    <s v="Solute carrier family 12"/>
    <s v="Solute carrier family 12"/>
  </r>
  <r>
    <x v="1"/>
    <x v="7"/>
    <s v="OG0007794"/>
    <s v="Ofaveolata022638"/>
    <s v="Ssiderea050126"/>
    <n v="-22.674623"/>
    <n v="-1.3896738"/>
    <s v="Direct"/>
    <s v="carbohydrate binding"/>
    <s v="carbohydrate binding"/>
  </r>
  <r>
    <x v="1"/>
    <x v="7"/>
    <s v="OG0007815"/>
    <s v="Ofaveolata033299"/>
    <s v="Ssiderea055280"/>
    <n v="4.8057355399999997"/>
    <n v="-2.0883074000000001"/>
    <s v="Inverse"/>
    <s v="SPARC related modular calcium binding 2"/>
    <s v="Cancer susceptibility candidate 1 N-terminus"/>
  </r>
  <r>
    <x v="1"/>
    <x v="7"/>
    <s v="OG0007822"/>
    <s v="Ofaveolata022266"/>
    <s v="Ssiderea022826"/>
    <n v="-1.6917747000000001"/>
    <n v="-1.6047445"/>
    <s v="Direct"/>
    <s v="NA"/>
    <s v="Calcium channel, voltage-dependent, alpha 2 delta subunit"/>
  </r>
  <r>
    <x v="1"/>
    <x v="7"/>
    <s v="OG0007834"/>
    <s v="Ofaveolata028319"/>
    <s v="Ssiderea042502"/>
    <n v="-2.2256697000000001"/>
    <n v="-5.7940807999999997"/>
    <s v="Direct"/>
    <s v="structural constituent of ribosome"/>
    <s v="structural constituent of ribosome"/>
  </r>
  <r>
    <x v="1"/>
    <x v="7"/>
    <s v="OG0007838"/>
    <s v="Ofaveolata027156"/>
    <s v="Ssiderea036731"/>
    <n v="4.0374652600000003"/>
    <n v="1.1299729599999999"/>
    <s v="Direct"/>
    <s v="zinc finger"/>
    <s v="zinc finger"/>
  </r>
  <r>
    <x v="1"/>
    <x v="7"/>
    <s v="OG0007846"/>
    <s v="Ofaveolata029756"/>
    <s v="Ssiderea023873"/>
    <n v="-2.2214953999999998"/>
    <n v="-2.5107381000000002"/>
    <s v="Direct"/>
    <s v="threonine-type endopeptidase activity"/>
    <s v="threonine-type endopeptidase activity"/>
  </r>
  <r>
    <x v="1"/>
    <x v="7"/>
    <s v="OG0007856"/>
    <s v="Ofaveolata015215"/>
    <s v="Ssiderea051101"/>
    <n v="-1.5326572000000001"/>
    <n v="-2.6181945"/>
    <s v="Direct"/>
    <s v="Discs, large (Drosophila) homolog-associated protein"/>
    <s v="Discs, large (Drosophila) homolog-associated protein"/>
  </r>
  <r>
    <x v="1"/>
    <x v="7"/>
    <s v="OG0007862"/>
    <s v="Ofaveolata000727"/>
    <s v="Ssiderea044861"/>
    <n v="-2.7623601"/>
    <n v="-1.9875043999999999"/>
    <s v="Direct"/>
    <s v="tRNA methyltransferase 1 homolog (S. cerevisiae)"/>
    <s v="tRNA methyltransferase 1 homolog (S. cerevisiae)"/>
  </r>
  <r>
    <x v="1"/>
    <x v="7"/>
    <s v="OG0007877"/>
    <s v="Ofaveolata015345"/>
    <s v="Ssiderea038388"/>
    <n v="1.26634512"/>
    <n v="-1.3580513000000001"/>
    <s v="Inverse"/>
    <s v="mitochondrial translation"/>
    <s v="mitochondrial translation"/>
  </r>
  <r>
    <x v="1"/>
    <x v="7"/>
    <s v="OG0007907"/>
    <s v="Ofaveolata003303"/>
    <s v="Ssiderea046376"/>
    <n v="-1.3166065"/>
    <n v="-3.2050352000000002"/>
    <s v="Direct"/>
    <s v="prostaglandin-F synthase activity"/>
    <s v="prostaglandin-F synthase activity"/>
  </r>
  <r>
    <x v="1"/>
    <x v="7"/>
    <s v="OG0007926"/>
    <s v="Ofaveolata024312"/>
    <s v="Ssiderea006291"/>
    <n v="2.6163739499999998"/>
    <n v="-1.6972574"/>
    <s v="Inverse"/>
    <s v="histone acetyltransferase activity"/>
    <s v="histone acetyltransferase activity"/>
  </r>
  <r>
    <x v="1"/>
    <x v="7"/>
    <s v="OG0007937"/>
    <s v="Ofaveolata018344"/>
    <s v="Ssiderea018698"/>
    <n v="-7.0908841000000002"/>
    <n v="-1.1350939"/>
    <s v="Direct"/>
    <s v="Leucine rich repeat"/>
    <s v="Leucine rich repeat"/>
  </r>
  <r>
    <x v="1"/>
    <x v="7"/>
    <s v="OG0007943"/>
    <s v="Ofaveolata017471"/>
    <s v="Ssiderea046740"/>
    <n v="1.5814134500000001"/>
    <n v="-1.1825966000000001"/>
    <s v="Inverse"/>
    <s v="NA"/>
    <s v="Ecto-NOX disulfide-thiol exchanger"/>
  </r>
  <r>
    <x v="1"/>
    <x v="7"/>
    <s v="OG0007984"/>
    <s v="Ofaveolata017146"/>
    <s v="Ssiderea039439"/>
    <n v="-2.3174815999999998"/>
    <n v="-5.2916808"/>
    <s v="Direct"/>
    <s v="large ribosomal subunit rRNA binding"/>
    <s v="Ribosomal protein L14p/L23e"/>
  </r>
  <r>
    <x v="1"/>
    <x v="7"/>
    <s v="OG0007997"/>
    <s v="Ofaveolata014416"/>
    <s v="Ssiderea004897"/>
    <n v="-3.7814052"/>
    <n v="-1.6606755"/>
    <s v="Direct"/>
    <s v="NA"/>
    <s v="collagen fibril organization"/>
  </r>
  <r>
    <x v="1"/>
    <x v="7"/>
    <s v="OG0008033"/>
    <s v="Ofaveolata017427"/>
    <s v="Ssiderea048475"/>
    <n v="-1.7503765"/>
    <n v="-2.7562072999999998"/>
    <s v="Direct"/>
    <s v="Belongs to the AAA ATPase family"/>
    <s v="Belongs to the AAA ATPase family"/>
  </r>
  <r>
    <x v="1"/>
    <x v="7"/>
    <s v="OG0008061"/>
    <s v="Ofaveolata012317"/>
    <s v="Ssiderea017309"/>
    <n v="-1.2907582"/>
    <n v="1.39178983"/>
    <s v="Inverse"/>
    <s v="Belongs to the MT-A70-like family"/>
    <s v="Belongs to the MT-A70-like family"/>
  </r>
  <r>
    <x v="1"/>
    <x v="7"/>
    <s v="OG0008099"/>
    <s v="Ofaveolata025989"/>
    <s v="Ssiderea038961"/>
    <n v="-1.3698174999999999"/>
    <n v="-1.9353910999999999"/>
    <s v="Direct"/>
    <s v="NA"/>
    <s v="NA"/>
  </r>
  <r>
    <x v="1"/>
    <x v="7"/>
    <s v="OG0008115"/>
    <s v="Ofaveolata002016"/>
    <s v="Ssiderea013626"/>
    <n v="2.0551739000000002"/>
    <n v="-1.7207821999999999"/>
    <s v="Inverse"/>
    <s v="Hairy and enhancer of split-related protein helt"/>
    <s v="Hairy and enhancer of split-related protein helt"/>
  </r>
  <r>
    <x v="1"/>
    <x v="7"/>
    <s v="OG0008171"/>
    <s v="Ofaveolata008350"/>
    <s v="Ssiderea050491"/>
    <n v="4.4406118000000001"/>
    <n v="1.5329689099999999"/>
    <s v="Direct"/>
    <s v="Dual specificity protein kinase"/>
    <s v="Dual specificity protein kinase"/>
  </r>
  <r>
    <x v="1"/>
    <x v="7"/>
    <s v="OG0008193"/>
    <s v="Ofaveolata008101"/>
    <s v="Ssiderea009632"/>
    <n v="-1.5004185000000001"/>
    <n v="-4.9772593000000001"/>
    <s v="Direct"/>
    <s v="threonine-type endopeptidase activity"/>
    <s v="threonine-type endopeptidase activity"/>
  </r>
  <r>
    <x v="1"/>
    <x v="7"/>
    <s v="OG0008195"/>
    <s v="Ofaveolata019793"/>
    <s v="Ssiderea012055"/>
    <n v="-8.6794007000000004"/>
    <n v="-18.860948"/>
    <s v="Direct"/>
    <s v="major facilitator superfamily"/>
    <s v="major facilitator superfamily"/>
  </r>
  <r>
    <x v="1"/>
    <x v="7"/>
    <s v="OG0008209"/>
    <s v="Ofaveolata005715"/>
    <s v="Ssiderea045546"/>
    <n v="-2.4172202999999999"/>
    <n v="-5.0787198"/>
    <s v="Direct"/>
    <s v="protein kinase activity"/>
    <s v="protein kinase activity"/>
  </r>
  <r>
    <x v="1"/>
    <x v="7"/>
    <s v="OG0008228"/>
    <s v="Ofaveolata031950"/>
    <s v="Ssiderea007416"/>
    <n v="-1.2453506999999999"/>
    <n v="-1.5697766"/>
    <s v="Direct"/>
    <s v="DBD domain binding"/>
    <s v="DBD domain binding"/>
  </r>
  <r>
    <x v="1"/>
    <x v="7"/>
    <s v="OG0008234"/>
    <s v="Ofaveolata014265"/>
    <s v="Ssiderea003673"/>
    <n v="1.25354952"/>
    <n v="-2.1086464999999999"/>
    <s v="Inverse"/>
    <s v="Small acidic protein family"/>
    <s v="Small acidic protein family"/>
  </r>
  <r>
    <x v="1"/>
    <x v="7"/>
    <s v="OG0008265"/>
    <s v="Ofaveolata034158"/>
    <s v="Ssiderea031519"/>
    <n v="-8.8600782000000002"/>
    <n v="-3.2314014000000002"/>
    <s v="Direct"/>
    <s v="Src homology 3 domains"/>
    <s v="Src homology 3 domains"/>
  </r>
  <r>
    <x v="1"/>
    <x v="7"/>
    <s v="OG0008278"/>
    <s v="Ofaveolata019039"/>
    <s v="Ssiderea001777"/>
    <n v="-4.3538271000000002"/>
    <n v="-1.3516362"/>
    <s v="Direct"/>
    <s v="NA"/>
    <s v="intracellular signal transduction"/>
  </r>
  <r>
    <x v="1"/>
    <x v="7"/>
    <s v="OG0008305"/>
    <s v="Ofaveolata007300"/>
    <s v="Ssiderea009812"/>
    <n v="3.4159860399999999"/>
    <n v="-1.1533340999999999"/>
    <s v="Inverse"/>
    <s v="NA"/>
    <s v="NA"/>
  </r>
  <r>
    <x v="1"/>
    <x v="7"/>
    <s v="OG0008309"/>
    <s v="Ofaveolata021961"/>
    <s v="Ssiderea023517"/>
    <n v="1.41703902"/>
    <n v="-1.1168142999999999"/>
    <s v="Inverse"/>
    <s v="non-membrane spanning protein tyrosine kinase activity"/>
    <s v="non-membrane spanning protein tyrosine kinase activity"/>
  </r>
  <r>
    <x v="1"/>
    <x v="7"/>
    <s v="OG0008315"/>
    <s v="Ofaveolata006518"/>
    <s v="Ssiderea028014"/>
    <n v="-1.9251767"/>
    <n v="-3.2660111999999999"/>
    <s v="Direct"/>
    <s v="Belongs to the eukaryotic ribosomal protein eS30 family"/>
    <s v="Belongs to the eukaryotic ribosomal protein eS30 family"/>
  </r>
  <r>
    <x v="1"/>
    <x v="7"/>
    <s v="OG0008329"/>
    <s v="Ofaveolata014852"/>
    <s v="Ssiderea004523"/>
    <n v="-3.7677246000000002"/>
    <n v="3.13369082"/>
    <s v="Inverse"/>
    <s v="IPT/TIG domain"/>
    <s v="IPT/TIG domain"/>
  </r>
  <r>
    <x v="1"/>
    <x v="7"/>
    <s v="OG0008335"/>
    <s v="Ofaveolata027442"/>
    <s v="Ssiderea035529"/>
    <n v="-4.8270909"/>
    <n v="-1.2486877999999999"/>
    <s v="Direct"/>
    <s v="glutamine biosynthetic process"/>
    <s v="glutamine biosynthetic process"/>
  </r>
  <r>
    <x v="1"/>
    <x v="7"/>
    <s v="OG0008339"/>
    <s v="Ofaveolata016948"/>
    <s v="Ssiderea039355"/>
    <n v="-1.2106570000000001"/>
    <n v="-8.3772046000000007"/>
    <s v="Direct"/>
    <s v="60s ribosomal protein"/>
    <s v="60s ribosomal protein"/>
  </r>
  <r>
    <x v="1"/>
    <x v="7"/>
    <s v="OG0008345"/>
    <s v="Ofaveolata000292"/>
    <s v="Ssiderea029511"/>
    <n v="-2.4266700999999999"/>
    <n v="1.1359589999999999"/>
    <s v="Inverse"/>
    <s v="ATP-dependent microtubule motor activity, plus-end-directed"/>
    <s v="Microtubule binding"/>
  </r>
  <r>
    <x v="1"/>
    <x v="7"/>
    <s v="OG0008350"/>
    <s v="Ofaveolata017291"/>
    <s v="Ssiderea046616"/>
    <n v="-2.1571519000000001"/>
    <n v="-4.4485754000000002"/>
    <s v="Direct"/>
    <s v="Acyl-CoA synthetase long-chain family member"/>
    <s v="Acyl-CoA synthetase long-chain family member"/>
  </r>
  <r>
    <x v="1"/>
    <x v="7"/>
    <s v="OG0008373"/>
    <s v="Ofaveolata022583"/>
    <s v="Ssiderea015310"/>
    <n v="-4.7528664999999997"/>
    <n v="-2.6808939999999999"/>
    <s v="Direct"/>
    <s v="Isocitrate lyase family"/>
    <s v="Isocitrate lyase family"/>
  </r>
  <r>
    <x v="1"/>
    <x v="7"/>
    <s v="OG0008420"/>
    <s v="Ofaveolata009444"/>
    <s v="Ssiderea035872"/>
    <n v="-1.8127869000000001"/>
    <n v="-1.3512076"/>
    <s v="Direct"/>
    <s v="potassium:chloride symporter activity"/>
    <s v="potassium:chloride symporter activity"/>
  </r>
  <r>
    <x v="1"/>
    <x v="7"/>
    <s v="OG0008440"/>
    <s v="Ofaveolata029254"/>
    <s v="Ssiderea033219"/>
    <n v="-1.0971405999999999"/>
    <n v="-4.0417823999999998"/>
    <s v="Direct"/>
    <s v="ribosomal protein"/>
    <s v="ribosomal protein"/>
  </r>
  <r>
    <x v="1"/>
    <x v="7"/>
    <s v="OG0008443"/>
    <s v="Ofaveolata018860"/>
    <s v="Ssiderea003109"/>
    <n v="-4.7245730999999997"/>
    <n v="-3.1194959999999998"/>
    <s v="Direct"/>
    <s v="thyroid hormone transmembrane transporter activity"/>
    <s v="thyroid hormone transmembrane transporter activity"/>
  </r>
  <r>
    <x v="1"/>
    <x v="7"/>
    <s v="OG0008460"/>
    <s v="Ofaveolata001010"/>
    <s v="Ssiderea022414"/>
    <n v="2.2888046100000001"/>
    <n v="1.9424811500000001"/>
    <s v="Direct"/>
    <s v="negative regulation of vascular smooth muscle contraction"/>
    <s v="negative regulation of vascular smooth muscle contraction"/>
  </r>
  <r>
    <x v="1"/>
    <x v="7"/>
    <s v="OG0008478"/>
    <s v="Ofaveolata032667"/>
    <s v="Ssiderea052025"/>
    <n v="-2.0850399999999998"/>
    <n v="1.4720032599999999"/>
    <s v="Inverse"/>
    <s v="Carboxypeptidase"/>
    <s v="Carboxypeptidase"/>
  </r>
  <r>
    <x v="1"/>
    <x v="7"/>
    <s v="OG0008483"/>
    <s v="Ofaveolata016274"/>
    <s v="Ssiderea052691"/>
    <n v="-4.8407643"/>
    <n v="-1.4047031999999999"/>
    <s v="Direct"/>
    <s v="Cupin superfamily protein"/>
    <s v="Cupin superfamily protein"/>
  </r>
  <r>
    <x v="1"/>
    <x v="7"/>
    <s v="OG0008517"/>
    <s v="Ofaveolata014426"/>
    <s v="Ssiderea003900"/>
    <n v="-2.3344051000000001"/>
    <n v="-1.1894247"/>
    <s v="Direct"/>
    <s v="low voltage-gated calcium channel activity"/>
    <s v="low voltage-gated calcium channel activity"/>
  </r>
  <r>
    <x v="1"/>
    <x v="7"/>
    <s v="OG0008540"/>
    <s v="Ofaveolata018474"/>
    <s v="Ssiderea002817"/>
    <n v="-1.4221824999999999"/>
    <n v="-2.3036082000000002"/>
    <s v="Direct"/>
    <s v="Nuclear factor related to"/>
    <s v="Nuclear factor related to"/>
  </r>
  <r>
    <x v="1"/>
    <x v="7"/>
    <s v="OG0008541"/>
    <s v="Ofaveolata002461"/>
    <s v="Ssiderea024988"/>
    <n v="-3.7011951999999999"/>
    <n v="1.6674217"/>
    <s v="Inverse"/>
    <s v="ephrin receptor binding"/>
    <s v="ephrin receptor binding"/>
  </r>
  <r>
    <x v="1"/>
    <x v="7"/>
    <s v="OG0008559"/>
    <s v="Ofaveolata004843"/>
    <s v="Ssiderea011198"/>
    <n v="-4.5344895000000003"/>
    <n v="1.5479934900000001"/>
    <s v="Inverse"/>
    <s v="galactosyltransferase activity"/>
    <s v="galactosyltransferase activity"/>
  </r>
  <r>
    <x v="1"/>
    <x v="7"/>
    <s v="OG0008597"/>
    <s v="Ofaveolata022492"/>
    <s v="Ssiderea015589"/>
    <n v="4.00973281"/>
    <n v="-1.5218392999999999"/>
    <s v="Inverse"/>
    <s v="ATP-dependent DNA helicase activity"/>
    <s v="ATP-dependent DNA helicase activity"/>
  </r>
  <r>
    <x v="1"/>
    <x v="7"/>
    <s v="OG0008680"/>
    <s v="Ofaveolata022438"/>
    <s v="Ssiderea057905"/>
    <n v="-1.5773888"/>
    <n v="1.47229955"/>
    <s v="Inverse"/>
    <s v="cysteamine dioxygenase activity"/>
    <s v="cysteamine dioxygenase activity"/>
  </r>
  <r>
    <x v="1"/>
    <x v="7"/>
    <s v="OG0008701"/>
    <s v="Ofaveolata030710"/>
    <s v="Ssiderea054343"/>
    <n v="2.8961103399999999"/>
    <n v="-1.1903265999999999"/>
    <s v="Inverse"/>
    <s v="Sigma non-opioid intracellular receptor 1"/>
    <s v="Sigma non-opioid intracellular receptor 1"/>
  </r>
  <r>
    <x v="1"/>
    <x v="7"/>
    <s v="OG0008702"/>
    <s v="Ofaveolata014439"/>
    <s v="Ssiderea057628"/>
    <n v="-1.4701384"/>
    <n v="-2.9017423999999998"/>
    <s v="Direct"/>
    <s v="mitotic spindle assembly"/>
    <s v="Metal ion binding"/>
  </r>
  <r>
    <x v="1"/>
    <x v="7"/>
    <s v="OG0008721"/>
    <s v="Ofaveolata032689"/>
    <s v="Ssiderea034784"/>
    <n v="2.5750848199999998"/>
    <n v="1.91269179"/>
    <s v="Direct"/>
    <s v="dense core granule exocytosis"/>
    <s v="dense core granule exocytosis"/>
  </r>
  <r>
    <x v="1"/>
    <x v="7"/>
    <s v="OG0008743"/>
    <s v="Ofaveolata019003"/>
    <s v="Ssiderea001880"/>
    <n v="-1.9344861"/>
    <n v="-2.0179458000000001"/>
    <s v="Direct"/>
    <s v="proteasome-activating ATPase activity"/>
    <s v="proteasome-activating ATPase activity"/>
  </r>
  <r>
    <x v="1"/>
    <x v="7"/>
    <s v="OG0008754"/>
    <s v="Ofaveolata013087"/>
    <s v="Ssiderea001369"/>
    <n v="30.962396200000001"/>
    <n v="4.3257690999999996"/>
    <s v="Direct"/>
    <s v="calcium ion binding"/>
    <s v="calcium ion binding"/>
  </r>
  <r>
    <x v="1"/>
    <x v="7"/>
    <s v="OG0008761"/>
    <s v="Ofaveolata022640"/>
    <s v="Ssiderea050122"/>
    <n v="-4.0225970000000002"/>
    <n v="1.5461209499999999"/>
    <s v="Inverse"/>
    <s v="carbohydrate binding"/>
    <s v="carbohydrate binding"/>
  </r>
  <r>
    <x v="1"/>
    <x v="7"/>
    <s v="OG0008764"/>
    <s v="Ofaveolata027309"/>
    <s v="Ssiderea025440"/>
    <n v="1.39174194"/>
    <n v="-1.0430188"/>
    <s v="Inverse"/>
    <s v="ubiquitin-like protein-specific protease activity"/>
    <s v="ubiquitin-like protein-specific protease activity"/>
  </r>
  <r>
    <x v="1"/>
    <x v="7"/>
    <s v="OG0008790"/>
    <s v="Ofaveolata033271"/>
    <s v="Ssiderea055287"/>
    <n v="-5.9308646999999999"/>
    <n v="-3.1585909000000001"/>
    <s v="Direct"/>
    <s v="phosphatase 5"/>
    <s v="phosphatase 5"/>
  </r>
  <r>
    <x v="1"/>
    <x v="7"/>
    <s v="OG0008799"/>
    <s v="Ofaveolata026264"/>
    <s v="Ssiderea041915"/>
    <n v="-2.5248827"/>
    <n v="-14.141591"/>
    <s v="Direct"/>
    <s v="Cys/Met metabolism PLP-dependent enzyme"/>
    <s v="Cys/Met metabolism PLP-dependent enzyme"/>
  </r>
  <r>
    <x v="1"/>
    <x v="7"/>
    <s v="OG0008810"/>
    <s v="Ofaveolata028845"/>
    <s v="Ssiderea014395"/>
    <n v="-1.1228396"/>
    <n v="-1.1152470999999999"/>
    <s v="Direct"/>
    <s v="ATP synthase subunit alpha"/>
    <s v="ATP synthase subunit alpha"/>
  </r>
  <r>
    <x v="1"/>
    <x v="7"/>
    <s v="OG0008814"/>
    <s v="Ofaveolata008100"/>
    <s v="Ssiderea009630"/>
    <n v="1.5144885100000001"/>
    <n v="-1.6403064000000001"/>
    <s v="Inverse"/>
    <s v="vacuolar protein processing"/>
    <s v="Legumain"/>
  </r>
  <r>
    <x v="1"/>
    <x v="7"/>
    <s v="OG0008867"/>
    <s v="Ofaveolata022801"/>
    <s v="Ssiderea015190"/>
    <n v="1.4713591699999999"/>
    <n v="-5.4999101000000001"/>
    <s v="Inverse"/>
    <s v="tRNA-4-demethylwyosine synthase activity"/>
    <s v="tRNA-4-demethylwyosine synthase activity"/>
  </r>
  <r>
    <x v="1"/>
    <x v="7"/>
    <s v="OG0008871"/>
    <s v="Ofaveolata014952"/>
    <s v="Ssiderea038353"/>
    <n v="3.25670854"/>
    <n v="1.0393176099999999"/>
    <s v="Direct"/>
    <s v="Heme oxygenase"/>
    <s v="Heme oxygenase"/>
  </r>
  <r>
    <x v="1"/>
    <x v="7"/>
    <s v="OG0008881"/>
    <s v="Ofaveolata025437"/>
    <s v="Ssiderea039806"/>
    <n v="-31.793572000000001"/>
    <n v="-4.4084963999999998"/>
    <s v="Direct"/>
    <s v="peptidase inhibitor activity"/>
    <s v="positive regulation of epithelial to mesenchymal transition"/>
  </r>
  <r>
    <x v="1"/>
    <x v="7"/>
    <s v="OG0008932"/>
    <s v="Ofaveolata021054"/>
    <s v="Ssiderea012323"/>
    <n v="-1.009414"/>
    <n v="-1.3727096000000001"/>
    <s v="Direct"/>
    <s v="anchor protein 17A"/>
    <s v="anchor protein 17A"/>
  </r>
  <r>
    <x v="1"/>
    <x v="7"/>
    <s v="OG0008952"/>
    <s v="Ofaveolata022997"/>
    <s v="Ssiderea014838"/>
    <n v="3.8945550099999999"/>
    <n v="7.0563547199999999"/>
    <s v="Direct"/>
    <s v="regulation of endoplasmic reticulum stress-induced intrinsic apoptotic signaling pathway"/>
    <s v="regulation of endoplasmic reticulum stress-induced intrinsic apoptotic signaling pathway"/>
  </r>
  <r>
    <x v="1"/>
    <x v="7"/>
    <s v="OG0008969"/>
    <s v="Ofaveolata000728"/>
    <s v="Ssiderea044862"/>
    <n v="-1.4027847"/>
    <n v="-1.0382065"/>
    <s v="Direct"/>
    <s v="translation regulator activity"/>
    <s v="translation regulator activity"/>
  </r>
  <r>
    <x v="1"/>
    <x v="7"/>
    <s v="OG0008980"/>
    <s v="Ofaveolata032487"/>
    <s v="Ssiderea034815"/>
    <n v="-2.0390717999999999"/>
    <n v="-4.4822141999999996"/>
    <s v="Direct"/>
    <s v="acyl-CoA dehydrogenase family member 9"/>
    <s v="medium-chain-acyl-CoA dehydrogenase activity"/>
  </r>
  <r>
    <x v="1"/>
    <x v="7"/>
    <s v="OG0008985"/>
    <s v="Ofaveolata032885"/>
    <s v="Ssiderea055254"/>
    <n v="-2.9552841999999999"/>
    <n v="-2.2970774"/>
    <s v="Direct"/>
    <s v="alpha-1,6-mannosylglycoprotein 6-beta-N-acetylglucosaminyltransferase activity"/>
    <s v="alpha-1,6-mannosylglycoprotein 6-beta-N-acetylglucosaminyltransferase activity"/>
  </r>
  <r>
    <x v="1"/>
    <x v="7"/>
    <s v="OG0009006"/>
    <s v="Ofaveolata014626"/>
    <s v="Ssiderea004142"/>
    <n v="2.5088529799999999"/>
    <n v="-1.0515882000000001"/>
    <s v="Inverse"/>
    <s v="RhoGEF domain"/>
    <s v="RhoGEF domain"/>
  </r>
  <r>
    <x v="1"/>
    <x v="7"/>
    <s v="OG0009012"/>
    <s v="Ofaveolata004494"/>
    <s v="Ssiderea052467"/>
    <n v="-4.7327006000000003"/>
    <n v="-1.6257444000000001"/>
    <s v="Direct"/>
    <s v="structural constituent of cuticle"/>
    <s v="structural constituent of cuticle"/>
  </r>
  <r>
    <x v="1"/>
    <x v="7"/>
    <s v="OG0009015"/>
    <s v="Ofaveolata027971"/>
    <s v="Ssiderea035452"/>
    <n v="1.10568507"/>
    <n v="1.0351382200000001"/>
    <s v="Direct"/>
    <s v="cellular response to potassium ion starvation"/>
    <s v="cellular response to potassium ion starvation"/>
  </r>
  <r>
    <x v="1"/>
    <x v="7"/>
    <s v="OG0009019"/>
    <s v="Ofaveolata008792"/>
    <s v="Ssiderea008272"/>
    <n v="1.3609713000000001"/>
    <n v="2.0474677300000002"/>
    <s v="Direct"/>
    <s v="NA"/>
    <s v="macromolecule localization"/>
  </r>
  <r>
    <x v="1"/>
    <x v="7"/>
    <s v="OG0009042"/>
    <s v="Ofaveolata023053"/>
    <s v="Ssiderea014765"/>
    <n v="3.3314021999999999"/>
    <n v="1.99128573"/>
    <s v="Direct"/>
    <s v="Vitamin K epoxide reductase complex, subunit"/>
    <s v="Vitamin K epoxide reductase complex, subunit"/>
  </r>
  <r>
    <x v="1"/>
    <x v="7"/>
    <s v="OG0009113"/>
    <s v="Ofaveolata002474"/>
    <s v="Ssiderea025037"/>
    <n v="-1.3423585"/>
    <n v="-2.9431840999999999"/>
    <s v="Direct"/>
    <s v="Catalyzes the ferrous insertion into protoporphyrin IX"/>
    <s v="Catalyzes the ferrous insertion into protoporphyrin IX"/>
  </r>
  <r>
    <x v="1"/>
    <x v="7"/>
    <s v="OG0009159"/>
    <s v="Ofaveolata034125"/>
    <s v="Ssiderea031640"/>
    <n v="1.2506191900000001"/>
    <n v="-1.4213557999999999"/>
    <s v="Inverse"/>
    <s v="agmatinase activity"/>
    <s v="agmatinase activity"/>
  </r>
  <r>
    <x v="1"/>
    <x v="7"/>
    <s v="OG0009169"/>
    <s v="Ofaveolata007065"/>
    <s v="Ssiderea028276"/>
    <n v="1.0611118100000001"/>
    <n v="-1.3477787000000001"/>
    <s v="Inverse"/>
    <s v="BRO1-like domain"/>
    <s v="BRO1-like domain"/>
  </r>
  <r>
    <x v="1"/>
    <x v="7"/>
    <s v="OG0009197"/>
    <s v="Ofaveolata025991"/>
    <s v="Ssiderea038867"/>
    <n v="1.96169773"/>
    <n v="2.30132716"/>
    <s v="Direct"/>
    <s v="RanBP-type and C3HC4-type zinc"/>
    <s v="ranBP-type and C3HC4-type zinc finger-containing protein"/>
  </r>
  <r>
    <x v="1"/>
    <x v="7"/>
    <s v="OG0009286"/>
    <s v="Ofaveolata025786"/>
    <s v="Ssiderea038893"/>
    <n v="-2.6248895999999999"/>
    <n v="-4.1487546999999996"/>
    <s v="Direct"/>
    <s v="S-adenosylhomocysteine catabolic process"/>
    <s v="S-adenosylhomocysteine catabolic process"/>
  </r>
  <r>
    <x v="1"/>
    <x v="7"/>
    <s v="OG0009332"/>
    <s v="Ofaveolata025856"/>
    <s v="Ssiderea055496"/>
    <n v="-1.4612316999999999"/>
    <n v="-2.7897185000000002"/>
    <s v="Direct"/>
    <s v="RmlD substrate binding domain"/>
    <s v="RmlD substrate binding domain"/>
  </r>
  <r>
    <x v="1"/>
    <x v="7"/>
    <s v="OG0009356"/>
    <s v="Ofaveolata022553"/>
    <s v="Ssiderea015347"/>
    <n v="4.5683266099999997"/>
    <n v="-3.4013958999999998"/>
    <s v="Inverse"/>
    <s v="LON peptidase N-terminal domain and RING finger"/>
    <s v="LON peptidase N-terminal domain and RING finger"/>
  </r>
  <r>
    <x v="1"/>
    <x v="7"/>
    <s v="OG0009360"/>
    <s v="Ofaveolata025443"/>
    <s v="Ssiderea039810"/>
    <n v="-1.45017"/>
    <n v="1.0832973400000001"/>
    <s v="Inverse"/>
    <s v="peptidase inhibitor activity"/>
    <s v="peptidase inhibitor activity"/>
  </r>
  <r>
    <x v="1"/>
    <x v="7"/>
    <s v="OG0009390"/>
    <s v="Ofaveolata027260"/>
    <s v="Ssiderea025591"/>
    <n v="-1.2279475"/>
    <n v="1.5300669899999999"/>
    <s v="Inverse"/>
    <s v="NA"/>
    <s v="NA"/>
  </r>
  <r>
    <x v="1"/>
    <x v="7"/>
    <s v="OG0009447"/>
    <s v="Ofaveolata007439"/>
    <s v="Ssiderea044615"/>
    <n v="1.9439480099999999"/>
    <n v="1.61711209"/>
    <s v="Direct"/>
    <s v="Domain Homologous to E6-AP Carboxyl Terminus with"/>
    <s v="Domain Homologous to E6-AP Carboxyl Terminus with"/>
  </r>
  <r>
    <x v="1"/>
    <x v="7"/>
    <s v="OG0009476"/>
    <s v="Ofaveolata002854"/>
    <s v="Ssiderea013482"/>
    <n v="-3.1876107999999999"/>
    <n v="1.6489994800000001"/>
    <s v="Inverse"/>
    <s v="glutathione hydrolase activity"/>
    <s v="glutathione hydrolase activity"/>
  </r>
  <r>
    <x v="1"/>
    <x v="7"/>
    <s v="OG0009515"/>
    <s v="Ofaveolata016668"/>
    <s v="Ssiderea040441"/>
    <n v="-1.3890076"/>
    <n v="-1.4375557000000001"/>
    <s v="Direct"/>
    <s v="regulation of cellular macromolecule biosynthetic process"/>
    <s v="regulation of cellular macromolecule biosynthetic process"/>
  </r>
  <r>
    <x v="1"/>
    <x v="7"/>
    <s v="OG0009516"/>
    <s v="Ofaveolata024365"/>
    <s v="Ssiderea006189"/>
    <n v="1.44120333"/>
    <n v="-1.1071226000000001"/>
    <s v="Inverse"/>
    <s v="ankyrin repeats"/>
    <s v="ankyrin repeats"/>
  </r>
  <r>
    <x v="1"/>
    <x v="7"/>
    <s v="OG0009519"/>
    <s v="Ofaveolata005300"/>
    <s v="Ssiderea015838"/>
    <n v="-2.9405898000000001"/>
    <n v="-5.2730860000000002"/>
    <s v="Direct"/>
    <s v="Belongs to the universal ribosomal protein uL13 family"/>
    <s v="Belongs to the universal ribosomal protein uL13 family"/>
  </r>
  <r>
    <x v="1"/>
    <x v="7"/>
    <s v="OG0009550"/>
    <s v="Ofaveolata011550"/>
    <s v="Ssiderea019614"/>
    <n v="-1.8911528"/>
    <n v="-1.7080398000000001"/>
    <s v="Direct"/>
    <s v="Calcium release activated channel regulator"/>
    <s v="store-operated calcium entry"/>
  </r>
  <r>
    <x v="1"/>
    <x v="7"/>
    <s v="OG0009551"/>
    <s v="Ofaveolata026600"/>
    <s v="Ssiderea035170"/>
    <n v="2.0661432"/>
    <n v="-4.0287261000000001"/>
    <s v="Inverse"/>
    <s v="2 iron, 2 sulfur cluster binding"/>
    <s v="2Fe-2S iron-sulfur cluster binding domain"/>
  </r>
  <r>
    <x v="1"/>
    <x v="7"/>
    <s v="OG0009555"/>
    <s v="Ofaveolata023565"/>
    <s v="Ssiderea015602"/>
    <n v="-3.0139668999999998"/>
    <n v="-9.2476708999999992"/>
    <s v="Direct"/>
    <s v="translational elongation"/>
    <s v="translational elongation"/>
  </r>
  <r>
    <x v="1"/>
    <x v="7"/>
    <s v="OG0009590"/>
    <s v="Ofaveolata028108"/>
    <s v="Ssiderea035359"/>
    <n v="1.6504544699999999"/>
    <n v="-1.8402153000000001"/>
    <s v="Inverse"/>
    <s v="metalloendopeptidase activity"/>
    <s v="A disintegrin and metalloproteinase with thrombospondin motifs"/>
  </r>
  <r>
    <x v="1"/>
    <x v="7"/>
    <s v="OG0009652"/>
    <s v="Ofaveolata025017"/>
    <s v="Ssiderea021332"/>
    <n v="1.2753186700000001"/>
    <n v="3.70136953"/>
    <s v="Direct"/>
    <s v="saccharopine dehydrogenase (NAD+, L-lysine-forming) activity"/>
    <s v="saccharopine dehydrogenase (NAD+, L-lysine-forming) activity"/>
  </r>
  <r>
    <x v="1"/>
    <x v="7"/>
    <s v="OG0009654"/>
    <s v="Ofaveolata003084"/>
    <s v="Ssiderea024686"/>
    <n v="1.1432500299999999"/>
    <n v="1.66092463"/>
    <s v="Direct"/>
    <s v="RING-type zinc-finger"/>
    <s v="RING-type zinc-finger"/>
  </r>
  <r>
    <x v="1"/>
    <x v="7"/>
    <s v="OG0009662"/>
    <s v="Ofaveolata030010"/>
    <s v="Ssiderea052995"/>
    <n v="-3.2099646000000002"/>
    <n v="-4.1596902"/>
    <s v="Direct"/>
    <s v="Far upstream element-binding protein"/>
    <s v="Far upstream element-binding protein"/>
  </r>
  <r>
    <x v="1"/>
    <x v="7"/>
    <s v="OG0009670"/>
    <s v="Ofaveolata027696"/>
    <s v="Ssiderea025559"/>
    <n v="-4.7257560999999999"/>
    <n v="-2.1427795999999999"/>
    <s v="Direct"/>
    <s v="prolyl 4-hydroxylase"/>
    <s v="prolyl 4-hydroxylase"/>
  </r>
  <r>
    <x v="1"/>
    <x v="7"/>
    <s v="OG0009685"/>
    <s v="Ofaveolata032877"/>
    <s v="Ssiderea055212"/>
    <n v="-3.4298799"/>
    <n v="-1.2441352999999999"/>
    <s v="Direct"/>
    <s v="cysteine-type endopeptidase activity"/>
    <s v="cysteine-type endopeptidase activity"/>
  </r>
  <r>
    <x v="1"/>
    <x v="7"/>
    <s v="OG0009700"/>
    <s v="Ofaveolata031851"/>
    <s v="Ssiderea007204"/>
    <n v="1.17053009"/>
    <n v="1.4342180499999999"/>
    <s v="Direct"/>
    <s v="granuloma formation"/>
    <s v="granuloma formation"/>
  </r>
  <r>
    <x v="1"/>
    <x v="7"/>
    <s v="OG0009767"/>
    <s v="Ofaveolata008116"/>
    <s v="Ssiderea009645"/>
    <n v="-2.9113114000000002"/>
    <n v="-2.1153008999999998"/>
    <s v="Direct"/>
    <s v="Initiation factor"/>
    <s v="Initiation factor"/>
  </r>
  <r>
    <x v="1"/>
    <x v="7"/>
    <s v="OG0009796"/>
    <s v="Ofaveolata021112"/>
    <s v="Ssiderea011874"/>
    <n v="-2.7714466"/>
    <n v="-1.3072229"/>
    <s v="Direct"/>
    <s v="Rho GTPase activating protein 6"/>
    <s v="Rho GTPase activating protein 6"/>
  </r>
  <r>
    <x v="1"/>
    <x v="7"/>
    <s v="OG0009798"/>
    <s v="Ofaveolata022032"/>
    <s v="Ssiderea023351"/>
    <n v="-1.499468"/>
    <n v="-1.3255026000000001"/>
    <s v="Direct"/>
    <s v="nicotinamidase activity"/>
    <s v="nicotinamidase activity"/>
  </r>
  <r>
    <x v="1"/>
    <x v="7"/>
    <s v="OG0009802"/>
    <s v="Ofaveolata008838"/>
    <s v="Ssiderea007880"/>
    <n v="3.61432442"/>
    <n v="-1.3837693"/>
    <s v="Inverse"/>
    <s v="cysteine-rich protein 1"/>
    <s v="metal ion binding"/>
  </r>
  <r>
    <x v="1"/>
    <x v="7"/>
    <s v="OG0009812"/>
    <s v="Ofaveolata032756"/>
    <s v="Ssiderea052109"/>
    <n v="4.8820755599999996"/>
    <n v="-1.0060119999999999"/>
    <s v="Inverse"/>
    <s v="positive regulation of cysteine-type endopeptidase activity involved in apoptotic process"/>
    <s v="positive regulation of cysteine-type endopeptidase activity involved in apoptotic process"/>
  </r>
  <r>
    <x v="1"/>
    <x v="7"/>
    <s v="OG0009840"/>
    <s v="Ofaveolata001477"/>
    <s v="Ssiderea043692"/>
    <n v="-1.1854944000000001"/>
    <n v="-1.2273053"/>
    <s v="Direct"/>
    <s v="stress-activated protein kinase signaling cascade"/>
    <s v="stress-activated protein kinase signaling cascade"/>
  </r>
  <r>
    <x v="1"/>
    <x v="7"/>
    <s v="OG0009853"/>
    <s v="Ofaveolata002268"/>
    <s v="Ssiderea012759"/>
    <n v="-6.8248956999999999"/>
    <n v="-1.4462813000000001"/>
    <s v="Direct"/>
    <s v="serine-type endopeptidase inhibitor activity"/>
    <s v="serine-type endopeptidase inhibitor activity"/>
  </r>
  <r>
    <x v="1"/>
    <x v="7"/>
    <s v="OG0009854"/>
    <s v="Ofaveolata022582"/>
    <s v="Ssiderea015309"/>
    <n v="-1.1222534"/>
    <n v="1.0780797099999999"/>
    <s v="Inverse"/>
    <s v="Malate synthase"/>
    <s v="Malate synthase"/>
  </r>
  <r>
    <x v="1"/>
    <x v="7"/>
    <s v="OG0009918"/>
    <s v="Ofaveolata025486"/>
    <s v="Ssiderea039868"/>
    <n v="-7.1628439000000004"/>
    <n v="-2.8462961999999998"/>
    <s v="Direct"/>
    <s v="dolichyl-diphosphooligosaccharide-protein glycotransferase activity"/>
    <s v="dolichyl-diphosphooligosaccharide-protein glycotransferase activity"/>
  </r>
  <r>
    <x v="1"/>
    <x v="7"/>
    <s v="OG0009941"/>
    <s v="Ofaveolata018996"/>
    <s v="Ssiderea001909"/>
    <n v="1.02648563"/>
    <n v="-2.084203"/>
    <s v="Inverse"/>
    <s v="ribosomal protein L37"/>
    <s v="ribosomal protein L37"/>
  </r>
  <r>
    <x v="1"/>
    <x v="7"/>
    <s v="OG0009967"/>
    <s v="Ofaveolata001194"/>
    <s v="Ssiderea029323"/>
    <n v="-1.3838727"/>
    <n v="-2.5737443"/>
    <s v="Direct"/>
    <s v="positive regulation of prolactin signaling pathway"/>
    <s v="positive regulation of prolactin signaling pathway"/>
  </r>
  <r>
    <x v="1"/>
    <x v="7"/>
    <s v="OG0009992"/>
    <s v="Ofaveolata026734"/>
    <s v="Ssiderea017713"/>
    <n v="1.9237023600000001"/>
    <n v="1.0103643600000001"/>
    <s v="Direct"/>
    <s v="nucleic acid-templated transcription"/>
    <s v="nucleic acid-templated transcription"/>
  </r>
  <r>
    <x v="1"/>
    <x v="7"/>
    <s v="OG0010002"/>
    <s v="Ofaveolata006572"/>
    <s v="Ssiderea028103"/>
    <n v="-1.0404374000000001"/>
    <n v="-4.7577407000000003"/>
    <s v="Direct"/>
    <s v="Protein phosphatase 1 regulatory subunit 37"/>
    <s v="Protein phosphatase 1, regulatory subunit"/>
  </r>
  <r>
    <x v="1"/>
    <x v="7"/>
    <s v="OG0010014"/>
    <s v="Ofaveolata010911"/>
    <s v="Ssiderea019921"/>
    <n v="-3.0578070999999998"/>
    <n v="-1.0880909000000001"/>
    <s v="Direct"/>
    <s v="sequence-specific DNA binding"/>
    <s v="sequence-specific DNA binding"/>
  </r>
  <r>
    <x v="1"/>
    <x v="7"/>
    <s v="OG0010023"/>
    <s v="Ofaveolata028782"/>
    <s v="Ssiderea014552"/>
    <n v="-3.5422275000000001"/>
    <n v="-2.6613831000000001"/>
    <s v="Direct"/>
    <s v="negative regulation of cell adhesion involved in sprouting angiogenesis"/>
    <s v="Sema domain, seven thrombospondin repeats (type 1 and type 1-like), transmembrane domain (TM) and short cytoplasmic domain, (semaphorin) 5Bb"/>
  </r>
  <r>
    <x v="1"/>
    <x v="7"/>
    <s v="OG0010028"/>
    <s v="Ofaveolata010348"/>
    <s v="Ssiderea045276"/>
    <n v="2.4641607699999999"/>
    <n v="-3.0574718999999999"/>
    <s v="Inverse"/>
    <s v="alpha-catenin binding"/>
    <s v="alpha-catenin binding"/>
  </r>
  <r>
    <x v="1"/>
    <x v="7"/>
    <s v="OG0010041"/>
    <s v="Ofaveolata003777"/>
    <s v="Ssiderea028755"/>
    <n v="-1.1640630000000001"/>
    <n v="-1.7031286000000001"/>
    <s v="Direct"/>
    <s v="Cytosolic acyl coenzyme A thioester"/>
    <s v="Cytosolic acyl coenzyme A thioester"/>
  </r>
  <r>
    <x v="1"/>
    <x v="7"/>
    <s v="OG0010049"/>
    <s v="Ofaveolata016136"/>
    <s v="Ssiderea055363"/>
    <n v="1.1337734699999999"/>
    <n v="-2.6296986000000002"/>
    <s v="Inverse"/>
    <s v="sodium-dependent L-ascorbate transmembrane transporter activity"/>
    <s v="sodium-dependent L-ascorbate transmembrane transporter activity"/>
  </r>
  <r>
    <x v="1"/>
    <x v="7"/>
    <s v="OG0010054"/>
    <s v="Ofaveolata032755"/>
    <s v="Ssiderea058707"/>
    <n v="1.0829940499999999"/>
    <n v="1.73490853"/>
    <s v="Direct"/>
    <s v="saccharopine dehydrogenase (NADP+, L-lysine-forming) activity"/>
    <s v="saccharopine dehydrogenase (NADP+, L-lysine-forming) activity"/>
  </r>
  <r>
    <x v="1"/>
    <x v="7"/>
    <s v="OG0010088"/>
    <s v="Ofaveolata003563"/>
    <s v="Ssiderea046269"/>
    <n v="1.4355392"/>
    <n v="-2.7562072999999998"/>
    <s v="Inverse"/>
    <s v="Glutathione S-transferase kappa"/>
    <s v="Glutathione S-transferase kappa"/>
  </r>
  <r>
    <x v="1"/>
    <x v="7"/>
    <s v="OG0010090"/>
    <s v="Ofaveolata021016"/>
    <s v="Ssiderea012291"/>
    <n v="-1.7554126999999999"/>
    <n v="-1.1029237000000001"/>
    <s v="Direct"/>
    <s v="trans-synaptic signaling by soluble gas, modulating synaptic transmission"/>
    <s v="trans-synaptic signaling by soluble gas, modulating synaptic transmission"/>
  </r>
  <r>
    <x v="1"/>
    <x v="7"/>
    <s v="OG0010098"/>
    <s v="Ofaveolata001543"/>
    <s v="Ssiderea049588"/>
    <n v="1.4145527600000001"/>
    <n v="1.4573022"/>
    <s v="Direct"/>
    <s v="tryptophan 5-monooxygenase activity"/>
    <s v="tryptophan 5-monooxygenase activity"/>
  </r>
  <r>
    <x v="1"/>
    <x v="7"/>
    <s v="OG0010108"/>
    <s v="Ofaveolata034784"/>
    <s v="Ssiderea049584"/>
    <n v="3.1649367399999999"/>
    <n v="2.3012336800000002"/>
    <s v="Direct"/>
    <s v="NA"/>
    <s v="zinc ion binding"/>
  </r>
  <r>
    <x v="1"/>
    <x v="7"/>
    <s v="OG0010121"/>
    <s v="Ofaveolata010960"/>
    <s v="Ssiderea055766"/>
    <n v="-11.622976"/>
    <n v="-1.3545693999999999"/>
    <s v="Direct"/>
    <s v="N-box binding"/>
    <s v="N-box binding"/>
  </r>
  <r>
    <x v="1"/>
    <x v="7"/>
    <s v="OG0010192"/>
    <s v="Ofaveolata028699"/>
    <s v="Ssiderea042800"/>
    <n v="-1.3368711"/>
    <n v="-3.3738199999999998"/>
    <s v="Direct"/>
    <s v="T cell proliferation involved in immune response"/>
    <s v="T cell proliferation involved in immune response"/>
  </r>
  <r>
    <x v="1"/>
    <x v="7"/>
    <s v="OG0010216"/>
    <s v="Ofaveolata030565"/>
    <s v="Ssiderea034040"/>
    <n v="-3.2323566000000001"/>
    <n v="-2.6861834"/>
    <s v="Direct"/>
    <s v="scavenger receptor activity"/>
    <s v="scavenger receptor activity"/>
  </r>
  <r>
    <x v="1"/>
    <x v="7"/>
    <s v="OG0010221"/>
    <s v="Ofaveolata023174"/>
    <s v="Ssiderea014617"/>
    <n v="1.1369315"/>
    <n v="1.7254323899999999"/>
    <s v="Direct"/>
    <s v="fucose metabolic process"/>
    <s v="fucose metabolic process"/>
  </r>
  <r>
    <x v="1"/>
    <x v="7"/>
    <s v="OG0010273"/>
    <s v="Ofaveolata022463"/>
    <s v="Ssiderea015125"/>
    <n v="-1.2695367"/>
    <n v="-1.5601261"/>
    <s v="Direct"/>
    <s v="serine arginine-rich splicing factor"/>
    <s v="serine arginine-rich splicing factor"/>
  </r>
  <r>
    <x v="1"/>
    <x v="7"/>
    <s v="OG0010275"/>
    <s v="Ofaveolata014495"/>
    <s v="Ssiderea004433"/>
    <n v="-4.5270807"/>
    <n v="-1.4316974"/>
    <s v="Direct"/>
    <s v="cytoplasmic translational termination"/>
    <s v="cytoplasmic translational termination"/>
  </r>
  <r>
    <x v="1"/>
    <x v="7"/>
    <s v="OG0010354"/>
    <s v="Ofaveolata017118"/>
    <s v="Ssiderea052652"/>
    <n v="1.8550835299999999"/>
    <n v="2.3931532299999998"/>
    <s v="Direct"/>
    <s v="Protein disulfide isomerase family A member 4"/>
    <s v="Protein disulfide isomerase family A member 4"/>
  </r>
  <r>
    <x v="1"/>
    <x v="7"/>
    <s v="OG0010357"/>
    <s v="Ofaveolata029786"/>
    <s v="Ssiderea023919"/>
    <n v="-9.1567939999999997"/>
    <n v="-4.7285503999999996"/>
    <s v="Direct"/>
    <s v="cellular zinc ion homeostasis"/>
    <s v="cellular zinc ion homeostasis"/>
  </r>
  <r>
    <x v="1"/>
    <x v="7"/>
    <s v="OG0010374"/>
    <s v="Ofaveolata012899"/>
    <s v="Ssiderea001515"/>
    <n v="-12.991402000000001"/>
    <n v="-1.7045140000000001"/>
    <s v="Direct"/>
    <s v="sulfuric ester hydrolase activity"/>
    <s v="sulfuric ester hydrolase activity"/>
  </r>
  <r>
    <x v="1"/>
    <x v="7"/>
    <s v="OG0010375"/>
    <s v="Ofaveolata025189"/>
    <s v="Ssiderea021604"/>
    <n v="-31.272881000000002"/>
    <n v="-2.8882656999999998"/>
    <s v="Direct"/>
    <s v="structural constituent of cuticle"/>
    <s v="structural constituent of cuticle"/>
  </r>
  <r>
    <x v="1"/>
    <x v="7"/>
    <s v="OG0010413"/>
    <s v="Ofaveolata017901"/>
    <s v="Ssiderea003349"/>
    <n v="-3.2576269999999998"/>
    <n v="-2.2945454000000001"/>
    <s v="Direct"/>
    <s v="thyroid hormone transmembrane transporter activity"/>
    <s v="thyroid hormone transmembrane transporter activity"/>
  </r>
  <r>
    <x v="1"/>
    <x v="7"/>
    <s v="OG0010422"/>
    <s v="Ofaveolata017340"/>
    <s v="Ssiderea046675"/>
    <n v="3.6991172799999998"/>
    <n v="2.9431840500000002"/>
    <s v="Direct"/>
    <s v="TNF(Tumour Necrosis Factor) family"/>
    <s v="TNF(Tumour Necrosis Factor) family"/>
  </r>
  <r>
    <x v="1"/>
    <x v="7"/>
    <s v="OG0010433"/>
    <s v="Ofaveolata006540"/>
    <s v="Ssiderea028064"/>
    <n v="-2.2416361"/>
    <n v="-1.2369539000000001"/>
    <s v="Direct"/>
    <s v="RNA splicing, via transesterification reactions with bulged adenosine as nucleophile"/>
    <s v="RNA splicing, via transesterification reactions with bulged adenosine as nucleophile"/>
  </r>
  <r>
    <x v="1"/>
    <x v="7"/>
    <s v="OG0010477"/>
    <s v="Ofaveolata020822"/>
    <s v="Ssiderea047596"/>
    <n v="-3.2062382999999999"/>
    <n v="-11.895059"/>
    <s v="Direct"/>
    <s v="oxidoreductase activity, oxidizing metal ions with flavin as acceptor"/>
    <s v="oxidoreductase activity, oxidizing metal ions with flavin as acceptor"/>
  </r>
  <r>
    <x v="1"/>
    <x v="7"/>
    <s v="OG0010489"/>
    <s v="Ofaveolata027159"/>
    <s v="Ssiderea036733"/>
    <n v="-11.021105"/>
    <n v="-1.5709008"/>
    <s v="Direct"/>
    <s v="metallocarboxypeptidase activity"/>
    <s v="metallocarboxypeptidase activity"/>
  </r>
  <r>
    <x v="1"/>
    <x v="7"/>
    <s v="OG0010491"/>
    <s v="Ofaveolata017432"/>
    <s v="Ssiderea048468"/>
    <n v="-1.1724299"/>
    <n v="-2.1237290999999998"/>
    <s v="Direct"/>
    <s v="structural constituent of ribosome"/>
    <s v="structural constituent of ribosome"/>
  </r>
  <r>
    <x v="1"/>
    <x v="7"/>
    <s v="OG0010536"/>
    <s v="Ofaveolata002557"/>
    <s v="Ssiderea013066"/>
    <n v="-1.3927852000000001"/>
    <n v="1.0356344200000001"/>
    <s v="Inverse"/>
    <s v="regulation of peroxisome size"/>
    <s v="regulation of peroxisome size"/>
  </r>
  <r>
    <x v="1"/>
    <x v="7"/>
    <s v="OG0010545"/>
    <s v="Ofaveolata008780"/>
    <s v="Ssiderea008288"/>
    <n v="-1.1855134000000001"/>
    <n v="-3.3101319999999999"/>
    <s v="Direct"/>
    <s v="translation elongation factor activity"/>
    <s v="translation elongation factor activity"/>
  </r>
  <r>
    <x v="1"/>
    <x v="7"/>
    <s v="OG0010589"/>
    <s v="Ofaveolata022639"/>
    <s v="Ssiderea050125"/>
    <n v="-20.561951000000001"/>
    <n v="-2.9691765000000001"/>
    <s v="Direct"/>
    <s v="carbohydrate binding"/>
    <s v="carbohydrate binding"/>
  </r>
  <r>
    <x v="1"/>
    <x v="7"/>
    <s v="OG0010598"/>
    <s v="Ofaveolata001861"/>
    <s v="Ssiderea050455"/>
    <n v="6.5578078"/>
    <n v="2.71102848"/>
    <s v="Direct"/>
    <s v="PRELI domain-containing protein 2"/>
    <s v="PRELI domain-containing protein 2"/>
  </r>
  <r>
    <x v="1"/>
    <x v="7"/>
    <s v="OG0010599"/>
    <s v="Ofaveolata005306"/>
    <s v="Ssiderea015848"/>
    <n v="-1.5070462"/>
    <n v="-2.8067848999999998"/>
    <s v="Direct"/>
    <s v="translation initiation factor activity"/>
    <s v="translation initiation factor activity"/>
  </r>
  <r>
    <x v="1"/>
    <x v="7"/>
    <s v="OG0010611"/>
    <s v="Ofaveolata023072"/>
    <s v="Ssiderea014717"/>
    <n v="-1.4164543999999999"/>
    <n v="-1.3013007999999999"/>
    <s v="Direct"/>
    <s v="mesenchymal cell apoptotic process"/>
    <s v="mesenchymal cell apoptotic process"/>
  </r>
  <r>
    <x v="1"/>
    <x v="7"/>
    <s v="OG0010614"/>
    <s v="Ofaveolata015567"/>
    <s v="Ssiderea038127"/>
    <n v="9.0663852699999996"/>
    <n v="2.7260641200000002"/>
    <s v="Direct"/>
    <s v="NA"/>
    <s v="collagen"/>
  </r>
  <r>
    <x v="1"/>
    <x v="7"/>
    <s v="OG0010643"/>
    <s v="Ofaveolata024028"/>
    <s v="Ssiderea005355"/>
    <n v="-1.6739568"/>
    <n v="-2.8415349000000001"/>
    <s v="Direct"/>
    <s v="Fibrosin-1-like"/>
    <s v="Fibrosin-like 1"/>
  </r>
  <r>
    <x v="1"/>
    <x v="7"/>
    <s v="OG0010646"/>
    <s v="Ofaveolata022881"/>
    <s v="Ssiderea015100"/>
    <n v="-1.0669052000000001"/>
    <n v="-2.2036476"/>
    <s v="Direct"/>
    <s v="bleomycin hydrolase"/>
    <s v="bleomycin hydrolase"/>
  </r>
  <r>
    <x v="1"/>
    <x v="7"/>
    <s v="OG0010671"/>
    <s v="Ofaveolata029427"/>
    <s v="Ssiderea032912"/>
    <n v="-6.7695132999999998"/>
    <n v="-10.297991"/>
    <s v="Direct"/>
    <s v="Elongation factor"/>
    <s v="Elongation factor"/>
  </r>
  <r>
    <x v="1"/>
    <x v="7"/>
    <s v="OG0010681"/>
    <s v="Ofaveolata034974"/>
    <s v="Ssiderea017213"/>
    <n v="-1.0883320000000001"/>
    <n v="-3.4013958999999998"/>
    <s v="Direct"/>
    <s v="RNA pseudouridylate synthase"/>
    <s v="RNA pseudouridylate synthase"/>
  </r>
  <r>
    <x v="1"/>
    <x v="7"/>
    <s v="OG0010700"/>
    <s v="Ofaveolata029723"/>
    <s v="Ssiderea023814"/>
    <n v="-4.1864853999999996"/>
    <n v="-3.4278767000000001"/>
    <s v="Direct"/>
    <s v="NA"/>
    <s v="endoplasmic reticulum stress-induced pre-emptive quality control"/>
  </r>
  <r>
    <x v="1"/>
    <x v="7"/>
    <s v="OG0010708"/>
    <s v="Ofaveolata022706"/>
    <s v="Ssiderea015568"/>
    <n v="-4.9118817000000004"/>
    <n v="-1.8956207"/>
    <s v="Direct"/>
    <s v="aminoacyl-tRNA hydrolase activity"/>
    <s v="aminoacyl-tRNA hydrolase activity"/>
  </r>
  <r>
    <x v="1"/>
    <x v="7"/>
    <s v="OG0010724"/>
    <s v="Ofaveolata002293"/>
    <s v="Ssiderea012793"/>
    <n v="-3.4933809"/>
    <n v="-5.2154027999999997"/>
    <s v="Direct"/>
    <s v="positive regulation of Golgi to plasma membrane protein transport"/>
    <s v="positive regulation of Golgi to plasma membrane protein transport"/>
  </r>
  <r>
    <x v="1"/>
    <x v="7"/>
    <s v="OG0010754"/>
    <s v="Ofaveolata015278"/>
    <s v="Ssiderea051044"/>
    <n v="-4.7925484000000003"/>
    <n v="-2.0711727"/>
    <s v="Direct"/>
    <s v="fibroblast growth factor receptor binding"/>
    <s v="fibroblast growth factor receptor binding"/>
  </r>
  <r>
    <x v="1"/>
    <x v="7"/>
    <s v="OG0010783"/>
    <s v="Ofaveolata025774"/>
    <s v="Ssiderea038877"/>
    <n v="-3.6705926"/>
    <n v="-1.1921796"/>
    <s v="Direct"/>
    <s v="threonine-type endopeptidase activity"/>
    <s v="threonine-type endopeptidase activity"/>
  </r>
  <r>
    <x v="1"/>
    <x v="7"/>
    <s v="OG0010790"/>
    <s v="Ofaveolata016179"/>
    <s v="Ssiderea052763"/>
    <n v="-1.2150627000000001"/>
    <n v="-1.7908815"/>
    <s v="Direct"/>
    <s v="preantral ovarian follicle growth"/>
    <s v="Zinc finger protein"/>
  </r>
  <r>
    <x v="1"/>
    <x v="7"/>
    <s v="OG0010857"/>
    <s v="Ofaveolata031651"/>
    <s v="Ssiderea006846"/>
    <n v="-5.4381187000000004"/>
    <n v="-2.3036082000000002"/>
    <s v="Direct"/>
    <s v="Glutaredoxin"/>
    <s v="protein disulfide oxidoreductase activity"/>
  </r>
  <r>
    <x v="1"/>
    <x v="7"/>
    <s v="OG0010861"/>
    <s v="Ofaveolata014442"/>
    <s v="Ssiderea057625"/>
    <n v="-1.3975697"/>
    <n v="-1.6121184"/>
    <s v="Direct"/>
    <s v="ubiquinone biosynthetic process"/>
    <s v="ubiquinone biosynthetic process"/>
  </r>
  <r>
    <x v="1"/>
    <x v="7"/>
    <s v="OG0010869"/>
    <s v="Ofaveolata034031"/>
    <s v="Ssiderea031965"/>
    <n v="-3.5774446000000002"/>
    <n v="-1.5773045999999999"/>
    <s v="Direct"/>
    <s v="protein N-linked glycosylation via asparagine"/>
    <s v="protein N-linked glycosylation via asparagine"/>
  </r>
  <r>
    <x v="1"/>
    <x v="7"/>
    <s v="OG0010877"/>
    <s v="Ofaveolata006054"/>
    <s v="Ssiderea057216"/>
    <n v="-5.3182372999999998"/>
    <n v="-1.6051356000000001"/>
    <s v="Direct"/>
    <s v="Belongs to the Ca(2 ) cation antiporter (CaCA) (TC 2.A.19) family"/>
    <s v="Belongs to the Ca(2 ) cation antiporter (CaCA) (TC 2.A.19) family"/>
  </r>
  <r>
    <x v="1"/>
    <x v="7"/>
    <s v="OG0010879"/>
    <s v="Ofaveolata027896"/>
    <s v="Ssiderea035396"/>
    <n v="-2.2668450999999998"/>
    <n v="-3.2050352000000002"/>
    <s v="Direct"/>
    <s v="Belongs to the p53 family"/>
    <s v="Belongs to the p53 family"/>
  </r>
  <r>
    <x v="1"/>
    <x v="7"/>
    <s v="OG0010885"/>
    <s v="Ofaveolata029213"/>
    <s v="Ssiderea034370"/>
    <n v="-1.6811475"/>
    <n v="-2.6026870999999998"/>
    <s v="Direct"/>
    <s v="Sugar transporter"/>
    <s v="Sugar transporter"/>
  </r>
  <r>
    <x v="1"/>
    <x v="7"/>
    <s v="OG0010989"/>
    <s v="Ofaveolata033418"/>
    <s v="Ssiderea047118"/>
    <n v="-3.6085189"/>
    <n v="1.1986335699999999"/>
    <s v="Inverse"/>
    <s v="signaling receptor binding"/>
    <s v="mesenchymal-epithelial cell signaling involved in prostate gland development"/>
  </r>
  <r>
    <x v="1"/>
    <x v="7"/>
    <s v="OG0011006"/>
    <s v="Ofaveolata014959"/>
    <s v="Ssiderea038361"/>
    <n v="-5.8412727999999996"/>
    <n v="-3.8750927000000002"/>
    <s v="Direct"/>
    <s v="ER overload response"/>
    <s v="ER overload response"/>
  </r>
  <r>
    <x v="1"/>
    <x v="7"/>
    <s v="OG0011008"/>
    <s v="Ofaveolata013053"/>
    <s v="Ssiderea001422"/>
    <n v="-6.8631728000000001"/>
    <n v="-4.2639589999999998"/>
    <s v="Direct"/>
    <s v="Solute carrier family 4, sodium bicarbonate transporter, member 10"/>
    <s v="Solute carrier family 4, sodium bicarbonate cotransporter, member 7"/>
  </r>
  <r>
    <x v="1"/>
    <x v="7"/>
    <s v="OG0011085"/>
    <s v="Ofaveolata024203"/>
    <s v="Ssiderea005685"/>
    <n v="-2.3741867000000001"/>
    <n v="-1.0867019"/>
    <s v="Direct"/>
    <s v="GTPase activator activity"/>
    <s v="GTPase activator activity"/>
  </r>
  <r>
    <x v="1"/>
    <x v="7"/>
    <s v="OG0011087"/>
    <s v="Ofaveolata027836"/>
    <s v="Ssiderea035425"/>
    <n v="-1.9644604000000001"/>
    <n v="-1.8626796999999999"/>
    <s v="Direct"/>
    <s v="protein autoubiquitination"/>
    <s v="protein autoubiquitination"/>
  </r>
  <r>
    <x v="1"/>
    <x v="7"/>
    <s v="OG0011121"/>
    <s v="Ofaveolata026677"/>
    <s v="Ssiderea035035"/>
    <n v="-2.2587348"/>
    <n v="-1.0178035999999999"/>
    <s v="Direct"/>
    <s v="Rab GTPase binding"/>
    <s v="Rab GTPase binding"/>
  </r>
  <r>
    <x v="1"/>
    <x v="7"/>
    <s v="OG0011122"/>
    <s v="Ofaveolata008342"/>
    <s v="Ssiderea008901"/>
    <n v="-2.7770126999999998"/>
    <n v="-3.6408966"/>
    <s v="Direct"/>
    <s v="phosphatidylserine synthase"/>
    <s v="phosphatidylserine biosynthetic process"/>
  </r>
  <r>
    <x v="1"/>
    <x v="7"/>
    <s v="OG0011169"/>
    <s v="Ofaveolata024769"/>
    <s v="Ssiderea016833"/>
    <n v="2.9130608599999999"/>
    <n v="1.11195585"/>
    <s v="Direct"/>
    <s v="cytoskeletal rearrangement involved in phagocytosis, engulfment"/>
    <s v="cytoskeletal rearrangement involved in phagocytosis, engulfment"/>
  </r>
  <r>
    <x v="1"/>
    <x v="7"/>
    <s v="OG0011179"/>
    <s v="Ofaveolata026476"/>
    <s v="Ssiderea038546"/>
    <n v="1.4111616499999999"/>
    <n v="-1.8006768"/>
    <s v="Inverse"/>
    <s v="NA"/>
    <s v="NA"/>
  </r>
  <r>
    <x v="1"/>
    <x v="7"/>
    <s v="OG0011185"/>
    <s v="Ofaveolata025193"/>
    <s v="Ssiderea021609"/>
    <n v="-30.964817"/>
    <n v="-2.2936855"/>
    <s v="Direct"/>
    <s v="structural constituent of cuticle"/>
    <s v="carbohydrate binding"/>
  </r>
  <r>
    <x v="1"/>
    <x v="7"/>
    <s v="OG0011195"/>
    <s v="Ofaveolata015421"/>
    <s v="Ssiderea038169"/>
    <n v="-1.5151469"/>
    <n v="-1.0465587000000001"/>
    <s v="Direct"/>
    <s v="Belongs to the AAA ATPase family"/>
    <s v="Belongs to the AAA ATPase family"/>
  </r>
  <r>
    <x v="1"/>
    <x v="7"/>
    <s v="OG0011214"/>
    <s v="Ofaveolata010131"/>
    <s v="Ssiderea049480"/>
    <n v="-10.784148999999999"/>
    <n v="-5.9955752999999996"/>
    <s v="Direct"/>
    <s v="Belongs to the short-chain dehydrogenases reductases (SDR) family"/>
    <s v="Belongs to the short-chain dehydrogenases reductases (SDR) family"/>
  </r>
  <r>
    <x v="1"/>
    <x v="7"/>
    <s v="OG0011219"/>
    <s v="Ofaveolata007888"/>
    <s v="Ssiderea057323"/>
    <n v="1.15384134"/>
    <n v="-2.9296636999999999"/>
    <s v="Inverse"/>
    <s v="Hydrolase activity, acting on carbon-nitrogen (but not peptide) bonds, in linear amides. It is involved in the biological process described with nitrogen compound metabolic process"/>
    <s v="Hydrolase activity, acting on carbon-nitrogen (but not peptide) bonds, in linear amides. It is involved in the biological process described with nitrogen compound metabolic process"/>
  </r>
  <r>
    <x v="1"/>
    <x v="7"/>
    <s v="OG0011273"/>
    <s v="Ofaveolata015586"/>
    <s v="Ssiderea038084"/>
    <n v="-2.9867216000000001"/>
    <n v="-2.5650007000000001"/>
    <s v="Direct"/>
    <s v="Belongs to the TRAFAC class myosin-kinesin ATPase superfamily. Kinesin family"/>
    <s v="Belongs to the TRAFAC class myosin-kinesin ATPase superfamily. Kinesin family"/>
  </r>
  <r>
    <x v="1"/>
    <x v="7"/>
    <s v="OG0011280"/>
    <s v="Ofaveolata029252"/>
    <s v="Ssiderea033217"/>
    <n v="-1.0983168999999999"/>
    <n v="-1.9917389000000001"/>
    <s v="Direct"/>
    <s v="Asparaginyl-tRNA synthetase"/>
    <s v="Asparaginyl-tRNA synthetase"/>
  </r>
  <r>
    <x v="1"/>
    <x v="7"/>
    <s v="OG0011293"/>
    <s v="Ofaveolata003606"/>
    <s v="Ssiderea046337"/>
    <n v="-1.3198152000000001"/>
    <n v="-9.4754699999999996"/>
    <s v="Direct"/>
    <s v="cellular copper ion homeostasis"/>
    <s v="cellular copper ion homeostasis"/>
  </r>
  <r>
    <x v="1"/>
    <x v="7"/>
    <s v="OG0011322"/>
    <s v="Ofaveolata025013"/>
    <s v="Ssiderea021306"/>
    <n v="-3.2040940999999998"/>
    <n v="-2.2792268"/>
    <s v="Direct"/>
    <s v="GDP-mannose"/>
    <s v="GDP-mannose 4,6-dehydratase activity"/>
  </r>
  <r>
    <x v="1"/>
    <x v="7"/>
    <s v="OG0011328"/>
    <s v="Ofaveolata015428"/>
    <s v="Ssiderea059134"/>
    <n v="2.8947705300000002"/>
    <n v="-1.5884788999999999"/>
    <s v="Inverse"/>
    <s v="positive regulation of erythrocyte differentiation"/>
    <s v="ankyrin repeat"/>
  </r>
  <r>
    <x v="1"/>
    <x v="7"/>
    <s v="OG0011331"/>
    <s v="Ofaveolata019825"/>
    <s v="Ssiderea012083"/>
    <n v="-1.8764274000000001"/>
    <n v="1.38125345"/>
    <s v="Inverse"/>
    <s v="gamma-aminobutyric acid type B receptor subunit"/>
    <s v="gamma-aminobutyric acid type B receptor subunit"/>
  </r>
  <r>
    <x v="1"/>
    <x v="7"/>
    <s v="OG0011333"/>
    <s v="Ofaveolata029656"/>
    <s v="Ssiderea023645"/>
    <n v="-1.2228576"/>
    <n v="-1.3272373"/>
    <s v="Direct"/>
    <s v="ribonuclease P"/>
    <s v="ribonuclease P"/>
  </r>
  <r>
    <x v="1"/>
    <x v="7"/>
    <s v="OG0011334"/>
    <s v="Ofaveolata012674"/>
    <s v="Ssiderea000609"/>
    <n v="-3.3903843"/>
    <n v="1.25959902"/>
    <s v="Inverse"/>
    <s v="V-myc avian myelocytomatosis viral oncogene homolog"/>
    <s v="V-myc avian myelocytomatosis viral oncogene homolog"/>
  </r>
  <r>
    <x v="1"/>
    <x v="7"/>
    <s v="OG0011361"/>
    <s v="Ofaveolata024555"/>
    <s v="Ssiderea005949"/>
    <n v="-3.3229136000000001"/>
    <n v="-1.3727096000000001"/>
    <s v="Direct"/>
    <s v="translation initiation factor activity"/>
    <s v="translation initiation factor activity"/>
  </r>
  <r>
    <x v="1"/>
    <x v="7"/>
    <s v="OG0011366"/>
    <s v="Ofaveolata029092"/>
    <s v="Ssiderea013739"/>
    <n v="1.0613267099999999"/>
    <n v="-1.3225541000000001"/>
    <s v="Inverse"/>
    <s v="positive regulation of double-strand break repair via nonhomologous end joining"/>
    <s v="positive regulation of double-strand break repair via nonhomologous end joining"/>
  </r>
  <r>
    <x v="1"/>
    <x v="7"/>
    <s v="OG0011373"/>
    <s v="Ofaveolata002782"/>
    <s v="Ssiderea013299"/>
    <n v="-1.7692916999999999"/>
    <n v="-1.8922508"/>
    <s v="Direct"/>
    <s v="protein kinase activity"/>
    <s v="protein kinase activity"/>
  </r>
  <r>
    <x v="1"/>
    <x v="7"/>
    <s v="OG0011382"/>
    <s v="Ofaveolata031051"/>
    <s v="Ssiderea006575"/>
    <n v="2.8377225899999998"/>
    <n v="1.7172622799999999"/>
    <s v="Direct"/>
    <s v="helix loop helix domain"/>
    <s v="helix loop helix domain"/>
  </r>
  <r>
    <x v="1"/>
    <x v="7"/>
    <s v="OG0011384"/>
    <s v="Ofaveolata023563"/>
    <s v="Ssiderea049941"/>
    <n v="-4.7490304999999999"/>
    <n v="1.1221809599999999"/>
    <s v="Inverse"/>
    <s v="nitric oxide catabolic process"/>
    <s v="nitric oxide catabolic process"/>
  </r>
  <r>
    <x v="1"/>
    <x v="7"/>
    <s v="OG0011388"/>
    <s v="Ofaveolata009933"/>
    <s v="Ssiderea036120"/>
    <n v="-2.3668127999999999"/>
    <n v="-2.7995977000000001"/>
    <s v="Direct"/>
    <s v="Lys63-specific deubiquitinase activity"/>
    <s v="Lys63-specific deubiquitinase activity"/>
  </r>
  <r>
    <x v="1"/>
    <x v="7"/>
    <s v="OG0011392"/>
    <s v="Ofaveolata008226"/>
    <s v="Ssiderea050697"/>
    <n v="-1.7317399"/>
    <n v="-1.5849104000000001"/>
    <s v="Direct"/>
    <s v="odorant binding"/>
    <s v="zinc ion binding"/>
  </r>
  <r>
    <x v="1"/>
    <x v="7"/>
    <s v="OG0011403"/>
    <s v="Ofaveolata006347"/>
    <s v="Ssiderea048229"/>
    <n v="1.5188909399999999"/>
    <n v="1.03098578"/>
    <s v="Direct"/>
    <s v="RNA binding"/>
    <s v="RNA binding"/>
  </r>
  <r>
    <x v="1"/>
    <x v="7"/>
    <s v="OG0011413"/>
    <s v="Ofaveolata022648"/>
    <s v="Ssiderea015196"/>
    <n v="-1.5773888"/>
    <n v="-1.6149560000000001"/>
    <s v="Direct"/>
    <s v="locomotory exploration behavior"/>
    <s v="locomotory exploration behavior"/>
  </r>
  <r>
    <x v="1"/>
    <x v="7"/>
    <s v="OG0011446"/>
    <s v="Ofaveolata007303"/>
    <s v="Ssiderea009805"/>
    <n v="-2.3699715000000001"/>
    <n v="-1.6456904000000001"/>
    <s v="Direct"/>
    <s v="Bifunctional enzyme that catalyzes the enolization of 2,3-diketo-5-methylthiopentyl-1-phosphate (DK-MTP-1-P) into the intermediate 2-hydroxy-3-keto-5-methylthiopentenyl-1-phosphate (HK-MTPenyl-1-P), which is then dephosphorylated to form the acireductone "/>
    <s v="Bifunctional enzyme that catalyzes the enolization of 2,3-diketo-5-methylthiopentyl-1-phosphate (DK-MTP-1-P) into the intermediate 2-hydroxy-3-keto-5-methylthiopentenyl-1-phosphate (HK-MTPenyl-1-P), which is then dephosphorylated to form the acireductone "/>
  </r>
  <r>
    <x v="1"/>
    <x v="7"/>
    <s v="OG0011448"/>
    <s v="Ofaveolata026000"/>
    <s v="Ssiderea038858"/>
    <n v="-2.1807205000000001"/>
    <n v="-1.2899845000000001"/>
    <s v="Direct"/>
    <s v="metalloendopeptidase activity"/>
    <s v="metalloendopeptidase activity"/>
  </r>
  <r>
    <x v="1"/>
    <x v="7"/>
    <s v="OG0011451"/>
    <s v="Ofaveolata001473"/>
    <s v="Ssiderea043685"/>
    <n v="-4.1579465000000004"/>
    <n v="2.6927581599999999"/>
    <s v="Inverse"/>
    <s v="acid phosphatase activity"/>
    <s v="acid phosphatase activity"/>
  </r>
  <r>
    <x v="1"/>
    <x v="7"/>
    <s v="OG0011475"/>
    <s v="Ofaveolata004899"/>
    <s v="Ssiderea037472"/>
    <n v="-1.6362211"/>
    <n v="-1.1125936999999999"/>
    <s v="Direct"/>
    <s v="translocon-associated protein"/>
    <s v="translocon-associated protein"/>
  </r>
  <r>
    <x v="1"/>
    <x v="7"/>
    <s v="OG0011488"/>
    <s v="Ofaveolata004403"/>
    <s v="Ssiderea010609"/>
    <n v="1.2082737699999999"/>
    <n v="2.0425330800000001"/>
    <s v="Direct"/>
    <s v="Adenylate kinase"/>
    <s v="Adenylate kinase"/>
  </r>
  <r>
    <x v="1"/>
    <x v="7"/>
    <s v="OG0011491"/>
    <s v="Ofaveolata004439"/>
    <s v="Ssiderea053078"/>
    <n v="-1.5657194999999999"/>
    <n v="-1.3472237"/>
    <s v="Direct"/>
    <s v="quercetin 2,3-dioxygenase activity"/>
    <s v="quercetin 2,3-dioxygenase activity"/>
  </r>
  <r>
    <x v="1"/>
    <x v="7"/>
    <s v="OG0011499"/>
    <s v="Ofaveolata002967"/>
    <s v="Ssiderea013001"/>
    <n v="-1.6249449"/>
    <n v="-1.1603924999999999"/>
    <s v="Direct"/>
    <s v="Heat shock 70 kDa protein 14"/>
    <s v="Heat shock 70 kDa protein 14"/>
  </r>
  <r>
    <x v="1"/>
    <x v="7"/>
    <s v="OG0011504"/>
    <s v="Ofaveolata016870"/>
    <s v="Ssiderea039392"/>
    <n v="5.2645245000000003"/>
    <n v="1.1805082099999999"/>
    <s v="Direct"/>
    <s v="protein localization to nuclear pore"/>
    <s v="protein localization to nuclear pore"/>
  </r>
  <r>
    <x v="1"/>
    <x v="7"/>
    <s v="OG0011529"/>
    <s v="Ofaveolata024692"/>
    <s v="Ssiderea016969"/>
    <n v="1.6886301100000001"/>
    <n v="1.4189229000000001"/>
    <s v="Direct"/>
    <s v="Neural retina leucine zipper"/>
    <s v="Neural retina leucine zipper"/>
  </r>
  <r>
    <x v="1"/>
    <x v="7"/>
    <s v="OG0011540"/>
    <s v="Ofaveolata036437"/>
    <s v="Ssiderea61482"/>
    <n v="1.4846067199999999"/>
    <n v="1.0733680999999999"/>
    <s v="Direct"/>
    <s v="NA"/>
    <s v="NA"/>
  </r>
  <r>
    <x v="1"/>
    <x v="7"/>
    <s v="OG0011552"/>
    <s v="Ofaveolata017222"/>
    <s v="Ssiderea054594"/>
    <n v="-3.8758547000000001"/>
    <n v="-1.4922465"/>
    <s v="Direct"/>
    <s v="CUB and zona pellucida-like domain-containing protein"/>
    <s v="CUB and zona pellucida-like domain-containing protein"/>
  </r>
  <r>
    <x v="1"/>
    <x v="7"/>
    <s v="OG0011564"/>
    <s v="Ofaveolata028249"/>
    <s v="Ssiderea042578"/>
    <n v="-1.6626126000000001"/>
    <n v="1.01066444"/>
    <s v="Inverse"/>
    <s v="myristoyl-CoA hydrolase activity"/>
    <s v="myristoyl-CoA hydrolase activity"/>
  </r>
  <r>
    <x v="1"/>
    <x v="7"/>
    <s v="OG0011609"/>
    <s v="Ofaveolata001454"/>
    <s v="Ssiderea043614"/>
    <n v="-2.0530366999999998"/>
    <n v="-1.8219003"/>
    <s v="Direct"/>
    <s v="transmembrane transport"/>
    <s v="transmembrane transport"/>
  </r>
  <r>
    <x v="1"/>
    <x v="7"/>
    <s v="OG0011619"/>
    <s v="Ofaveolata001029"/>
    <s v="Ssiderea022330"/>
    <n v="-3.5925164000000001"/>
    <n v="-1.2463941999999999"/>
    <s v="Direct"/>
    <s v="NA"/>
    <s v="forebrain anterior/posterior pattern specification"/>
  </r>
  <r>
    <x v="1"/>
    <x v="7"/>
    <s v="OG0011630"/>
    <s v="Ofaveolata008513"/>
    <s v="Ssiderea050500"/>
    <n v="1.83451542"/>
    <n v="-1.8680749999999999"/>
    <s v="Inverse"/>
    <s v="translocation of peptides or proteins into host cell cytoplasm"/>
    <s v="translocation of peptides or proteins into host cell cytoplasm"/>
  </r>
  <r>
    <x v="1"/>
    <x v="7"/>
    <s v="OG0011644"/>
    <s v="Ofaveolata029049"/>
    <s v="Ssiderea013792"/>
    <n v="-1.9221093"/>
    <n v="-1.7953706"/>
    <s v="Direct"/>
    <s v="medium-chain fatty acid-CoA ligase activity"/>
    <s v="medium-chain fatty acid-CoA ligase activity"/>
  </r>
  <r>
    <x v="1"/>
    <x v="7"/>
    <s v="OG0011665"/>
    <s v="Ofaveolata014778"/>
    <s v="Ssiderea004700"/>
    <n v="2.67319438"/>
    <n v="1.2787504199999999"/>
    <s v="Direct"/>
    <s v="intracellular chloride channel activity"/>
    <s v="intracellular chloride channel activity"/>
  </r>
  <r>
    <x v="1"/>
    <x v="7"/>
    <s v="OG0011695"/>
    <s v="Ofaveolata018040"/>
    <s v="Ssiderea002216"/>
    <n v="-3.7622857999999999"/>
    <n v="-1.5276312999999999"/>
    <s v="Direct"/>
    <s v="translation initiation factor activity"/>
    <s v="translation initiation factor activity"/>
  </r>
  <r>
    <x v="1"/>
    <x v="7"/>
    <s v="OG0011749"/>
    <s v="Ofaveolata028853"/>
    <s v="Ssiderea014404"/>
    <n v="-1.2672256"/>
    <n v="1.2175222000000001"/>
    <s v="Inverse"/>
    <s v="Protein tyrosine kinase"/>
    <s v="Protein tyrosine kinase"/>
  </r>
  <r>
    <x v="1"/>
    <x v="7"/>
    <s v="OG0011757"/>
    <s v="Ofaveolata034824"/>
    <s v="Ssiderea012838"/>
    <n v="-4.0079998999999997"/>
    <n v="1.02781254"/>
    <s v="Inverse"/>
    <s v="carbohydrate binding"/>
    <s v="Macrophage mannose receptor 1-like"/>
  </r>
  <r>
    <x v="1"/>
    <x v="7"/>
    <s v="OG0011786"/>
    <s v="Ofaveolata004708"/>
    <s v="Ssiderea010866"/>
    <n v="2.62980064"/>
    <n v="1.89527489"/>
    <s v="Direct"/>
    <s v="regulation of cilium movement"/>
    <s v="regulation of cilium movement"/>
  </r>
  <r>
    <x v="1"/>
    <x v="7"/>
    <s v="OG0011803"/>
    <s v="Ofaveolata003267"/>
    <s v="Ssiderea030105"/>
    <n v="-1.4701225"/>
    <n v="-1.5641221999999999"/>
    <s v="Direct"/>
    <s v="threonine-type endopeptidase activity"/>
    <s v="threonine-type endopeptidase activity"/>
  </r>
  <r>
    <x v="1"/>
    <x v="7"/>
    <s v="OG0011807"/>
    <s v="Ofaveolata014694"/>
    <s v="Ssiderea004577"/>
    <n v="-3.3875299000000001"/>
    <n v="-2.1210569000000001"/>
    <s v="Direct"/>
    <s v="phosphomannomutase activity"/>
    <s v="phosphomannomutase activity"/>
  </r>
  <r>
    <x v="1"/>
    <x v="7"/>
    <s v="OG0011824"/>
    <s v="Ofaveolata002392"/>
    <s v="Ssiderea012921"/>
    <n v="9.8564699900000008"/>
    <n v="1.42102029"/>
    <s v="Direct"/>
    <s v="Cryptochrome circadian clock 1ba"/>
    <s v="Cryptochrome circadian clock"/>
  </r>
  <r>
    <x v="1"/>
    <x v="7"/>
    <s v="OG0011854"/>
    <s v="Ofaveolata008760"/>
    <s v="Ssiderea008293"/>
    <n v="1.0463279700000001"/>
    <n v="1.5149860500000001"/>
    <s v="Direct"/>
    <s v="UPF0728 protein C10orf53 homolog"/>
    <s v="UPF0728 protein C10orf53 homolog"/>
  </r>
  <r>
    <x v="1"/>
    <x v="7"/>
    <s v="OG0011863"/>
    <s v="Ofaveolata028792"/>
    <s v="Ssiderea014542"/>
    <n v="-1.5125177000000001"/>
    <n v="-1.4933110000000001"/>
    <s v="Direct"/>
    <s v="Belongs to the universal ribosomal protein uS19 family"/>
    <s v="Belongs to the universal ribosomal protein uS19 family"/>
  </r>
  <r>
    <x v="1"/>
    <x v="7"/>
    <s v="OG0011886"/>
    <s v="Ofaveolata015525"/>
    <s v="Ssiderea056864"/>
    <n v="8.1531684299999991"/>
    <n v="-1.2405733999999999"/>
    <s v="Inverse"/>
    <s v="NA"/>
    <s v="GTPase activity"/>
  </r>
  <r>
    <x v="1"/>
    <x v="7"/>
    <s v="OG0011893"/>
    <s v="Ofaveolata020827"/>
    <s v="Ssiderea047593"/>
    <n v="5.7299162199999998"/>
    <n v="-3.8624830999999999"/>
    <s v="Inverse"/>
    <s v="Hepatic leukemia factor"/>
    <s v="Hepatic leukemia factor"/>
  </r>
  <r>
    <x v="1"/>
    <x v="7"/>
    <s v="OG0011908"/>
    <s v="Ofaveolata029688"/>
    <s v="Ssiderea023731"/>
    <n v="2.9422117000000001"/>
    <n v="-1.8340023000000001"/>
    <s v="Inverse"/>
    <s v="NA"/>
    <s v="glomerular parietal epithelial cell differentiation"/>
  </r>
  <r>
    <x v="1"/>
    <x v="7"/>
    <s v="OG0011935"/>
    <s v="Ofaveolata024059"/>
    <s v="Ssiderea005437"/>
    <n v="1.2954613699999999"/>
    <n v="1.6390816100000001"/>
    <s v="Direct"/>
    <s v="phosphatidylinositol 5-phosphate metabolic process"/>
    <s v="phosphatidylinositol 5-phosphate metabolic process"/>
  </r>
  <r>
    <x v="1"/>
    <x v="7"/>
    <s v="OG0011936"/>
    <s v="Ofaveolata023203"/>
    <s v="Ssiderea046063"/>
    <n v="1.7257239200000001"/>
    <n v="-2.5194907999999998"/>
    <s v="Inverse"/>
    <s v="ribosomal protein S23"/>
    <s v="Structural constituent of ribosome. It is involved in the biological process described with"/>
  </r>
  <r>
    <x v="1"/>
    <x v="7"/>
    <s v="OG0011945"/>
    <s v="Ofaveolata004958"/>
    <s v="Ssiderea046599"/>
    <n v="-1.1694826"/>
    <n v="-1.3440700999999999"/>
    <s v="Direct"/>
    <s v="protein xylosyltransferase activity"/>
    <s v="protein xylosyltransferase activity"/>
  </r>
  <r>
    <x v="1"/>
    <x v="7"/>
    <s v="OG0012026"/>
    <s v="Ofaveolata016819"/>
    <s v="Ssiderea015915"/>
    <n v="3.6840029599999999"/>
    <n v="1.0476613299999999"/>
    <s v="Direct"/>
    <s v="Allows the formation of correctly charged Gln-tRNA(Gln) through the transamidation of misacylated Glu-tRNA(Gln) in the mitochondria. The reaction takes place in the presence of glutamine and ATP through an activated gamma-phospho-Glu- tRNA(Gln)"/>
    <s v="Allows the formation of correctly charged Gln-tRNA(Gln) through the transamidation of misacylated Glu-tRNA(Gln) in the mitochondria. The reaction takes place in the presence of glutamine and ATP through an activated gamma-phospho-Glu- tRNA(Gln)"/>
  </r>
  <r>
    <x v="1"/>
    <x v="7"/>
    <s v="OG0012179"/>
    <s v="Ofaveolata002556"/>
    <s v="Ssiderea013067"/>
    <n v="3.5590162300000001"/>
    <n v="7.4615567"/>
    <s v="Direct"/>
    <s v="dihydrofolate reductase activity"/>
    <s v="dihydrofolate reductase activity"/>
  </r>
  <r>
    <x v="1"/>
    <x v="7"/>
    <s v="OG0012240"/>
    <s v="Ofaveolata005242"/>
    <s v="Ssiderea010147"/>
    <n v="-1.2316024000000001"/>
    <n v="-3.1045888000000001"/>
    <s v="Direct"/>
    <s v="posttranslational protein targeting to membrane, translocation"/>
    <s v="posttranslational protein targeting to membrane, translocation"/>
  </r>
  <r>
    <x v="1"/>
    <x v="7"/>
    <s v="OG0012267"/>
    <s v="Ofaveolata016199"/>
    <s v="Ssiderea052752"/>
    <n v="-1.8075498999999999"/>
    <n v="1.7908814500000001"/>
    <s v="Inverse"/>
    <s v="hair follicle maturation"/>
    <s v="hair follicle maturation"/>
  </r>
  <r>
    <x v="1"/>
    <x v="7"/>
    <s v="OG0012270"/>
    <s v="Ofaveolata006331"/>
    <s v="Ssiderea048198"/>
    <n v="3.2293256100000001"/>
    <n v="3.3097975399999999"/>
    <s v="Direct"/>
    <s v="positive regulation of interleukin-10 biosynthetic process"/>
    <s v="nucleotide-binding oligomerization domain containing 1 signaling pathway"/>
  </r>
  <r>
    <x v="1"/>
    <x v="7"/>
    <s v="OG0012306"/>
    <s v="Ofaveolata030975"/>
    <s v="Ssiderea051965"/>
    <n v="1.06857414"/>
    <n v="-1.2055606000000001"/>
    <s v="Inverse"/>
    <s v="protein K63-linked deubiquitination"/>
    <s v="protein K63-linked deubiquitination"/>
  </r>
  <r>
    <x v="1"/>
    <x v="7"/>
    <s v="OG0012314"/>
    <s v="Ofaveolata002363"/>
    <s v="Ssiderea012871"/>
    <n v="-5.8051427999999996"/>
    <n v="-1.0602646"/>
    <s v="Direct"/>
    <s v="Haloacid dehalogenase-like hydrolase"/>
    <s v="Haloacid dehalogenase-like hydrolase"/>
  </r>
  <r>
    <x v="1"/>
    <x v="7"/>
    <s v="OG0012378"/>
    <s v="Ofaveolata030277"/>
    <s v="Ssiderea027536"/>
    <n v="-3.3183370000000001"/>
    <n v="-3.1541218"/>
    <s v="Direct"/>
    <s v="negative regulation of DNA damage checkpoint"/>
    <s v="negative regulation of DNA damage checkpoint"/>
  </r>
  <r>
    <x v="1"/>
    <x v="7"/>
    <s v="OG0012385"/>
    <s v="Ofaveolata009273"/>
    <s v="Ssiderea035585"/>
    <n v="-2.3507207000000001"/>
    <n v="-5.3515731000000004"/>
    <s v="Direct"/>
    <s v="respiratory chain complex III assembly"/>
    <s v="respiratory chain complex III assembly"/>
  </r>
  <r>
    <x v="1"/>
    <x v="7"/>
    <s v="OG0012425"/>
    <s v="Ofaveolata033404"/>
    <s v="Ssiderea040239"/>
    <n v="-2.3548486"/>
    <n v="-1.8882862"/>
    <s v="Direct"/>
    <s v="beta-tubulin binding"/>
    <s v="Leucine-rich PPR motif-containing protein"/>
  </r>
  <r>
    <x v="1"/>
    <x v="7"/>
    <s v="OG0012426"/>
    <s v="Ofaveolata016857"/>
    <s v="Ssiderea039239"/>
    <n v="-3.9422378999999999"/>
    <n v="-5.5048256000000002"/>
    <s v="Direct"/>
    <s v="MDM2/MDM4 family protein binding"/>
    <s v="MDM2/MDM4 family protein binding"/>
  </r>
  <r>
    <x v="1"/>
    <x v="7"/>
    <s v="OG0012435"/>
    <s v="Ofaveolata004979"/>
    <s v="Ssiderea046524"/>
    <n v="1.15869793"/>
    <n v="-1.7098093999999999"/>
    <s v="Inverse"/>
    <s v="phosphatase activity"/>
    <s v="phosphatase activity"/>
  </r>
  <r>
    <x v="1"/>
    <x v="7"/>
    <s v="OG0012451"/>
    <s v="Ofaveolata023443"/>
    <s v="Ssiderea005040"/>
    <n v="-2.6674376999999998"/>
    <n v="-1.5968192999999999"/>
    <s v="Direct"/>
    <s v="membrane protein proteolysis involved in retrograde protein transport, ER to cytosol"/>
    <s v="membrane protein proteolysis involved in retrograde protein transport, ER to cytosol"/>
  </r>
  <r>
    <x v="1"/>
    <x v="7"/>
    <s v="OG0012453"/>
    <s v="Ofaveolata034261"/>
    <s v="Ssiderea031880"/>
    <n v="-2.5475359000000002"/>
    <n v="-1.8729753"/>
    <s v="Direct"/>
    <s v="YLP motif-containing protein 1"/>
    <s v="YLP motif-containing protein 1"/>
  </r>
  <r>
    <x v="1"/>
    <x v="7"/>
    <s v="OG0012465"/>
    <s v="Ofaveolata031852"/>
    <s v="Ssiderea007206"/>
    <n v="-8.2421328000000003"/>
    <n v="-2.4848240000000001"/>
    <s v="Direct"/>
    <s v="spliceosomal complex assembly"/>
    <s v="spliceosomal complex assembly"/>
  </r>
  <r>
    <x v="1"/>
    <x v="7"/>
    <s v="OG0012501"/>
    <s v="Ofaveolata023142"/>
    <s v="Ssiderea014677"/>
    <n v="9.8805741299999994"/>
    <n v="1.30790184"/>
    <s v="Direct"/>
    <s v="protein modification by small protein conjugation"/>
    <s v="protein modification by small protein conjugation"/>
  </r>
  <r>
    <x v="1"/>
    <x v="7"/>
    <s v="OG0012511"/>
    <s v="Ofaveolata017710"/>
    <s v="Ssiderea046938"/>
    <n v="-3.5827726000000002"/>
    <n v="-4.2257014000000002"/>
    <s v="Direct"/>
    <s v="Eukaryotic initiation factor 4A-II isoform X1"/>
    <s v="Eukaryotic translation initiation factor 4A, isoform"/>
  </r>
  <r>
    <x v="1"/>
    <x v="7"/>
    <s v="OG0012518"/>
    <s v="Ofaveolata012792"/>
    <s v="Ssiderea001745"/>
    <n v="2.5401733700000002"/>
    <n v="-1.0781972"/>
    <s v="Inverse"/>
    <s v="NA"/>
    <s v="Kielin chordin-like protein"/>
  </r>
  <r>
    <x v="1"/>
    <x v="7"/>
    <s v="OG0012560"/>
    <s v="Ofaveolata010074"/>
    <s v="Ssiderea049449"/>
    <n v="2.4782880700000001"/>
    <n v="-1.0945161999999999"/>
    <s v="Inverse"/>
    <s v="lipid transport"/>
    <s v="lipid transport"/>
  </r>
  <r>
    <x v="1"/>
    <x v="7"/>
    <s v="OG0012573"/>
    <s v="Ofaveolata030138"/>
    <s v="Ssiderea054218"/>
    <n v="-3.0082683000000001"/>
    <n v="-4.1444269"/>
    <s v="Direct"/>
    <s v="Ubiquitin carboxyl-terminal hydrolase"/>
    <s v="Ubiquitin carboxyl-terminal hydrolase"/>
  </r>
  <r>
    <x v="1"/>
    <x v="7"/>
    <s v="OG0012576"/>
    <s v="Ofaveolata001171"/>
    <s v="Ssiderea029404"/>
    <n v="1.40672921"/>
    <n v="-1.3965046000000001"/>
    <s v="Inverse"/>
    <s v="plasma membrane repair"/>
    <s v="plasma membrane repair"/>
  </r>
  <r>
    <x v="1"/>
    <x v="7"/>
    <s v="OG0012580"/>
    <s v="Ofaveolata034361"/>
    <s v="Ssiderea052841"/>
    <n v="1.6050273100000001"/>
    <n v="-1.7253482"/>
    <s v="Inverse"/>
    <s v="deoxynucleotidyltransferase, terminal, interacting protein 2"/>
    <s v="deoxynucleotidyltransferase, terminal, interacting protein 2"/>
  </r>
  <r>
    <x v="1"/>
    <x v="7"/>
    <s v="OG0012612"/>
    <s v="Ofaveolata025365"/>
    <s v="Ssiderea042040"/>
    <n v="-1.8575550000000001"/>
    <n v="-1.5655908000000001"/>
    <s v="Direct"/>
    <s v="NA"/>
    <s v="Domain of unknown function (DUF4618)"/>
  </r>
  <r>
    <x v="1"/>
    <x v="7"/>
    <s v="OG0012669"/>
    <s v="Ofaveolata003776"/>
    <s v="Ssiderea028754"/>
    <n v="3.18471379"/>
    <n v="1.03927663"/>
    <s v="Direct"/>
    <s v="SUZ RNA binding domain containing 1"/>
    <s v="SUZ RNA binding domain containing 1"/>
  </r>
  <r>
    <x v="1"/>
    <x v="7"/>
    <s v="OG0012678"/>
    <s v="Ofaveolata029819"/>
    <s v="Ssiderea023968"/>
    <n v="-14.118458"/>
    <n v="-1.8291500999999999"/>
    <s v="Direct"/>
    <s v="coreceptor activity involved in Wnt signaling pathway, planar cell polarity pathway"/>
    <s v="coreceptor activity involved in Wnt signaling pathway, planar cell polarity pathway"/>
  </r>
  <r>
    <x v="1"/>
    <x v="7"/>
    <s v="OG0012695"/>
    <s v="Ofaveolata023439"/>
    <s v="Ssiderea005043"/>
    <n v="-1.9276416000000001"/>
    <n v="-1.0518495000000001"/>
    <s v="Direct"/>
    <s v="endoderm formation"/>
    <s v="endoderm formation"/>
  </r>
  <r>
    <x v="1"/>
    <x v="7"/>
    <s v="OG0012724"/>
    <s v="Ofaveolata018323"/>
    <s v="Ssiderea018646"/>
    <n v="1.82023946"/>
    <n v="1.2963471600000001"/>
    <s v="Direct"/>
    <s v="NA"/>
    <s v="Collagen triple helix"/>
  </r>
  <r>
    <x v="1"/>
    <x v="7"/>
    <s v="OG0012782"/>
    <s v="Ofaveolata026010"/>
    <s v="Ssiderea038852"/>
    <n v="-7.7825813000000004"/>
    <n v="-6.3529502999999998"/>
    <s v="Direct"/>
    <s v="negative regulation of SNARE complex assembly"/>
    <s v="negative regulation of SNARE complex assembly"/>
  </r>
  <r>
    <x v="1"/>
    <x v="7"/>
    <s v="OG0012794"/>
    <s v="Ofaveolata007988"/>
    <s v="Ssiderea009471"/>
    <n v="-1.1426883000000001"/>
    <n v="-3.3990578999999999"/>
    <s v="Direct"/>
    <s v="transcription by RNA polymerase III"/>
    <s v="transcription by RNA polymerase III"/>
  </r>
  <r>
    <x v="1"/>
    <x v="7"/>
    <s v="OG0012801"/>
    <s v="Ofaveolata019158"/>
    <s v="Ssiderea019086"/>
    <n v="2.67267038"/>
    <n v="1.6269914000000001"/>
    <s v="Direct"/>
    <s v="calcium-dependent cysteine-type endopeptidase activity"/>
    <s v="calcium-dependent cysteine-type endopeptidase activity"/>
  </r>
  <r>
    <x v="1"/>
    <x v="7"/>
    <s v="OG0012812"/>
    <s v="Ofaveolata025654"/>
    <s v="Ssiderea041924"/>
    <n v="-4.3386548999999999"/>
    <n v="-2.5956261999999999"/>
    <s v="Direct"/>
    <s v="microtubule motor activity"/>
    <s v="microtubule motor activity"/>
  </r>
  <r>
    <x v="1"/>
    <x v="7"/>
    <s v="OG0012846"/>
    <s v="Ofaveolata033137"/>
    <s v="Ssiderea025984"/>
    <n v="-3.4457409000000001"/>
    <n v="-11.534238999999999"/>
    <s v="Direct"/>
    <s v="5'-3' exoribonuclease activity"/>
    <s v="5'-3' exoribonuclease activity"/>
  </r>
  <r>
    <x v="1"/>
    <x v="7"/>
    <s v="OG0012861"/>
    <s v="Ofaveolata002355"/>
    <s v="Ssiderea012859"/>
    <n v="-1.0206710999999999"/>
    <n v="-2.3070457000000002"/>
    <s v="Direct"/>
    <s v="Adp-ribosylation factor"/>
    <s v="Adp-ribosylation factor"/>
  </r>
  <r>
    <x v="1"/>
    <x v="7"/>
    <s v="OG0012886"/>
    <s v="Ofaveolata027216"/>
    <s v="Ssiderea035294"/>
    <n v="-2.6817348999999999"/>
    <n v="-2.2553131999999998"/>
    <s v="Direct"/>
    <s v="phospholipase"/>
    <s v="phospholipase"/>
  </r>
  <r>
    <x v="1"/>
    <x v="7"/>
    <s v="OG0012915"/>
    <s v="Ofaveolata022352"/>
    <s v="Ssiderea023226"/>
    <n v="1.66323647"/>
    <n v="-1.5011806000000001"/>
    <s v="Inverse"/>
    <s v="RNA polymerase I transcription factor binding"/>
    <s v="RNA polymerase I transcription factor binding"/>
  </r>
  <r>
    <x v="1"/>
    <x v="7"/>
    <s v="OG0012926"/>
    <s v="Ofaveolata027337"/>
    <s v="Ssiderea042192"/>
    <n v="-1.2695367"/>
    <n v="-1.3298080999999999"/>
    <s v="Direct"/>
    <s v="Universal stress protein family"/>
    <s v="Universal stress protein family"/>
  </r>
  <r>
    <x v="1"/>
    <x v="7"/>
    <s v="OG0012951"/>
    <s v="Ofaveolata022303"/>
    <s v="Ssiderea023138"/>
    <n v="-1.3478044"/>
    <n v="-1.3788408000000001"/>
    <s v="Direct"/>
    <s v="NA"/>
    <s v="bactericidal permeability-increasing protein"/>
  </r>
  <r>
    <x v="1"/>
    <x v="7"/>
    <s v="OG0012957"/>
    <s v="Ofaveolata014949"/>
    <s v="Ssiderea038386"/>
    <n v="-4.6368295000000002"/>
    <n v="-1.2170998"/>
    <s v="Direct"/>
    <s v="Major facilitator superfamily domain-containing protein 6-like"/>
    <s v="Major facilitator superfamily domain-containing protein 6-like"/>
  </r>
  <r>
    <x v="1"/>
    <x v="7"/>
    <s v="OG0013007"/>
    <s v="Ofaveolata028888"/>
    <s v="Ssiderea014322"/>
    <n v="-2.1578051"/>
    <n v="-1.1146379"/>
    <s v="Direct"/>
    <s v="PFAM Thioredoxin"/>
    <s v="PITH domain"/>
  </r>
  <r>
    <x v="1"/>
    <x v="7"/>
    <s v="OG0013032"/>
    <s v="Ofaveolata032413"/>
    <s v="Ssiderea034910"/>
    <n v="1.0938173099999999"/>
    <n v="1.0359311899999999"/>
    <s v="Direct"/>
    <s v="NA"/>
    <s v="Cell adhesion molecule"/>
  </r>
  <r>
    <x v="1"/>
    <x v="7"/>
    <s v="OG0013044"/>
    <s v="Ofaveolata006152"/>
    <s v="Ssiderea053372"/>
    <n v="-1.0156048"/>
    <n v="-1.8848301999999999"/>
    <s v="Direct"/>
    <s v="glycogen phosphorylase activity"/>
    <s v="glycogen phosphorylase activity"/>
  </r>
  <r>
    <x v="1"/>
    <x v="7"/>
    <s v="OG0013045"/>
    <s v="Ofaveolata019629"/>
    <s v="Ssiderea011726"/>
    <n v="-1.5000587000000001"/>
    <n v="-1.4453237000000001"/>
    <s v="Direct"/>
    <s v="U1 snRNA 3'-end processing"/>
    <s v="U1 snRNA 3'-end processing"/>
  </r>
  <r>
    <x v="1"/>
    <x v="7"/>
    <s v="OG0013046"/>
    <s v="Ofaveolata005736"/>
    <s v="Ssiderea045518"/>
    <n v="-13.287976"/>
    <n v="-2.4443001999999998"/>
    <s v="Direct"/>
    <s v="Kinesin motor, catalytic domain. ATPase."/>
    <s v="Microtubule binding"/>
  </r>
  <r>
    <x v="1"/>
    <x v="7"/>
    <s v="OG0013058"/>
    <s v="Ofaveolata016713"/>
    <s v="Ssiderea039176"/>
    <n v="1.1561671600000001"/>
    <n v="2.1674563899999999"/>
    <s v="Direct"/>
    <s v="NA"/>
    <s v="detection of nodal flow"/>
  </r>
  <r>
    <x v="1"/>
    <x v="7"/>
    <s v="OG0013060"/>
    <s v="Ofaveolata005753"/>
    <s v="Ssiderea045515"/>
    <n v="1.8340788699999999"/>
    <n v="-1.4690662999999999"/>
    <s v="Inverse"/>
    <s v="NA"/>
    <s v="Glycosyl transferases group 1"/>
  </r>
  <r>
    <x v="1"/>
    <x v="7"/>
    <s v="OG0013062"/>
    <s v="Ofaveolata014463"/>
    <s v="Ssiderea004465"/>
    <n v="-1.2555246"/>
    <n v="-2.3853863"/>
    <s v="Direct"/>
    <s v="ion transport"/>
    <s v="ion transport"/>
  </r>
  <r>
    <x v="1"/>
    <x v="7"/>
    <s v="OG0013097"/>
    <s v="Ofaveolata012675"/>
    <s v="Ssiderea000608"/>
    <n v="-1.4498255"/>
    <n v="-1.0178583000000001"/>
    <s v="Direct"/>
    <s v="DNA-binding transcription factor activity"/>
    <s v="DNA-binding transcription factor activity"/>
  </r>
  <r>
    <x v="1"/>
    <x v="7"/>
    <s v="OG0013109"/>
    <s v="Ofaveolata030232"/>
    <s v="Ssiderea027416"/>
    <n v="-1.7847819"/>
    <n v="1.0128125400000001"/>
    <s v="Inverse"/>
    <s v="Belongs to the cytochrome P450 family"/>
    <s v="Belongs to the cytochrome P450 family"/>
  </r>
  <r>
    <x v="1"/>
    <x v="7"/>
    <s v="OG0013122"/>
    <s v="Ofaveolata008008"/>
    <s v="Ssiderea009512"/>
    <n v="-4.0031980999999996"/>
    <n v="1.21940548"/>
    <s v="Inverse"/>
    <s v="NA"/>
    <s v="NA"/>
  </r>
  <r>
    <x v="1"/>
    <x v="7"/>
    <s v="OG0013147"/>
    <s v="Ofaveolata026455"/>
    <s v="Ssiderea038593"/>
    <n v="-8.4566865"/>
    <n v="-5.3355543000000001"/>
    <s v="Direct"/>
    <s v="AFG3-like protein"/>
    <s v="AFG3-like protein"/>
  </r>
  <r>
    <x v="1"/>
    <x v="7"/>
    <s v="OG0013158"/>
    <s v="Ofaveolata011254"/>
    <s v="Ssiderea051466"/>
    <n v="-1.7791007999999999"/>
    <n v="-3.9833031000000001"/>
    <s v="Direct"/>
    <s v="Belongs to the eukaryotic ribosomal protein eS24 family"/>
    <s v="Belongs to the eukaryotic ribosomal protein eS24 family"/>
  </r>
  <r>
    <x v="1"/>
    <x v="7"/>
    <s v="OG0013205"/>
    <s v="Ofaveolata019611"/>
    <s v="Ssiderea020852"/>
    <n v="-15.782398000000001"/>
    <n v="-6.2650869"/>
    <s v="Direct"/>
    <s v="high mobility group"/>
    <s v="high mobility group"/>
  </r>
  <r>
    <x v="1"/>
    <x v="7"/>
    <s v="OG0013221"/>
    <s v="Ofaveolata022024"/>
    <s v="Ssiderea023369"/>
    <n v="-2.2474053999999999"/>
    <n v="-7.8805664000000002"/>
    <s v="Direct"/>
    <s v="L-lactate"/>
    <s v="L-lactate"/>
  </r>
  <r>
    <x v="1"/>
    <x v="7"/>
    <s v="OG0013269"/>
    <s v="Ofaveolata030370"/>
    <s v="Ssiderea034243"/>
    <n v="-1.3378209999999999"/>
    <n v="-2.0474676999999999"/>
    <s v="Direct"/>
    <s v="Proline-rich coiled-coil"/>
    <s v="Proline-rich coiled-coil"/>
  </r>
  <r>
    <x v="1"/>
    <x v="8"/>
    <s v="OG0000430"/>
    <s v="Ofaveolata016514"/>
    <s v="Ssiderea034936"/>
    <n v="2.8431665399999999"/>
    <n v="-1.2205706999999999"/>
    <s v="Inverse"/>
    <s v="NA"/>
    <s v="Cell adhesion molecule"/>
  </r>
  <r>
    <x v="1"/>
    <x v="8"/>
    <s v="OG0001067"/>
    <s v="Ofaveolata002530"/>
    <s v="Ssiderea024883"/>
    <n v="1.02742321"/>
    <n v="1.0056645799999999"/>
    <s v="Direct"/>
    <s v="serine-type endopeptidase activity"/>
    <s v="serine-type endopeptidase activity"/>
  </r>
  <r>
    <x v="1"/>
    <x v="8"/>
    <s v="OG0001357"/>
    <s v="Ofaveolata034842"/>
    <s v="Ssiderea013116"/>
    <n v="1.2131710200000001"/>
    <n v="1.5532327100000001"/>
    <s v="Direct"/>
    <s v="Belongs to the peptidase S1 family"/>
    <s v="Belongs to the peptidase S1 family"/>
  </r>
  <r>
    <x v="1"/>
    <x v="8"/>
    <s v="OG0001518"/>
    <s v="Ofaveolata016763"/>
    <s v="Ssiderea024655"/>
    <n v="1.1937677099999999"/>
    <n v="1.3625895800000001"/>
    <s v="Direct"/>
    <s v="Belongs to the peptidase S1 family"/>
    <s v="Belongs to the peptidase S1 family"/>
  </r>
  <r>
    <x v="1"/>
    <x v="8"/>
    <s v="OG0001686"/>
    <s v="Ofaveolata000104"/>
    <s v="Ssiderea021959"/>
    <n v="-2.6639482000000001"/>
    <n v="-1.2198798"/>
    <s v="Direct"/>
    <s v="PX domain"/>
    <s v="PX domain"/>
  </r>
  <r>
    <x v="1"/>
    <x v="8"/>
    <s v="OG0002369"/>
    <s v="Ofaveolata005198"/>
    <s v="Ssiderea042257"/>
    <n v="-1.1937677"/>
    <n v="1.3145652800000001"/>
    <s v="Inverse"/>
    <s v="calcium ion binding"/>
    <s v="Eps15 homology domain"/>
  </r>
  <r>
    <x v="1"/>
    <x v="8"/>
    <s v="OG0002827"/>
    <s v="Ofaveolata005263"/>
    <s v="Ssiderea015872"/>
    <n v="1.49062191"/>
    <n v="2.0163131500000002"/>
    <s v="Direct"/>
    <s v="negative chemotaxis"/>
    <s v="structural constituent of cuticle"/>
  </r>
  <r>
    <x v="1"/>
    <x v="8"/>
    <s v="OG0003251"/>
    <s v="Ofaveolata013332"/>
    <s v="Ssiderea001097"/>
    <n v="1.7389452999999999"/>
    <n v="2.5840181200000001"/>
    <s v="Direct"/>
    <s v="Endoribonuclease XendoU"/>
    <s v="endoribonuclease activity"/>
  </r>
  <r>
    <x v="1"/>
    <x v="8"/>
    <s v="OG0004246"/>
    <s v="Ofaveolata002414"/>
    <s v="Ssiderea60368"/>
    <n v="1.1753504299999999"/>
    <n v="1.0572678900000001"/>
    <s v="Direct"/>
    <s v="metalloendopeptidase activity"/>
    <s v="metalloendopeptidase activity"/>
  </r>
  <r>
    <x v="1"/>
    <x v="8"/>
    <s v="OG0004354"/>
    <s v="Ofaveolata017133"/>
    <s v="Ssiderea052667"/>
    <n v="1.4495057899999999"/>
    <n v="1.87128334"/>
    <s v="Direct"/>
    <s v="NA"/>
    <s v="regulation of BMP signaling pathway"/>
  </r>
  <r>
    <x v="1"/>
    <x v="8"/>
    <s v="OG0004586"/>
    <s v="Ofaveolata013636"/>
    <s v="Ssiderea000142"/>
    <n v="1.56634797"/>
    <n v="1.7522056699999999"/>
    <s v="Direct"/>
    <s v="Serine threonine-protein kinase"/>
    <s v="myosin VI binding"/>
  </r>
  <r>
    <x v="1"/>
    <x v="8"/>
    <s v="OG0004777"/>
    <s v="Ofaveolata028780"/>
    <s v="Ssiderea014556"/>
    <n v="-2.379489"/>
    <n v="-1.7818559"/>
    <s v="Direct"/>
    <s v="skeletal muscle satellite cell commitment"/>
    <s v="Paired box 3"/>
  </r>
  <r>
    <x v="1"/>
    <x v="8"/>
    <s v="OG0005102"/>
    <s v="Ofaveolata024216"/>
    <s v="Ssiderea006447"/>
    <n v="-1.4466844000000001"/>
    <n v="1.1005289"/>
    <s v="Inverse"/>
    <s v="FKBP-type peptidyl-prolyl cis-trans isomerase"/>
    <s v="FKBP-type peptidyl-prolyl cis-trans isomerase"/>
  </r>
  <r>
    <x v="1"/>
    <x v="8"/>
    <s v="OG0005114"/>
    <s v="Ofaveolata000277"/>
    <s v="Ssiderea029508"/>
    <n v="-1.4630044"/>
    <n v="1.00207237"/>
    <s v="Inverse"/>
    <s v="podosome assembly"/>
    <s v="podosome assembly"/>
  </r>
  <r>
    <x v="1"/>
    <x v="8"/>
    <s v="OG0005269"/>
    <s v="Ofaveolata033406"/>
    <s v="Ssiderea040225"/>
    <n v="2.5061378300000001"/>
    <n v="1.00681891"/>
    <s v="Direct"/>
    <s v="supervillin"/>
    <s v="supervillin"/>
  </r>
  <r>
    <x v="1"/>
    <x v="8"/>
    <s v="OG0005604"/>
    <s v="Ofaveolata033695"/>
    <s v="Ssiderea053627"/>
    <n v="-1.5156670999999999"/>
    <n v="1.00076079"/>
    <s v="Inverse"/>
    <s v="NA"/>
    <s v="Cupin-like domain"/>
  </r>
  <r>
    <x v="1"/>
    <x v="8"/>
    <s v="OG0005850"/>
    <s v="Ofaveolata011231"/>
    <s v="Ssiderea051432"/>
    <n v="2.0105677499999999"/>
    <n v="2.52792752"/>
    <s v="Direct"/>
    <s v="pancreatic epsilon cell differentiation"/>
    <s v="pancreatic epsilon cell differentiation"/>
  </r>
  <r>
    <x v="1"/>
    <x v="8"/>
    <s v="OG0005959"/>
    <s v="Ofaveolata008394"/>
    <s v="Ssiderea008863"/>
    <n v="2.09913528"/>
    <n v="1.27892728"/>
    <s v="Direct"/>
    <s v="peptidyl-prolyl cis-trans isomerase activity"/>
    <s v="peptidyl-prolyl cis-trans isomerase activity"/>
  </r>
  <r>
    <x v="1"/>
    <x v="8"/>
    <s v="OG0006096"/>
    <s v="Ofaveolata007098"/>
    <s v="Ssiderea028220"/>
    <n v="-2.0991352999999999"/>
    <n v="-1.9167460999999999"/>
    <s v="Direct"/>
    <s v="negative regulation of appetite"/>
    <s v="negative regulation of appetite"/>
  </r>
  <r>
    <x v="1"/>
    <x v="8"/>
    <s v="OG0006285"/>
    <s v="Ofaveolata027055"/>
    <s v="Ssiderea042128"/>
    <n v="-1.6859761"/>
    <n v="1.4068614500000001"/>
    <s v="Inverse"/>
    <s v="Myosin, light"/>
    <s v="Myosin, light"/>
  </r>
  <r>
    <x v="1"/>
    <x v="8"/>
    <s v="OG0006775"/>
    <s v="Ofaveolata028207"/>
    <s v="Ssiderea033260"/>
    <n v="-1.8404632999999999"/>
    <n v="1.57999574"/>
    <s v="Inverse"/>
    <s v="Cupin-like domain"/>
    <s v="Cupin-like domain"/>
  </r>
  <r>
    <x v="1"/>
    <x v="8"/>
    <s v="OG0007046"/>
    <s v="Ofaveolata017826"/>
    <s v="Ssiderea048533"/>
    <n v="2.0762282500000002"/>
    <n v="1.7964053499999999"/>
    <s v="Direct"/>
    <s v="scavenger receptor activity"/>
    <s v="scavenger receptor activity"/>
  </r>
  <r>
    <x v="1"/>
    <x v="8"/>
    <s v="OG0007627"/>
    <s v="Ofaveolata011375"/>
    <s v="Ssiderea019309"/>
    <n v="-2.5027183000000002"/>
    <n v="1.21814289"/>
    <s v="Inverse"/>
    <s v="Universal stress protein family"/>
    <s v="Universal stress protein family"/>
  </r>
  <r>
    <x v="1"/>
    <x v="8"/>
    <s v="OG0008320"/>
    <s v="Ofaveolata031065"/>
    <s v="Ssiderea006599"/>
    <n v="1.6551252599999999"/>
    <n v="1.7473904499999999"/>
    <s v="Direct"/>
    <s v="supervillin"/>
    <s v="supervillin"/>
  </r>
  <r>
    <x v="1"/>
    <x v="8"/>
    <s v="OG0008761"/>
    <s v="Ofaveolata022640"/>
    <s v="Ssiderea050122"/>
    <n v="1.59744475"/>
    <n v="-1.0886765"/>
    <s v="Inverse"/>
    <s v="carbohydrate binding"/>
    <s v="carbohydrate binding"/>
  </r>
  <r>
    <x v="1"/>
    <x v="8"/>
    <s v="OG0008881"/>
    <s v="Ofaveolata025437"/>
    <s v="Ssiderea039806"/>
    <n v="1.6672407199999999"/>
    <n v="1.2792270800000001"/>
    <s v="Direct"/>
    <s v="peptidase inhibitor activity"/>
    <s v="positive regulation of epithelial to mesenchymal transition"/>
  </r>
  <r>
    <x v="1"/>
    <x v="8"/>
    <s v="OG0009918"/>
    <s v="Ofaveolata025486"/>
    <s v="Ssiderea039868"/>
    <n v="-1.6124366999999999"/>
    <n v="1.0888219400000001"/>
    <s v="Inverse"/>
    <s v="dolichyl-diphosphooligosaccharide-protein glycotransferase activity"/>
    <s v="dolichyl-diphosphooligosaccharide-protein glycotransferase activity"/>
  </r>
  <r>
    <x v="1"/>
    <x v="8"/>
    <s v="OG0010375"/>
    <s v="Ofaveolata025189"/>
    <s v="Ssiderea021604"/>
    <n v="1.46844551"/>
    <n v="1.66671682"/>
    <s v="Direct"/>
    <s v="structural constituent of cuticle"/>
    <s v="structural constituent of cuticle"/>
  </r>
  <r>
    <x v="1"/>
    <x v="8"/>
    <s v="OG0010777"/>
    <s v="Ofaveolata034148"/>
    <s v="Ssiderea031598"/>
    <n v="2.7364300500000001"/>
    <n v="4.6398010000000003"/>
    <s v="Direct"/>
    <s v="Egl-9 family hypoxia-inducible factor"/>
    <s v="Egl-9 family hypoxia-inducible factor"/>
  </r>
  <r>
    <x v="1"/>
    <x v="8"/>
    <s v="OG0011553"/>
    <s v="Ofaveolata032672"/>
    <s v="Ssiderea052054"/>
    <n v="1.07844019"/>
    <n v="1.0381205099999999"/>
    <s v="Direct"/>
    <s v="Carboxypeptidase"/>
    <s v="Carboxypeptidase"/>
  </r>
  <r>
    <x v="1"/>
    <x v="8"/>
    <s v="OG0011819"/>
    <s v="Ofaveolata002587"/>
    <s v="Ssiderea024437"/>
    <n v="-1.0288413999999999"/>
    <n v="1.25925625"/>
    <s v="Inverse"/>
    <s v="Bcl2-/adenovirus E1B nineteen kDa-interacting protein 2"/>
    <s v="Bcl2-/adenovirus E1B nineteen kDa-interacting protein 2"/>
  </r>
  <r>
    <x v="1"/>
    <x v="8"/>
    <s v="OG0012678"/>
    <s v="Ofaveolata029819"/>
    <s v="Ssiderea023968"/>
    <n v="1.21830186"/>
    <n v="1.1342766799999999"/>
    <s v="Direct"/>
    <s v="coreceptor activity involved in Wnt signaling pathway, planar cell polarity pathway"/>
    <s v="coreceptor activity involved in Wnt signaling pathway, planar cell polarity pathway"/>
  </r>
  <r>
    <x v="1"/>
    <x v="8"/>
    <s v="OG0013203"/>
    <s v="Ofaveolata003394"/>
    <s v="Ssiderea029890"/>
    <n v="-1.452493"/>
    <n v="-1.0807453"/>
    <s v="Direct"/>
    <s v="DDB1- and CUL4-associated factor 10"/>
    <s v="DDB1- and CUL4-associated factor 10"/>
  </r>
  <r>
    <x v="1"/>
    <x v="9"/>
    <s v="OG0000133"/>
    <s v="Ofaveolata018073"/>
    <s v="Ssiderea002867"/>
    <n v="-4.0614926000000002"/>
    <n v="-4.3184671000000003"/>
    <s v="Direct"/>
    <s v="Multidrug resistance-associated protein 1"/>
    <s v="ATPase activity, coupled to transmembrane movement of substances"/>
  </r>
  <r>
    <x v="1"/>
    <x v="9"/>
    <s v="OG0000222"/>
    <s v="Ofaveolata006168"/>
    <s v="Ssiderea028561"/>
    <n v="-1.1825904"/>
    <n v="-1.9974278999999999"/>
    <s v="Direct"/>
    <s v="thioesterase binding"/>
    <s v="thioesterase binding"/>
  </r>
  <r>
    <x v="1"/>
    <x v="9"/>
    <s v="OG0000307"/>
    <s v="Ofaveolata024256"/>
    <s v="Ssiderea006371"/>
    <n v="-3.7938177999999998"/>
    <n v="-1.4252081999999999"/>
    <s v="Direct"/>
    <s v="NA"/>
    <s v="NA"/>
  </r>
  <r>
    <x v="1"/>
    <x v="9"/>
    <s v="OG0000365"/>
    <s v="Ofaveolata032821"/>
    <s v="Ssiderea053815"/>
    <n v="3.0194234600000001"/>
    <n v="1.4020097199999999"/>
    <s v="Direct"/>
    <s v="heat shock"/>
    <s v="heat shock"/>
  </r>
  <r>
    <x v="1"/>
    <x v="9"/>
    <s v="OG0000418"/>
    <s v="Ofaveolata015488"/>
    <s v="Ssiderea013867"/>
    <n v="-1.8513793999999999"/>
    <n v="-1.2221445"/>
    <s v="Direct"/>
    <s v="NA"/>
    <s v="CUB and zona pellucida-like domain-containing protein"/>
  </r>
  <r>
    <x v="1"/>
    <x v="9"/>
    <s v="OG0000523"/>
    <s v="Ofaveolata001123"/>
    <s v="Ssiderea022152"/>
    <n v="1.8203087600000001"/>
    <n v="2.1177941100000002"/>
    <s v="Direct"/>
    <s v="plasma membrane repair"/>
    <s v="plasma membrane repair"/>
  </r>
  <r>
    <x v="1"/>
    <x v="9"/>
    <s v="OG0000778"/>
    <s v="Ofaveolata019120"/>
    <s v="Ssiderea013602"/>
    <n v="-1.6457586"/>
    <n v="2.6718590999999998"/>
    <s v="Inverse"/>
    <s v="carbohydrate binding"/>
    <s v="complement activation, classical pathway"/>
  </r>
  <r>
    <x v="1"/>
    <x v="9"/>
    <s v="OG0000875"/>
    <s v="Ofaveolata001258"/>
    <s v="Ssiderea056345"/>
    <n v="-2.1134659"/>
    <n v="-3.0907122999999999"/>
    <s v="Direct"/>
    <s v="homophilic cell adhesion via plasma membrane adhesion molecules"/>
    <s v="homophilic cell adhesion via plasma membrane adhesion molecules"/>
  </r>
  <r>
    <x v="1"/>
    <x v="9"/>
    <s v="OG0000877"/>
    <s v="Ofaveolata002189"/>
    <s v="Ssiderea012592"/>
    <n v="-1.7562173000000001"/>
    <n v="2.10166187"/>
    <s v="Inverse"/>
    <s v="glutamic-type peptidase activity"/>
    <s v="glutamic-type peptidase activity"/>
  </r>
  <r>
    <x v="1"/>
    <x v="9"/>
    <s v="OG0001035"/>
    <s v="Ofaveolata013447"/>
    <s v="Ssiderea000550"/>
    <n v="-1.1906737999999999"/>
    <n v="-9.2704845999999996"/>
    <s v="Direct"/>
    <s v="ammonium transmembrane transporter activity"/>
    <s v="ammonium transmembrane transporter activity"/>
  </r>
  <r>
    <x v="1"/>
    <x v="9"/>
    <s v="OG0001054"/>
    <s v="Ofaveolata026401"/>
    <s v="Ssiderea038678"/>
    <n v="1.9113573500000001"/>
    <n v="3.3328521499999999"/>
    <s v="Direct"/>
    <s v="V-maf avian musculoaponeurotic fibrosarcoma oncogene homolog"/>
    <s v="lens fiber cell differentiation"/>
  </r>
  <r>
    <x v="1"/>
    <x v="9"/>
    <s v="OG0001060"/>
    <s v="Ofaveolata021998"/>
    <s v="Ssiderea023406"/>
    <n v="1.51079922"/>
    <n v="2.7286585900000002"/>
    <s v="Direct"/>
    <s v="tumor necrosis factor-activated receptor activity"/>
    <s v="Tumor necrosis factor receptor / nerve growth factor receptor repeats."/>
  </r>
  <r>
    <x v="1"/>
    <x v="9"/>
    <s v="OG0001085"/>
    <s v="Ofaveolata027609"/>
    <s v="Ssiderea042330"/>
    <n v="-5.9443973000000003"/>
    <n v="-8.1037371"/>
    <s v="Direct"/>
    <s v="Sterol-sensing domain of SREBP cleavage-activation"/>
    <s v="Sterol-sensing domain of SREBP cleavage-activation"/>
  </r>
  <r>
    <x v="1"/>
    <x v="9"/>
    <s v="OG0001245"/>
    <s v="Ofaveolata013966"/>
    <s v="Ssiderea043968"/>
    <n v="-4.6051307000000001"/>
    <n v="-1.5305306999999999"/>
    <s v="Direct"/>
    <s v="ATPase activity, coupled to transmembrane movement of substances"/>
    <s v="ATPase activity, coupled to transmembrane movement of substances"/>
  </r>
  <r>
    <x v="1"/>
    <x v="9"/>
    <s v="OG0001372"/>
    <s v="Ofaveolata014693"/>
    <s v="Ssiderea004543"/>
    <n v="-3.2706903000000001"/>
    <n v="-1.1184871999999999"/>
    <s v="Direct"/>
    <s v="alpha-L-fucosidase activity"/>
    <s v="alpha-L-fucosidase activity"/>
  </r>
  <r>
    <x v="1"/>
    <x v="9"/>
    <s v="OG0001377"/>
    <s v="Ofaveolata025892"/>
    <s v="Ssiderea039002"/>
    <n v="-7.279496"/>
    <n v="-2.8002115000000001"/>
    <s v="Direct"/>
    <s v="antigen processing and presentation of exogenous peptide antigen via MHC class I"/>
    <s v="antigen processing and presentation of exogenous peptide antigen via MHC class I"/>
  </r>
  <r>
    <x v="1"/>
    <x v="9"/>
    <s v="OG0001411"/>
    <s v="Ofaveolata030373"/>
    <s v="Ssiderea034241"/>
    <n v="-2.0625529999999999"/>
    <n v="-1.9498396"/>
    <s v="Direct"/>
    <s v="thyroid hormone transmembrane transporter activity"/>
    <s v="transmembrane transport"/>
  </r>
  <r>
    <x v="1"/>
    <x v="9"/>
    <s v="OG0001412"/>
    <s v="Ofaveolata010236"/>
    <s v="Ssiderea019422"/>
    <n v="-1.5724351000000001"/>
    <n v="2.0910757599999998"/>
    <s v="Inverse"/>
    <s v="negative regulation of bile acid biosynthetic process"/>
    <s v="negative regulation of bile acid biosynthetic process"/>
  </r>
  <r>
    <x v="1"/>
    <x v="9"/>
    <s v="OG0001441"/>
    <s v="Ofaveolata004510"/>
    <s v="Ssiderea052434"/>
    <n v="1.1425035800000001"/>
    <n v="2.2749203599999999"/>
    <s v="Direct"/>
    <s v="NA"/>
    <s v="DNA helicase B"/>
  </r>
  <r>
    <x v="1"/>
    <x v="9"/>
    <s v="OG0001471"/>
    <s v="Ofaveolata001616"/>
    <s v="Ssiderea026735"/>
    <n v="-3.5277816"/>
    <n v="-2.5992917000000002"/>
    <s v="Direct"/>
    <s v="DOMON domain-containing protein"/>
    <s v="Ferric-chelate reductase"/>
  </r>
  <r>
    <x v="1"/>
    <x v="9"/>
    <s v="OG0001481"/>
    <s v="Ofaveolata013123"/>
    <s v="Ssiderea000775"/>
    <n v="-1.7515202000000001"/>
    <n v="9.7545456399999999"/>
    <s v="Inverse"/>
    <s v="integrin binding"/>
    <s v="Coagulation factor 5/8 C-terminal domain, discoidin domain"/>
  </r>
  <r>
    <x v="1"/>
    <x v="9"/>
    <s v="OG0001522"/>
    <s v="Ofaveolata024604"/>
    <s v="Ssiderea005862"/>
    <n v="-3.0696249999999998"/>
    <n v="-2.2110219"/>
    <s v="Direct"/>
    <s v="lipid catabolic process"/>
    <s v="Phospholipase B domain containing 2"/>
  </r>
  <r>
    <x v="1"/>
    <x v="9"/>
    <s v="OG0001552"/>
    <s v="Ofaveolata018305"/>
    <s v="Ssiderea018612"/>
    <n v="-1.5992983000000001"/>
    <n v="-2.0130599999999998"/>
    <s v="Direct"/>
    <s v="negative regulation of ectoderm development"/>
    <s v="negative regulation of ectoderm development"/>
  </r>
  <r>
    <x v="1"/>
    <x v="9"/>
    <s v="OG0001581"/>
    <s v="Ofaveolata022011"/>
    <s v="Ssiderea023382"/>
    <n v="1.3328892400000001"/>
    <n v="7.3517337899999999"/>
    <s v="Direct"/>
    <s v="NA"/>
    <s v="Tumor necrosis factor receptor / nerve growth factor receptor repeats."/>
  </r>
  <r>
    <x v="1"/>
    <x v="9"/>
    <s v="OG0001587"/>
    <s v="Ofaveolata007545"/>
    <s v="Ssiderea006776"/>
    <n v="1.9465352199999999"/>
    <n v="-3.1237648999999998"/>
    <s v="Inverse"/>
    <s v="tyrosinase"/>
    <s v="tyrosinase"/>
  </r>
  <r>
    <x v="1"/>
    <x v="9"/>
    <s v="OG0001633"/>
    <s v="Ofaveolata024490"/>
    <s v="Ssiderea023310"/>
    <n v="-1.0324888000000001"/>
    <n v="-8.1931221999999995"/>
    <s v="Direct"/>
    <s v="secondary active sulfate transmembrane transporter activity"/>
    <s v="secondary active sulfate transmembrane transporter activity"/>
  </r>
  <r>
    <x v="1"/>
    <x v="9"/>
    <s v="OG0001686"/>
    <s v="Ofaveolata000104"/>
    <s v="Ssiderea021959"/>
    <n v="-2.5034470999999998"/>
    <n v="-2.6435759000000001"/>
    <s v="Direct"/>
    <s v="PX domain"/>
    <s v="PX domain"/>
  </r>
  <r>
    <x v="1"/>
    <x v="9"/>
    <s v="OG0001713"/>
    <s v="Ofaveolata028965"/>
    <s v="Ssiderea016596"/>
    <n v="1.76116607"/>
    <n v="-1.2462856"/>
    <s v="Inverse"/>
    <s v="nucleic acid binding"/>
    <s v="nucleic acid binding"/>
  </r>
  <r>
    <x v="1"/>
    <x v="9"/>
    <s v="OG0002093"/>
    <s v="Ofaveolata034108"/>
    <s v="Ssiderea031667"/>
    <n v="-2.5352621000000002"/>
    <n v="-6.9994677000000003"/>
    <s v="Direct"/>
    <s v="phosphatidylethanolamine catabolic process"/>
    <s v="phosphatidylethanolamine catabolic process"/>
  </r>
  <r>
    <x v="1"/>
    <x v="9"/>
    <s v="OG0002146"/>
    <s v="Ofaveolata021960"/>
    <s v="Ssiderea023516"/>
    <n v="-6.9305494999999997"/>
    <n v="-2.7747027000000002"/>
    <s v="Direct"/>
    <s v="ATP:ADP antiporter activity"/>
    <s v="ATP:ADP antiporter activity"/>
  </r>
  <r>
    <x v="1"/>
    <x v="9"/>
    <s v="OG0002220"/>
    <s v="Ofaveolata015248"/>
    <s v="Ssiderea051084"/>
    <n v="-1.0320776"/>
    <n v="2.13305225"/>
    <s v="Inverse"/>
    <s v="ectonucleotide pyrophosphatase phosphodiesterase"/>
    <s v="ectonucleotide pyrophosphatase phosphodiesterase"/>
  </r>
  <r>
    <x v="1"/>
    <x v="9"/>
    <s v="OG0002306"/>
    <s v="Ofaveolata027302"/>
    <s v="Ssiderea029478"/>
    <n v="-4.4493612000000002"/>
    <n v="1.0124122600000001"/>
    <s v="Inverse"/>
    <s v="protein-disulfide reductase (glutathione) activity"/>
    <s v="protein-disulfide reductase (glutathione) activity"/>
  </r>
  <r>
    <x v="1"/>
    <x v="9"/>
    <s v="OG0002356"/>
    <s v="Ofaveolata031896"/>
    <s v="Ssiderea007305"/>
    <n v="-4.5492904000000003"/>
    <n v="-5.1481580999999998"/>
    <s v="Direct"/>
    <s v="thioredoxin-disulfide reductase activity"/>
    <s v="thioredoxin-disulfide reductase activity"/>
  </r>
  <r>
    <x v="1"/>
    <x v="9"/>
    <s v="OG0002408"/>
    <s v="Ofaveolata007767"/>
    <s v="Ssiderea009243"/>
    <n v="1.6337493599999999"/>
    <n v="3.6898435100000002"/>
    <s v="Direct"/>
    <s v="unfolded protein binding"/>
    <s v="unfolded protein binding"/>
  </r>
  <r>
    <x v="1"/>
    <x v="9"/>
    <s v="OG0002438"/>
    <s v="Ofaveolata029977"/>
    <s v="Ssiderea024274"/>
    <n v="-2.4244458999999998"/>
    <n v="-2.8994411000000002"/>
    <s v="Direct"/>
    <s v="SOUL heme-binding protein"/>
    <s v="SOUL heme-binding protein"/>
  </r>
  <r>
    <x v="1"/>
    <x v="9"/>
    <s v="OG0002629"/>
    <s v="Ofaveolata013050"/>
    <s v="Ssiderea001426"/>
    <n v="-13.189048"/>
    <n v="-23.515083000000001"/>
    <s v="Direct"/>
    <s v="adiponectin receptor"/>
    <s v="adiponectin receptor"/>
  </r>
  <r>
    <x v="1"/>
    <x v="9"/>
    <s v="OG0002690"/>
    <s v="Ofaveolata029771"/>
    <s v="Ssiderea60314"/>
    <n v="-1.4667564"/>
    <n v="-1.1280762"/>
    <s v="Direct"/>
    <s v="calcium ion binding"/>
    <s v="calcium ion binding"/>
  </r>
  <r>
    <x v="1"/>
    <x v="9"/>
    <s v="OG0002827"/>
    <s v="Ofaveolata005263"/>
    <s v="Ssiderea015872"/>
    <n v="-4.4670538999999998"/>
    <n v="4.6928096300000002"/>
    <s v="Inverse"/>
    <s v="negative chemotaxis"/>
    <s v="structural constituent of cuticle"/>
  </r>
  <r>
    <x v="1"/>
    <x v="9"/>
    <s v="OG0002933"/>
    <s v="Ofaveolata004714"/>
    <s v="Ssiderea042375"/>
    <n v="-1.5654151000000001"/>
    <n v="2.3998890500000001"/>
    <s v="Inverse"/>
    <s v="Disintegrin and metalloproteinase domain-containing protein"/>
    <s v="metalloendopeptidase activity"/>
  </r>
  <r>
    <x v="1"/>
    <x v="9"/>
    <s v="OG0002950"/>
    <s v="Ofaveolata027062"/>
    <s v="Ssiderea042204"/>
    <n v="-13.189048"/>
    <n v="-1.6168682999999999"/>
    <s v="Direct"/>
    <s v="glycerol ether metabolic process"/>
    <s v="glycerol ether metabolic process"/>
  </r>
  <r>
    <x v="1"/>
    <x v="9"/>
    <s v="OG0003046"/>
    <s v="Ofaveolata029525"/>
    <s v="Ssiderea054712"/>
    <n v="1.54631253"/>
    <n v="3.3534937299999998"/>
    <s v="Direct"/>
    <s v="Interferon induced with helicase C domain 1"/>
    <s v="Interferon induced with helicase C domain 1"/>
  </r>
  <r>
    <x v="1"/>
    <x v="9"/>
    <s v="OG0003131"/>
    <s v="Ofaveolata003761"/>
    <s v="Ssiderea028731"/>
    <n v="-4.5829693999999996"/>
    <n v="-2.4545808"/>
    <s v="Direct"/>
    <s v="methylenetetrahydrofolate reductase (NAD(P)H) activity"/>
    <s v="methylenetetrahydrofolate reductase (NAD(P)H) activity"/>
  </r>
  <r>
    <x v="1"/>
    <x v="9"/>
    <s v="OG0003165"/>
    <s v="Ofaveolata030220"/>
    <s v="Ssiderea027372"/>
    <n v="4.6145729199999996"/>
    <n v="1.30237446"/>
    <s v="Direct"/>
    <s v="thioesterase binding"/>
    <s v="Tnf receptor-associated factor 2"/>
  </r>
  <r>
    <x v="1"/>
    <x v="9"/>
    <s v="OG0003288"/>
    <s v="Ofaveolata004908"/>
    <s v="Ssiderea011302"/>
    <n v="-3.0171576999999998"/>
    <n v="-1.5250212999999999"/>
    <s v="Direct"/>
    <s v="aldonic acid metabolic process"/>
    <s v="aldonic acid metabolic process"/>
  </r>
  <r>
    <x v="1"/>
    <x v="9"/>
    <s v="OG0003366"/>
    <s v="Ofaveolata017809"/>
    <s v="Ssiderea048507"/>
    <n v="-1.8871355000000001"/>
    <n v="1.4851652"/>
    <s v="Inverse"/>
    <s v="inositol hexakisphosphate 6-kinase activity"/>
    <s v="inositol hexakisphosphate 6-kinase activity"/>
  </r>
  <r>
    <x v="1"/>
    <x v="9"/>
    <s v="OG0003651"/>
    <s v="Ofaveolata014030"/>
    <s v="Ssiderea043919"/>
    <n v="1.5189690600000001"/>
    <n v="1.0307805000000001"/>
    <s v="Direct"/>
    <s v="RNA binding"/>
    <s v="Casein kinase substrate phosphoprotein PP28"/>
  </r>
  <r>
    <x v="1"/>
    <x v="9"/>
    <s v="OG0003684"/>
    <s v="Ofaveolata014115"/>
    <s v="Ssiderea003510"/>
    <n v="-1.8292908999999999"/>
    <n v="-6.2350108999999998"/>
    <s v="Direct"/>
    <s v="Component of the eukaryotic translation initiation factor 3 (eIF-3) complex, which is involved in protein synthesis and, together with other initiation factors, stimulates binding of mRNA and methionyl-tRNAi to the 40S ribosome"/>
    <s v="Component of the eukaryotic translation initiation factor 3 (eIF-3) complex, which is involved in protein synthesis and, together with other initiation factors, stimulates binding of mRNA and methionyl-tRNAi to the 40S ribosome"/>
  </r>
  <r>
    <x v="1"/>
    <x v="9"/>
    <s v="OG0003692"/>
    <s v="Ofaveolata002357"/>
    <s v="Ssiderea012861"/>
    <n v="-2.4244458999999998"/>
    <n v="1.26476561"/>
    <s v="Inverse"/>
    <s v="acidic dipeptidase"/>
    <s v="acidic dipeptidase"/>
  </r>
  <r>
    <x v="1"/>
    <x v="9"/>
    <s v="OG0003696"/>
    <s v="Ofaveolata028470"/>
    <s v="Ssiderea042651"/>
    <n v="2.6197863199999998"/>
    <n v="1.67382294"/>
    <s v="Direct"/>
    <s v="dimethylglycine dehydrogenase activity"/>
    <s v="dimethylglycine dehydrogenase activity"/>
  </r>
  <r>
    <x v="1"/>
    <x v="9"/>
    <s v="OG0003732"/>
    <s v="Ofaveolata016839"/>
    <s v="Ssiderea054560"/>
    <n v="-2.9359487999999998"/>
    <n v="-2.0866794999999998"/>
    <s v="Direct"/>
    <s v="non-membrane spanning protein tyrosine phosphatase activity"/>
    <s v="non-membrane spanning protein tyrosine phosphatase activity"/>
  </r>
  <r>
    <x v="1"/>
    <x v="9"/>
    <s v="OG0003761"/>
    <s v="Ofaveolata030593"/>
    <s v="Ssiderea034011"/>
    <n v="1.0051100799999999"/>
    <n v="1.8502858"/>
    <s v="Direct"/>
    <s v="NA"/>
    <s v="Pleckstrin homology domain."/>
  </r>
  <r>
    <x v="1"/>
    <x v="9"/>
    <s v="OG0003785"/>
    <s v="Ofaveolata034275"/>
    <s v="Ssiderea052852"/>
    <n v="2.3192574800000001"/>
    <n v="-3.2266682000000002"/>
    <s v="Inverse"/>
    <s v="rRNA (pseudouridine) methyltransferase activity"/>
    <s v="rRNA (pseudouridine) methyltransferase activity"/>
  </r>
  <r>
    <x v="1"/>
    <x v="9"/>
    <s v="OG0003815"/>
    <s v="Ofaveolata028767"/>
    <s v="Ssiderea027809"/>
    <n v="-8.1753595000000008"/>
    <n v="-10.264139999999999"/>
    <s v="Direct"/>
    <s v="PPIases accelerate the folding of proteins. It catalyzes the cis-trans isomerization of proline imidic peptide bonds in oligopeptides"/>
    <s v="PPIases accelerate the folding of proteins. It catalyzes the cis-trans isomerization of proline imidic peptide bonds in oligopeptides"/>
  </r>
  <r>
    <x v="1"/>
    <x v="9"/>
    <s v="OG0003926"/>
    <s v="Ofaveolata020989"/>
    <s v="Ssiderea012318"/>
    <n v="-2.6753610000000001"/>
    <n v="-2.0671259000000002"/>
    <s v="Direct"/>
    <s v="positive regulation of DNA N-glycosylase activity"/>
    <s v="positive regulation of DNA N-glycosylase activity"/>
  </r>
  <r>
    <x v="1"/>
    <x v="9"/>
    <s v="OG0003938"/>
    <s v="Ofaveolata034028"/>
    <s v="Ssiderea031960"/>
    <n v="3.1514753899999999"/>
    <n v="9.7820974799999991"/>
    <s v="Direct"/>
    <s v="protein kinase activity"/>
    <s v="myosin light chain kinase activity"/>
  </r>
  <r>
    <x v="1"/>
    <x v="9"/>
    <s v="OG0003951"/>
    <s v="Ofaveolata017695"/>
    <s v="Ssiderea046918"/>
    <n v="-2.6710311999999998"/>
    <n v="-2.8063221"/>
    <s v="Direct"/>
    <s v="positive regulation of TOR signaling"/>
    <s v="positive regulation of TOR signaling"/>
  </r>
  <r>
    <x v="1"/>
    <x v="9"/>
    <s v="OG0004037"/>
    <s v="Ofaveolata028325"/>
    <s v="Ssiderea042495"/>
    <n v="-1.4340109999999999"/>
    <n v="-1.6586167999999999"/>
    <s v="Direct"/>
    <s v="ubiquitin-like protein-specific protease activity"/>
    <s v="ubiquitin-like protein-specific protease activity"/>
  </r>
  <r>
    <x v="1"/>
    <x v="9"/>
    <s v="OG0004075"/>
    <s v="Ofaveolata010918"/>
    <s v="Ssiderea019927"/>
    <n v="-5.1379805000000003"/>
    <n v="-5.6480458000000002"/>
    <s v="Direct"/>
    <s v="L-gulonolactone oxidase-like"/>
    <s v="L-gulonolactone oxidase-like"/>
  </r>
  <r>
    <x v="1"/>
    <x v="9"/>
    <s v="OG0004083"/>
    <s v="Ofaveolata005246"/>
    <s v="Ssiderea010152"/>
    <n v="3.5468106800000001"/>
    <n v="4.69369105"/>
    <s v="Direct"/>
    <s v="PEST proteolytic signal containing nuclear protein"/>
    <s v="PEST proteolytic signal containing nuclear protein"/>
  </r>
  <r>
    <x v="1"/>
    <x v="9"/>
    <s v="OG0004139"/>
    <s v="Ofaveolata030646"/>
    <s v="Ssiderea054350"/>
    <n v="-1.3518889999999999"/>
    <n v="-1.9242699000000001"/>
    <s v="Direct"/>
    <s v="NA"/>
    <s v="Transferrin"/>
  </r>
  <r>
    <x v="1"/>
    <x v="9"/>
    <s v="OG0004142"/>
    <s v="Ofaveolata029271"/>
    <s v="Ssiderea033231"/>
    <n v="-1.918126"/>
    <n v="-4.1167144000000002"/>
    <s v="Direct"/>
    <s v="MAP kinase activity"/>
    <s v="MAP kinase activity"/>
  </r>
  <r>
    <x v="1"/>
    <x v="9"/>
    <s v="OG0004157"/>
    <s v="Ofaveolata013390"/>
    <s v="Ssiderea001211"/>
    <n v="-1.6696518"/>
    <n v="-1.3455037000000001"/>
    <s v="Direct"/>
    <s v="lens induction in camera-type eye"/>
    <s v="lens induction in camera-type eye"/>
  </r>
  <r>
    <x v="1"/>
    <x v="9"/>
    <s v="OG0004183"/>
    <s v="Ofaveolata029083"/>
    <s v="Ssiderea013771"/>
    <n v="-2.8013031000000002"/>
    <n v="-1.6508347000000001"/>
    <s v="Direct"/>
    <s v="calcium, potassium:sodium antiporter activity"/>
    <s v="calcium, potassium:sodium antiporter activity"/>
  </r>
  <r>
    <x v="1"/>
    <x v="9"/>
    <s v="OG0004187"/>
    <s v="Ofaveolata033217"/>
    <s v="Ssiderea026252"/>
    <n v="-1.0051101"/>
    <n v="-2.1756068000000002"/>
    <s v="Direct"/>
    <s v="riboflavin transmembrane transporter activity"/>
    <s v="riboflavin transmembrane transporter activity"/>
  </r>
  <r>
    <x v="1"/>
    <x v="9"/>
    <s v="OG0004276"/>
    <s v="Ofaveolata015184"/>
    <s v="Ssiderea051137"/>
    <n v="-2.5103412999999999"/>
    <n v="-5.1159730999999997"/>
    <s v="Direct"/>
    <s v="recombination hotspot binding"/>
    <s v="recombination hotspot binding"/>
  </r>
  <r>
    <x v="1"/>
    <x v="9"/>
    <s v="OG0004300"/>
    <s v="Ofaveolata001752"/>
    <s v="Ssiderea026962"/>
    <n v="-2.7852356"/>
    <n v="-13.243069999999999"/>
    <s v="Direct"/>
    <s v="adenosine kinase activity"/>
    <s v="adenosine kinase activity"/>
  </r>
  <r>
    <x v="1"/>
    <x v="9"/>
    <s v="OG0004304"/>
    <s v="Ofaveolata012903"/>
    <s v="Ssiderea001525"/>
    <n v="1.00850102"/>
    <n v="2.38144271"/>
    <s v="Direct"/>
    <s v="actin filament polymerization"/>
    <s v="actin filament polymerization"/>
  </r>
  <r>
    <x v="1"/>
    <x v="9"/>
    <s v="OG0004341"/>
    <s v="Ofaveolata013097"/>
    <s v="Ssiderea001380"/>
    <n v="-3.0932018000000001"/>
    <n v="-2.1890206000000001"/>
    <s v="Direct"/>
    <s v="Activating molecule in BECN1-regulated autophagy protein"/>
    <s v="Activating molecule in BECN1-regulated autophagy protein"/>
  </r>
  <r>
    <x v="1"/>
    <x v="9"/>
    <s v="OG0004388"/>
    <s v="Ofaveolata010126"/>
    <s v="Ssiderea049489"/>
    <n v="6.1348121799999999"/>
    <n v="3.6943607900000002"/>
    <s v="Direct"/>
    <s v="enhancer sequence-specific DNA binding"/>
    <s v="enhancer sequence-specific DNA binding"/>
  </r>
  <r>
    <x v="1"/>
    <x v="9"/>
    <s v="OG0004437"/>
    <s v="Ofaveolata024852"/>
    <s v="Ssiderea020916"/>
    <n v="6.4285548300000004"/>
    <n v="4.8547546800000001"/>
    <s v="Direct"/>
    <s v="abducens nerve formation"/>
    <s v="abducens nerve formation"/>
  </r>
  <r>
    <x v="1"/>
    <x v="9"/>
    <s v="OG0004469"/>
    <s v="Ofaveolata020047"/>
    <s v="Ssiderea056512"/>
    <n v="-2.4936718"/>
    <n v="-2.3439638"/>
    <s v="Direct"/>
    <s v="Nucleoporin"/>
    <s v="Nucleoporin"/>
  </r>
  <r>
    <x v="1"/>
    <x v="9"/>
    <s v="OG0004489"/>
    <s v="Ofaveolata011442"/>
    <s v="Ssiderea019354"/>
    <n v="2.6836485200000002"/>
    <n v="3.5022227400000001"/>
    <s v="Direct"/>
    <s v="protein phosphatase inhibitor activity"/>
    <s v="protein phosphatase inhibitor activity"/>
  </r>
  <r>
    <x v="1"/>
    <x v="9"/>
    <s v="OG0004522"/>
    <s v="Ofaveolata032820"/>
    <s v="Ssiderea053812"/>
    <n v="-3.5140226999999999"/>
    <n v="-5.1942542999999999"/>
    <s v="Direct"/>
    <s v="NA"/>
    <s v="ubiquitin binding"/>
  </r>
  <r>
    <x v="1"/>
    <x v="9"/>
    <s v="OG0004533"/>
    <s v="Ofaveolata011208"/>
    <s v="Ssiderea051581"/>
    <n v="1.2411387199999999"/>
    <n v="1.30930137"/>
    <s v="Direct"/>
    <s v="N-acetyl-beta-glucosaminyl-glycoprotein 4-beta-N-acetylgalactosaminyltransferase activity"/>
    <s v="Transfers N-acetylgalactosamine (GalNAc) from UDP-GalNAc to N-acetylglucosamine-beta-benzyl with a beta-1,4-linkage to form N,N'-diacetyllactosediamine, GalNAc-beta-1,4-GlcNAc structures in N-linked glycans and probably O-linked glycans"/>
  </r>
  <r>
    <x v="1"/>
    <x v="9"/>
    <s v="OG0004546"/>
    <s v="Ofaveolata028893"/>
    <s v="Ssiderea014319"/>
    <n v="1.60896218"/>
    <n v="1.0243781199999999"/>
    <s v="Direct"/>
    <s v="NA"/>
    <s v="Hemicentin 1"/>
  </r>
  <r>
    <x v="1"/>
    <x v="9"/>
    <s v="OG0004565"/>
    <s v="Ofaveolata002833"/>
    <s v="Ssiderea013425"/>
    <n v="2.8623474400000002"/>
    <n v="3.7331735400000001"/>
    <s v="Direct"/>
    <s v="Sulfide quinone"/>
    <s v="Sulfide quinone"/>
  </r>
  <r>
    <x v="1"/>
    <x v="9"/>
    <s v="OG0004597"/>
    <s v="Ofaveolata026149"/>
    <s v="Ssiderea054963"/>
    <n v="-1.7162649999999999"/>
    <n v="-1.1101179000000001"/>
    <s v="Direct"/>
    <s v="Cleavage and polyadenylation"/>
    <s v="regulation of mRNA cleavage"/>
  </r>
  <r>
    <x v="1"/>
    <x v="9"/>
    <s v="OG0004650"/>
    <s v="Ofaveolata034244"/>
    <s v="Ssiderea053590"/>
    <n v="-9.9973877000000009"/>
    <n v="-13.552839000000001"/>
    <s v="Direct"/>
    <s v="ATPase activity, coupled to transmembrane movement of substances"/>
    <s v="ATPase activity, coupled to transmembrane movement of substances"/>
  </r>
  <r>
    <x v="1"/>
    <x v="9"/>
    <s v="OG0004661"/>
    <s v="Ofaveolata019723"/>
    <s v="Ssiderea011990"/>
    <n v="-7.0600246999999996"/>
    <n v="-2.4677874000000002"/>
    <s v="Direct"/>
    <s v="ATP-dependent chromatin remodeling"/>
    <s v="ATP-dependent chromatin remodeling"/>
  </r>
  <r>
    <x v="1"/>
    <x v="9"/>
    <s v="OG0004694"/>
    <s v="Ofaveolata014777"/>
    <s v="Ssiderea004702"/>
    <n v="2.15887648"/>
    <n v="1.7235596900000001"/>
    <s v="Direct"/>
    <s v="intracellular chloride channel activity"/>
    <s v="intracellular chloride channel activity"/>
  </r>
  <r>
    <x v="1"/>
    <x v="9"/>
    <s v="OG0004710"/>
    <s v="Ofaveolata015394"/>
    <s v="Ssiderea038280"/>
    <n v="1.9584574800000001"/>
    <n v="3.3554442099999999"/>
    <s v="Direct"/>
    <s v="cyclin-dependent protein serine/threonine kinase activity"/>
    <s v="cyclin-dependent protein serine/threonine kinase activity"/>
  </r>
  <r>
    <x v="1"/>
    <x v="9"/>
    <s v="OG0004721"/>
    <s v="Ofaveolata002455"/>
    <s v="Ssiderea024974"/>
    <n v="2.7685712499999999"/>
    <n v="1.78292155"/>
    <s v="Direct"/>
    <s v="cytoskeletal anchoring at plasma membrane"/>
    <s v="cytoskeletal anchoring at plasma membrane"/>
  </r>
  <r>
    <x v="1"/>
    <x v="9"/>
    <s v="OG0004777"/>
    <s v="Ofaveolata028780"/>
    <s v="Ssiderea014556"/>
    <n v="-5.5793366000000004"/>
    <n v="-2.4189177000000002"/>
    <s v="Direct"/>
    <s v="skeletal muscle satellite cell commitment"/>
    <s v="Paired box 3"/>
  </r>
  <r>
    <x v="1"/>
    <x v="9"/>
    <s v="OG0004802"/>
    <s v="Ofaveolata022676"/>
    <s v="Ssiderea015237"/>
    <n v="-3.7912124999999999"/>
    <n v="-1.3955498"/>
    <s v="Direct"/>
    <s v="Phosphoenolpyruvate phosphomutase"/>
    <s v="Phosphoenolpyruvate phosphomutase"/>
  </r>
  <r>
    <x v="1"/>
    <x v="9"/>
    <s v="OG0004806"/>
    <s v="Ofaveolata023145"/>
    <s v="Ssiderea014674"/>
    <n v="-1.9865330000000001"/>
    <n v="-1.1020175999999999"/>
    <s v="Direct"/>
    <s v="Fragile histidine triad"/>
    <s v="Fragile histidine triad"/>
  </r>
  <r>
    <x v="1"/>
    <x v="9"/>
    <s v="OG0004922"/>
    <s v="Ofaveolata010215"/>
    <s v="Ssiderea045336"/>
    <n v="-9.8755729999999993"/>
    <n v="-1.124457"/>
    <s v="Direct"/>
    <s v="BIR domain binding"/>
    <s v="BIR domain binding"/>
  </r>
  <r>
    <x v="1"/>
    <x v="9"/>
    <s v="OG0004934"/>
    <s v="Ofaveolata026942"/>
    <s v="Ssiderea017976"/>
    <n v="2.0750095800000001"/>
    <n v="-2.6044432"/>
    <s v="Inverse"/>
    <s v="Phosphatidic acid phosphatase type 2B"/>
    <s v="Phosphatidic acid phosphatase type 2B"/>
  </r>
  <r>
    <x v="1"/>
    <x v="9"/>
    <s v="OG0004937"/>
    <s v="Ofaveolata022467"/>
    <s v="Ssiderea015156"/>
    <n v="-1.8396412"/>
    <n v="-1.9031777000000001"/>
    <s v="Direct"/>
    <s v="protein serine/threonine phosphatase activity"/>
    <s v="protein serine/threonine phosphatase activity"/>
  </r>
  <r>
    <x v="1"/>
    <x v="9"/>
    <s v="OG0004958"/>
    <s v="Ofaveolata020988"/>
    <s v="Ssiderea012319"/>
    <n v="-2.6021502000000001"/>
    <n v="1.7543920799999999"/>
    <s v="Inverse"/>
    <s v="PUB domain"/>
    <s v="PUB domain"/>
  </r>
  <r>
    <x v="1"/>
    <x v="9"/>
    <s v="OG0004978"/>
    <s v="Ofaveolata014006"/>
    <s v="Ssiderea043935"/>
    <n v="8.5616012599999998"/>
    <n v="4.5156356400000002"/>
    <s v="Direct"/>
    <s v="Histone H1-delta-like"/>
    <s v="Histone H1-delta-like"/>
  </r>
  <r>
    <x v="1"/>
    <x v="9"/>
    <s v="OG0004995"/>
    <s v="Ofaveolata032658"/>
    <s v="Ssiderea052004"/>
    <n v="-4.4174265999999998"/>
    <n v="-1.8597243000000001"/>
    <s v="Direct"/>
    <s v="26s proteasome non-ATPase regulatory subunit"/>
    <s v="26s proteasome non-ATPase regulatory subunit"/>
  </r>
  <r>
    <x v="1"/>
    <x v="9"/>
    <s v="OG0005018"/>
    <s v="Ofaveolata004770"/>
    <s v="Ssiderea010957"/>
    <n v="-1.0702691"/>
    <n v="-1.606101"/>
    <s v="Direct"/>
    <s v="ribosomal protein"/>
    <s v="ribosomal protein"/>
  </r>
  <r>
    <x v="1"/>
    <x v="9"/>
    <s v="OG0005030"/>
    <s v="Ofaveolata017502"/>
    <s v="Ssiderea046730"/>
    <n v="-2.5875759"/>
    <n v="-2.1407137999999999"/>
    <s v="Direct"/>
    <s v="O-acyltransferase"/>
    <s v="O-acyltransferase"/>
  </r>
  <r>
    <x v="1"/>
    <x v="9"/>
    <s v="OG0005039"/>
    <s v="Ofaveolata015148"/>
    <s v="Ssiderea051151"/>
    <n v="3.1433656299999999"/>
    <n v="3.8914950199999998"/>
    <s v="Direct"/>
    <s v="NA"/>
    <s v="calcium ion-regulated exocytosis of neurotransmitter"/>
  </r>
  <r>
    <x v="1"/>
    <x v="9"/>
    <s v="OG0005066"/>
    <s v="Ofaveolata012949"/>
    <s v="Ssiderea001679"/>
    <n v="-1.2146520000000001"/>
    <n v="-1.1583878000000001"/>
    <s v="Direct"/>
    <s v="G patch domain-containing protein 4"/>
    <s v="glycine rich nucleic binding domain"/>
  </r>
  <r>
    <x v="1"/>
    <x v="9"/>
    <s v="OG0005139"/>
    <s v="Ofaveolata004470"/>
    <s v="Ssiderea053264"/>
    <n v="-21.638473000000001"/>
    <n v="-1.6178195"/>
    <s v="Direct"/>
    <s v="GXGXG motif"/>
    <s v="glutamate synthase (NADH) activity. It is involved in the biological process described with oxidation-reduction process"/>
  </r>
  <r>
    <x v="1"/>
    <x v="9"/>
    <s v="OG0005264"/>
    <s v="Ofaveolata029747"/>
    <s v="Ssiderea023767"/>
    <n v="-3.5691198000000002"/>
    <n v="-2.6043816"/>
    <s v="Direct"/>
    <s v="HD domain"/>
    <s v="HD domain"/>
  </r>
  <r>
    <x v="1"/>
    <x v="9"/>
    <s v="OG0005305"/>
    <s v="Ofaveolata015426"/>
    <s v="Ssiderea059108"/>
    <n v="-1.6229217"/>
    <n v="-1.2042120999999999"/>
    <s v="Direct"/>
    <s v="Belongs to the D-isomer specific 2-hydroxyacid dehydrogenase family"/>
    <s v="Belongs to the D-isomer specific 2-hydroxyacid dehydrogenase family"/>
  </r>
  <r>
    <x v="1"/>
    <x v="9"/>
    <s v="OG0005313"/>
    <s v="Ofaveolata002691"/>
    <s v="Ssiderea013128"/>
    <n v="-1.6582262000000001"/>
    <n v="-2.7954279999999998"/>
    <s v="Direct"/>
    <s v="threonine-type endopeptidase activity"/>
    <s v="threonine-type endopeptidase activity"/>
  </r>
  <r>
    <x v="1"/>
    <x v="9"/>
    <s v="OG0005407"/>
    <s v="Ofaveolata014376"/>
    <s v="Ssiderea004853"/>
    <n v="-3.9231310000000001"/>
    <n v="-6.1368935000000002"/>
    <s v="Direct"/>
    <s v="glycine biosynthetic process from serine"/>
    <s v="glycine biosynthetic process from serine"/>
  </r>
  <r>
    <x v="1"/>
    <x v="9"/>
    <s v="OG0005424"/>
    <s v="Ofaveolata008015"/>
    <s v="Ssiderea009517"/>
    <n v="-3.8229120000000001"/>
    <n v="-1.5336521999999999"/>
    <s v="Direct"/>
    <s v="regulation of T cell differentiation in thymus"/>
    <s v="regulation of T cell differentiation in thymus"/>
  </r>
  <r>
    <x v="1"/>
    <x v="9"/>
    <s v="OG0005451"/>
    <s v="Ofaveolata013725"/>
    <s v="Ssiderea049211"/>
    <n v="-1.0969628"/>
    <n v="-1.2474517000000001"/>
    <s v="Direct"/>
    <s v="Involved in intracellular signal transduction mediated by cytokines and growth factors. When associated with STAM, it suppresses DNA signaling upon stimulation by IL-2 and GM-CSF. Could be a direct effector of PI3-kinase in vesicular pathway via early end"/>
    <s v="Involved in intracellular signal transduction mediated by cytokines and growth factors. When associated with STAM, it suppresses DNA signaling upon stimulation by IL-2 and GM-CSF. Could be a direct effector of PI3-kinase in vesicular pathway via early end"/>
  </r>
  <r>
    <x v="1"/>
    <x v="9"/>
    <s v="OG0005469"/>
    <s v="Ofaveolata024493"/>
    <s v="Ssiderea005742"/>
    <n v="-3.4785808"/>
    <n v="-2.2341418000000002"/>
    <s v="Direct"/>
    <s v="intracellular distribution of mitochondria"/>
    <s v="intracellular distribution of mitochondria"/>
  </r>
  <r>
    <x v="1"/>
    <x v="9"/>
    <s v="OG0005474"/>
    <s v="Ofaveolata001563"/>
    <s v="Ssiderea026808"/>
    <n v="-6.9089273999999996"/>
    <n v="-1.1249647"/>
    <s v="Direct"/>
    <s v="Belongs to the carnitine choline acetyltransferase family"/>
    <s v="Carnitine O-palmitoyltransferase 1, liver isoform"/>
  </r>
  <r>
    <x v="1"/>
    <x v="9"/>
    <s v="OG0005521"/>
    <s v="Ofaveolata021922"/>
    <s v="Ssiderea023552"/>
    <n v="2.5253434000000001"/>
    <n v="3.22765038"/>
    <s v="Direct"/>
    <s v="Suppression of tumorigenicity 13 (colon carcinoma) (Hsp70 interacting protein)"/>
    <s v="suppression of tumorigenicity 13 (colon carcinoma) (Hsp70 interacting protein)"/>
  </r>
  <r>
    <x v="1"/>
    <x v="9"/>
    <s v="OG0005544"/>
    <s v="Ofaveolata032923"/>
    <s v="Ssiderea026461"/>
    <n v="-2.0346104999999999"/>
    <n v="-2.0656661999999999"/>
    <s v="Direct"/>
    <s v="homolog subfamily C member 7"/>
    <s v="homolog subfamily C member 7"/>
  </r>
  <r>
    <x v="1"/>
    <x v="9"/>
    <s v="OG0005579"/>
    <s v="Ofaveolata029931"/>
    <s v="Ssiderea024198"/>
    <n v="1.0737585300000001"/>
    <n v="-3.7263543000000001"/>
    <s v="Inverse"/>
    <s v="metal ion binding"/>
    <s v="metal ion binding"/>
  </r>
  <r>
    <x v="1"/>
    <x v="9"/>
    <s v="OG0005651"/>
    <s v="Ofaveolata000415"/>
    <s v="Ssiderea029696"/>
    <n v="4.9531387999999996"/>
    <n v="2.4671289199999999"/>
    <s v="Direct"/>
    <s v="Protein canopy homolog 4"/>
    <s v="positive regulation of protein localization to plasma membrane"/>
  </r>
  <r>
    <x v="1"/>
    <x v="9"/>
    <s v="OG0005683"/>
    <s v="Ofaveolata032311"/>
    <s v="Ssiderea007028"/>
    <n v="-3.3890060000000002"/>
    <n v="-1.0329225"/>
    <s v="Direct"/>
    <s v="regulation of actin phosphorylation"/>
    <s v="regulation of actin phosphorylation"/>
  </r>
  <r>
    <x v="1"/>
    <x v="9"/>
    <s v="OG0005698"/>
    <s v="Ofaveolata013555"/>
    <s v="Ssiderea000112"/>
    <n v="-1.9011544"/>
    <n v="-4.1824303"/>
    <s v="Direct"/>
    <s v="FMN transmembrane transporter activity"/>
    <s v="FMN transmembrane transporter activity"/>
  </r>
  <r>
    <x v="1"/>
    <x v="9"/>
    <s v="OG0005716"/>
    <s v="Ofaveolata003304"/>
    <s v="Ssiderea046375"/>
    <n v="2.2766642300000002"/>
    <n v="4.8389048299999997"/>
    <s v="Direct"/>
    <s v="EF-hand domain family, member"/>
    <s v="EF-hand domain family, member"/>
  </r>
  <r>
    <x v="1"/>
    <x v="9"/>
    <s v="OG0005731"/>
    <s v="Ofaveolata026274"/>
    <s v="Ssiderea039599"/>
    <n v="-1.0738097"/>
    <n v="-2.9805492"/>
    <s v="Direct"/>
    <s v="nuclear protein 1"/>
    <s v="nuclear protein 1"/>
  </r>
  <r>
    <x v="1"/>
    <x v="9"/>
    <s v="OG0005801"/>
    <s v="Ofaveolata004450"/>
    <s v="Ssiderea053050"/>
    <n v="-1.6798005"/>
    <n v="-1.7076127000000001"/>
    <s v="Direct"/>
    <s v="RNA splicing"/>
    <s v="RNA splicing"/>
  </r>
  <r>
    <x v="1"/>
    <x v="9"/>
    <s v="OG0005900"/>
    <s v="Ofaveolata023634"/>
    <s v="Ssiderea050025"/>
    <n v="1.86254732"/>
    <n v="-3.0717778999999998"/>
    <s v="Inverse"/>
    <s v="nonsense mediated mRNA decay factor"/>
    <s v="SMG6 nonsense mediated mRNA decay factor"/>
  </r>
  <r>
    <x v="1"/>
    <x v="9"/>
    <s v="OG0005967"/>
    <s v="Ofaveolata031441"/>
    <s v="Ssiderea048793"/>
    <n v="-6.7089473000000002"/>
    <n v="-1.5450284000000001"/>
    <s v="Direct"/>
    <s v="Solute carrier family 35"/>
    <s v="Solute carrier family 35"/>
  </r>
  <r>
    <x v="1"/>
    <x v="9"/>
    <s v="OG0005974"/>
    <s v="Ofaveolata027445"/>
    <s v="Ssiderea035532"/>
    <n v="-2.8539734000000001"/>
    <n v="3.3168943299999998"/>
    <s v="Inverse"/>
    <s v="glutamine biosynthetic process"/>
    <s v="glutamine biosynthetic process"/>
  </r>
  <r>
    <x v="1"/>
    <x v="9"/>
    <s v="OG0006010"/>
    <s v="Ofaveolata030528"/>
    <s v="Ssiderea037729"/>
    <n v="-3.5116143000000002"/>
    <n v="1.54358704"/>
    <s v="Inverse"/>
    <s v="quinone binding"/>
    <s v="quinone binding"/>
  </r>
  <r>
    <x v="1"/>
    <x v="9"/>
    <s v="OG0006020"/>
    <s v="Ofaveolata030278"/>
    <s v="Ssiderea027537"/>
    <n v="-6.3962653999999999"/>
    <n v="-3.2266682000000002"/>
    <s v="Direct"/>
    <s v="Catalyzes conversion of folates to polyglutamate derivatives allowing concentration of folate compounds in the cell and the intracellular retention of these cofactors, which are important substrates for most of the folate-dependent enzymes that are involv"/>
    <s v="Catalyzes conversion of folates to polyglutamate derivatives allowing concentration of folate compounds in the cell and the intracellular retention of these cofactors, which are important substrates for most of the folate-dependent enzymes that are involv"/>
  </r>
  <r>
    <x v="1"/>
    <x v="9"/>
    <s v="OG0006039"/>
    <s v="Ofaveolata013634"/>
    <s v="Ssiderea000138"/>
    <n v="2.2134284800000001"/>
    <n v="3.46341908"/>
    <s v="Direct"/>
    <s v="Luc7-like protein 3"/>
    <s v="Luc7-like protein 3"/>
  </r>
  <r>
    <x v="1"/>
    <x v="9"/>
    <s v="OG0006049"/>
    <s v="Ofaveolata026524"/>
    <s v="Ssiderea021669"/>
    <n v="1.74772065"/>
    <n v="2.8233503799999999"/>
    <s v="Direct"/>
    <s v="N-acetyl-beta-glucosaminyl-glycoprotein 4-beta-N-acetylgalactosaminyltransferase activity"/>
    <s v="N-acetyl-beta-glucosaminyl-glycoprotein 4-beta-N-acetylgalactosaminyltransferase activity"/>
  </r>
  <r>
    <x v="1"/>
    <x v="9"/>
    <s v="OG0006063"/>
    <s v="Ofaveolata030283"/>
    <s v="Ssiderea027541"/>
    <n v="-2.6904010999999999"/>
    <n v="-22.301555"/>
    <s v="Direct"/>
    <s v="negative regulation of glucocorticoid receptor signaling pathway"/>
    <s v="negative regulation of glucocorticoid receptor signaling pathway"/>
  </r>
  <r>
    <x v="1"/>
    <x v="9"/>
    <s v="OG0006103"/>
    <s v="Ofaveolata024578"/>
    <s v="Ssiderea005928"/>
    <n v="1.9158952600000001"/>
    <n v="2.3059641399999999"/>
    <s v="Direct"/>
    <s v="lethal(3)malignant brain tumor-like protein"/>
    <s v="lethal(3)malignant brain tumor-like protein"/>
  </r>
  <r>
    <x v="1"/>
    <x v="9"/>
    <s v="OG0006179"/>
    <s v="Ofaveolata005586"/>
    <s v="Ssiderea016156"/>
    <n v="-2.4384527"/>
    <n v="-1.2532114000000001"/>
    <s v="Direct"/>
    <s v="Belongs to the eukaryotic ribosomal protein eS4 family"/>
    <s v="Belongs to the eukaryotic ribosomal protein eS4 family"/>
  </r>
  <r>
    <x v="1"/>
    <x v="9"/>
    <s v="OG0006183"/>
    <s v="Ofaveolata000928"/>
    <s v="Ssiderea022501"/>
    <n v="-2.1584203"/>
    <n v="1.13309294"/>
    <s v="Inverse"/>
    <s v="BTB POZ domain-containing protein"/>
    <s v="BTB POZ domain-containing protein"/>
  </r>
  <r>
    <x v="1"/>
    <x v="9"/>
    <s v="OG0006214"/>
    <s v="Ofaveolata009031"/>
    <s v="Ssiderea055050"/>
    <n v="4.0059216500000003"/>
    <n v="5.9164154599999996"/>
    <s v="Direct"/>
    <s v="endoplasmic reticulum-plasma membrane tethering"/>
    <s v="endoplasmic reticulum-plasma membrane tethering"/>
  </r>
  <r>
    <x v="1"/>
    <x v="9"/>
    <s v="OG0006224"/>
    <s v="Ofaveolata024652"/>
    <s v="Ssiderea017214"/>
    <n v="-1.4292771"/>
    <n v="1.31352256"/>
    <s v="Inverse"/>
    <s v="iron-sulfur cluster assembly"/>
    <s v="iron-sulfur cluster assembly"/>
  </r>
  <r>
    <x v="1"/>
    <x v="9"/>
    <s v="OG0006254"/>
    <s v="Ofaveolata028859"/>
    <s v="Ssiderea014425"/>
    <n v="-3.3538934999999999"/>
    <n v="-2.5796176000000002"/>
    <s v="Direct"/>
    <s v="Non-lysosomal glucosylceramidase that catalyzes the conversion of glucosylceramide to free glucose and ceramide"/>
    <s v="Non-lysosomal glucosylceramidase that catalyzes the conversion of glucosylceramide to free glucose and ceramide"/>
  </r>
  <r>
    <x v="1"/>
    <x v="9"/>
    <s v="OG0006296"/>
    <s v="Ofaveolata003309"/>
    <s v="Ssiderea030049"/>
    <n v="-11.137223000000001"/>
    <n v="-23.040637"/>
    <s v="Direct"/>
    <s v="eukaryotic translation initiation factor"/>
    <s v="Initiation factor 5a"/>
  </r>
  <r>
    <x v="1"/>
    <x v="9"/>
    <s v="OG0006321"/>
    <s v="Ofaveolata010194"/>
    <s v="Ssiderea054850"/>
    <n v="-3.3984296000000001"/>
    <n v="10.794172"/>
    <s v="Inverse"/>
    <s v="Marginal zone B and"/>
    <s v="Marginal zone B and"/>
  </r>
  <r>
    <x v="1"/>
    <x v="9"/>
    <s v="OG0006383"/>
    <s v="Ofaveolata002236"/>
    <s v="Ssiderea012731"/>
    <n v="-1.1259809999999999"/>
    <n v="-1.7808453"/>
    <s v="Direct"/>
    <s v="26S proteasome non-ATPase regulatory subunit"/>
    <s v="26S proteasome non-ATPase regulatory subunit"/>
  </r>
  <r>
    <x v="1"/>
    <x v="9"/>
    <s v="OG0006384"/>
    <s v="Ofaveolata025979"/>
    <s v="Ssiderea038966"/>
    <n v="-7.1717915999999997"/>
    <n v="-6.5636517999999997"/>
    <s v="Direct"/>
    <s v="defense response to fungus"/>
    <s v="defense response to fungus"/>
  </r>
  <r>
    <x v="1"/>
    <x v="9"/>
    <s v="OG0006517"/>
    <s v="Ofaveolata026054"/>
    <s v="Ssiderea021787"/>
    <n v="1.3771374300000001"/>
    <n v="-1.4703738"/>
    <s v="Inverse"/>
    <s v="lysyl-tRNA synthetase"/>
    <s v="lysyl-tRNA synthetase"/>
  </r>
  <r>
    <x v="1"/>
    <x v="9"/>
    <s v="OG0006538"/>
    <s v="Ofaveolata007989"/>
    <s v="Ssiderea009472"/>
    <n v="-3.9434942999999998"/>
    <n v="-1.9954559000000001"/>
    <s v="Direct"/>
    <s v="subunit of the gamma-secretase complex, an endoprotease complex that catalyzes the intramembrane cleavage of integral membrane proteins such as Notch receptors"/>
    <s v="subunit of the gamma-secretase complex, an endoprotease complex that catalyzes the intramembrane cleavage of integral membrane proteins such as Notch receptors"/>
  </r>
  <r>
    <x v="1"/>
    <x v="9"/>
    <s v="OG0006543"/>
    <s v="Ofaveolata027959"/>
    <s v="Ssiderea042116"/>
    <n v="-1.6779363"/>
    <n v="-1.0103260000000001"/>
    <s v="Direct"/>
    <s v="DNA-directed RNA polymerase activity. It is involved in the biological process described with transcription, DNA-templated"/>
    <s v="DNA-directed RNA polymerases I, II, and III subunit"/>
  </r>
  <r>
    <x v="1"/>
    <x v="9"/>
    <s v="OG0006565"/>
    <s v="Ofaveolata028768"/>
    <s v="Ssiderea027808"/>
    <n v="-1.7466107"/>
    <n v="7.9938418599999999"/>
    <s v="Inverse"/>
    <s v="PPIases accelerate the folding of proteins. It catalyzes the cis-trans isomerization of proline imidic peptide bonds in oligopeptides"/>
    <s v="PPIases accelerate the folding of proteins. It catalyzes the cis-trans isomerization of proline imidic peptide bonds in oligopeptides"/>
  </r>
  <r>
    <x v="1"/>
    <x v="9"/>
    <s v="OG0006571"/>
    <s v="Ofaveolata025070"/>
    <s v="Ssiderea021418"/>
    <n v="-1.6679908999999999"/>
    <n v="-1.6522935000000001"/>
    <s v="Direct"/>
    <s v="positive regulation of NLRP3 inflammasome complex assembly"/>
    <s v="positive regulation of NLRP3 inflammasome complex assembly"/>
  </r>
  <r>
    <x v="1"/>
    <x v="9"/>
    <s v="OG0006629"/>
    <s v="Ofaveolata013088"/>
    <s v="Ssiderea001370"/>
    <n v="31.8750386"/>
    <n v="39.2362903"/>
    <s v="Direct"/>
    <s v="calcium ion binding"/>
    <s v="Calcium ion binding"/>
  </r>
  <r>
    <x v="1"/>
    <x v="9"/>
    <s v="OG0006690"/>
    <s v="Ofaveolata020752"/>
    <s v="Ssiderea011613"/>
    <n v="-2.3639554"/>
    <n v="-1.0075373999999999"/>
    <s v="Direct"/>
    <s v="Belongs to the class I-like SAM-binding methyltransferase superfamily. RsmB NOP family"/>
    <s v="Belongs to the class I-like SAM-binding methyltransferase superfamily. RsmB NOP family"/>
  </r>
  <r>
    <x v="1"/>
    <x v="9"/>
    <s v="OG0006704"/>
    <s v="Ofaveolata030093"/>
    <s v="Ssiderea054259"/>
    <n v="1.39242299"/>
    <n v="1.14089979"/>
    <s v="Direct"/>
    <s v="Pyruvate Dehydrogenase Phosphatase Regulatory subunit"/>
    <s v="Pyruvate Dehydrogenase Phosphatase Regulatory subunit"/>
  </r>
  <r>
    <x v="1"/>
    <x v="9"/>
    <s v="OG0006765"/>
    <s v="Ofaveolata032664"/>
    <s v="Ssiderea056251"/>
    <n v="-3.5084051000000001"/>
    <n v="-7.8165791999999996"/>
    <s v="Direct"/>
    <s v="N-succinyltransferase activity"/>
    <s v="N-succinyltransferase activity"/>
  </r>
  <r>
    <x v="1"/>
    <x v="9"/>
    <s v="OG0006916"/>
    <s v="Ofaveolata025102"/>
    <s v="Ssiderea021433"/>
    <n v="-3.9487409000000002"/>
    <n v="-6.1487857000000004"/>
    <s v="Direct"/>
    <s v="cellular response to nitroglycerin"/>
    <s v="cellular response to nitroglycerin"/>
  </r>
  <r>
    <x v="1"/>
    <x v="9"/>
    <s v="OG0006998"/>
    <s v="Ofaveolata002535"/>
    <s v="Ssiderea013109"/>
    <n v="-9.8743104000000006"/>
    <n v="-3.4327022999999999"/>
    <s v="Direct"/>
    <s v="BCCT, betaine/carnitine/choline family transporter"/>
    <s v="BCCT, betaine/carnitine/choline family transporter"/>
  </r>
  <r>
    <x v="1"/>
    <x v="9"/>
    <s v="OG0007013"/>
    <s v="Ofaveolata017525"/>
    <s v="Ssiderea018525"/>
    <n v="-2.4139550000000001"/>
    <n v="-3.8636417999999999"/>
    <s v="Direct"/>
    <s v="box H/ACA snoRNA 3'-end processing"/>
    <s v="box H/ACA snoRNA 3'-end processing"/>
  </r>
  <r>
    <x v="1"/>
    <x v="9"/>
    <s v="OG0007085"/>
    <s v="Ofaveolata011062"/>
    <s v="Ssiderea055660"/>
    <n v="-1.1210519999999999"/>
    <n v="-1.6924741000000001"/>
    <s v="Direct"/>
    <s v="acetyl-CoA C-acyltransferase activity"/>
    <s v="acetyl-CoA C-acyltransferase activity"/>
  </r>
  <r>
    <x v="1"/>
    <x v="9"/>
    <s v="OG0007099"/>
    <s v="Ofaveolata013955"/>
    <s v="Ssiderea043987"/>
    <n v="1.32569293"/>
    <n v="1.0937480500000001"/>
    <s v="Direct"/>
    <s v="SOCS box"/>
    <s v="SOCS box"/>
  </r>
  <r>
    <x v="1"/>
    <x v="9"/>
    <s v="OG0007104"/>
    <s v="Ofaveolata006325"/>
    <s v="Ssiderea048193"/>
    <n v="-7.1696667999999999"/>
    <n v="-1.1358528000000001"/>
    <s v="Direct"/>
    <s v="maltose alpha-glucosidase activity"/>
    <s v="maltose alpha-glucosidase activity"/>
  </r>
  <r>
    <x v="1"/>
    <x v="9"/>
    <s v="OG0007115"/>
    <s v="Ofaveolata026967"/>
    <s v="Ssiderea017954"/>
    <n v="3.1123965999999998"/>
    <n v="4.5696714099999998"/>
    <s v="Direct"/>
    <s v="metal ion binding"/>
    <s v="RNA splicing"/>
  </r>
  <r>
    <x v="1"/>
    <x v="9"/>
    <s v="OG0007204"/>
    <s v="Ofaveolata012672"/>
    <s v="Ssiderea000611"/>
    <n v="1.6944823099999999"/>
    <n v="3.70659765"/>
    <s v="Direct"/>
    <s v="V-myc avian myelocytomatosis viral oncogene neuroblastoma derived homolog"/>
    <s v="V-myc avian myelocytomatosis viral oncogene homolog"/>
  </r>
  <r>
    <x v="1"/>
    <x v="9"/>
    <s v="OG0007223"/>
    <s v="Ofaveolata024000"/>
    <s v="Ssiderea045939"/>
    <n v="-2.0862847000000002"/>
    <n v="-1.5168645999999999"/>
    <s v="Direct"/>
    <s v="retrograde transport, endosome to Golgi"/>
    <s v="retrograde transport, endosome to Golgi"/>
  </r>
  <r>
    <x v="1"/>
    <x v="9"/>
    <s v="OG0007240"/>
    <s v="Ofaveolata014500"/>
    <s v="Ssiderea004426"/>
    <n v="-2.038656"/>
    <n v="-2.2341418000000002"/>
    <s v="Direct"/>
    <s v="ribosomal protein L12"/>
    <s v="ribosomal protein L12"/>
  </r>
  <r>
    <x v="1"/>
    <x v="9"/>
    <s v="OG0007289"/>
    <s v="Ofaveolata021069"/>
    <s v="Ssiderea011779"/>
    <n v="-1.1370178"/>
    <n v="-1.9683101999999999"/>
    <s v="Direct"/>
    <s v="Lysosomal Pro-X"/>
    <s v="Lysosomal Pro-X"/>
  </r>
  <r>
    <x v="1"/>
    <x v="9"/>
    <s v="OG0007308"/>
    <s v="Ofaveolata029875"/>
    <s v="Ssiderea024105"/>
    <n v="1.1282560699999999"/>
    <n v="-3.1528879999999999"/>
    <s v="Inverse"/>
    <s v="spectrin binding"/>
    <s v="spectrin binding"/>
  </r>
  <r>
    <x v="1"/>
    <x v="9"/>
    <s v="OG0007322"/>
    <s v="Ofaveolata032657"/>
    <s v="Ssiderea052005"/>
    <n v="-1.6025841999999999"/>
    <n v="1.6079761299999999"/>
    <s v="Inverse"/>
    <s v="GTP-specific succinyl-CoA synthetase functions in the citric acid cycle (TCA), coupling the hydrolysis of succinyl-CoA to the synthesis of GTP and thus represents the only step of substrate-level phosphorylation in the TCA. The beta subunit provides nucle"/>
    <s v="GTP-specific succinyl-CoA synthetase functions in the citric acid cycle (TCA), coupling the hydrolysis of succinyl-CoA to the synthesis of GTP and thus represents the only step of substrate-level phosphorylation in the TCA. The beta subunit provides nucle"/>
  </r>
  <r>
    <x v="1"/>
    <x v="9"/>
    <s v="OG0007324"/>
    <s v="Ofaveolata005802"/>
    <s v="Ssiderea045582"/>
    <n v="-3.5736726999999999"/>
    <n v="-5.0273636000000002"/>
    <s v="Direct"/>
    <s v="N-glycan processing to lysosome"/>
    <s v="N-glycan processing to lysosome"/>
  </r>
  <r>
    <x v="1"/>
    <x v="9"/>
    <s v="OG0007327"/>
    <s v="Ofaveolata010456"/>
    <s v="Ssiderea019516"/>
    <n v="-7.1826040000000004"/>
    <n v="-1.0156875000000001"/>
    <s v="Direct"/>
    <s v="Belongs to the aldehyde dehydrogenase family"/>
    <s v="Belongs to the aldehyde dehydrogenase family"/>
  </r>
  <r>
    <x v="1"/>
    <x v="9"/>
    <s v="OG0007373"/>
    <s v="Ofaveolata028658"/>
    <s v="Ssiderea042844"/>
    <n v="1.0714411699999999"/>
    <n v="2.0372283000000002"/>
    <s v="Direct"/>
    <s v="negative regulation of smooth muscle cell differentiation"/>
    <s v="negative regulation of smooth muscle cell differentiation"/>
  </r>
  <r>
    <x v="1"/>
    <x v="9"/>
    <s v="OG0007376"/>
    <s v="Ofaveolata013659"/>
    <s v="Ssiderea000169"/>
    <n v="-2.3991804000000001"/>
    <n v="-2.0671259000000002"/>
    <s v="Direct"/>
    <s v="ribosomal large subunit assembly"/>
    <s v="ribosomal large subunit assembly"/>
  </r>
  <r>
    <x v="1"/>
    <x v="9"/>
    <s v="OG0007377"/>
    <s v="Ofaveolata018325"/>
    <s v="Ssiderea018648"/>
    <n v="-1.3411261000000001"/>
    <n v="-1.7603544"/>
    <s v="Direct"/>
    <s v="ribosomal small subunit assembly"/>
    <s v="ribosomal small subunit assembly"/>
  </r>
  <r>
    <x v="1"/>
    <x v="9"/>
    <s v="OG0007410"/>
    <s v="Ofaveolata024297"/>
    <s v="Ssiderea006317"/>
    <n v="-3.0387754"/>
    <n v="-1.4206671"/>
    <s v="Direct"/>
    <s v="stromal membrane-associated protein"/>
    <s v="stromal membrane-associated protein"/>
  </r>
  <r>
    <x v="1"/>
    <x v="9"/>
    <s v="OG0007445"/>
    <s v="Ofaveolata005254"/>
    <s v="Ssiderea015912"/>
    <n v="1.74110751"/>
    <n v="1.4018009899999999"/>
    <s v="Direct"/>
    <s v="ornithine carbamoyltransferase activity"/>
    <s v="ornithine carbamoyltransferase activity"/>
  </r>
  <r>
    <x v="1"/>
    <x v="9"/>
    <s v="OG0007509"/>
    <s v="Ofaveolata000882"/>
    <s v="Ssiderea022571"/>
    <n v="2.4620991999999999"/>
    <n v="1.45647343"/>
    <s v="Direct"/>
    <s v="cortical actin cytoskeleton organization"/>
    <s v="cortical actin cytoskeleton organization"/>
  </r>
  <r>
    <x v="1"/>
    <x v="9"/>
    <s v="OG0007519"/>
    <s v="Ofaveolata015705"/>
    <s v="Ssiderea054062"/>
    <n v="-1.3359593999999999"/>
    <n v="-1.7611379"/>
    <s v="Direct"/>
    <s v="this phosphorylation event is a prerequisite for the subsequent ligation of the two exon halves and the production of a mature tRNA. Component of the pre-mRNA cleavage complex II (CF-II), which seems to be required for mRNA 3'-end formation. Also phosphor"/>
    <s v="this phosphorylation event is a prerequisite for the subsequent ligation of the two exon halves and the production of a mature tRNA. Component of the pre-mRNA cleavage complex II (CF-II), which seems to be required for mRNA 3'-end formation. Also phosphor"/>
  </r>
  <r>
    <x v="1"/>
    <x v="9"/>
    <s v="OG0007546"/>
    <s v="Ofaveolata010169"/>
    <s v="Ssiderea055795"/>
    <n v="-1.5778368"/>
    <n v="2.5349406800000001"/>
    <s v="Inverse"/>
    <s v="dolichyl-phosphate-mannose-protein mannosyltransferase activity"/>
    <s v="dolichyl-phosphate-mannose-protein mannosyltransferase activity"/>
  </r>
  <r>
    <x v="1"/>
    <x v="9"/>
    <s v="OG0007582"/>
    <s v="Ofaveolata019911"/>
    <s v="Ssiderea052255"/>
    <n v="-3.2681086000000001"/>
    <n v="-2.6194747"/>
    <s v="Direct"/>
    <s v="RNA polymerase II sequence-specific DNA-binding transcription factor binding"/>
    <s v="RNA polymerase II sequence-specific DNA-binding transcription factor binding"/>
  </r>
  <r>
    <x v="1"/>
    <x v="9"/>
    <s v="OG0007627"/>
    <s v="Ofaveolata011375"/>
    <s v="Ssiderea019309"/>
    <n v="-4.2433977000000001"/>
    <n v="4.9887077599999996"/>
    <s v="Inverse"/>
    <s v="Universal stress protein family"/>
    <s v="Universal stress protein family"/>
  </r>
  <r>
    <x v="1"/>
    <x v="9"/>
    <s v="OG0007685"/>
    <s v="Ofaveolata016052"/>
    <s v="Ssiderea033514"/>
    <n v="-1.7143113999999999"/>
    <n v="-14.691401000000001"/>
    <s v="Direct"/>
    <s v="Sodium-dependent phosphate transport protein"/>
    <s v="Sodium-dependent phosphate transport protein"/>
  </r>
  <r>
    <x v="1"/>
    <x v="9"/>
    <s v="OG0007692"/>
    <s v="Ofaveolata012818"/>
    <s v="Ssiderea058311"/>
    <n v="-3.6851945000000002"/>
    <n v="-2.6758196999999999"/>
    <s v="Direct"/>
    <s v="hydrolase activity"/>
    <s v="hydrolase activity"/>
  </r>
  <r>
    <x v="1"/>
    <x v="9"/>
    <s v="OG0007705"/>
    <s v="Ofaveolata029293"/>
    <s v="Ssiderea033146"/>
    <n v="1.19815498"/>
    <n v="-1.6081941"/>
    <s v="Inverse"/>
    <s v="hematopoietic progenitor cell differentiation"/>
    <s v="hematopoietic progenitor cell differentiation"/>
  </r>
  <r>
    <x v="1"/>
    <x v="9"/>
    <s v="OG0007707"/>
    <s v="Ofaveolata008341"/>
    <s v="Ssiderea008900"/>
    <n v="-4.2775762999999998"/>
    <n v="-1.2842534999999999"/>
    <s v="Direct"/>
    <s v="Belongs to the universal ribosomal protein uL5 family"/>
    <s v="Belongs to the universal ribosomal protein uL5 family"/>
  </r>
  <r>
    <x v="1"/>
    <x v="9"/>
    <s v="OG0007712"/>
    <s v="Ofaveolata016273"/>
    <s v="Ssiderea052692"/>
    <n v="-4.7352473000000002"/>
    <n v="-7.4546884000000002"/>
    <s v="Direct"/>
    <s v="26s proteasome non-ATPase regulatory subunit"/>
    <s v="26s proteasome non-ATPase regulatory subunit"/>
  </r>
  <r>
    <x v="1"/>
    <x v="9"/>
    <s v="OG0007779"/>
    <s v="Ofaveolata017067"/>
    <s v="Ssiderea054485"/>
    <n v="-6.6025841999999999"/>
    <n v="-5.1151681"/>
    <s v="Direct"/>
    <s v="Solute carrier family 12"/>
    <s v="Solute carrier family 12"/>
  </r>
  <r>
    <x v="1"/>
    <x v="9"/>
    <s v="OG0007846"/>
    <s v="Ofaveolata029756"/>
    <s v="Ssiderea023873"/>
    <n v="-4.4935308000000003"/>
    <n v="-1.2200666"/>
    <s v="Direct"/>
    <s v="threonine-type endopeptidase activity"/>
    <s v="threonine-type endopeptidase activity"/>
  </r>
  <r>
    <x v="1"/>
    <x v="9"/>
    <s v="OG0007881"/>
    <s v="Ofaveolata007471"/>
    <s v="Ssiderea044458"/>
    <n v="2.4155219899999998"/>
    <n v="2.1262220200000002"/>
    <s v="Direct"/>
    <s v="structural constituent of eye lens"/>
    <s v="Belongs to the small heat shock protein (HSP20) family"/>
  </r>
  <r>
    <x v="1"/>
    <x v="9"/>
    <s v="OG0007907"/>
    <s v="Ofaveolata003303"/>
    <s v="Ssiderea046376"/>
    <n v="-3.2132179999999999"/>
    <n v="-3.9829482"/>
    <s v="Direct"/>
    <s v="prostaglandin-F synthase activity"/>
    <s v="prostaglandin-F synthase activity"/>
  </r>
  <r>
    <x v="1"/>
    <x v="9"/>
    <s v="OG0007984"/>
    <s v="Ofaveolata017146"/>
    <s v="Ssiderea039439"/>
    <n v="-2.1357433000000001"/>
    <n v="-1.1358528000000001"/>
    <s v="Direct"/>
    <s v="large ribosomal subunit rRNA binding"/>
    <s v="Ribosomal protein L14p/L23e"/>
  </r>
  <r>
    <x v="1"/>
    <x v="9"/>
    <s v="OG0008033"/>
    <s v="Ofaveolata017427"/>
    <s v="Ssiderea048475"/>
    <n v="-2.3042069999999999"/>
    <n v="-1.9930570000000001"/>
    <s v="Direct"/>
    <s v="Belongs to the AAA ATPase family"/>
    <s v="Belongs to the AAA ATPase family"/>
  </r>
  <r>
    <x v="1"/>
    <x v="9"/>
    <s v="OG0008049"/>
    <s v="Ofaveolata024407"/>
    <s v="Ssiderea006084"/>
    <n v="1.00010186"/>
    <n v="1.46516311"/>
    <s v="Direct"/>
    <s v="NA"/>
    <s v="Complement Clr-like EGF-like"/>
  </r>
  <r>
    <x v="1"/>
    <x v="9"/>
    <s v="OG0008078"/>
    <s v="Ofaveolata019944"/>
    <s v="Ssiderea052338"/>
    <n v="-1.1687145000000001"/>
    <n v="-1.0779998"/>
    <s v="Direct"/>
    <s v="WD repeat-containing protein 82"/>
    <s v="WD repeat-containing protein 82"/>
  </r>
  <r>
    <x v="1"/>
    <x v="9"/>
    <s v="OG0008115"/>
    <s v="Ofaveolata002016"/>
    <s v="Ssiderea013626"/>
    <n v="-2.1334032999999999"/>
    <n v="-4.2492073000000001"/>
    <s v="Direct"/>
    <s v="Hairy and enhancer of split-related protein helt"/>
    <s v="Hairy and enhancer of split-related protein helt"/>
  </r>
  <r>
    <x v="1"/>
    <x v="9"/>
    <s v="OG0008193"/>
    <s v="Ofaveolata008101"/>
    <s v="Ssiderea009632"/>
    <n v="-4.0575580999999996"/>
    <n v="-3.2482872999999999"/>
    <s v="Direct"/>
    <s v="threonine-type endopeptidase activity"/>
    <s v="threonine-type endopeptidase activity"/>
  </r>
  <r>
    <x v="1"/>
    <x v="9"/>
    <s v="OG0008209"/>
    <s v="Ofaveolata005715"/>
    <s v="Ssiderea045546"/>
    <n v="-2.1099154000000002"/>
    <n v="-6.4486552000000001"/>
    <s v="Direct"/>
    <s v="protein kinase activity"/>
    <s v="protein kinase activity"/>
  </r>
  <r>
    <x v="1"/>
    <x v="9"/>
    <s v="OG0008249"/>
    <s v="Ofaveolata029834"/>
    <s v="Ssiderea023984"/>
    <n v="1.1892381299999999"/>
    <n v="-1.2712151"/>
    <s v="Inverse"/>
    <s v="nicotinamide phosphoribosyltransferase activity"/>
    <s v="nicotinamide phosphoribosyltransferase activity"/>
  </r>
  <r>
    <x v="1"/>
    <x v="9"/>
    <s v="OG0008262"/>
    <s v="Ofaveolata019112"/>
    <s v="Ssiderea018985"/>
    <n v="-1.4781023"/>
    <n v="-3.3720178000000001"/>
    <s v="Direct"/>
    <s v="structural constituent of ribosome"/>
    <s v="structural constituent of ribosome"/>
  </r>
  <r>
    <x v="1"/>
    <x v="9"/>
    <s v="OG0008266"/>
    <s v="Ofaveolata008052"/>
    <s v="Ssiderea009585"/>
    <n v="2.6753609699999998"/>
    <n v="1.4195508699999999"/>
    <s v="Direct"/>
    <s v="pyruvate carboxylase activity"/>
    <s v="pyruvate carboxylase activity"/>
  </r>
  <r>
    <x v="1"/>
    <x v="9"/>
    <s v="OG0008312"/>
    <s v="Ofaveolata016454"/>
    <s v="Ssiderea036522"/>
    <n v="3.81185843"/>
    <n v="1.1249647199999999"/>
    <s v="Direct"/>
    <s v="protein ubiquitination"/>
    <s v="protein ubiquitination"/>
  </r>
  <r>
    <x v="1"/>
    <x v="9"/>
    <s v="OG0008315"/>
    <s v="Ofaveolata006518"/>
    <s v="Ssiderea028014"/>
    <n v="-3.7720853000000001"/>
    <n v="-1.2866173000000001"/>
    <s v="Direct"/>
    <s v="Belongs to the eukaryotic ribosomal protein eS30 family"/>
    <s v="Belongs to the eukaryotic ribosomal protein eS30 family"/>
  </r>
  <r>
    <x v="1"/>
    <x v="9"/>
    <s v="OG0008320"/>
    <s v="Ofaveolata031065"/>
    <s v="Ssiderea006599"/>
    <n v="1.0907027600000001"/>
    <n v="1.1109686999999999"/>
    <s v="Direct"/>
    <s v="supervillin"/>
    <s v="supervillin"/>
  </r>
  <r>
    <x v="1"/>
    <x v="9"/>
    <s v="OG0008329"/>
    <s v="Ofaveolata014852"/>
    <s v="Ssiderea004523"/>
    <n v="3.9679333300000001"/>
    <n v="1.2240441900000001"/>
    <s v="Direct"/>
    <s v="IPT/TIG domain"/>
    <s v="IPT/TIG domain"/>
  </r>
  <r>
    <x v="1"/>
    <x v="9"/>
    <s v="OG0008335"/>
    <s v="Ofaveolata027442"/>
    <s v="Ssiderea035529"/>
    <n v="-4.5334013999999998"/>
    <n v="-2.9449193"/>
    <s v="Direct"/>
    <s v="glutamine biosynthetic process"/>
    <s v="glutamine biosynthetic process"/>
  </r>
  <r>
    <x v="1"/>
    <x v="9"/>
    <s v="OG0008339"/>
    <s v="Ofaveolata016948"/>
    <s v="Ssiderea039355"/>
    <n v="-2.7939484999999999"/>
    <n v="-1.9683101999999999"/>
    <s v="Direct"/>
    <s v="60s ribosomal protein"/>
    <s v="60s ribosomal protein"/>
  </r>
  <r>
    <x v="1"/>
    <x v="9"/>
    <s v="OG0008350"/>
    <s v="Ofaveolata017291"/>
    <s v="Ssiderea046616"/>
    <n v="-6.8003114"/>
    <n v="-1.0733716"/>
    <s v="Direct"/>
    <s v="Acyl-CoA synthetase long-chain family member"/>
    <s v="Acyl-CoA synthetase long-chain family member"/>
  </r>
  <r>
    <x v="1"/>
    <x v="9"/>
    <s v="OG0008357"/>
    <s v="Ofaveolata030545"/>
    <s v="Ssiderea034082"/>
    <n v="-1.3681302"/>
    <n v="-2.1665516"/>
    <s v="Direct"/>
    <s v="RNA-binding component of the eukaryotic translation initiation factor 3 (eIF-3) complex, which is involved in protein synthesis of a specialized repertoire of mRNAs and, together with other initiation factors, stimulates binding of mRNA and methionyl-tRNA"/>
    <s v="RNA-binding component of the eukaryotic translation initiation factor 3 (eIF-3) complex, which is involved in protein synthesis of a specialized repertoire of mRNAs and, together with other initiation factors, stimulates binding of mRNA and methionyl-tRNA"/>
  </r>
  <r>
    <x v="1"/>
    <x v="9"/>
    <s v="OG0008373"/>
    <s v="Ofaveolata022583"/>
    <s v="Ssiderea015310"/>
    <n v="-11.046903"/>
    <n v="-1.6552191999999999"/>
    <s v="Direct"/>
    <s v="Isocitrate lyase family"/>
    <s v="Isocitrate lyase family"/>
  </r>
  <r>
    <x v="1"/>
    <x v="9"/>
    <s v="OG0008393"/>
    <s v="Ofaveolata026445"/>
    <s v="Ssiderea038602"/>
    <n v="1.2298669099999999"/>
    <n v="2.3274293799999999"/>
    <s v="Direct"/>
    <s v="Starch/carbohydrate-binding module (family 53)"/>
    <s v="Starch/carbohydrate-binding module (family 53)"/>
  </r>
  <r>
    <x v="1"/>
    <x v="9"/>
    <s v="OG0008404"/>
    <s v="Ofaveolata002477"/>
    <s v="Ssiderea025047"/>
    <n v="-4.9131106000000004"/>
    <n v="1.83495637"/>
    <s v="Inverse"/>
    <s v="Belongs to the peptidase S1 family"/>
    <s v="serine-type endopeptidase activity"/>
  </r>
  <r>
    <x v="1"/>
    <x v="9"/>
    <s v="OG0008444"/>
    <s v="Ofaveolata010907"/>
    <s v="Ssiderea019917"/>
    <n v="-4.813536"/>
    <n v="-1.1664201000000001"/>
    <s v="Direct"/>
    <s v="DOMON domain-containing protein"/>
    <s v="DOMON domain-containing protein"/>
  </r>
  <r>
    <x v="1"/>
    <x v="9"/>
    <s v="OG0008455"/>
    <s v="Ofaveolata005305"/>
    <s v="Ssiderea015846"/>
    <n v="-5.7048078000000002"/>
    <n v="-1.2178112999999999"/>
    <s v="Direct"/>
    <s v="zinc ion binding"/>
    <s v="zinc ion binding"/>
  </r>
  <r>
    <x v="1"/>
    <x v="9"/>
    <s v="OG0008484"/>
    <s v="Ofaveolata005692"/>
    <s v="Ssiderea057264"/>
    <n v="1.9666331800000001"/>
    <n v="4.0893666399999997"/>
    <s v="Direct"/>
    <s v="establishment of Sertoli cell barrier"/>
    <s v="establishment of Sertoli cell barrier"/>
  </r>
  <r>
    <x v="1"/>
    <x v="9"/>
    <s v="OG0008568"/>
    <s v="Ofaveolata006473"/>
    <s v="Ssiderea058361"/>
    <n v="-4.7530767000000003"/>
    <n v="-1.7148783999999999"/>
    <s v="Direct"/>
    <s v="spliceosomal snRNP assembly"/>
    <s v="spliceosomal snRNP assembly"/>
  </r>
  <r>
    <x v="1"/>
    <x v="9"/>
    <s v="OG0008683"/>
    <s v="Ofaveolata010814"/>
    <s v="Ssiderea019818"/>
    <n v="-1.8645148"/>
    <n v="-1.5983858"/>
    <s v="Direct"/>
    <s v="Glucose-induced degradation protein 8 homolog"/>
    <s v="Glucose-induced degradation protein 8 homolog"/>
  </r>
  <r>
    <x v="1"/>
    <x v="9"/>
    <s v="OG0008743"/>
    <s v="Ofaveolata019003"/>
    <s v="Ssiderea001880"/>
    <n v="-3.9353889999999998"/>
    <n v="-2.3651875000000002"/>
    <s v="Direct"/>
    <s v="proteasome-activating ATPase activity"/>
    <s v="proteasome-activating ATPase activity"/>
  </r>
  <r>
    <x v="1"/>
    <x v="9"/>
    <s v="OG0008754"/>
    <s v="Ofaveolata013087"/>
    <s v="Ssiderea001369"/>
    <n v="9.9425992599999997"/>
    <n v="5.8272161599999999"/>
    <s v="Direct"/>
    <s v="calcium ion binding"/>
    <s v="calcium ion binding"/>
  </r>
  <r>
    <x v="1"/>
    <x v="9"/>
    <s v="OG0008790"/>
    <s v="Ofaveolata033271"/>
    <s v="Ssiderea055287"/>
    <n v="-9.1903717"/>
    <n v="-1.5250212999999999"/>
    <s v="Direct"/>
    <s v="phosphatase 5"/>
    <s v="phosphatase 5"/>
  </r>
  <r>
    <x v="1"/>
    <x v="9"/>
    <s v="OG0008799"/>
    <s v="Ofaveolata026264"/>
    <s v="Ssiderea041915"/>
    <n v="-8.4940181999999993"/>
    <n v="-12.849026"/>
    <s v="Direct"/>
    <s v="Cys/Met metabolism PLP-dependent enzyme"/>
    <s v="Cys/Met metabolism PLP-dependent enzyme"/>
  </r>
  <r>
    <x v="1"/>
    <x v="9"/>
    <s v="OG0008870"/>
    <s v="Ofaveolata011260"/>
    <s v="Ssiderea051474"/>
    <n v="1.24942617"/>
    <n v="-1.2174061"/>
    <s v="Inverse"/>
    <s v="muscle alpha-actinin binding"/>
    <s v="muscle alpha-actinin binding"/>
  </r>
  <r>
    <x v="1"/>
    <x v="9"/>
    <s v="OG0008952"/>
    <s v="Ofaveolata022997"/>
    <s v="Ssiderea014838"/>
    <n v="1.62417072"/>
    <n v="14.6434598"/>
    <s v="Direct"/>
    <s v="regulation of endoplasmic reticulum stress-induced intrinsic apoptotic signaling pathway"/>
    <s v="regulation of endoplasmic reticulum stress-induced intrinsic apoptotic signaling pathway"/>
  </r>
  <r>
    <x v="1"/>
    <x v="9"/>
    <s v="OG0008964"/>
    <s v="Ofaveolata022861"/>
    <s v="Ssiderea015507"/>
    <n v="-2.1721336999999998"/>
    <n v="-2.4308817"/>
    <s v="Direct"/>
    <s v="ER-associated misfolded protein catabolic process"/>
    <s v="ER-associated misfolded protein catabolic process"/>
  </r>
  <r>
    <x v="1"/>
    <x v="9"/>
    <s v="OG0008980"/>
    <s v="Ofaveolata032487"/>
    <s v="Ssiderea034815"/>
    <n v="-3.2406207999999999"/>
    <n v="-3.7783514"/>
    <s v="Direct"/>
    <s v="acyl-CoA dehydrogenase family member 9"/>
    <s v="medium-chain-acyl-CoA dehydrogenase activity"/>
  </r>
  <r>
    <x v="1"/>
    <x v="9"/>
    <s v="OG0009207"/>
    <s v="Ofaveolata029937"/>
    <s v="Ssiderea024205"/>
    <n v="-3.4477077"/>
    <n v="-1.1155396"/>
    <s v="Direct"/>
    <s v="protein processing involved in protein targeting to mitochondrion"/>
    <s v="protein processing involved in protein targeting to mitochondrion"/>
  </r>
  <r>
    <x v="1"/>
    <x v="9"/>
    <s v="OG0009228"/>
    <s v="Ofaveolata004273"/>
    <s v="Ssiderea029061"/>
    <n v="-1.0946214000000001"/>
    <n v="-1.5795973000000001"/>
    <s v="Direct"/>
    <s v="ATPase activity"/>
    <s v="ATPase activity"/>
  </r>
  <r>
    <x v="1"/>
    <x v="9"/>
    <s v="OG0009244"/>
    <s v="Ofaveolata023828"/>
    <s v="Ssiderea041613"/>
    <n v="4.2987015900000003"/>
    <n v="2.0524462699999999"/>
    <s v="Direct"/>
    <s v="protein-disulfide reductase activity"/>
    <s v="Thioredoxin domain-containing protein 17"/>
  </r>
  <r>
    <x v="1"/>
    <x v="9"/>
    <s v="OG0009275"/>
    <s v="Ofaveolata002516"/>
    <s v="Ssiderea027135"/>
    <n v="-2.9149310000000002"/>
    <n v="-6.8506385999999999"/>
    <s v="Direct"/>
    <s v="Catalyzes the three sequential steps of the methylation pathway of phosphatidylcholine biosynthesis, the SAM-dependent methylation of phosphatidylethanolamine (PE) to phosphatidylmonomethylethanolamine (PMME), PMME to phosphatidyldimethylethanolamine (PDM"/>
    <s v="Catalyzes the three sequential steps of the methylation pathway of phosphatidylcholine biosynthesis, the SAM-dependent methylation of phosphatidylethanolamine (PE) to phosphatidylmonomethylethanolamine (PMME), PMME to phosphatidyldimethylethanolamine (PDM"/>
  </r>
  <r>
    <x v="1"/>
    <x v="9"/>
    <s v="OG0009282"/>
    <s v="Ofaveolata031084"/>
    <s v="Ssiderea048851"/>
    <n v="-2.6268767"/>
    <n v="1.1482667600000001"/>
    <s v="Inverse"/>
    <s v="Carboxypeptidase"/>
    <s v="Carboxypeptidase"/>
  </r>
  <r>
    <x v="1"/>
    <x v="9"/>
    <s v="OG0009286"/>
    <s v="Ofaveolata025786"/>
    <s v="Ssiderea038893"/>
    <n v="-5.7099938000000003"/>
    <n v="-2.2493254"/>
    <s v="Direct"/>
    <s v="S-adenosylhomocysteine catabolic process"/>
    <s v="S-adenosylhomocysteine catabolic process"/>
  </r>
  <r>
    <x v="1"/>
    <x v="9"/>
    <s v="OG0009332"/>
    <s v="Ofaveolata025856"/>
    <s v="Ssiderea055496"/>
    <n v="-4.0389153999999996"/>
    <n v="-2.8815692999999998"/>
    <s v="Direct"/>
    <s v="RmlD substrate binding domain"/>
    <s v="RmlD substrate binding domain"/>
  </r>
  <r>
    <x v="1"/>
    <x v="9"/>
    <s v="OG0009419"/>
    <s v="Ofaveolata020787"/>
    <s v="Ssiderea047640"/>
    <n v="-1.1756438"/>
    <n v="-1.3923837999999999"/>
    <s v="Direct"/>
    <s v="acylglycerol kinase activity"/>
    <s v="acylglycerol kinase activity"/>
  </r>
  <r>
    <x v="1"/>
    <x v="9"/>
    <s v="OG0009420"/>
    <s v="Ofaveolata015057"/>
    <s v="Ssiderea051315"/>
    <n v="-1.4486565"/>
    <n v="1.03161451"/>
    <s v="Inverse"/>
    <s v="Fibrillar collagens C-terminal domain"/>
    <s v="collagen"/>
  </r>
  <r>
    <x v="1"/>
    <x v="9"/>
    <s v="OG0009455"/>
    <s v="Ofaveolata014668"/>
    <s v="Ssiderea004285"/>
    <n v="-1.1444447"/>
    <n v="3.6164189499999999"/>
    <s v="Inverse"/>
    <s v="collateral sprouting in absence of injury"/>
    <s v="Serine peptidase inhibitor, Kunitz type, 2"/>
  </r>
  <r>
    <x v="1"/>
    <x v="9"/>
    <s v="OG0009478"/>
    <s v="Ofaveolata002890"/>
    <s v="Ssiderea024559"/>
    <n v="1.0386246100000001"/>
    <n v="1.60877107"/>
    <s v="Direct"/>
    <s v="protein-glutamine gamma-glutamyltransferase activity"/>
    <s v="protein-glutamine gamma-glutamyltransferase activity"/>
  </r>
  <r>
    <x v="1"/>
    <x v="9"/>
    <s v="OG0009515"/>
    <s v="Ofaveolata016668"/>
    <s v="Ssiderea040441"/>
    <n v="-2.0496728000000002"/>
    <n v="-1.6702623999999999"/>
    <s v="Direct"/>
    <s v="regulation of cellular macromolecule biosynthetic process"/>
    <s v="regulation of cellular macromolecule biosynthetic process"/>
  </r>
  <r>
    <x v="1"/>
    <x v="9"/>
    <s v="OG0009519"/>
    <s v="Ofaveolata005300"/>
    <s v="Ssiderea015838"/>
    <n v="-4.0303547000000002"/>
    <n v="-2.784624"/>
    <s v="Direct"/>
    <s v="Belongs to the universal ribosomal protein uL13 family"/>
    <s v="Belongs to the universal ribosomal protein uL13 family"/>
  </r>
  <r>
    <x v="1"/>
    <x v="9"/>
    <s v="OG0009551"/>
    <s v="Ofaveolata026600"/>
    <s v="Ssiderea035170"/>
    <n v="1.39637049"/>
    <n v="-6.5609368000000003"/>
    <s v="Inverse"/>
    <s v="2 iron, 2 sulfur cluster binding"/>
    <s v="2Fe-2S iron-sulfur cluster binding domain"/>
  </r>
  <r>
    <x v="1"/>
    <x v="9"/>
    <s v="OG0009555"/>
    <s v="Ofaveolata023565"/>
    <s v="Ssiderea015602"/>
    <n v="-2.1237917999999998"/>
    <n v="-3.3125594999999999"/>
    <s v="Direct"/>
    <s v="translational elongation"/>
    <s v="translational elongation"/>
  </r>
  <r>
    <x v="1"/>
    <x v="9"/>
    <s v="OG0009644"/>
    <s v="Ofaveolata010965"/>
    <s v="Ssiderea055762"/>
    <n v="-1.9666332"/>
    <n v="-1.6845422999999999"/>
    <s v="Direct"/>
    <s v="isocitrate dehydrogenase (NADP+) activity"/>
    <s v="isocitrate dehydrogenase (NADP+) activity"/>
  </r>
  <r>
    <x v="1"/>
    <x v="9"/>
    <s v="OG0009652"/>
    <s v="Ofaveolata025017"/>
    <s v="Ssiderea021332"/>
    <n v="3.5797470200000001"/>
    <n v="9.0343189600000002"/>
    <s v="Direct"/>
    <s v="saccharopine dehydrogenase (NAD+, L-lysine-forming) activity"/>
    <s v="saccharopine dehydrogenase (NAD+, L-lysine-forming) activity"/>
  </r>
  <r>
    <x v="1"/>
    <x v="9"/>
    <s v="OG0009661"/>
    <s v="Ofaveolata019954"/>
    <s v="Ssiderea052352"/>
    <n v="-2.2977405000000002"/>
    <n v="-3.7943129"/>
    <s v="Direct"/>
    <s v="ITP binding"/>
    <s v="ITP binding"/>
  </r>
  <r>
    <x v="1"/>
    <x v="9"/>
    <s v="OG0009662"/>
    <s v="Ofaveolata030010"/>
    <s v="Ssiderea052995"/>
    <n v="-3.4198005"/>
    <n v="-1.1330929000000001"/>
    <s v="Direct"/>
    <s v="Far upstream element-binding protein"/>
    <s v="Far upstream element-binding protein"/>
  </r>
  <r>
    <x v="1"/>
    <x v="9"/>
    <s v="OG0009683"/>
    <s v="Ofaveolata027973"/>
    <s v="Ssiderea035456"/>
    <n v="-3.3864689000000001"/>
    <n v="1.28546114"/>
    <s v="Inverse"/>
    <s v="DIRAS family, GTP-binding Ras-like"/>
    <s v="DIRAS family, GTP-binding Ras-like"/>
  </r>
  <r>
    <x v="1"/>
    <x v="9"/>
    <s v="OG0009685"/>
    <s v="Ofaveolata032877"/>
    <s v="Ssiderea055212"/>
    <n v="-5.2239899999999997"/>
    <n v="-1.1038633"/>
    <s v="Direct"/>
    <s v="cysteine-type endopeptidase activity"/>
    <s v="cysteine-type endopeptidase activity"/>
  </r>
  <r>
    <x v="1"/>
    <x v="9"/>
    <s v="OG0009703"/>
    <s v="Ofaveolata004535"/>
    <s v="Ssiderea052456"/>
    <n v="-4.9511038000000003"/>
    <n v="-1.0661242"/>
    <s v="Direct"/>
    <s v="unfolded protein binding"/>
    <s v="unfolded protein binding"/>
  </r>
  <r>
    <x v="1"/>
    <x v="9"/>
    <s v="OG0009704"/>
    <s v="Ofaveolata014858"/>
    <s v="Ssiderea004499"/>
    <n v="-1.2393592"/>
    <n v="1.33501874"/>
    <s v="Inverse"/>
    <s v="Dermatopontin"/>
    <s v="Dermatopontin"/>
  </r>
  <r>
    <x v="1"/>
    <x v="9"/>
    <s v="OG0009741"/>
    <s v="Ofaveolata001253"/>
    <s v="Ssiderea056338"/>
    <n v="-3.9704457999999998"/>
    <n v="-3.8927934"/>
    <s v="Direct"/>
    <s v="negative regulation of ERK1 and ERK2 cascade"/>
    <s v="negative regulation of ERK1 and ERK2 cascade"/>
  </r>
  <r>
    <x v="1"/>
    <x v="9"/>
    <s v="OG0009765"/>
    <s v="Ofaveolata008051"/>
    <s v="Ssiderea009584"/>
    <n v="3.9752328299999999"/>
    <n v="-2.3474461"/>
    <s v="Inverse"/>
    <s v="TAF6-like RNA polymerase II, p300 CBP-associated"/>
    <s v="TAF6-like RNA polymerase II, p300 CBP-associated"/>
  </r>
  <r>
    <x v="1"/>
    <x v="9"/>
    <s v="OG0009791"/>
    <s v="Ofaveolata017184"/>
    <s v="Ssiderea039123"/>
    <n v="-3.0929649000000001"/>
    <n v="-2.3166296000000002"/>
    <s v="Direct"/>
    <s v="ABRA C-terminal like"/>
    <s v="ABRA C-terminal like"/>
  </r>
  <r>
    <x v="1"/>
    <x v="9"/>
    <s v="OG0009837"/>
    <s v="Ofaveolata001267"/>
    <s v="Ssiderea049766"/>
    <n v="5.7932906300000004"/>
    <n v="2.2743298699999999"/>
    <s v="Direct"/>
    <s v="Phosphatidylethanolamine-binding protein"/>
    <s v="Phosphatidylethanolamine-binding protein"/>
  </r>
  <r>
    <x v="1"/>
    <x v="9"/>
    <s v="OG0009897"/>
    <s v="Ofaveolata029145"/>
    <s v="Ssiderea033187"/>
    <n v="-1.2852136000000001"/>
    <n v="-1.8851015"/>
    <s v="Direct"/>
    <s v="ER membrane protein complex subunit"/>
    <s v="ER membrane protein complex subunit"/>
  </r>
  <r>
    <x v="1"/>
    <x v="9"/>
    <s v="OG0009962"/>
    <s v="Ofaveolata029592"/>
    <s v="Ssiderea054629"/>
    <n v="-1.6351882"/>
    <n v="1.9251463900000001"/>
    <s v="Inverse"/>
    <s v="pectin acetylesterase activity"/>
    <s v="pectin acetylesterase activity"/>
  </r>
  <r>
    <x v="1"/>
    <x v="9"/>
    <s v="OG0010005"/>
    <s v="Ofaveolata004629"/>
    <s v="Ssiderea016538"/>
    <n v="-1.8186937000000001"/>
    <n v="-1.7262841"/>
    <s v="Direct"/>
    <s v="CAAX-box protein maturation"/>
    <s v="CAAX-box protein maturation"/>
  </r>
  <r>
    <x v="1"/>
    <x v="9"/>
    <s v="OG0010035"/>
    <s v="Ofaveolata026240"/>
    <s v="Ssiderea039557"/>
    <n v="1.0841222800000001"/>
    <n v="1.3051068699999999"/>
    <s v="Direct"/>
    <s v="Core-binding factor"/>
    <s v="Core-binding factor"/>
  </r>
  <r>
    <x v="1"/>
    <x v="9"/>
    <s v="OG0010042"/>
    <s v="Ofaveolata026173"/>
    <s v="Ssiderea055002"/>
    <n v="-4.0709732000000001"/>
    <n v="-6.2303924000000004"/>
    <s v="Direct"/>
    <s v="cysteine desulfurase activity"/>
    <s v="cysteine desulfurase activity"/>
  </r>
  <r>
    <x v="1"/>
    <x v="9"/>
    <s v="OG0010049"/>
    <s v="Ofaveolata016136"/>
    <s v="Ssiderea055363"/>
    <n v="1.07188269"/>
    <n v="-1.1125509"/>
    <s v="Inverse"/>
    <s v="sodium-dependent L-ascorbate transmembrane transporter activity"/>
    <s v="sodium-dependent L-ascorbate transmembrane transporter activity"/>
  </r>
  <r>
    <x v="1"/>
    <x v="9"/>
    <s v="OG0010063"/>
    <s v="Ofaveolata013547"/>
    <s v="Ssiderea000173"/>
    <n v="-1.4570921999999999"/>
    <n v="-1.5701535"/>
    <s v="Direct"/>
    <s v="signal recognition particle binding"/>
    <s v="signal recognition particle binding"/>
  </r>
  <r>
    <x v="1"/>
    <x v="9"/>
    <s v="OG0010098"/>
    <s v="Ofaveolata001543"/>
    <s v="Ssiderea049588"/>
    <n v="3.9847040499999999"/>
    <n v="2.0900383499999999"/>
    <s v="Direct"/>
    <s v="tryptophan 5-monooxygenase activity"/>
    <s v="tryptophan 5-monooxygenase activity"/>
  </r>
  <r>
    <x v="1"/>
    <x v="9"/>
    <s v="OG0010126"/>
    <s v="Ofaveolata024454"/>
    <s v="Ssiderea005782"/>
    <n v="-2.4421048000000001"/>
    <n v="-1.4686728"/>
    <s v="Direct"/>
    <s v="tektin 2 (testicular)"/>
    <s v="tektin 2 (testicular)"/>
  </r>
  <r>
    <x v="1"/>
    <x v="9"/>
    <s v="OG0010154"/>
    <s v="Ofaveolata017714"/>
    <s v="Ssiderea046941"/>
    <n v="-1.3619676000000001"/>
    <n v="1.7936016299999999"/>
    <s v="Inverse"/>
    <s v="Electron transfer flavoprotein subunit"/>
    <s v="Electron transfer flavoprotein subunit"/>
  </r>
  <r>
    <x v="1"/>
    <x v="9"/>
    <s v="OG0010191"/>
    <s v="Ofaveolata007841"/>
    <s v="Ssiderea009135"/>
    <n v="-1.1082789"/>
    <n v="-3.2443922000000001"/>
    <s v="Direct"/>
    <s v="proteasome assembly"/>
    <s v="proteasome assembly"/>
  </r>
  <r>
    <x v="1"/>
    <x v="9"/>
    <s v="OG0010216"/>
    <s v="Ofaveolata030565"/>
    <s v="Ssiderea034040"/>
    <n v="-1.9696077999999999"/>
    <n v="-4.5198543000000004"/>
    <s v="Direct"/>
    <s v="scavenger receptor activity"/>
    <s v="scavenger receptor activity"/>
  </r>
  <r>
    <x v="1"/>
    <x v="9"/>
    <s v="OG0010275"/>
    <s v="Ofaveolata014495"/>
    <s v="Ssiderea004433"/>
    <n v="-3.9352209999999999"/>
    <n v="-1.5769643"/>
    <s v="Direct"/>
    <s v="cytoplasmic translational termination"/>
    <s v="cytoplasmic translational termination"/>
  </r>
  <r>
    <x v="1"/>
    <x v="9"/>
    <s v="OG0010357"/>
    <s v="Ofaveolata029786"/>
    <s v="Ssiderea023919"/>
    <n v="-7.3416259000000004"/>
    <n v="-4.7115074000000003"/>
    <s v="Direct"/>
    <s v="cellular zinc ion homeostasis"/>
    <s v="cellular zinc ion homeostasis"/>
  </r>
  <r>
    <x v="1"/>
    <x v="9"/>
    <s v="OG0010456"/>
    <s v="Ofaveolata003649"/>
    <s v="Ssiderea046465"/>
    <n v="-1.6156337999999999"/>
    <n v="1.19338799"/>
    <s v="Inverse"/>
    <s v="Belongs to the peptidase M10A family"/>
    <s v="Belongs to the peptidase M10A family"/>
  </r>
  <r>
    <x v="1"/>
    <x v="9"/>
    <s v="OG0010477"/>
    <s v="Ofaveolata020822"/>
    <s v="Ssiderea047596"/>
    <n v="-5.8017557999999996"/>
    <n v="-12.451983"/>
    <s v="Direct"/>
    <s v="oxidoreductase activity, oxidizing metal ions with flavin as acceptor"/>
    <s v="oxidoreductase activity, oxidizing metal ions with flavin as acceptor"/>
  </r>
  <r>
    <x v="1"/>
    <x v="9"/>
    <s v="OG0010491"/>
    <s v="Ofaveolata017432"/>
    <s v="Ssiderea048468"/>
    <n v="-4.1626951999999999"/>
    <n v="-1.5101891000000001"/>
    <s v="Direct"/>
    <s v="structural constituent of ribosome"/>
    <s v="structural constituent of ribosome"/>
  </r>
  <r>
    <x v="1"/>
    <x v="9"/>
    <s v="OG0010499"/>
    <s v="Ofaveolata018835"/>
    <s v="Ssiderea003070"/>
    <n v="2.2497198799999998"/>
    <n v="1.66867656"/>
    <s v="Direct"/>
    <s v="nucleotide binding. It is involved in the biological process described with RNA processing"/>
    <s v="nucleotide binding. It is involved in the biological process described with RNA processing"/>
  </r>
  <r>
    <x v="1"/>
    <x v="9"/>
    <s v="OG0010571"/>
    <s v="Ofaveolata019779"/>
    <s v="Ssiderea012117"/>
    <n v="1.00803329"/>
    <n v="1.27206409"/>
    <s v="Direct"/>
    <s v="NA"/>
    <s v="Sushi, von Willebrand factor type A, EGF and pentraxin domain-containing protein 1-like"/>
  </r>
  <r>
    <x v="1"/>
    <x v="9"/>
    <s v="OG0010598"/>
    <s v="Ofaveolata001861"/>
    <s v="Ssiderea050455"/>
    <n v="3.7720852800000002"/>
    <n v="2.7659637799999999"/>
    <s v="Direct"/>
    <s v="PRELI domain-containing protein 2"/>
    <s v="PRELI domain-containing protein 2"/>
  </r>
  <r>
    <x v="1"/>
    <x v="9"/>
    <s v="OG0010599"/>
    <s v="Ofaveolata005306"/>
    <s v="Ssiderea015848"/>
    <n v="-3.4064059000000002"/>
    <n v="-1.2525137"/>
    <s v="Direct"/>
    <s v="translation initiation factor activity"/>
    <s v="translation initiation factor activity"/>
  </r>
  <r>
    <x v="1"/>
    <x v="9"/>
    <s v="OG0010612"/>
    <s v="Ofaveolata013841"/>
    <s v="Ssiderea044233"/>
    <n v="1.8228641400000001"/>
    <n v="1.4171634900000001"/>
    <s v="Direct"/>
    <s v="DNA binding"/>
    <s v="homeobox"/>
  </r>
  <r>
    <x v="1"/>
    <x v="9"/>
    <s v="OG0010614"/>
    <s v="Ofaveolata015567"/>
    <s v="Ssiderea038127"/>
    <n v="5.8460180499999996"/>
    <n v="1.0518475"/>
    <s v="Direct"/>
    <s v="NA"/>
    <s v="collagen"/>
  </r>
  <r>
    <x v="1"/>
    <x v="9"/>
    <s v="OG0010646"/>
    <s v="Ofaveolata022881"/>
    <s v="Ssiderea015100"/>
    <n v="-5.0535182000000001"/>
    <n v="-2.8082381000000001"/>
    <s v="Direct"/>
    <s v="bleomycin hydrolase"/>
    <s v="bleomycin hydrolase"/>
  </r>
  <r>
    <x v="1"/>
    <x v="9"/>
    <s v="OG0010649"/>
    <s v="Ofaveolata021881"/>
    <s v="Ssiderea020406"/>
    <n v="1.1115951100000001"/>
    <n v="4.9511832599999996"/>
    <s v="Direct"/>
    <s v="regulation of hippo signaling"/>
    <s v="WW and C2 domain containing"/>
  </r>
  <r>
    <x v="1"/>
    <x v="9"/>
    <s v="OG0010658"/>
    <s v="Ofaveolata028948"/>
    <s v="Ssiderea014239"/>
    <n v="-1.0732250000000001"/>
    <n v="-1.7571625"/>
    <s v="Direct"/>
    <s v="mannose-ethanolamine phosphotransferase activity"/>
    <s v="mannose-ethanolamine phosphotransferase activity"/>
  </r>
  <r>
    <x v="1"/>
    <x v="9"/>
    <s v="OG0010671"/>
    <s v="Ofaveolata029427"/>
    <s v="Ssiderea032912"/>
    <n v="-7.7717226999999998"/>
    <n v="-7.2305524999999999"/>
    <s v="Direct"/>
    <s v="Elongation factor"/>
    <s v="Elongation factor"/>
  </r>
  <r>
    <x v="1"/>
    <x v="9"/>
    <s v="OG0010681"/>
    <s v="Ofaveolata034974"/>
    <s v="Ssiderea017213"/>
    <n v="-1.3086996"/>
    <n v="-1.0998365000000001"/>
    <s v="Direct"/>
    <s v="RNA pseudouridylate synthase"/>
    <s v="RNA pseudouridylate synthase"/>
  </r>
  <r>
    <x v="1"/>
    <x v="9"/>
    <s v="OG0010700"/>
    <s v="Ofaveolata029723"/>
    <s v="Ssiderea023814"/>
    <n v="-7.1991563000000003"/>
    <n v="-1.3409949999999999"/>
    <s v="Direct"/>
    <s v="NA"/>
    <s v="endoplasmic reticulum stress-induced pre-emptive quality control"/>
  </r>
  <r>
    <x v="1"/>
    <x v="9"/>
    <s v="OG0010724"/>
    <s v="Ofaveolata002293"/>
    <s v="Ssiderea012793"/>
    <n v="-6.5391484999999996"/>
    <n v="-1.6522935000000001"/>
    <s v="Direct"/>
    <s v="positive regulation of Golgi to plasma membrane protein transport"/>
    <s v="positive regulation of Golgi to plasma membrane protein transport"/>
  </r>
  <r>
    <x v="1"/>
    <x v="9"/>
    <s v="OG0010748"/>
    <s v="Ofaveolata029130"/>
    <s v="Ssiderea042606"/>
    <n v="1.36353233"/>
    <n v="-4.9227014000000002"/>
    <s v="Inverse"/>
    <s v="maintenance of mitotic sister chromatid cohesion"/>
    <s v="maintenance of mitotic sister chromatid cohesion"/>
  </r>
  <r>
    <x v="1"/>
    <x v="9"/>
    <s v="OG0010750"/>
    <s v="Ofaveolata008828"/>
    <s v="Ssiderea007939"/>
    <n v="-2.2209528999999999"/>
    <n v="-2.3645752999999998"/>
    <s v="Direct"/>
    <s v="structural constituent of ribosome"/>
    <s v="structural constituent of ribosome"/>
  </r>
  <r>
    <x v="1"/>
    <x v="9"/>
    <s v="OG0010783"/>
    <s v="Ofaveolata025774"/>
    <s v="Ssiderea038877"/>
    <n v="-6.9617737000000002"/>
    <n v="-1.2715228000000001"/>
    <s v="Direct"/>
    <s v="threonine-type endopeptidase activity"/>
    <s v="threonine-type endopeptidase activity"/>
  </r>
  <r>
    <x v="1"/>
    <x v="9"/>
    <s v="OG0010803"/>
    <s v="Ofaveolata031584"/>
    <s v="Ssiderea054463"/>
    <n v="1.1606368"/>
    <n v="-1.1257477"/>
    <s v="Inverse"/>
    <s v="PX domain"/>
    <s v="PX domain"/>
  </r>
  <r>
    <x v="1"/>
    <x v="9"/>
    <s v="OG0010812"/>
    <s v="Ofaveolata026263"/>
    <s v="Ssiderea039605"/>
    <n v="-1.3332344"/>
    <n v="-4.2818962000000003"/>
    <s v="Direct"/>
    <s v="Phosphoethanolamine methyltransferase"/>
    <s v="phosphoethanolamine N-methyltransferase"/>
  </r>
  <r>
    <x v="1"/>
    <x v="9"/>
    <s v="OG0010839"/>
    <s v="Ofaveolata021144"/>
    <s v="Ssiderea011802"/>
    <n v="1.2506971"/>
    <n v="1.3712875"/>
    <s v="Direct"/>
    <s v="suppressor of G2 allele of SKP1"/>
    <s v="suppressor of G2 allele of SKP1"/>
  </r>
  <r>
    <x v="1"/>
    <x v="9"/>
    <s v="OG0010857"/>
    <s v="Ofaveolata031651"/>
    <s v="Ssiderea006846"/>
    <n v="-4.9531387999999996"/>
    <n v="-1.2329095000000001"/>
    <s v="Direct"/>
    <s v="Glutaredoxin"/>
    <s v="protein disulfide oxidoreductase activity"/>
  </r>
  <r>
    <x v="1"/>
    <x v="9"/>
    <s v="OG0010869"/>
    <s v="Ofaveolata034031"/>
    <s v="Ssiderea031965"/>
    <n v="-6.3002044000000001"/>
    <n v="-1.3114946999999999"/>
    <s v="Direct"/>
    <s v="protein N-linked glycosylation via asparagine"/>
    <s v="protein N-linked glycosylation via asparagine"/>
  </r>
  <r>
    <x v="1"/>
    <x v="9"/>
    <s v="OG0010877"/>
    <s v="Ofaveolata006054"/>
    <s v="Ssiderea057216"/>
    <n v="-2.7962695000000002"/>
    <n v="-1.0580426000000001"/>
    <s v="Direct"/>
    <s v="Belongs to the Ca(2 ) cation antiporter (CaCA) (TC 2.A.19) family"/>
    <s v="Belongs to the Ca(2 ) cation antiporter (CaCA) (TC 2.A.19) family"/>
  </r>
  <r>
    <x v="1"/>
    <x v="9"/>
    <s v="OG0010885"/>
    <s v="Ofaveolata029213"/>
    <s v="Ssiderea034370"/>
    <n v="-1.1808031000000001"/>
    <n v="-1.8195764999999999"/>
    <s v="Direct"/>
    <s v="Sugar transporter"/>
    <s v="Sugar transporter"/>
  </r>
  <r>
    <x v="1"/>
    <x v="9"/>
    <s v="OG0010896"/>
    <s v="Ofaveolata023169"/>
    <s v="Ssiderea046213"/>
    <n v="-1.01328"/>
    <n v="1.24024661"/>
    <s v="Inverse"/>
    <s v="sphingolipid transporter activity"/>
    <s v="sphingolipid transporter activity"/>
  </r>
  <r>
    <x v="1"/>
    <x v="9"/>
    <s v="OG0010946"/>
    <s v="Ofaveolata013104"/>
    <s v="Ssiderea001393"/>
    <n v="-1.4529802000000001"/>
    <n v="-6.8623241000000004"/>
    <s v="Direct"/>
    <s v="GNS1/SUR4 family"/>
    <s v="GNS1/SUR4 family"/>
  </r>
  <r>
    <x v="1"/>
    <x v="9"/>
    <s v="OG0011004"/>
    <s v="Ofaveolata009955"/>
    <s v="Ssiderea057999"/>
    <n v="2.17213368"/>
    <n v="-1.072343"/>
    <s v="Inverse"/>
    <s v="axonemal dynein complex assembly"/>
    <s v="axonemal dynein complex assembly"/>
  </r>
  <r>
    <x v="1"/>
    <x v="9"/>
    <s v="OG0011022"/>
    <s v="Ofaveolata029599"/>
    <s v="Ssiderea054609"/>
    <n v="-1.1401323000000001"/>
    <n v="-2.0589591999999999"/>
    <s v="Direct"/>
    <s v="cell-cell junction organization"/>
    <s v="cell-cell junction organization"/>
  </r>
  <r>
    <x v="1"/>
    <x v="9"/>
    <s v="OG0011056"/>
    <s v="Ofaveolata033693"/>
    <s v="Ssiderea053631"/>
    <n v="2.7685712499999999"/>
    <n v="-4.9928075999999999"/>
    <s v="Inverse"/>
    <s v="NA"/>
    <s v="cytoskeletal anchoring at nuclear membrane"/>
  </r>
  <r>
    <x v="1"/>
    <x v="9"/>
    <s v="OG0011104"/>
    <s v="Ofaveolata026139"/>
    <s v="Ssiderea054948"/>
    <n v="1.59929185"/>
    <n v="1.6491656699999999"/>
    <s v="Direct"/>
    <s v="adenylate cyclase-activating G-protein coupled receptor signaling pathway"/>
    <s v="adenylate cyclase-activating G-protein coupled receptor signaling pathway"/>
  </r>
  <r>
    <x v="1"/>
    <x v="9"/>
    <s v="OG0011168"/>
    <s v="Ofaveolata026146"/>
    <s v="Ssiderea054961"/>
    <n v="-1.7162329999999999"/>
    <n v="-3.5901231"/>
    <s v="Direct"/>
    <s v="Cytochrome c1, heme protein"/>
    <s v="Cytochrome c1"/>
  </r>
  <r>
    <x v="1"/>
    <x v="9"/>
    <s v="OG0011192"/>
    <s v="Ofaveolata019396"/>
    <s v="Ssiderea055950"/>
    <n v="-2.5660731999999999"/>
    <n v="1.69031475"/>
    <s v="Inverse"/>
    <s v="NA"/>
    <s v="NA"/>
  </r>
  <r>
    <x v="1"/>
    <x v="9"/>
    <s v="OG0011195"/>
    <s v="Ofaveolata015421"/>
    <s v="Ssiderea038169"/>
    <n v="-2.0879238999999998"/>
    <n v="-1.2037495"/>
    <s v="Direct"/>
    <s v="Belongs to the AAA ATPase family"/>
    <s v="Belongs to the AAA ATPase family"/>
  </r>
  <r>
    <x v="1"/>
    <x v="9"/>
    <s v="OG0011214"/>
    <s v="Ofaveolata010131"/>
    <s v="Ssiderea049480"/>
    <n v="-13.537568"/>
    <n v="-6.4486552000000001"/>
    <s v="Direct"/>
    <s v="Belongs to the short-chain dehydrogenases reductases (SDR) family"/>
    <s v="Belongs to the short-chain dehydrogenases reductases (SDR) family"/>
  </r>
  <r>
    <x v="1"/>
    <x v="9"/>
    <s v="OG0011276"/>
    <s v="Ofaveolata013452"/>
    <s v="Ssiderea000534"/>
    <n v="-2.6285460999999999"/>
    <n v="-1.0051444"/>
    <s v="Direct"/>
    <s v="ribosomal protein"/>
    <s v="ribosomal protein"/>
  </r>
  <r>
    <x v="1"/>
    <x v="9"/>
    <s v="OG0011280"/>
    <s v="Ofaveolata029252"/>
    <s v="Ssiderea033217"/>
    <n v="-3.4024812999999998"/>
    <n v="-3.6242795000000001"/>
    <s v="Direct"/>
    <s v="Asparaginyl-tRNA synthetase"/>
    <s v="Asparaginyl-tRNA synthetase"/>
  </r>
  <r>
    <x v="1"/>
    <x v="9"/>
    <s v="OG0011293"/>
    <s v="Ofaveolata003606"/>
    <s v="Ssiderea046337"/>
    <n v="-4.2998981000000001"/>
    <n v="-8.9059729999999995"/>
    <s v="Direct"/>
    <s v="cellular copper ion homeostasis"/>
    <s v="cellular copper ion homeostasis"/>
  </r>
  <r>
    <x v="1"/>
    <x v="9"/>
    <s v="OG0011322"/>
    <s v="Ofaveolata025013"/>
    <s v="Ssiderea021306"/>
    <n v="-6.0644499999999999"/>
    <n v="-1.9462333000000001"/>
    <s v="Direct"/>
    <s v="GDP-mannose"/>
    <s v="GDP-mannose 4,6-dehydratase activity"/>
  </r>
  <r>
    <x v="1"/>
    <x v="9"/>
    <s v="OG0011338"/>
    <s v="Ofaveolata023019"/>
    <s v="Ssiderea014813"/>
    <n v="-1.467565"/>
    <n v="-1.9242699000000001"/>
    <s v="Direct"/>
    <s v="SOR/SNZ family"/>
    <s v="SOR/SNZ family"/>
  </r>
  <r>
    <x v="1"/>
    <x v="9"/>
    <s v="OG0011361"/>
    <s v="Ofaveolata024555"/>
    <s v="Ssiderea005949"/>
    <n v="-2.5916492"/>
    <n v="-1.7782488999999999"/>
    <s v="Direct"/>
    <s v="translation initiation factor activity"/>
    <s v="translation initiation factor activity"/>
  </r>
  <r>
    <x v="1"/>
    <x v="9"/>
    <s v="OG0011382"/>
    <s v="Ofaveolata031051"/>
    <s v="Ssiderea006575"/>
    <n v="1.1429774699999999"/>
    <n v="2.3732365400000002"/>
    <s v="Direct"/>
    <s v="helix loop helix domain"/>
    <s v="helix loop helix domain"/>
  </r>
  <r>
    <x v="1"/>
    <x v="9"/>
    <s v="OG0011388"/>
    <s v="Ofaveolata009933"/>
    <s v="Ssiderea036120"/>
    <n v="-5.7666475999999998"/>
    <n v="-2.4613472000000001"/>
    <s v="Direct"/>
    <s v="Lys63-specific deubiquitinase activity"/>
    <s v="Lys63-specific deubiquitinase activity"/>
  </r>
  <r>
    <x v="1"/>
    <x v="9"/>
    <s v="OG0011420"/>
    <s v="Ofaveolata018244"/>
    <s v="Ssiderea002122"/>
    <n v="-1.1500558000000001"/>
    <n v="-1.57579"/>
    <s v="Direct"/>
    <s v="rRNA binding"/>
    <s v="rRNA binding"/>
  </r>
  <r>
    <x v="1"/>
    <x v="9"/>
    <s v="OG0011448"/>
    <s v="Ofaveolata026000"/>
    <s v="Ssiderea038858"/>
    <n v="-1.5601278000000001"/>
    <n v="-1.9113553999999999"/>
    <s v="Direct"/>
    <s v="metalloendopeptidase activity"/>
    <s v="metalloendopeptidase activity"/>
  </r>
  <r>
    <x v="1"/>
    <x v="9"/>
    <s v="OG0011451"/>
    <s v="Ofaveolata001473"/>
    <s v="Ssiderea043685"/>
    <n v="-1.7248884"/>
    <n v="2.0093034400000001"/>
    <s v="Inverse"/>
    <s v="acid phosphatase activity"/>
    <s v="acid phosphatase activity"/>
  </r>
  <r>
    <x v="1"/>
    <x v="9"/>
    <s v="OG0011455"/>
    <s v="Ofaveolata005966"/>
    <s v="Ssiderea047861"/>
    <n v="-2.3355655"/>
    <n v="-1.1260228999999999"/>
    <s v="Direct"/>
    <s v="Belongs to the peptidase M10A family"/>
    <s v="Belongs to the peptidase M10A family"/>
  </r>
  <r>
    <x v="1"/>
    <x v="9"/>
    <s v="OG0011480"/>
    <s v="Ofaveolata013651"/>
    <s v="Ssiderea000160"/>
    <n v="-1.5101586"/>
    <n v="2.05873982"/>
    <s v="Inverse"/>
    <s v="Mitochondrial membrane ATP synthase (F(1)F(0) ATP synthase or Complex V) produces ATP from ADP in the presence of a proton gradient across the membrane which is generated by electron transport complexes of the respiratory chain. F-type ATPases consist of "/>
    <s v="Mitochondrial membrane ATP synthase (F(1)F(0) ATP synthase or Complex V) produces ATP from ADP in the presence of a proton gradient across the membrane which is generated by electron transport complexes of the respiratory chain. F-type ATPases consist of "/>
  </r>
  <r>
    <x v="1"/>
    <x v="9"/>
    <s v="OG0011499"/>
    <s v="Ofaveolata002967"/>
    <s v="Ssiderea013001"/>
    <n v="-1.1356862000000001"/>
    <n v="-1.0376373000000001"/>
    <s v="Direct"/>
    <s v="Heat shock 70 kDa protein 14"/>
    <s v="Heat shock 70 kDa protein 14"/>
  </r>
  <r>
    <x v="1"/>
    <x v="9"/>
    <s v="OG0011617"/>
    <s v="Ofaveolata024364"/>
    <s v="Ssiderea006200"/>
    <n v="-3.8755413999999999"/>
    <n v="-1.0654764999999999"/>
    <s v="Direct"/>
    <s v="acetate-CoA ligase activity"/>
    <s v="acetate-CoA ligase activity"/>
  </r>
  <r>
    <x v="1"/>
    <x v="9"/>
    <s v="OG0011630"/>
    <s v="Ofaveolata008513"/>
    <s v="Ssiderea050500"/>
    <n v="2.0889318499999998"/>
    <n v="-1.9974278999999999"/>
    <s v="Inverse"/>
    <s v="translocation of peptides or proteins into host cell cytoplasm"/>
    <s v="translocation of peptides or proteins into host cell cytoplasm"/>
  </r>
  <r>
    <x v="1"/>
    <x v="9"/>
    <s v="OG0011644"/>
    <s v="Ofaveolata029049"/>
    <s v="Ssiderea013792"/>
    <n v="-1.1958974"/>
    <n v="-2.9540199"/>
    <s v="Direct"/>
    <s v="medium-chain fatty acid-CoA ligase activity"/>
    <s v="medium-chain fatty acid-CoA ligase activity"/>
  </r>
  <r>
    <x v="1"/>
    <x v="9"/>
    <s v="OG0011695"/>
    <s v="Ofaveolata018040"/>
    <s v="Ssiderea002216"/>
    <n v="-3.9656175"/>
    <n v="-1.9969957"/>
    <s v="Direct"/>
    <s v="translation initiation factor activity"/>
    <s v="translation initiation factor activity"/>
  </r>
  <r>
    <x v="1"/>
    <x v="9"/>
    <s v="OG0011704"/>
    <s v="Ofaveolata014911"/>
    <s v="Ssiderea004904"/>
    <n v="1.50607102"/>
    <n v="1.0978740499999999"/>
    <s v="Direct"/>
    <s v="osmolarity-sensing cation channel activity"/>
    <s v="osmolarity-sensing cation channel activity"/>
  </r>
  <r>
    <x v="1"/>
    <x v="9"/>
    <s v="OG0011801"/>
    <s v="Ofaveolata010441"/>
    <s v="Ssiderea019460"/>
    <n v="-2.4393435999999999"/>
    <n v="-1.5625407"/>
    <s v="Direct"/>
    <s v="regulation of protein catabolic process"/>
    <s v="regulation of protein catabolic process"/>
  </r>
  <r>
    <x v="1"/>
    <x v="9"/>
    <s v="OG0011807"/>
    <s v="Ofaveolata014694"/>
    <s v="Ssiderea004577"/>
    <n v="-2.0854727"/>
    <n v="-1.7420230999999999"/>
    <s v="Direct"/>
    <s v="phosphomannomutase activity"/>
    <s v="phosphomannomutase activity"/>
  </r>
  <r>
    <x v="1"/>
    <x v="9"/>
    <s v="OG0011899"/>
    <s v="Ofaveolata019615"/>
    <s v="Ssiderea047668"/>
    <n v="-1.7558385999999999"/>
    <n v="-1.1294295999999999"/>
    <s v="Direct"/>
    <s v="structural constituent of ribosome"/>
    <s v="structural constituent of ribosome"/>
  </r>
  <r>
    <x v="1"/>
    <x v="9"/>
    <s v="OG0011919"/>
    <s v="Ofaveolata005301"/>
    <s v="Ssiderea015841"/>
    <n v="-3.3103343999999999"/>
    <n v="-7.6572506000000002"/>
    <s v="Direct"/>
    <s v="iron-sulfur transferase activity"/>
    <s v="Scaffold protein for the de novo synthesis of iron- sulfur (Fe-S) clusters within mitochondria, which is required for maturation of both mitochondrial and cytoplasmic 2Fe-2S and 4Fe-4S proteins"/>
  </r>
  <r>
    <x v="1"/>
    <x v="9"/>
    <s v="OG0012106"/>
    <s v="Ofaveolata001844"/>
    <s v="Ssiderea057693"/>
    <n v="1.0351141100000001"/>
    <n v="-1.9498396"/>
    <s v="Inverse"/>
    <s v="acetyl-CoA"/>
    <s v="acetyl-CoA"/>
  </r>
  <r>
    <x v="1"/>
    <x v="9"/>
    <s v="OG0012173"/>
    <s v="Ofaveolata032662"/>
    <s v="Ssiderea051996"/>
    <n v="-1.6740701"/>
    <n v="-1.5947252999999999"/>
    <s v="Direct"/>
    <s v="B-cell receptor-associated protein 31"/>
    <s v="B-cell receptor-associated protein 31"/>
  </r>
  <r>
    <x v="1"/>
    <x v="9"/>
    <s v="OG0012179"/>
    <s v="Ofaveolata002556"/>
    <s v="Ssiderea013067"/>
    <n v="2.7685712499999999"/>
    <n v="16.650311299999998"/>
    <s v="Direct"/>
    <s v="dihydrofolate reductase activity"/>
    <s v="dihydrofolate reductase activity"/>
  </r>
  <r>
    <x v="1"/>
    <x v="9"/>
    <s v="OG0012284"/>
    <s v="Ofaveolata003863"/>
    <s v="Ssiderea030387"/>
    <n v="1.3807971400000001"/>
    <n v="1.1545330600000001"/>
    <s v="Direct"/>
    <s v="protein polyubiquitination"/>
    <s v="protein polyubiquitination"/>
  </r>
  <r>
    <x v="1"/>
    <x v="9"/>
    <s v="OG0012304"/>
    <s v="Ofaveolata023492"/>
    <s v="Ssiderea004955"/>
    <n v="1.22284821"/>
    <n v="-3.6656548999999998"/>
    <s v="Inverse"/>
    <s v="10-hydroxy-9-(phosphonooxy)octadecanoate phosphatase activity"/>
    <s v="10-hydroxy-9-(phosphonooxy)octadecanoate phosphatase activity"/>
  </r>
  <r>
    <x v="1"/>
    <x v="9"/>
    <s v="OG0012318"/>
    <s v="Ofaveolata007200"/>
    <s v="Ssiderea009898"/>
    <n v="-2.8279782"/>
    <n v="-1.0460400000000001"/>
    <s v="Direct"/>
    <s v="Papain family cysteine protease"/>
    <s v="Papain family cysteine protease"/>
  </r>
  <r>
    <x v="1"/>
    <x v="9"/>
    <s v="OG0012364"/>
    <s v="Ofaveolata033676"/>
    <s v="Ssiderea053647"/>
    <n v="-1.2053833"/>
    <n v="-2.3954236999999998"/>
    <s v="Direct"/>
    <s v="solute carrier family 35, member D3"/>
    <s v="solute carrier family 35, member D3"/>
  </r>
  <r>
    <x v="1"/>
    <x v="9"/>
    <s v="OG0012372"/>
    <s v="Ofaveolata033520"/>
    <s v="Ssiderea026314"/>
    <n v="1.2298669099999999"/>
    <n v="2.5230603299999999"/>
    <s v="Direct"/>
    <s v="ATP binding"/>
    <s v="belongs to the actin family"/>
  </r>
  <r>
    <x v="1"/>
    <x v="9"/>
    <s v="OG0012378"/>
    <s v="Ofaveolata030277"/>
    <s v="Ssiderea027536"/>
    <n v="-5.6402649"/>
    <n v="-4.7188454000000002"/>
    <s v="Direct"/>
    <s v="negative regulation of DNA damage checkpoint"/>
    <s v="negative regulation of DNA damage checkpoint"/>
  </r>
  <r>
    <x v="1"/>
    <x v="9"/>
    <s v="OG0012409"/>
    <s v="Ofaveolata019724"/>
    <s v="Ssiderea011989"/>
    <n v="1.0790762"/>
    <n v="-1.0215752"/>
    <s v="Inverse"/>
    <s v="NA"/>
    <s v="mRNA processing"/>
  </r>
  <r>
    <x v="1"/>
    <x v="9"/>
    <s v="OG0012426"/>
    <s v="Ofaveolata016857"/>
    <s v="Ssiderea039239"/>
    <n v="-2.1369478000000002"/>
    <n v="-4.0748072000000004"/>
    <s v="Direct"/>
    <s v="MDM2/MDM4 family protein binding"/>
    <s v="MDM2/MDM4 family protein binding"/>
  </r>
  <r>
    <x v="1"/>
    <x v="9"/>
    <s v="OG0012470"/>
    <s v="Ofaveolata002778"/>
    <s v="Ssiderea013295"/>
    <n v="4.95482567"/>
    <n v="2.5967800900000002"/>
    <s v="Direct"/>
    <s v="positive regulation of skeletal muscle acetylcholine-gated channel clustering"/>
    <s v="positive regulation of skeletal muscle acetylcholine-gated channel clustering"/>
  </r>
  <r>
    <x v="1"/>
    <x v="9"/>
    <s v="OG0012503"/>
    <s v="Ofaveolata008509"/>
    <s v="Ssiderea008714"/>
    <n v="-5.1278819000000002"/>
    <n v="-1.7079129"/>
    <s v="Direct"/>
    <s v="elongation of very long chain fatty acids protein"/>
    <s v="elongation of very long chain fatty acids protein"/>
  </r>
  <r>
    <x v="1"/>
    <x v="9"/>
    <s v="OG0012511"/>
    <s v="Ofaveolata017710"/>
    <s v="Ssiderea046938"/>
    <n v="-5.4811104999999998"/>
    <n v="-2.1160044999999998"/>
    <s v="Direct"/>
    <s v="Eukaryotic initiation factor 4A-II isoform X1"/>
    <s v="Eukaryotic translation initiation factor 4A, isoform"/>
  </r>
  <r>
    <x v="1"/>
    <x v="9"/>
    <s v="OG0012544"/>
    <s v="Ofaveolata013458"/>
    <s v="Ssiderea000447"/>
    <n v="-2.3220358000000001"/>
    <n v="-2.9548378999999998"/>
    <s v="Direct"/>
    <s v="thyroid hormone transmembrane transporter activity"/>
    <s v="thyroid hormone transmembrane transporter activity"/>
  </r>
  <r>
    <x v="1"/>
    <x v="9"/>
    <s v="OG0012570"/>
    <s v="Ofaveolata010242"/>
    <s v="Ssiderea019445"/>
    <n v="-1.0393758"/>
    <n v="-1.0789074000000001"/>
    <s v="Direct"/>
    <s v="structural constituent of ribosome"/>
    <s v="structural constituent of ribosome"/>
  </r>
  <r>
    <x v="1"/>
    <x v="9"/>
    <s v="OG0012573"/>
    <s v="Ofaveolata030138"/>
    <s v="Ssiderea054218"/>
    <n v="-3.4580141000000002"/>
    <n v="-2.5418723000000001"/>
    <s v="Direct"/>
    <s v="Ubiquitin carboxyl-terminal hydrolase"/>
    <s v="Ubiquitin carboxyl-terminal hydrolase"/>
  </r>
  <r>
    <x v="1"/>
    <x v="9"/>
    <s v="OG0012576"/>
    <s v="Ofaveolata001171"/>
    <s v="Ssiderea029404"/>
    <n v="4.2073721099999997"/>
    <n v="-1.7438720000000001"/>
    <s v="Inverse"/>
    <s v="plasma membrane repair"/>
    <s v="plasma membrane repair"/>
  </r>
  <r>
    <x v="1"/>
    <x v="9"/>
    <s v="OG0012616"/>
    <s v="Ofaveolata013556"/>
    <s v="Ssiderea000113"/>
    <n v="-1.7479104000000001"/>
    <n v="-3.6943608000000001"/>
    <s v="Direct"/>
    <s v="steroid binding"/>
    <s v="steroid binding"/>
  </r>
  <r>
    <x v="1"/>
    <x v="9"/>
    <s v="OG0012627"/>
    <s v="Ofaveolata018295"/>
    <s v="Ssiderea018599"/>
    <n v="-1.5859546"/>
    <n v="-5.5863581"/>
    <s v="Direct"/>
    <s v="Cytidylyltransferase-like"/>
    <s v="Cytidylyltransferase-like"/>
  </r>
  <r>
    <x v="1"/>
    <x v="9"/>
    <s v="OG0012628"/>
    <s v="Ofaveolata013818"/>
    <s v="Ssiderea049064"/>
    <n v="-6.9626174000000001"/>
    <n v="-6.6224629999999998"/>
    <s v="Direct"/>
    <s v="Glutathione S-transferase, N-terminal domain"/>
    <s v="Glutathione S-transferase, N-terminal domain"/>
  </r>
  <r>
    <x v="1"/>
    <x v="9"/>
    <s v="OG0012782"/>
    <s v="Ofaveolata026010"/>
    <s v="Ssiderea038852"/>
    <n v="-2.8009594999999998"/>
    <n v="-6.0435144000000003"/>
    <s v="Direct"/>
    <s v="negative regulation of SNARE complex assembly"/>
    <s v="negative regulation of SNARE complex assembly"/>
  </r>
  <r>
    <x v="1"/>
    <x v="9"/>
    <s v="OG0012801"/>
    <s v="Ofaveolata019158"/>
    <s v="Ssiderea019086"/>
    <n v="4.7281808200000004"/>
    <n v="2.7565912699999999"/>
    <s v="Direct"/>
    <s v="calcium-dependent cysteine-type endopeptidase activity"/>
    <s v="calcium-dependent cysteine-type endopeptidase activity"/>
  </r>
  <r>
    <x v="1"/>
    <x v="9"/>
    <s v="OG0012830"/>
    <s v="Ofaveolata015070"/>
    <s v="Ssiderea051298"/>
    <n v="-1.104438"/>
    <n v="-2.5084597999999998"/>
    <s v="Direct"/>
    <s v="Chondroitin"/>
    <s v="Chondroitin"/>
  </r>
  <r>
    <x v="1"/>
    <x v="9"/>
    <s v="OG0012846"/>
    <s v="Ofaveolata033137"/>
    <s v="Ssiderea025984"/>
    <n v="-3.0779155999999999"/>
    <n v="-13.729329999999999"/>
    <s v="Direct"/>
    <s v="5'-3' exoribonuclease activity"/>
    <s v="5'-3' exoribonuclease activity"/>
  </r>
  <r>
    <x v="1"/>
    <x v="9"/>
    <s v="OG0012851"/>
    <s v="Ofaveolata018002"/>
    <s v="Ssiderea002260"/>
    <n v="2.74904087"/>
    <n v="1.5498758100000001"/>
    <s v="Direct"/>
    <s v="propionyl-CoA carboxylase activity"/>
    <s v="propionyl-CoA carboxylase activity"/>
  </r>
  <r>
    <x v="1"/>
    <x v="9"/>
    <s v="OG0012856"/>
    <s v="Ofaveolata003593"/>
    <s v="Ssiderea046325"/>
    <n v="5.9332415899999997"/>
    <n v="1.05565978"/>
    <s v="Direct"/>
    <s v="procollagen-lysine 5-dioxygenase activity"/>
    <s v="procollagen-lysine 5-dioxygenase activity"/>
  </r>
  <r>
    <x v="1"/>
    <x v="9"/>
    <s v="OG0012871"/>
    <s v="Ofaveolata027113"/>
    <s v="Ssiderea025745"/>
    <n v="-1.203443"/>
    <n v="-1.1406991"/>
    <s v="Direct"/>
    <s v="Avidin family"/>
    <s v="Avidin family"/>
  </r>
  <r>
    <x v="1"/>
    <x v="9"/>
    <s v="OG0012898"/>
    <s v="Ofaveolata000304"/>
    <s v="Ssiderea022140"/>
    <n v="-4.8321873000000002"/>
    <n v="-2.5416680999999999"/>
    <s v="Direct"/>
    <s v="Phosphoethanolamine"/>
    <s v="Phosphoethanolamine"/>
  </r>
  <r>
    <x v="1"/>
    <x v="9"/>
    <s v="OG0012937"/>
    <s v="Ofaveolata022678"/>
    <s v="Ssiderea015241"/>
    <n v="-5.7666475999999998"/>
    <n v="-3.4511272000000002"/>
    <s v="Direct"/>
    <s v="snRNA import into nucleus"/>
    <s v="snRNA import into nucleus"/>
  </r>
  <r>
    <x v="1"/>
    <x v="9"/>
    <s v="OG0012957"/>
    <s v="Ofaveolata014949"/>
    <s v="Ssiderea038386"/>
    <n v="-1.0583431000000001"/>
    <n v="-1.8070136000000001"/>
    <s v="Direct"/>
    <s v="Major facilitator superfamily domain-containing protein 6-like"/>
    <s v="Major facilitator superfamily domain-containing protein 6-like"/>
  </r>
  <r>
    <x v="1"/>
    <x v="9"/>
    <s v="OG0013046"/>
    <s v="Ofaveolata005736"/>
    <s v="Ssiderea045518"/>
    <n v="-1.4890428"/>
    <n v="-1.0609538000000001"/>
    <s v="Direct"/>
    <s v="Kinesin motor, catalytic domain. ATPase."/>
    <s v="Microtubule binding"/>
  </r>
  <r>
    <x v="1"/>
    <x v="9"/>
    <s v="OG0013054"/>
    <s v="Ofaveolata000020"/>
    <s v="Ssiderea029563"/>
    <n v="-2.1708751999999998"/>
    <n v="-9.6371833000000002"/>
    <s v="Direct"/>
    <s v="glucokinase activity"/>
    <s v="glucokinase activity"/>
  </r>
  <r>
    <x v="1"/>
    <x v="9"/>
    <s v="OG0013102"/>
    <s v="Ofaveolata011377"/>
    <s v="Ssiderea019312"/>
    <n v="-2.7710477999999998"/>
    <n v="-2.9659715000000002"/>
    <s v="Direct"/>
    <s v="heterogeneous nuclear ribonucleoprotein"/>
    <s v="heterogeneous nuclear ribonucleoprotein"/>
  </r>
  <r>
    <x v="1"/>
    <x v="9"/>
    <s v="OG0013147"/>
    <s v="Ofaveolata026455"/>
    <s v="Ssiderea038593"/>
    <n v="-10.894743999999999"/>
    <n v="-5.2560142000000001"/>
    <s v="Direct"/>
    <s v="AFG3-like protein"/>
    <s v="AFG3-like protein"/>
  </r>
  <r>
    <x v="1"/>
    <x v="9"/>
    <s v="OG0013221"/>
    <s v="Ofaveolata022024"/>
    <s v="Ssiderea023369"/>
    <n v="-1.1401323000000001"/>
    <n v="-3.1322500999999998"/>
    <s v="Direct"/>
    <s v="L-lactate"/>
    <s v="L-lactate"/>
  </r>
  <r>
    <x v="1"/>
    <x v="9"/>
    <s v="OG0013245"/>
    <s v="Ofaveolata023325"/>
    <s v="Ssiderea005256"/>
    <n v="2.4268914700000002"/>
    <n v="1.8390778400000001"/>
    <s v="Direct"/>
    <s v="Belongs to the 14-3-3 family"/>
    <s v="tyrosine 3-monooxygenase tryptophan 5-monooxygenase activation protein, epsilon"/>
  </r>
  <r>
    <x v="1"/>
    <x v="9"/>
    <s v="OG0013276"/>
    <s v="Ofaveolata009808"/>
    <s v="Ssiderea051670"/>
    <n v="-1.3686654"/>
    <n v="-5.6056533999999996"/>
    <s v="Direct"/>
    <s v="ADP biosynthetic process"/>
    <s v="ADP biosynthetic process"/>
  </r>
  <r>
    <x v="1"/>
    <x v="10"/>
    <s v="OG0006916"/>
    <s v="Ofaveolata025102"/>
    <s v="Ssiderea021433"/>
    <n v="-3.7558663000000001"/>
    <n v="-1.9585956"/>
    <s v="Direct"/>
    <s v="cellular response to nitroglycerin"/>
    <s v="cellular response to nitroglycerin"/>
  </r>
  <r>
    <x v="1"/>
    <x v="11"/>
    <s v="OG0000133"/>
    <s v="Ofaveolata018073"/>
    <s v="Ssiderea002867"/>
    <n v="-3.1142915000000002"/>
    <n v="-2.2177988000000002"/>
    <s v="Direct"/>
    <s v="Multidrug resistance-associated protein 1"/>
    <s v="ATPase activity, coupled to transmembrane movement of substances"/>
  </r>
  <r>
    <x v="1"/>
    <x v="11"/>
    <s v="OG0000221"/>
    <s v="Ofaveolata027885"/>
    <s v="Ssiderea050737"/>
    <n v="1.6121246499999999"/>
    <n v="-1.0867431999999999"/>
    <s v="Inverse"/>
    <s v="glutathione hydrolase activity"/>
    <s v="glutathione hydrolase activity"/>
  </r>
  <r>
    <x v="1"/>
    <x v="11"/>
    <s v="OG0000235"/>
    <s v="Ofaveolata026756"/>
    <s v="Ssiderea017758"/>
    <n v="-1.3807202000000001"/>
    <n v="-1.2302135000000001"/>
    <s v="Direct"/>
    <s v="cytochrome P450"/>
    <s v="cytochrome P450"/>
  </r>
  <r>
    <x v="1"/>
    <x v="11"/>
    <s v="OG0000290"/>
    <s v="Ofaveolata010939"/>
    <s v="Ssiderea019959"/>
    <n v="-1.2738406"/>
    <n v="1.6817157300000001"/>
    <s v="Inverse"/>
    <s v="GTPase activity"/>
    <s v="GTPase activity"/>
  </r>
  <r>
    <x v="1"/>
    <x v="11"/>
    <s v="OG0000298"/>
    <s v="Ofaveolata028105"/>
    <s v="Ssiderea035364"/>
    <n v="-1.9417169000000001"/>
    <n v="1.0188476399999999"/>
    <s v="Inverse"/>
    <s v="Belongs to the AB hydrolase superfamily. Lipase family"/>
    <s v="Belongs to the AB hydrolase superfamily. Lipase family"/>
  </r>
  <r>
    <x v="1"/>
    <x v="11"/>
    <s v="OG0000402"/>
    <s v="Ofaveolata009835"/>
    <s v="Ssiderea051714"/>
    <n v="-3.0316371000000002"/>
    <n v="1.05089586"/>
    <s v="Inverse"/>
    <s v="Glutathione S-transferase, C-terminal domain"/>
    <s v="transferase activity"/>
  </r>
  <r>
    <x v="1"/>
    <x v="11"/>
    <s v="OG0000435"/>
    <s v="Ofaveolata024657"/>
    <s v="Ssiderea017127"/>
    <n v="1.3058057199999999"/>
    <n v="2.2103555899999998"/>
    <s v="Direct"/>
    <s v="Chondroitin sulfate synthase"/>
    <s v="Chondroitin sulfate synthase"/>
  </r>
  <r>
    <x v="1"/>
    <x v="11"/>
    <s v="OG0000458"/>
    <s v="Ofaveolata000629"/>
    <s v="Ssiderea010872"/>
    <n v="1.4514441300000001"/>
    <n v="-2.2326391999999999"/>
    <s v="Inverse"/>
    <s v="NA"/>
    <s v="CUB and zona pellucida-like domain-containing protein"/>
  </r>
  <r>
    <x v="1"/>
    <x v="11"/>
    <s v="OG0000517"/>
    <s v="Ofaveolata010083"/>
    <s v="Ssiderea049473"/>
    <n v="-1.6595655"/>
    <n v="-1.3352695000000001"/>
    <s v="Direct"/>
    <s v="Sulfotransferase family"/>
    <s v="Sulfotransferase family"/>
  </r>
  <r>
    <x v="1"/>
    <x v="11"/>
    <s v="OG0000523"/>
    <s v="Ofaveolata001123"/>
    <s v="Ssiderea022152"/>
    <n v="1.3135743099999999"/>
    <n v="1.2256968800000001"/>
    <s v="Direct"/>
    <s v="plasma membrane repair"/>
    <s v="plasma membrane repair"/>
  </r>
  <r>
    <x v="1"/>
    <x v="11"/>
    <s v="OG0000528"/>
    <s v="Ofaveolata010114"/>
    <s v="Ssiderea055862"/>
    <n v="1.1175413999999999"/>
    <n v="-2.0300208"/>
    <s v="Inverse"/>
    <s v="transmembrane transport"/>
    <s v="transmembrane transport"/>
  </r>
  <r>
    <x v="1"/>
    <x v="11"/>
    <s v="OG0000778"/>
    <s v="Ofaveolata019120"/>
    <s v="Ssiderea013602"/>
    <n v="1.6712267199999999"/>
    <n v="-3.3077586000000001"/>
    <s v="Inverse"/>
    <s v="carbohydrate binding"/>
    <s v="complement activation, classical pathway"/>
  </r>
  <r>
    <x v="1"/>
    <x v="11"/>
    <s v="OG0000800"/>
    <s v="Ofaveolata003747"/>
    <s v="Ssiderea028717"/>
    <n v="1.33664107"/>
    <n v="1.5077383099999999"/>
    <s v="Direct"/>
    <s v="Cytochrome P450, family 46, subfamily A, polypeptide"/>
    <s v="Cytochrome P450, family 46, subfamily A, polypeptide"/>
  </r>
  <r>
    <x v="1"/>
    <x v="11"/>
    <s v="OG0000954"/>
    <s v="Ofaveolata030981"/>
    <s v="Ssiderea006552"/>
    <n v="-3.1327932999999999"/>
    <n v="1.09135231"/>
    <s v="Inverse"/>
    <s v="NA"/>
    <s v="collagen"/>
  </r>
  <r>
    <x v="1"/>
    <x v="11"/>
    <s v="OG0001060"/>
    <s v="Ofaveolata021998"/>
    <s v="Ssiderea023406"/>
    <n v="2.14777774"/>
    <n v="2.2084666799999999"/>
    <s v="Direct"/>
    <s v="tumor necrosis factor-activated receptor activity"/>
    <s v="Tumor necrosis factor receptor / nerve growth factor receptor repeats."/>
  </r>
  <r>
    <x v="1"/>
    <x v="11"/>
    <s v="OG0001076"/>
    <s v="Ofaveolata012519"/>
    <s v="Ssiderea000711"/>
    <n v="1.2277295100000001"/>
    <n v="-1.6743451"/>
    <s v="Inverse"/>
    <s v="NA"/>
    <s v="positive regulation of myosin-light-chain-phosphatase activity"/>
  </r>
  <r>
    <x v="1"/>
    <x v="11"/>
    <s v="OG0001085"/>
    <s v="Ofaveolata027609"/>
    <s v="Ssiderea042330"/>
    <n v="-2.9312668"/>
    <n v="-3.4198415999999998"/>
    <s v="Direct"/>
    <s v="Sterol-sensing domain of SREBP cleavage-activation"/>
    <s v="Sterol-sensing domain of SREBP cleavage-activation"/>
  </r>
  <r>
    <x v="1"/>
    <x v="11"/>
    <s v="OG0001131"/>
    <s v="Ofaveolata035004"/>
    <s v="Ssiderea021492"/>
    <n v="-1.0596757999999999"/>
    <n v="-1.2045509000000001"/>
    <s v="Direct"/>
    <s v="Collagen triple helix"/>
    <s v="Collagen triple helix"/>
  </r>
  <r>
    <x v="1"/>
    <x v="11"/>
    <s v="OG0001144"/>
    <s v="Ofaveolata001927"/>
    <s v="Ssiderea035485"/>
    <n v="-2.1206594999999999"/>
    <n v="-3.0012522000000001"/>
    <s v="Direct"/>
    <s v="BCCT, betaine/carnitine/choline family transporter"/>
    <s v="BCCT, betaine/carnitine/choline family transporter"/>
  </r>
  <r>
    <x v="1"/>
    <x v="11"/>
    <s v="OG0001161"/>
    <s v="Ofaveolata031699"/>
    <s v="Ssiderea007186"/>
    <n v="1.35990794"/>
    <n v="1.0172816499999999"/>
    <s v="Direct"/>
    <s v="glucosaminylgalactosylglucosylceramide beta-galactosyltransferase activity"/>
    <s v="glucosaminylgalactosylglucosylceramide beta-galactosyltransferase activity"/>
  </r>
  <r>
    <x v="1"/>
    <x v="11"/>
    <s v="OG0001245"/>
    <s v="Ofaveolata013966"/>
    <s v="Ssiderea043968"/>
    <n v="-1.094104"/>
    <n v="-1.1885311000000001"/>
    <s v="Direct"/>
    <s v="ATPase activity, coupled to transmembrane movement of substances"/>
    <s v="ATPase activity, coupled to transmembrane movement of substances"/>
  </r>
  <r>
    <x v="1"/>
    <x v="11"/>
    <s v="OG0001372"/>
    <s v="Ofaveolata014693"/>
    <s v="Ssiderea004543"/>
    <n v="-1.1587467"/>
    <n v="-2.7512740999999998"/>
    <s v="Direct"/>
    <s v="alpha-L-fucosidase activity"/>
    <s v="alpha-L-fucosidase activity"/>
  </r>
  <r>
    <x v="1"/>
    <x v="11"/>
    <s v="OG0001441"/>
    <s v="Ofaveolata004510"/>
    <s v="Ssiderea052434"/>
    <n v="1.1439342699999999"/>
    <n v="3.26633386"/>
    <s v="Direct"/>
    <s v="NA"/>
    <s v="DNA helicase B"/>
  </r>
  <r>
    <x v="1"/>
    <x v="11"/>
    <s v="OG0001471"/>
    <s v="Ofaveolata001616"/>
    <s v="Ssiderea026735"/>
    <n v="-1.1920219999999999"/>
    <n v="-6.4550077999999997"/>
    <s v="Direct"/>
    <s v="DOMON domain-containing protein"/>
    <s v="Ferric-chelate reductase"/>
  </r>
  <r>
    <x v="1"/>
    <x v="11"/>
    <s v="OG0001481"/>
    <s v="Ofaveolata013123"/>
    <s v="Ssiderea000775"/>
    <n v="6.1768181100000001"/>
    <n v="-10.421055000000001"/>
    <s v="Inverse"/>
    <s v="integrin binding"/>
    <s v="Coagulation factor 5/8 C-terminal domain, discoidin domain"/>
  </r>
  <r>
    <x v="1"/>
    <x v="11"/>
    <s v="OG0001499"/>
    <s v="Ofaveolata028711"/>
    <s v="Ssiderea042785"/>
    <n v="-2.0260676000000002"/>
    <n v="4.1176776799999999"/>
    <s v="Inverse"/>
    <s v="structural molecule activity"/>
    <s v="structural molecule activity"/>
  </r>
  <r>
    <x v="1"/>
    <x v="11"/>
    <s v="OG0001501"/>
    <s v="Ofaveolata010777"/>
    <s v="Ssiderea017541"/>
    <n v="-1.3680558"/>
    <n v="-2.6916547999999998"/>
    <s v="Direct"/>
    <s v="sphinganine-1-phosphate aldolase activity"/>
    <s v="sphinganine-1-phosphate aldolase activity"/>
  </r>
  <r>
    <x v="1"/>
    <x v="11"/>
    <s v="OG0001559"/>
    <s v="Ofaveolata015782"/>
    <s v="Ssiderea023460"/>
    <n v="-1.3094520999999999"/>
    <n v="4.8868417700000002"/>
    <s v="Inverse"/>
    <s v="Belongs to the glycosyl hydrolase 18 family"/>
    <s v="Belongs to the glycosyl hydrolase 18 family"/>
  </r>
  <r>
    <x v="1"/>
    <x v="11"/>
    <s v="OG0001567"/>
    <s v="Ofaveolata027832"/>
    <s v="Ssiderea035430"/>
    <n v="-1.1669982999999999"/>
    <n v="-4.1967553000000004"/>
    <s v="Direct"/>
    <s v="NA"/>
    <s v="triglyceride mobilization"/>
  </r>
  <r>
    <x v="1"/>
    <x v="11"/>
    <s v="OG0001567_1"/>
    <s v="Ofaveolata029371"/>
    <s v="Ssiderea032994"/>
    <n v="-1.4134196999999999"/>
    <n v="-1.1152841"/>
    <s v="Direct"/>
    <s v="NA"/>
    <s v="Apolipoprotein"/>
  </r>
  <r>
    <x v="1"/>
    <x v="11"/>
    <s v="OG0001581"/>
    <s v="Ofaveolata022011"/>
    <s v="Ssiderea023382"/>
    <n v="7.1023833099999996"/>
    <n v="7.8120851399999998"/>
    <s v="Direct"/>
    <s v="NA"/>
    <s v="Tumor necrosis factor receptor / nerve growth factor receptor repeats."/>
  </r>
  <r>
    <x v="1"/>
    <x v="11"/>
    <s v="OG0001587"/>
    <s v="Ofaveolata007545"/>
    <s v="Ssiderea006776"/>
    <n v="-3.8844802"/>
    <n v="1.02533564"/>
    <s v="Inverse"/>
    <s v="tyrosinase"/>
    <s v="tyrosinase"/>
  </r>
  <r>
    <x v="1"/>
    <x v="11"/>
    <s v="OG0001597"/>
    <s v="Ofaveolata005747"/>
    <s v="Ssiderea047725"/>
    <n v="1.07270215"/>
    <n v="3.8486481100000001"/>
    <s v="Direct"/>
    <s v="Amine oxidase flavin-containing"/>
    <s v="Amine oxidase flavin-containing"/>
  </r>
  <r>
    <x v="1"/>
    <x v="11"/>
    <s v="OG0001620"/>
    <s v="Ofaveolata015454"/>
    <s v="Ssiderea054585"/>
    <n v="2.7204264600000001"/>
    <n v="-1.2631772999999999"/>
    <s v="Inverse"/>
    <s v="NA"/>
    <s v="Low-density lipoprotein receptor domain class A"/>
  </r>
  <r>
    <x v="1"/>
    <x v="11"/>
    <s v="OG0001633"/>
    <s v="Ofaveolata022400"/>
    <s v="Ssiderea023311"/>
    <n v="1.2261467500000001"/>
    <n v="-1.5548785000000001"/>
    <s v="Inverse"/>
    <s v="secondary active sulfate transmembrane transporter activity"/>
    <s v="secondary active sulfate transmembrane transporter activity"/>
  </r>
  <r>
    <x v="1"/>
    <x v="11"/>
    <s v="OG0001691"/>
    <s v="Ofaveolata029890"/>
    <s v="Ssiderea024120"/>
    <n v="-1.4552826999999999"/>
    <n v="-1.3148576000000001"/>
    <s v="Direct"/>
    <s v="Belongs to the sodium solute symporter (SSF) (TC 2.A.21) family"/>
    <s v="Belongs to the sodium solute symporter (SSF) (TC 2.A.21) family"/>
  </r>
  <r>
    <x v="1"/>
    <x v="11"/>
    <s v="OG0001711"/>
    <s v="Ofaveolata009170"/>
    <s v="Ssiderea035562"/>
    <n v="-2.4916087"/>
    <n v="-2.3542960000000002"/>
    <s v="Direct"/>
    <s v="glutamate-cysteine ligase activity"/>
    <s v="glutamate-cysteine ligase activity"/>
  </r>
  <r>
    <x v="1"/>
    <x v="11"/>
    <s v="OG0001713"/>
    <s v="Ofaveolata028965"/>
    <s v="Ssiderea016596"/>
    <n v="-1.7198966"/>
    <n v="2.9898248000000001"/>
    <s v="Inverse"/>
    <s v="nucleic acid binding"/>
    <s v="nucleic acid binding"/>
  </r>
  <r>
    <x v="1"/>
    <x v="11"/>
    <s v="OG0001847"/>
    <s v="Ofaveolata003609"/>
    <s v="Ssiderea046340"/>
    <n v="1.0954340300000001"/>
    <n v="-1.3184726"/>
    <s v="Inverse"/>
    <s v="IMP dehydrogenase activity"/>
    <s v="IMP dehydrogenase activity"/>
  </r>
  <r>
    <x v="1"/>
    <x v="11"/>
    <s v="OG0001856"/>
    <s v="Ofaveolata028145"/>
    <s v="Ssiderea054468"/>
    <n v="1.2670962299999999"/>
    <n v="2.81265674"/>
    <s v="Direct"/>
    <s v="calcium ion binding"/>
    <s v="coreceptor activity involved in Wnt signaling pathway, planar cell polarity pathway"/>
  </r>
  <r>
    <x v="1"/>
    <x v="11"/>
    <s v="OG0001888"/>
    <s v="Ofaveolata000749"/>
    <s v="Ssiderea044929"/>
    <n v="-1.3006352000000001"/>
    <n v="2.4116980699999999"/>
    <s v="Inverse"/>
    <s v="bactericidal permeability-increasing protein"/>
    <s v="bactericidal permeability-increasing protein"/>
  </r>
  <r>
    <x v="1"/>
    <x v="11"/>
    <s v="OG0002093"/>
    <s v="Ofaveolata034108"/>
    <s v="Ssiderea031667"/>
    <n v="-10.642161"/>
    <n v="-3.2389903000000002"/>
    <s v="Direct"/>
    <s v="phosphatidylethanolamine catabolic process"/>
    <s v="phosphatidylethanolamine catabolic process"/>
  </r>
  <r>
    <x v="1"/>
    <x v="11"/>
    <s v="OG0002134"/>
    <s v="Ofaveolata033724"/>
    <s v="Ssiderea053607"/>
    <n v="1.7853355200000001"/>
    <n v="1.1188450000000001"/>
    <s v="Direct"/>
    <s v="NA"/>
    <s v="regulation of barbed-end actin filament capping"/>
  </r>
  <r>
    <x v="1"/>
    <x v="11"/>
    <s v="OG0002146"/>
    <s v="Ofaveolata021960"/>
    <s v="Ssiderea023516"/>
    <n v="-8.4641348999999995"/>
    <n v="-3.4656644999999999"/>
    <s v="Direct"/>
    <s v="ATP:ADP antiporter activity"/>
    <s v="ATP:ADP antiporter activity"/>
  </r>
  <r>
    <x v="1"/>
    <x v="11"/>
    <s v="OG0002149"/>
    <s v="Ofaveolata027982"/>
    <s v="Ssiderea035471"/>
    <n v="2.8432344299999999"/>
    <n v="4.9238390000000001"/>
    <s v="Direct"/>
    <s v="Pyruvate formate lyase-like"/>
    <s v="Pyruvate formate lyase-like"/>
  </r>
  <r>
    <x v="1"/>
    <x v="11"/>
    <s v="OG0002150"/>
    <s v="Ofaveolata020701"/>
    <s v="Ssiderea012426"/>
    <n v="-2.7502635"/>
    <n v="3.10228708"/>
    <s v="Inverse"/>
    <s v="tolloid-like"/>
    <s v="Tolloid-like protein 2"/>
  </r>
  <r>
    <x v="1"/>
    <x v="11"/>
    <s v="OG0002235"/>
    <s v="Ofaveolata030541"/>
    <s v="Ssiderea037657"/>
    <n v="-1.0598726000000001"/>
    <n v="-2.1013674"/>
    <s v="Direct"/>
    <s v="ATPase activity, coupled to transmembrane movement of substances"/>
    <s v="ATPase activity, coupled to transmembrane movement of substances"/>
  </r>
  <r>
    <x v="1"/>
    <x v="11"/>
    <s v="OG0002311"/>
    <s v="Ofaveolata024693"/>
    <s v="Ssiderea038681"/>
    <n v="13.9756968"/>
    <n v="1.5781693299999999"/>
    <s v="Direct"/>
    <s v="bZIP Maf transcription factor"/>
    <s v="lens fiber cell differentiation"/>
  </r>
  <r>
    <x v="1"/>
    <x v="11"/>
    <s v="OG0002339"/>
    <s v="Ofaveolata024971"/>
    <s v="Ssiderea021220"/>
    <n v="6.4982127700000003"/>
    <n v="1.1152596400000001"/>
    <s v="Direct"/>
    <s v="Synaptic vesicle membrane protein VAT-1 homolog"/>
    <s v="Synaptic vesicle membrane protein VAT-1 homolog"/>
  </r>
  <r>
    <x v="1"/>
    <x v="11"/>
    <s v="OG0002356"/>
    <s v="Ofaveolata031896"/>
    <s v="Ssiderea007305"/>
    <n v="-4.8226749"/>
    <n v="-7.6058517999999999"/>
    <s v="Direct"/>
    <s v="thioredoxin-disulfide reductase activity"/>
    <s v="thioredoxin-disulfide reductase activity"/>
  </r>
  <r>
    <x v="1"/>
    <x v="11"/>
    <s v="OG0002362"/>
    <s v="Ofaveolata010589"/>
    <s v="Ssiderea045262"/>
    <n v="1.1669013699999999"/>
    <n v="-1.4532223"/>
    <s v="Inverse"/>
    <s v="axonogenesis involved in innervation"/>
    <s v="Domain abundant in complement control proteins; SUSHI repeat; short complement-like repeat (SCR)"/>
  </r>
  <r>
    <x v="1"/>
    <x v="11"/>
    <s v="OG0002403"/>
    <s v="Ofaveolata006471"/>
    <s v="Ssiderea053334"/>
    <n v="-1.0205892000000001"/>
    <n v="1.88351709"/>
    <s v="Inverse"/>
    <s v="calcium-independent protein kinase C activity"/>
    <s v="calcium-independent protein kinase C activity"/>
  </r>
  <r>
    <x v="1"/>
    <x v="11"/>
    <s v="OG0002408"/>
    <s v="Ofaveolata007767"/>
    <s v="Ssiderea009243"/>
    <n v="1.2857435500000001"/>
    <n v="4.1916787600000003"/>
    <s v="Direct"/>
    <s v="unfolded protein binding"/>
    <s v="unfolded protein binding"/>
  </r>
  <r>
    <x v="1"/>
    <x v="11"/>
    <s v="OG0002438"/>
    <s v="Ofaveolata029977"/>
    <s v="Ssiderea024274"/>
    <n v="-5.3316735"/>
    <n v="-2.0042026000000002"/>
    <s v="Direct"/>
    <s v="SOUL heme-binding protein"/>
    <s v="SOUL heme-binding protein"/>
  </r>
  <r>
    <x v="1"/>
    <x v="11"/>
    <s v="OG0002528"/>
    <s v="Ofaveolata032458"/>
    <s v="Ssiderea034685"/>
    <n v="-1.1828666999999999"/>
    <n v="-2.6032204000000001"/>
    <s v="Direct"/>
    <s v="Belongs to the peptidase M16 family"/>
    <s v="Belongs to the peptidase M16 family"/>
  </r>
  <r>
    <x v="1"/>
    <x v="11"/>
    <s v="OG0002565"/>
    <s v="Ofaveolata022506"/>
    <s v="Ssiderea015571"/>
    <n v="-1.2816399999999999"/>
    <n v="-14.822661999999999"/>
    <s v="Direct"/>
    <s v="metalloendopeptidase activity"/>
    <s v="metalloendopeptidase activity"/>
  </r>
  <r>
    <x v="1"/>
    <x v="11"/>
    <s v="OG0002587"/>
    <s v="Ofaveolata032340"/>
    <s v="Ssiderea046012"/>
    <n v="5.5475199999999996"/>
    <n v="-2.9965202"/>
    <s v="Inverse"/>
    <s v="diphosphoinositol polyphosphate catabolic process"/>
    <s v="diphosphoinositol polyphosphate catabolic process"/>
  </r>
  <r>
    <x v="1"/>
    <x v="11"/>
    <s v="OG0002597"/>
    <s v="Ofaveolata028471"/>
    <s v="Ssiderea042652"/>
    <n v="3.2086976900000002"/>
    <n v="2.1950358300000001"/>
    <s v="Direct"/>
    <s v="betaine-homocysteine S-methyltransferase activity"/>
    <s v="betaine-homocysteine S-methyltransferase activity"/>
  </r>
  <r>
    <x v="1"/>
    <x v="11"/>
    <s v="OG0002598"/>
    <s v="Ofaveolata028327"/>
    <s v="Ssiderea004875"/>
    <n v="2.4196957299999999"/>
    <n v="3.2730072899999998"/>
    <s v="Direct"/>
    <s v="NA"/>
    <s v="spectrin binding"/>
  </r>
  <r>
    <x v="1"/>
    <x v="11"/>
    <s v="OG0002629"/>
    <s v="Ofaveolata013050"/>
    <s v="Ssiderea001426"/>
    <n v="-30.076633000000001"/>
    <n v="-8.0620791999999994"/>
    <s v="Direct"/>
    <s v="adiponectin receptor"/>
    <s v="adiponectin receptor"/>
  </r>
  <r>
    <x v="1"/>
    <x v="11"/>
    <s v="OG0002710"/>
    <s v="Ofaveolata023144"/>
    <s v="Ssiderea014675"/>
    <n v="3.02822338"/>
    <n v="5.1165341399999997"/>
    <s v="Direct"/>
    <s v="Ubiquitin homologues"/>
    <s v="Ubiquitin homologues"/>
  </r>
  <r>
    <x v="1"/>
    <x v="11"/>
    <s v="OG0002736"/>
    <s v="Ofaveolata013974"/>
    <s v="Ssiderea043950"/>
    <n v="-4.5614236999999997"/>
    <n v="-1.0031706"/>
    <s v="Direct"/>
    <s v="rRNA export from nucleus"/>
    <s v="rRNA export from nucleus"/>
  </r>
  <r>
    <x v="1"/>
    <x v="11"/>
    <s v="OG0002744"/>
    <s v="Ofaveolata005743"/>
    <s v="Ssiderea045482"/>
    <n v="1.55817468"/>
    <n v="1.4482360599999999"/>
    <s v="Direct"/>
    <s v="NA"/>
    <s v="protein polyubiquitination"/>
  </r>
  <r>
    <x v="1"/>
    <x v="11"/>
    <s v="OG0002864"/>
    <s v="Ofaveolata015612"/>
    <s v="Ssiderea000994"/>
    <n v="-1.4240139000000001"/>
    <n v="-2.3456899"/>
    <s v="Direct"/>
    <s v="NA"/>
    <s v="NA"/>
  </r>
  <r>
    <x v="1"/>
    <x v="11"/>
    <s v="OG0002897"/>
    <s v="Ofaveolata030219"/>
    <s v="Ssiderea027371"/>
    <n v="1.74229177"/>
    <n v="2.0675185200000001"/>
    <s v="Direct"/>
    <s v="TNF receptor-associated factor"/>
    <s v="Tnf receptor-associated factor 2"/>
  </r>
  <r>
    <x v="1"/>
    <x v="11"/>
    <s v="OG0002901"/>
    <s v="Ofaveolata000376"/>
    <s v="Ssiderea022059"/>
    <n v="1.7335233000000001"/>
    <n v="-5.2538450000000001"/>
    <s v="Inverse"/>
    <s v="serine-type endopeptidase activity"/>
    <s v="serine-type endopeptidase activity"/>
  </r>
  <r>
    <x v="1"/>
    <x v="11"/>
    <s v="OG0002912"/>
    <s v="Ofaveolata009608"/>
    <s v="Ssiderea051621"/>
    <n v="-1.1482056"/>
    <n v="1.6888661199999999"/>
    <s v="Inverse"/>
    <s v="Cap1 CAP, adenylate cyclase-associated protein 1"/>
    <s v="adenylate cyclase binding"/>
  </r>
  <r>
    <x v="1"/>
    <x v="11"/>
    <s v="OG0002916"/>
    <s v="Ofaveolata004977"/>
    <s v="Ssiderea046542"/>
    <n v="-2.8047882"/>
    <n v="-2.5146383999999999"/>
    <s v="Direct"/>
    <s v="negative regulation of histone acetylation"/>
    <s v="negative regulation of histone acetylation"/>
  </r>
  <r>
    <x v="1"/>
    <x v="11"/>
    <s v="OG0002933"/>
    <s v="Ofaveolata004714"/>
    <s v="Ssiderea042375"/>
    <n v="1.4198146199999999"/>
    <n v="-6.9869662000000003"/>
    <s v="Inverse"/>
    <s v="Disintegrin and metalloproteinase domain-containing protein"/>
    <s v="metalloendopeptidase activity"/>
  </r>
  <r>
    <x v="1"/>
    <x v="11"/>
    <s v="OG0002950"/>
    <s v="Ofaveolata027062"/>
    <s v="Ssiderea042204"/>
    <n v="-2.9732422999999999"/>
    <n v="-8.4646132999999999"/>
    <s v="Direct"/>
    <s v="glycerol ether metabolic process"/>
    <s v="glycerol ether metabolic process"/>
  </r>
  <r>
    <x v="1"/>
    <x v="11"/>
    <s v="OG0003011"/>
    <s v="Ofaveolata026613"/>
    <s v="Ssiderea035161"/>
    <n v="1.62946389"/>
    <n v="1.01536552"/>
    <s v="Direct"/>
    <s v="deoxyribonuclease I activity"/>
    <s v="deoxyribonuclease I activity"/>
  </r>
  <r>
    <x v="1"/>
    <x v="11"/>
    <s v="OG0003046"/>
    <s v="Ofaveolata029525"/>
    <s v="Ssiderea054712"/>
    <n v="2.0161745400000002"/>
    <n v="9.3337420899999994"/>
    <s v="Direct"/>
    <s v="Interferon induced with helicase C domain 1"/>
    <s v="Interferon induced with helicase C domain 1"/>
  </r>
  <r>
    <x v="1"/>
    <x v="11"/>
    <s v="OG0003076"/>
    <s v="Ofaveolata026396"/>
    <s v="Ssiderea038683"/>
    <n v="13.267349400000001"/>
    <n v="1.4541967499999999"/>
    <s v="Direct"/>
    <s v="abducens nerve formation"/>
    <s v="abducens nerve formation"/>
  </r>
  <r>
    <x v="1"/>
    <x v="11"/>
    <s v="OG0003080"/>
    <s v="Ofaveolata021070"/>
    <s v="Ssiderea011704"/>
    <n v="1.4356434199999999"/>
    <n v="2.0976573699999999"/>
    <s v="Direct"/>
    <s v="NA"/>
    <s v="coreceptor activity involved in Wnt signaling pathway, planar cell polarity pathway"/>
  </r>
  <r>
    <x v="1"/>
    <x v="11"/>
    <s v="OG0003086"/>
    <s v="Ofaveolata004909"/>
    <s v="Ssiderea037401"/>
    <n v="-1.7171175000000001"/>
    <n v="-1.9849885"/>
    <s v="Direct"/>
    <s v="identical protein binding"/>
    <s v="identical protein binding"/>
  </r>
  <r>
    <x v="1"/>
    <x v="11"/>
    <s v="OG0003131"/>
    <s v="Ofaveolata003761"/>
    <s v="Ssiderea028731"/>
    <n v="-3.8485062999999999"/>
    <n v="-1.1523055"/>
    <s v="Direct"/>
    <s v="methylenetetrahydrofolate reductase (NAD(P)H) activity"/>
    <s v="methylenetetrahydrofolate reductase (NAD(P)H) activity"/>
  </r>
  <r>
    <x v="1"/>
    <x v="11"/>
    <s v="OG0003165"/>
    <s v="Ofaveolata030220"/>
    <s v="Ssiderea027372"/>
    <n v="2.7751000499999998"/>
    <n v="15.620465599999999"/>
    <s v="Direct"/>
    <s v="thioesterase binding"/>
    <s v="Tnf receptor-associated factor 2"/>
  </r>
  <r>
    <x v="1"/>
    <x v="11"/>
    <s v="OG0003171"/>
    <s v="Ofaveolata005754"/>
    <s v="Ssiderea047803"/>
    <n v="-1.1899796"/>
    <n v="1.8700568399999999"/>
    <s v="Inverse"/>
    <s v="NA"/>
    <s v="Glycosyl transferases group 1"/>
  </r>
  <r>
    <x v="1"/>
    <x v="11"/>
    <s v="OG0003243"/>
    <s v="Ofaveolata001106"/>
    <s v="Ssiderea022167"/>
    <n v="-1.5045204999999999"/>
    <n v="2.0240425000000002"/>
    <s v="Inverse"/>
    <s v="PWWP domain containing 2B"/>
    <s v="chromatin binding"/>
  </r>
  <r>
    <x v="1"/>
    <x v="11"/>
    <s v="OG0003245"/>
    <s v="Ofaveolata026641"/>
    <s v="Ssiderea017631"/>
    <n v="1.4215460600000001"/>
    <n v="-5.0125605000000002"/>
    <s v="Inverse"/>
    <s v="NA"/>
    <s v="tolloid-like protein 2"/>
  </r>
  <r>
    <x v="1"/>
    <x v="11"/>
    <s v="OG0003288"/>
    <s v="Ofaveolata004908"/>
    <s v="Ssiderea011302"/>
    <n v="-2.3279090999999998"/>
    <n v="-1.1828923"/>
    <s v="Direct"/>
    <s v="aldonic acid metabolic process"/>
    <s v="aldonic acid metabolic process"/>
  </r>
  <r>
    <x v="1"/>
    <x v="11"/>
    <s v="OG0003338"/>
    <s v="Ofaveolata019018"/>
    <s v="Ssiderea001798"/>
    <n v="-1.3970047000000001"/>
    <n v="-5.3811083999999996"/>
    <s v="Direct"/>
    <s v="krueppel associated box"/>
    <s v="krueppel associated box"/>
  </r>
  <r>
    <x v="1"/>
    <x v="11"/>
    <s v="OG0003340"/>
    <s v="Ofaveolata014269"/>
    <s v="Ssiderea054693"/>
    <n v="1.3309688099999999"/>
    <n v="1.37270731"/>
    <s v="Direct"/>
    <s v="biological adhesion"/>
    <s v="biological adhesion"/>
  </r>
  <r>
    <x v="1"/>
    <x v="11"/>
    <s v="OG0003604"/>
    <s v="Ofaveolata029033"/>
    <s v="Ssiderea054281"/>
    <n v="-1.4371077000000001"/>
    <n v="2.6240435400000002"/>
    <s v="Inverse"/>
    <s v="HIstidiNe Triad nucleotide-binding protein"/>
    <s v="HIT domain"/>
  </r>
  <r>
    <x v="1"/>
    <x v="11"/>
    <s v="OG0003638"/>
    <s v="Ofaveolata025754"/>
    <s v="Ssiderea055623"/>
    <n v="1.87491466"/>
    <n v="-1.6423114000000001"/>
    <s v="Inverse"/>
    <s v="negative regulation of sequestering of triglyceride"/>
    <s v="negative regulation of sequestering of triglyceride"/>
  </r>
  <r>
    <x v="1"/>
    <x v="11"/>
    <s v="OG0003645"/>
    <s v="Ofaveolata019225"/>
    <s v="Ssiderea019162"/>
    <n v="2.2131558"/>
    <n v="-1.0608702000000001"/>
    <s v="Inverse"/>
    <s v="Transmembrane protein 145"/>
    <s v="Transmembrane protein 145"/>
  </r>
  <r>
    <x v="1"/>
    <x v="11"/>
    <s v="OG0003655"/>
    <s v="Ofaveolata022086"/>
    <s v="Ssiderea023002"/>
    <n v="1.90734632"/>
    <n v="2.40355337"/>
    <s v="Direct"/>
    <s v="nuclear factor of activated T-cells 5"/>
    <s v="nuclear factor of activated T-cells 5"/>
  </r>
  <r>
    <x v="1"/>
    <x v="11"/>
    <s v="OG0003688"/>
    <s v="Ofaveolata022367"/>
    <s v="Ssiderea023249"/>
    <n v="1.50611904"/>
    <n v="-1.2635182"/>
    <s v="Inverse"/>
    <s v="Golgi to plasma membrane transport"/>
    <s v="Golgi to plasma membrane transport"/>
  </r>
  <r>
    <x v="1"/>
    <x v="11"/>
    <s v="OG0003732"/>
    <s v="Ofaveolata016839"/>
    <s v="Ssiderea054560"/>
    <n v="-7.0527316000000004"/>
    <n v="-1.1789227"/>
    <s v="Direct"/>
    <s v="non-membrane spanning protein tyrosine phosphatase activity"/>
    <s v="non-membrane spanning protein tyrosine phosphatase activity"/>
  </r>
  <r>
    <x v="1"/>
    <x v="11"/>
    <s v="OG0003785"/>
    <s v="Ofaveolata034275"/>
    <s v="Ssiderea052852"/>
    <n v="-1.9786056999999999"/>
    <n v="1.08278772"/>
    <s v="Inverse"/>
    <s v="rRNA (pseudouridine) methyltransferase activity"/>
    <s v="rRNA (pseudouridine) methyltransferase activity"/>
  </r>
  <r>
    <x v="1"/>
    <x v="11"/>
    <s v="OG0003815"/>
    <s v="Ofaveolata028767"/>
    <s v="Ssiderea027809"/>
    <n v="-13.267348999999999"/>
    <n v="-2.1954881999999998"/>
    <s v="Direct"/>
    <s v="PPIases accelerate the folding of proteins. It catalyzes the cis-trans isomerization of proline imidic peptide bonds in oligopeptides"/>
    <s v="PPIases accelerate the folding of proteins. It catalyzes the cis-trans isomerization of proline imidic peptide bonds in oligopeptides"/>
  </r>
  <r>
    <x v="1"/>
    <x v="11"/>
    <s v="OG0003875"/>
    <s v="Ofaveolata029412"/>
    <s v="Ssiderea032926"/>
    <n v="1.26033069"/>
    <n v="6.2451631799999996"/>
    <s v="Direct"/>
    <s v="DUF167"/>
    <s v="DUF167"/>
  </r>
  <r>
    <x v="1"/>
    <x v="11"/>
    <s v="OG0003915"/>
    <s v="Ofaveolata007210"/>
    <s v="Ssiderea009883"/>
    <n v="1.2710336"/>
    <n v="-1.2099867"/>
    <s v="Inverse"/>
    <s v="Putative zinc finger in N-recognin (UBR box)"/>
    <s v="e3 ubiquitin-protein ligase"/>
  </r>
  <r>
    <x v="1"/>
    <x v="11"/>
    <s v="OG0003925"/>
    <s v="Ofaveolata021285"/>
    <s v="Ssiderea047397"/>
    <n v="-1.6595819999999999"/>
    <n v="1.10054052"/>
    <s v="Inverse"/>
    <s v="ThiF family"/>
    <s v="ThiF family"/>
  </r>
  <r>
    <x v="1"/>
    <x v="11"/>
    <s v="OG0003926"/>
    <s v="Ofaveolata020989"/>
    <s v="Ssiderea012318"/>
    <n v="-6.0907036999999997"/>
    <n v="-1.2283398999999999"/>
    <s v="Direct"/>
    <s v="positive regulation of DNA N-glycosylase activity"/>
    <s v="positive regulation of DNA N-glycosylase activity"/>
  </r>
  <r>
    <x v="1"/>
    <x v="11"/>
    <s v="OG0003938"/>
    <s v="Ofaveolata034028"/>
    <s v="Ssiderea031960"/>
    <n v="4.1264426299999997"/>
    <n v="1.79112085"/>
    <s v="Direct"/>
    <s v="protein kinase activity"/>
    <s v="myosin light chain kinase activity"/>
  </r>
  <r>
    <x v="1"/>
    <x v="11"/>
    <s v="OG0004022"/>
    <s v="Ofaveolata027837"/>
    <s v="Ssiderea035419"/>
    <n v="1.85205317"/>
    <n v="-1.3557931999999999"/>
    <s v="Inverse"/>
    <s v="Calponin homology domain"/>
    <s v="regulation of membrane repolarization during atrial cardiac muscle cell action potential"/>
  </r>
  <r>
    <x v="1"/>
    <x v="11"/>
    <s v="OG0004075"/>
    <s v="Ofaveolata010918"/>
    <s v="Ssiderea019927"/>
    <n v="-4.5968970999999996"/>
    <n v="-2.7479157000000001"/>
    <s v="Direct"/>
    <s v="L-gulonolactone oxidase-like"/>
    <s v="L-gulonolactone oxidase-like"/>
  </r>
  <r>
    <x v="1"/>
    <x v="11"/>
    <s v="OG0004083"/>
    <s v="Ofaveolata005246"/>
    <s v="Ssiderea010152"/>
    <n v="4.1451583999999997"/>
    <n v="3.8400873999999998"/>
    <s v="Direct"/>
    <s v="PEST proteolytic signal containing nuclear protein"/>
    <s v="PEST proteolytic signal containing nuclear protein"/>
  </r>
  <r>
    <x v="1"/>
    <x v="11"/>
    <s v="OG0004157"/>
    <s v="Ofaveolata013390"/>
    <s v="Ssiderea001211"/>
    <n v="-4.9158758000000002"/>
    <n v="-2.2817576000000002"/>
    <s v="Direct"/>
    <s v="lens induction in camera-type eye"/>
    <s v="lens induction in camera-type eye"/>
  </r>
  <r>
    <x v="1"/>
    <x v="11"/>
    <s v="OG0004163"/>
    <s v="Ofaveolata009307"/>
    <s v="Ssiderea035615"/>
    <n v="-1.2820201"/>
    <n v="-2.6091565000000001"/>
    <s v="Direct"/>
    <s v="neurogenic locus notch homolog protein"/>
    <s v="neurogenic locus notch homolog protein"/>
  </r>
  <r>
    <x v="1"/>
    <x v="11"/>
    <s v="OG0004183"/>
    <s v="Ofaveolata029083"/>
    <s v="Ssiderea013771"/>
    <n v="-1.1022523"/>
    <n v="-4.7100499999999998"/>
    <s v="Direct"/>
    <s v="calcium, potassium:sodium antiporter activity"/>
    <s v="calcium, potassium:sodium antiporter activity"/>
  </r>
  <r>
    <x v="1"/>
    <x v="11"/>
    <s v="OG0004196"/>
    <s v="Ofaveolata033413"/>
    <s v="Ssiderea040202"/>
    <n v="-3.5179290999999999"/>
    <n v="-1.4228624999999999"/>
    <s v="Direct"/>
    <s v="Calcium ion binding. It is involved in the biological process described with protein folding"/>
    <s v="Calcium ion binding. It is involved in the biological process described with protein folding"/>
  </r>
  <r>
    <x v="1"/>
    <x v="11"/>
    <s v="OG0004207"/>
    <s v="Ofaveolata002528"/>
    <s v="Ssiderea027146"/>
    <n v="1.04001261"/>
    <n v="-8.6566103999999999"/>
    <s v="Inverse"/>
    <s v="Metalloendopeptidase activity. It is involved in the biological process described with proteolysis"/>
    <s v="Metalloendopeptidase activity. It is involved in the biological process described with proteolysis"/>
  </r>
  <r>
    <x v="1"/>
    <x v="11"/>
    <s v="OG0004217"/>
    <s v="Ofaveolata001100"/>
    <s v="Ssiderea022172"/>
    <n v="-1.0877816"/>
    <n v="-3.5287111000000002"/>
    <s v="Direct"/>
    <s v="TIA1 cytotoxic granule-associated RNA binding protein-like 1"/>
    <s v="Nucleolysin TIA-1 isoform"/>
  </r>
  <r>
    <x v="1"/>
    <x v="11"/>
    <s v="OG0004224"/>
    <s v="Ofaveolata001772"/>
    <s v="Ssiderea027020"/>
    <n v="-1.0646949000000001"/>
    <n v="-1.9665007000000001"/>
    <s v="Direct"/>
    <s v="ADAM-TS Spacer 1"/>
    <s v="with thrombospondin"/>
  </r>
  <r>
    <x v="1"/>
    <x v="11"/>
    <s v="OG0004273"/>
    <s v="Ofaveolata010227"/>
    <s v="Ssiderea045314"/>
    <n v="-1.225244"/>
    <n v="-1.6164285"/>
    <s v="Direct"/>
    <s v="NA"/>
    <s v="structural constituent of cuticle"/>
  </r>
  <r>
    <x v="1"/>
    <x v="11"/>
    <s v="OG0004276"/>
    <s v="Ofaveolata015184"/>
    <s v="Ssiderea051137"/>
    <n v="-2.6564356"/>
    <n v="-1.1664219"/>
    <s v="Direct"/>
    <s v="recombination hotspot binding"/>
    <s v="recombination hotspot binding"/>
  </r>
  <r>
    <x v="1"/>
    <x v="11"/>
    <s v="OG0004300"/>
    <s v="Ofaveolata001752"/>
    <s v="Ssiderea026962"/>
    <n v="-20.762954000000001"/>
    <n v="-2.6367812000000002"/>
    <s v="Direct"/>
    <s v="adenosine kinase activity"/>
    <s v="adenosine kinase activity"/>
  </r>
  <r>
    <x v="1"/>
    <x v="11"/>
    <s v="OG0004304"/>
    <s v="Ofaveolata012903"/>
    <s v="Ssiderea001525"/>
    <n v="1.0751432000000001"/>
    <n v="1.6183028800000001"/>
    <s v="Direct"/>
    <s v="actin filament polymerization"/>
    <s v="actin filament polymerization"/>
  </r>
  <r>
    <x v="1"/>
    <x v="11"/>
    <s v="OG0004309"/>
    <s v="Ofaveolata012820"/>
    <s v="Ssiderea058313"/>
    <n v="-1.6067438000000001"/>
    <n v="5.3143451400000004"/>
    <s v="Inverse"/>
    <s v="Peptidyl-prolyl cis-trans isomerase"/>
    <s v="Peptidyl-prolyl cis-trans isomerase"/>
  </r>
  <r>
    <x v="1"/>
    <x v="11"/>
    <s v="OG0004325"/>
    <s v="Ofaveolata005875"/>
    <s v="Ssiderea047890"/>
    <n v="-1.8994515999999999"/>
    <n v="-7.2715494999999999"/>
    <s v="Direct"/>
    <s v="sphingolipid delta-4 desaturase activity"/>
    <s v="sphingolipid delta-4 desaturase activity"/>
  </r>
  <r>
    <x v="1"/>
    <x v="11"/>
    <s v="OG0004327"/>
    <s v="Ofaveolata010886"/>
    <s v="Ssiderea019898"/>
    <n v="-1.8161797"/>
    <n v="2.1857296499999999"/>
    <s v="Inverse"/>
    <s v="entrainment of circadian clock"/>
    <s v="pineal gland development"/>
  </r>
  <r>
    <x v="1"/>
    <x v="11"/>
    <s v="OG0004341"/>
    <s v="Ofaveolata013097"/>
    <s v="Ssiderea001380"/>
    <n v="-2.2909202"/>
    <n v="-2.3223308999999999"/>
    <s v="Direct"/>
    <s v="Activating molecule in BECN1-regulated autophagy protein"/>
    <s v="Activating molecule in BECN1-regulated autophagy protein"/>
  </r>
  <r>
    <x v="1"/>
    <x v="11"/>
    <s v="OG0004348"/>
    <s v="Ofaveolata029009"/>
    <s v="Ssiderea054286"/>
    <n v="-1.4921344999999999"/>
    <n v="-1.4448926"/>
    <s v="Direct"/>
    <s v="fatty acid beta-oxidation using acyl-CoA dehydrogenase"/>
    <s v="fatty acid beta-oxidation using acyl-CoA dehydrogenase"/>
  </r>
  <r>
    <x v="1"/>
    <x v="11"/>
    <s v="OG0004351"/>
    <s v="Ofaveolata013501"/>
    <s v="Ssiderea000397"/>
    <n v="-2.5904313000000001"/>
    <n v="-3.3278311999999999"/>
    <s v="Direct"/>
    <s v="actin filament severing"/>
    <s v="actin filament severing"/>
  </r>
  <r>
    <x v="1"/>
    <x v="11"/>
    <s v="OG0004354"/>
    <s v="Ofaveolata017133"/>
    <s v="Ssiderea052667"/>
    <n v="-1.6375668999999999"/>
    <n v="-5.2493341999999998"/>
    <s v="Direct"/>
    <s v="NA"/>
    <s v="regulation of BMP signaling pathway"/>
  </r>
  <r>
    <x v="1"/>
    <x v="11"/>
    <s v="OG0004388"/>
    <s v="Ofaveolata010126"/>
    <s v="Ssiderea049489"/>
    <n v="1.1784445699999999"/>
    <n v="4.9917220599999998"/>
    <s v="Direct"/>
    <s v="enhancer sequence-specific DNA binding"/>
    <s v="enhancer sequence-specific DNA binding"/>
  </r>
  <r>
    <x v="1"/>
    <x v="11"/>
    <s v="OG0004400"/>
    <s v="Ofaveolata001634"/>
    <s v="Ssiderea026672"/>
    <n v="1.1208885900000001"/>
    <n v="1.4048472299999999"/>
    <s v="Direct"/>
    <s v="ATP binding"/>
    <s v="ATP binding"/>
  </r>
  <r>
    <x v="1"/>
    <x v="11"/>
    <s v="OG0004404"/>
    <s v="Ofaveolata010574"/>
    <s v="Ssiderea045386"/>
    <n v="2.7751000499999998"/>
    <n v="4.0048745500000003"/>
    <s v="Direct"/>
    <s v="Belongs to the G-protein coupled receptor Fz Smo family"/>
    <s v="frizzled-related protein"/>
  </r>
  <r>
    <x v="1"/>
    <x v="11"/>
    <s v="OG0004433"/>
    <s v="Ofaveolata015204"/>
    <s v="Ssiderea051141"/>
    <n v="-1.4790097"/>
    <n v="-1.128171"/>
    <s v="Direct"/>
    <s v="zinc finger"/>
    <s v="zinc finger"/>
  </r>
  <r>
    <x v="1"/>
    <x v="11"/>
    <s v="OG0004437"/>
    <s v="Ofaveolata024852"/>
    <s v="Ssiderea020916"/>
    <n v="6.3069037100000003"/>
    <n v="11.9229536"/>
    <s v="Direct"/>
    <s v="abducens nerve formation"/>
    <s v="abducens nerve formation"/>
  </r>
  <r>
    <x v="1"/>
    <x v="11"/>
    <s v="OG0004469"/>
    <s v="Ofaveolata020047"/>
    <s v="Ssiderea056512"/>
    <n v="-2.2565138"/>
    <n v="-2.8839190000000001"/>
    <s v="Direct"/>
    <s v="Nucleoporin"/>
    <s v="Nucleoporin"/>
  </r>
  <r>
    <x v="1"/>
    <x v="11"/>
    <s v="OG0004477"/>
    <s v="Ofaveolata008121"/>
    <s v="Ssiderea009659"/>
    <n v="1.8259707000000001"/>
    <n v="2.08417494"/>
    <s v="Direct"/>
    <s v="DNA replication initiation"/>
    <s v="DNA replication initiation"/>
  </r>
  <r>
    <x v="1"/>
    <x v="11"/>
    <s v="OG0004522"/>
    <s v="Ofaveolata032820"/>
    <s v="Ssiderea053812"/>
    <n v="-2.5234295000000002"/>
    <n v="-4.7335792000000003"/>
    <s v="Direct"/>
    <s v="NA"/>
    <s v="ubiquitin binding"/>
  </r>
  <r>
    <x v="1"/>
    <x v="11"/>
    <s v="OG0004524"/>
    <s v="Ofaveolata027535"/>
    <s v="Ssiderea025184"/>
    <n v="-1.3975865999999999"/>
    <n v="1.1357181999999999"/>
    <s v="Inverse"/>
    <s v="Cell division cycle"/>
    <s v="Cell division cycle"/>
  </r>
  <r>
    <x v="1"/>
    <x v="11"/>
    <s v="OG0004536"/>
    <s v="Ofaveolata001111"/>
    <s v="Ssiderea022163"/>
    <n v="-2.0754698999999999"/>
    <n v="-3.5520942"/>
    <s v="Direct"/>
    <s v="retinol dehydrogenase activity"/>
    <s v="retinol dehydrogenase activity"/>
  </r>
  <r>
    <x v="1"/>
    <x v="11"/>
    <s v="OG0004546"/>
    <s v="Ofaveolata028893"/>
    <s v="Ssiderea014319"/>
    <n v="2.2661394100000001"/>
    <n v="1.2046180900000001"/>
    <s v="Direct"/>
    <s v="NA"/>
    <s v="Hemicentin 1"/>
  </r>
  <r>
    <x v="1"/>
    <x v="11"/>
    <s v="OG0004583"/>
    <s v="Ofaveolata014339"/>
    <s v="Ssiderea004623"/>
    <n v="-1.3609902"/>
    <n v="-2.4235524000000002"/>
    <s v="Direct"/>
    <s v="NA"/>
    <s v="GPI anchor biosynthetic process"/>
  </r>
  <r>
    <x v="1"/>
    <x v="11"/>
    <s v="OG0004608"/>
    <s v="Ofaveolata003157"/>
    <s v="Ssiderea030253"/>
    <n v="-1.9479777"/>
    <n v="-2.4001054000000002"/>
    <s v="Direct"/>
    <s v="ciliary basal body organization"/>
    <s v="Rootletin"/>
  </r>
  <r>
    <x v="1"/>
    <x v="11"/>
    <s v="OG0004628"/>
    <s v="Ofaveolata027059"/>
    <s v="Ssiderea042164"/>
    <n v="-2.2580941999999999"/>
    <n v="-1.7157853999999999"/>
    <s v="Direct"/>
    <s v="glycerol ether metabolic process"/>
    <s v="glycerol ether metabolic process"/>
  </r>
  <r>
    <x v="1"/>
    <x v="11"/>
    <s v="OG0004650"/>
    <s v="Ofaveolata034244"/>
    <s v="Ssiderea053590"/>
    <n v="-13.314583000000001"/>
    <n v="-4.9476455000000001"/>
    <s v="Direct"/>
    <s v="ATPase activity, coupled to transmembrane movement of substances"/>
    <s v="ATPase activity, coupled to transmembrane movement of substances"/>
  </r>
  <r>
    <x v="1"/>
    <x v="11"/>
    <s v="OG0004661"/>
    <s v="Ofaveolata019723"/>
    <s v="Ssiderea011990"/>
    <n v="-4.4929471999999997"/>
    <n v="-2.5299827000000001"/>
    <s v="Direct"/>
    <s v="ATP-dependent chromatin remodeling"/>
    <s v="ATP-dependent chromatin remodeling"/>
  </r>
  <r>
    <x v="1"/>
    <x v="11"/>
    <s v="OG0004673"/>
    <s v="Ofaveolata007491"/>
    <s v="Ssiderea044424"/>
    <n v="-1.4064756"/>
    <n v="2.81265674"/>
    <s v="Inverse"/>
    <s v="hydrolase activity, acting on ester bonds"/>
    <s v="hydrolase activity, acting on ester bonds"/>
  </r>
  <r>
    <x v="1"/>
    <x v="11"/>
    <s v="OG0004729"/>
    <s v="Ofaveolata033694"/>
    <s v="Ssiderea053628"/>
    <n v="-1.2901590000000001"/>
    <n v="2.1015650300000002"/>
    <s v="Inverse"/>
    <s v="methyltransferase activity"/>
    <s v="Lysine methyltransferase"/>
  </r>
  <r>
    <x v="1"/>
    <x v="11"/>
    <s v="OG0004739"/>
    <s v="Ofaveolata028816"/>
    <s v="Ssiderea014506"/>
    <n v="-1.008559"/>
    <n v="-2.6085292999999998"/>
    <s v="Direct"/>
    <s v="calcium ion binding"/>
    <s v="calcium ion binding"/>
  </r>
  <r>
    <x v="1"/>
    <x v="11"/>
    <s v="OG0004762"/>
    <s v="Ofaveolata017091"/>
    <s v="Ssiderea054520"/>
    <n v="-3.4546686000000002"/>
    <n v="-3.2089482999999999"/>
    <s v="Direct"/>
    <s v="actin filament polymerization"/>
    <s v="actin filament polymerization"/>
  </r>
  <r>
    <x v="1"/>
    <x v="11"/>
    <s v="OG0004781"/>
    <s v="Ofaveolata025449"/>
    <s v="Ssiderea039819"/>
    <n v="-1.5547664999999999"/>
    <n v="-12.906544"/>
    <s v="Direct"/>
    <s v="BolA-like protein"/>
    <s v="bolA-like protein"/>
  </r>
  <r>
    <x v="1"/>
    <x v="11"/>
    <s v="OG0004782"/>
    <s v="Ofaveolata030261"/>
    <s v="Ssiderea027515"/>
    <n v="-2.1284605999999999"/>
    <n v="1.0233791999999999"/>
    <s v="Inverse"/>
    <s v="O-methyltransferase activity"/>
    <s v="O-methyltransferase activity"/>
  </r>
  <r>
    <x v="1"/>
    <x v="11"/>
    <s v="OG0004784"/>
    <s v="Ofaveolata017528"/>
    <s v="Ssiderea018523"/>
    <n v="-1.5415449999999999"/>
    <n v="-2.0461323"/>
    <s v="Direct"/>
    <s v="Putative Interleukin 2 receptor, gamma chain"/>
    <s v="Putative Interleukin 2 receptor, gamma chain"/>
  </r>
  <r>
    <x v="1"/>
    <x v="11"/>
    <s v="OG0004786"/>
    <s v="Ofaveolata003122"/>
    <s v="Ssiderea024610"/>
    <n v="-1.6566301000000001"/>
    <n v="-4.5257478999999998"/>
    <s v="Direct"/>
    <s v="peptide-methionine (S)-S-oxide reductase activity"/>
    <s v="Thioredoxin"/>
  </r>
  <r>
    <x v="1"/>
    <x v="11"/>
    <s v="OG0004796"/>
    <s v="Ofaveolata004101"/>
    <s v="Ssiderea030788"/>
    <n v="-2.6159414000000001"/>
    <n v="-3.2270873999999998"/>
    <s v="Direct"/>
    <s v="oxoglutarate:malate antiporter activity"/>
    <s v="oxoglutarate:malate antiporter activity"/>
  </r>
  <r>
    <x v="1"/>
    <x v="11"/>
    <s v="OG0004805"/>
    <s v="Ofaveolata022645"/>
    <s v="Ssiderea050118"/>
    <n v="-2.0443343"/>
    <n v="-1.0185709000000001"/>
    <s v="Direct"/>
    <s v="cellular response to glucose starvation"/>
    <s v="cellular response to glucose starvation"/>
  </r>
  <r>
    <x v="1"/>
    <x v="11"/>
    <s v="OG0004829"/>
    <s v="Ofaveolata026912"/>
    <s v="Ssiderea017923"/>
    <n v="1.0154671099999999"/>
    <n v="1.2212067"/>
    <s v="Direct"/>
    <s v="Leucine rich repeat"/>
    <s v="Leucine rich repeat"/>
  </r>
  <r>
    <x v="1"/>
    <x v="11"/>
    <s v="OG0004854"/>
    <s v="Ofaveolata000070"/>
    <s v="Ssiderea029422"/>
    <n v="1.4683692100000001"/>
    <n v="-1.1390859"/>
    <s v="Inverse"/>
    <s v="sodium channel activity"/>
    <s v="sodium channel activity"/>
  </r>
  <r>
    <x v="1"/>
    <x v="11"/>
    <s v="OG0004859"/>
    <s v="Ofaveolata028735"/>
    <s v="Ssiderea014578"/>
    <n v="1.3448663000000001"/>
    <n v="2.2862136300000002"/>
    <s v="Direct"/>
    <s v="isocitrate dehydrogenase (NADP+) activity"/>
    <s v="isocitrate dehydrogenase (NADP+) activity"/>
  </r>
  <r>
    <x v="1"/>
    <x v="11"/>
    <s v="OG0004900"/>
    <s v="Ofaveolata033196"/>
    <s v="Ssiderea026246"/>
    <n v="-2.7225747"/>
    <n v="-2.3995517"/>
    <s v="Direct"/>
    <s v="Protein of unknown function (DUF1387)"/>
    <s v="Protein of unknown function (DUF1387)"/>
  </r>
  <r>
    <x v="1"/>
    <x v="11"/>
    <s v="OG0004922"/>
    <s v="Ofaveolata010215"/>
    <s v="Ssiderea045336"/>
    <n v="-5.4913641000000002"/>
    <n v="-3.8282406"/>
    <s v="Direct"/>
    <s v="BIR domain binding"/>
    <s v="BIR domain binding"/>
  </r>
  <r>
    <x v="1"/>
    <x v="11"/>
    <s v="OG0004937"/>
    <s v="Ofaveolata022467"/>
    <s v="Ssiderea015156"/>
    <n v="-6.2451911000000004"/>
    <n v="-2.9803966000000002"/>
    <s v="Direct"/>
    <s v="protein serine/threonine phosphatase activity"/>
    <s v="protein serine/threonine phosphatase activity"/>
  </r>
  <r>
    <x v="1"/>
    <x v="11"/>
    <s v="OG0004958"/>
    <s v="Ofaveolata020988"/>
    <s v="Ssiderea012319"/>
    <n v="1.4055711799999999"/>
    <n v="-1.2807739"/>
    <s v="Inverse"/>
    <s v="PUB domain"/>
    <s v="PUB domain"/>
  </r>
  <r>
    <x v="1"/>
    <x v="11"/>
    <s v="OG0004972"/>
    <s v="Ofaveolata013189"/>
    <s v="Ssiderea000852"/>
    <n v="3.1122066500000001"/>
    <n v="1.10590334"/>
    <s v="Direct"/>
    <s v="Formin-binding protein 4"/>
    <s v="Domain with 2 conserved Trp (W) residues"/>
  </r>
  <r>
    <x v="1"/>
    <x v="11"/>
    <s v="OG0004978"/>
    <s v="Ofaveolata014006"/>
    <s v="Ssiderea043935"/>
    <n v="4.2815128800000002"/>
    <n v="5.3864892299999996"/>
    <s v="Direct"/>
    <s v="Histone H1-delta-like"/>
    <s v="Histone H1-delta-like"/>
  </r>
  <r>
    <x v="1"/>
    <x v="11"/>
    <s v="OG0004982"/>
    <s v="Ofaveolata029248"/>
    <s v="Ssiderea033200"/>
    <n v="-3.8003944000000001"/>
    <n v="-1.1333983000000001"/>
    <s v="Direct"/>
    <s v="zinc ion binding"/>
    <s v="zinc ion binding"/>
  </r>
  <r>
    <x v="1"/>
    <x v="11"/>
    <s v="OG0004995"/>
    <s v="Ofaveolata032658"/>
    <s v="Ssiderea052004"/>
    <n v="-4.1151662"/>
    <n v="-1.0222195000000001"/>
    <s v="Direct"/>
    <s v="26s proteasome non-ATPase regulatory subunit"/>
    <s v="26s proteasome non-ATPase regulatory subunit"/>
  </r>
  <r>
    <x v="1"/>
    <x v="11"/>
    <s v="OG0005039"/>
    <s v="Ofaveolata015148"/>
    <s v="Ssiderea051151"/>
    <n v="3.0830682299999999"/>
    <n v="6.8321206999999999"/>
    <s v="Direct"/>
    <s v="NA"/>
    <s v="calcium ion-regulated exocytosis of neurotransmitter"/>
  </r>
  <r>
    <x v="1"/>
    <x v="11"/>
    <s v="OG0005047"/>
    <s v="Ofaveolata023070"/>
    <s v="Ssiderea014719"/>
    <n v="1.8837364599999999"/>
    <n v="1.1022161699999999"/>
    <s v="Direct"/>
    <s v="intra-S DNA damage checkpoint"/>
    <s v="intra-S DNA damage checkpoint"/>
  </r>
  <r>
    <x v="1"/>
    <x v="11"/>
    <s v="OG0005065"/>
    <s v="Ofaveolata024646"/>
    <s v="Ssiderea017215"/>
    <n v="-1.6079105"/>
    <n v="-1.3295444000000001"/>
    <s v="Direct"/>
    <s v="Pyridine nucleotide-disulfide oxidoreductase domain-containing protein"/>
    <s v="Pyridine nucleotide-disulfide oxidoreductase domain-containing protein"/>
  </r>
  <r>
    <x v="1"/>
    <x v="11"/>
    <s v="OG0005066"/>
    <s v="Ofaveolata012949"/>
    <s v="Ssiderea001679"/>
    <n v="-3.7195735000000001"/>
    <n v="-1.1005882"/>
    <s v="Direct"/>
    <s v="G patch domain-containing protein 4"/>
    <s v="glycine rich nucleic binding domain"/>
  </r>
  <r>
    <x v="1"/>
    <x v="11"/>
    <s v="OG0005072"/>
    <s v="Ofaveolata028669"/>
    <s v="Ssiderea042832"/>
    <n v="1.0578052899999999"/>
    <n v="1.1711285499999999"/>
    <s v="Direct"/>
    <s v="interkinetic nuclear migration"/>
    <s v="interkinetic nuclear migration"/>
  </r>
  <r>
    <x v="1"/>
    <x v="11"/>
    <s v="OG0005095"/>
    <s v="Ofaveolata024441"/>
    <s v="Ssiderea006120"/>
    <n v="-1.3657043"/>
    <n v="4.1558415899999996"/>
    <s v="Inverse"/>
    <s v="GPN-loop GTPase 3"/>
    <s v="GPN-loop GTPase 3"/>
  </r>
  <r>
    <x v="1"/>
    <x v="11"/>
    <s v="OG0005139"/>
    <s v="Ofaveolata004470"/>
    <s v="Ssiderea053264"/>
    <n v="-2.1047039000000001"/>
    <n v="-14.291460000000001"/>
    <s v="Direct"/>
    <s v="GXGXG motif"/>
    <s v="glutamate synthase (NADH) activity. It is involved in the biological process described with oxidation-reduction process"/>
  </r>
  <r>
    <x v="1"/>
    <x v="11"/>
    <s v="OG0005170"/>
    <s v="Ofaveolata011456"/>
    <s v="Ssiderea019366"/>
    <n v="1.10435522"/>
    <n v="-2.9579996"/>
    <s v="Inverse"/>
    <s v="NA"/>
    <s v="negative regulation of brain-derived neurotrophic factor receptor signaling pathway"/>
  </r>
  <r>
    <x v="1"/>
    <x v="11"/>
    <s v="OG0005235"/>
    <s v="Ofaveolata034414"/>
    <s v="Ssiderea057299"/>
    <n v="2.41802568"/>
    <n v="-2.6843138999999998"/>
    <s v="Inverse"/>
    <s v="DNA binding"/>
    <s v="DNA binding"/>
  </r>
  <r>
    <x v="1"/>
    <x v="11"/>
    <s v="OG0005264"/>
    <s v="Ofaveolata029747"/>
    <s v="Ssiderea023767"/>
    <n v="-6.5766999999999998"/>
    <n v="-2.5335329"/>
    <s v="Direct"/>
    <s v="HD domain"/>
    <s v="HD domain"/>
  </r>
  <r>
    <x v="1"/>
    <x v="11"/>
    <s v="OG0005269"/>
    <s v="Ofaveolata033406"/>
    <s v="Ssiderea040225"/>
    <n v="-9.8574333999999997"/>
    <n v="-3.3799234999999999"/>
    <s v="Direct"/>
    <s v="supervillin"/>
    <s v="supervillin"/>
  </r>
  <r>
    <x v="1"/>
    <x v="11"/>
    <s v="OG0005321"/>
    <s v="Ofaveolata032268"/>
    <s v="Ssiderea006977"/>
    <n v="-3.5784531999999998"/>
    <n v="-2.3641049000000001"/>
    <s v="Direct"/>
    <s v="Translocon-associated protein, delta subunit precursor (TRAP-delta)"/>
    <s v="Translocon-associated protein, delta subunit precursor (TRAP-delta)"/>
  </r>
  <r>
    <x v="1"/>
    <x v="11"/>
    <s v="OG0005381"/>
    <s v="Ofaveolata001446"/>
    <s v="Ssiderea043598"/>
    <n v="1.8515945899999999"/>
    <n v="-1.2964712"/>
    <s v="Inverse"/>
    <s v="taste receptor binding"/>
    <s v="taste receptor binding"/>
  </r>
  <r>
    <x v="1"/>
    <x v="11"/>
    <s v="OG0005407"/>
    <s v="Ofaveolata014376"/>
    <s v="Ssiderea004853"/>
    <n v="-7.0432245"/>
    <n v="-2.1956893000000002"/>
    <s v="Direct"/>
    <s v="glycine biosynthetic process from serine"/>
    <s v="glycine biosynthetic process from serine"/>
  </r>
  <r>
    <x v="1"/>
    <x v="11"/>
    <s v="OG0005424"/>
    <s v="Ofaveolata008015"/>
    <s v="Ssiderea009517"/>
    <n v="-1.3286735000000001"/>
    <n v="-3.4159673000000002"/>
    <s v="Direct"/>
    <s v="regulation of T cell differentiation in thymus"/>
    <s v="regulation of T cell differentiation in thymus"/>
  </r>
  <r>
    <x v="1"/>
    <x v="11"/>
    <s v="OG0005468"/>
    <s v="Ofaveolata019772"/>
    <s v="Ssiderea012090"/>
    <n v="-1.359693"/>
    <n v="2.5836874999999999"/>
    <s v="Inverse"/>
    <s v="Peptidyl-prolyl cis-trans isomerase"/>
    <s v="Peptidyl-prolyl cis-trans isomerase"/>
  </r>
  <r>
    <x v="1"/>
    <x v="11"/>
    <s v="OG0005469"/>
    <s v="Ofaveolata024493"/>
    <s v="Ssiderea005742"/>
    <n v="-1.2590631000000001"/>
    <n v="-5.5983083999999996"/>
    <s v="Direct"/>
    <s v="intracellular distribution of mitochondria"/>
    <s v="intracellular distribution of mitochondria"/>
  </r>
  <r>
    <x v="1"/>
    <x v="11"/>
    <s v="OG0005477"/>
    <s v="Ofaveolata019329"/>
    <s v="Ssiderea011427"/>
    <n v="-2.2974847999999999"/>
    <n v="-4.3638081"/>
    <s v="Direct"/>
    <s v="enoyl-CoA hydratase isomerase family"/>
    <s v="enoyl-CoA hydratase isomerase family"/>
  </r>
  <r>
    <x v="1"/>
    <x v="11"/>
    <s v="OG0005521"/>
    <s v="Ofaveolata021922"/>
    <s v="Ssiderea023552"/>
    <n v="1.0492669999999999"/>
    <n v="11.410586"/>
    <s v="Direct"/>
    <s v="Suppression of tumorigenicity 13 (colon carcinoma) (Hsp70 interacting protein)"/>
    <s v="suppression of tumorigenicity 13 (colon carcinoma) (Hsp70 interacting protein)"/>
  </r>
  <r>
    <x v="1"/>
    <x v="11"/>
    <s v="OG0005535"/>
    <s v="Ofaveolata029877"/>
    <s v="Ssiderea024107"/>
    <n v="1.5376223099999999"/>
    <n v="1.99623214"/>
    <s v="Direct"/>
    <s v="positive regulation of cristae formation"/>
    <s v="positive regulation of cristae formation"/>
  </r>
  <r>
    <x v="1"/>
    <x v="11"/>
    <s v="OG0005564"/>
    <s v="Ofaveolata013518"/>
    <s v="Ssiderea000364"/>
    <n v="-1.061653"/>
    <n v="-3.1248634000000002"/>
    <s v="Direct"/>
    <s v="Neuronal PAS"/>
    <s v="Motif C-terminal to PAS motifs (likely to contribute to PAS structural domain)"/>
  </r>
  <r>
    <x v="1"/>
    <x v="11"/>
    <s v="OG0005611"/>
    <s v="Ofaveolata025190"/>
    <s v="Ssiderea021606"/>
    <n v="-1.6047047000000001"/>
    <n v="-24.406707000000001"/>
    <s v="Direct"/>
    <s v="structural constituent of cuticle"/>
    <s v="structural constituent of cuticle"/>
  </r>
  <r>
    <x v="1"/>
    <x v="11"/>
    <s v="OG0005685"/>
    <s v="Ofaveolata032514"/>
    <s v="Ssiderea034877"/>
    <n v="2.5725456599999998"/>
    <n v="1.27790789"/>
    <s v="Direct"/>
    <s v="NA"/>
    <s v="Transcriptional regulatory protein LGE1"/>
  </r>
  <r>
    <x v="1"/>
    <x v="11"/>
    <s v="OG0005687"/>
    <s v="Ofaveolata026642"/>
    <s v="Ssiderea017630"/>
    <n v="-1.7411297999999999"/>
    <n v="-1.1116744999999999"/>
    <s v="Direct"/>
    <s v="carbohydrate binding"/>
    <s v="metalloendopeptidase activity"/>
  </r>
  <r>
    <x v="1"/>
    <x v="11"/>
    <s v="OG0005698"/>
    <s v="Ofaveolata013555"/>
    <s v="Ssiderea000112"/>
    <n v="-5.8952809999999998"/>
    <n v="-1.2836258"/>
    <s v="Direct"/>
    <s v="FMN transmembrane transporter activity"/>
    <s v="FMN transmembrane transporter activity"/>
  </r>
  <r>
    <x v="1"/>
    <x v="11"/>
    <s v="OG0005716"/>
    <s v="Ofaveolata003304"/>
    <s v="Ssiderea046375"/>
    <n v="2.8194298600000001"/>
    <n v="6.9909228800000003"/>
    <s v="Direct"/>
    <s v="EF-hand domain family, member"/>
    <s v="EF-hand domain family, member"/>
  </r>
  <r>
    <x v="1"/>
    <x v="11"/>
    <s v="OG0005728"/>
    <s v="Ofaveolata005594"/>
    <s v="Ssiderea016144"/>
    <n v="-1.2215235"/>
    <n v="-1.7579973"/>
    <s v="Direct"/>
    <s v="gamma-tubulin binding"/>
    <s v="gamma-tubulin binding"/>
  </r>
  <r>
    <x v="1"/>
    <x v="11"/>
    <s v="OG0005731"/>
    <s v="Ofaveolata026274"/>
    <s v="Ssiderea039599"/>
    <n v="-2.4059593000000001"/>
    <n v="-1.0027317"/>
    <s v="Direct"/>
    <s v="nuclear protein 1"/>
    <s v="nuclear protein 1"/>
  </r>
  <r>
    <x v="1"/>
    <x v="11"/>
    <s v="OG0005768"/>
    <s v="Ofaveolata024307"/>
    <s v="Ssiderea006300"/>
    <n v="1.02882535"/>
    <n v="-1.6475495"/>
    <s v="Inverse"/>
    <s v="GTPase activator activity"/>
    <s v="GTPase activator activity"/>
  </r>
  <r>
    <x v="1"/>
    <x v="11"/>
    <s v="OG0005838"/>
    <s v="Ofaveolata013549"/>
    <s v="Ssiderea000100"/>
    <n v="-1.4620696"/>
    <n v="-7.6492694999999999"/>
    <s v="Direct"/>
    <s v="calcium ion binding"/>
    <s v="calcium ion binding"/>
  </r>
  <r>
    <x v="1"/>
    <x v="11"/>
    <s v="OG0005850"/>
    <s v="Ofaveolata011231"/>
    <s v="Ssiderea051432"/>
    <n v="-1.3010983"/>
    <n v="-2.7763065999999998"/>
    <s v="Direct"/>
    <s v="pancreatic epsilon cell differentiation"/>
    <s v="pancreatic epsilon cell differentiation"/>
  </r>
  <r>
    <x v="1"/>
    <x v="11"/>
    <s v="OG0005873"/>
    <s v="Ofaveolata000637"/>
    <s v="Ssiderea044776"/>
    <n v="-1.4836024999999999"/>
    <n v="1.0459361"/>
    <s v="Inverse"/>
    <s v="WD repeat-containing protein 1"/>
    <s v="WD repeat-containing protein 1"/>
  </r>
  <r>
    <x v="1"/>
    <x v="11"/>
    <s v="OG0005905"/>
    <s v="Ofaveolata008204"/>
    <s v="Ssiderea050755"/>
    <n v="-1.7433311"/>
    <n v="4.8713250600000002"/>
    <s v="Inverse"/>
    <s v="acireductone dioxygenase [iron(II)-requiring] activity"/>
    <s v="acireductone dioxygenase [iron(II)-requiring] activity"/>
  </r>
  <r>
    <x v="1"/>
    <x v="11"/>
    <s v="OG0005929"/>
    <s v="Ofaveolata021877"/>
    <s v="Ssiderea020419"/>
    <n v="1.66147797"/>
    <n v="2.4800634600000002"/>
    <s v="Direct"/>
    <s v="cysteine-type endopeptidase activity"/>
    <s v="cysteine-type endopeptidase activity"/>
  </r>
  <r>
    <x v="1"/>
    <x v="11"/>
    <s v="OG0005932"/>
    <s v="Ofaveolata002017"/>
    <s v="Ssiderea013625"/>
    <n v="-1.3560627000000001"/>
    <n v="-9.8788301999999995"/>
    <s v="Direct"/>
    <s v="phospholipase A2 activity (consuming 1,2-dipalmitoylphosphatidylcholine)"/>
    <s v="phospholipase A2 activity (consuming 1,2-dipalmitoylphosphatidylcholine)"/>
  </r>
  <r>
    <x v="1"/>
    <x v="11"/>
    <s v="OG0005959"/>
    <s v="Ofaveolata008394"/>
    <s v="Ssiderea008863"/>
    <n v="-2.5240944000000001"/>
    <n v="-39.769013999999999"/>
    <s v="Direct"/>
    <s v="peptidyl-prolyl cis-trans isomerase activity"/>
    <s v="peptidyl-prolyl cis-trans isomerase activity"/>
  </r>
  <r>
    <x v="1"/>
    <x v="11"/>
    <s v="OG0005960"/>
    <s v="Ofaveolata031944"/>
    <s v="Ssiderea007410"/>
    <n v="-2.6512367000000001"/>
    <n v="-2.4809492"/>
    <s v="Direct"/>
    <s v="Ribosomal protein S12/S23"/>
    <s v="Ribosomal protein S12/S23"/>
  </r>
  <r>
    <x v="1"/>
    <x v="11"/>
    <s v="OG0005967"/>
    <s v="Ofaveolata031441"/>
    <s v="Ssiderea048793"/>
    <n v="-3.0694916000000001"/>
    <n v="-6.8579439999999998"/>
    <s v="Direct"/>
    <s v="Solute carrier family 35"/>
    <s v="Solute carrier family 35"/>
  </r>
  <r>
    <x v="1"/>
    <x v="11"/>
    <s v="OG0005978"/>
    <s v="Ofaveolata029135"/>
    <s v="Ssiderea013826"/>
    <n v="-1.0436122999999999"/>
    <n v="1.0840639599999999"/>
    <s v="Inverse"/>
    <s v="Pleckstrin homology domain."/>
    <s v="Pleckstrin homology domain."/>
  </r>
  <r>
    <x v="1"/>
    <x v="11"/>
    <s v="OG0006003"/>
    <s v="Ofaveolata025356"/>
    <s v="Ssiderea042024"/>
    <n v="-6.3029570000000001"/>
    <n v="-1.1440729000000001"/>
    <s v="Direct"/>
    <s v="Belongs to the class I-like SAM-binding methyltransferase superfamily. mRNA cap 0 methyltransferase family"/>
    <s v="Belongs to the class I-like SAM-binding methyltransferase superfamily. mRNA cap 0 methyltransferase family"/>
  </r>
  <r>
    <x v="1"/>
    <x v="11"/>
    <s v="OG0006020"/>
    <s v="Ofaveolata030278"/>
    <s v="Ssiderea027537"/>
    <n v="-1.321879"/>
    <n v="-2.7400104000000001"/>
    <s v="Direct"/>
    <s v="Catalyzes conversion of folates to polyglutamate derivatives allowing concentration of folate compounds in the cell and the intracellular retention of these cofactors, which are important substrates for most of the folate-dependent enzymes that are involv"/>
    <s v="Catalyzes conversion of folates to polyglutamate derivatives allowing concentration of folate compounds in the cell and the intracellular retention of these cofactors, which are important substrates for most of the folate-dependent enzymes that are involv"/>
  </r>
  <r>
    <x v="1"/>
    <x v="11"/>
    <s v="OG0006025"/>
    <s v="Ofaveolata017701"/>
    <s v="Ssiderea046926"/>
    <n v="-1.0725452"/>
    <n v="-1.9282178000000001"/>
    <s v="Direct"/>
    <s v="receptor 161"/>
    <s v="receptor 161"/>
  </r>
  <r>
    <x v="1"/>
    <x v="11"/>
    <s v="OG0006034"/>
    <s v="Ofaveolata022899"/>
    <s v="Ssiderea014967"/>
    <n v="1.3753854700000001"/>
    <n v="-7.4387721999999998"/>
    <s v="Inverse"/>
    <s v="NA"/>
    <s v="C-type lectin (CTL) or carbohydrate-recognition domain (CRD)"/>
  </r>
  <r>
    <x v="1"/>
    <x v="11"/>
    <s v="OG0006039"/>
    <s v="Ofaveolata013634"/>
    <s v="Ssiderea000138"/>
    <n v="1.2456289300000001"/>
    <n v="1.2327390300000001"/>
    <s v="Direct"/>
    <s v="Luc7-like protein 3"/>
    <s v="Luc7-like protein 3"/>
  </r>
  <r>
    <x v="1"/>
    <x v="11"/>
    <s v="OG0006056"/>
    <s v="Ofaveolata025472"/>
    <s v="Ssiderea039851"/>
    <n v="-1.2373067"/>
    <n v="-2.6065923"/>
    <s v="Direct"/>
    <s v="tRNA threonylcarbamoyladenosine metabolic process"/>
    <s v="tRNA threonylcarbamoyladenosine metabolic process"/>
  </r>
  <r>
    <x v="1"/>
    <x v="11"/>
    <s v="OG0006126"/>
    <s v="Ofaveolata004769"/>
    <s v="Ssiderea010954"/>
    <n v="1.66258613"/>
    <n v="6.3787666600000001"/>
    <s v="Direct"/>
    <s v="Tumor necrosis factor, alpha-induced protein 3"/>
    <s v="Tumor necrosis factor, alpha-induced protein 3"/>
  </r>
  <r>
    <x v="1"/>
    <x v="11"/>
    <s v="OG0006169"/>
    <s v="Ofaveolata000449"/>
    <s v="Ssiderea029661"/>
    <n v="-1.2334451"/>
    <n v="-24.059767999999998"/>
    <s v="Direct"/>
    <s v="Lactose-binding lectin l-2-like"/>
    <s v="structural constituent of cell wall"/>
  </r>
  <r>
    <x v="1"/>
    <x v="11"/>
    <s v="OG0006179"/>
    <s v="Ofaveolata005586"/>
    <s v="Ssiderea016156"/>
    <n v="-5.4712769000000003"/>
    <n v="-1.0819190000000001"/>
    <s v="Direct"/>
    <s v="Belongs to the eukaryotic ribosomal protein eS4 family"/>
    <s v="Belongs to the eukaryotic ribosomal protein eS4 family"/>
  </r>
  <r>
    <x v="1"/>
    <x v="11"/>
    <s v="OG0006198"/>
    <s v="Ofaveolata024770"/>
    <s v="Ssiderea016832"/>
    <n v="-1.0562212"/>
    <n v="1.25471238"/>
    <s v="Inverse"/>
    <s v="Thiamine triphosphatase"/>
    <s v="thiamin-triphosphatase activity"/>
  </r>
  <r>
    <x v="1"/>
    <x v="11"/>
    <s v="OG0006214"/>
    <s v="Ofaveolata009031"/>
    <s v="Ssiderea055050"/>
    <n v="4.2304565399999996"/>
    <n v="7.4994850099999999"/>
    <s v="Direct"/>
    <s v="endoplasmic reticulum-plasma membrane tethering"/>
    <s v="endoplasmic reticulum-plasma membrane tethering"/>
  </r>
  <r>
    <x v="1"/>
    <x v="11"/>
    <s v="OG0006216"/>
    <s v="Ofaveolata006256"/>
    <s v="Ssiderea032543"/>
    <n v="-1.3620795000000001"/>
    <n v="-8.6566103999999999"/>
    <s v="Direct"/>
    <s v="NA"/>
    <s v="Common central domain of tyrosinase"/>
  </r>
  <r>
    <x v="1"/>
    <x v="11"/>
    <s v="OG0006218"/>
    <s v="Ofaveolata030092"/>
    <s v="Ssiderea054260"/>
    <n v="1.68919738"/>
    <n v="3.3513652999999999"/>
    <s v="Direct"/>
    <s v="9-cis retinoic acid receptor activity"/>
    <s v="9-cis retinoic acid receptor activity"/>
  </r>
  <r>
    <x v="1"/>
    <x v="11"/>
    <s v="OG0006254"/>
    <s v="Ofaveolata028859"/>
    <s v="Ssiderea014425"/>
    <n v="-2.9732422999999999"/>
    <n v="-7.4179453999999998"/>
    <s v="Direct"/>
    <s v="Non-lysosomal glucosylceramidase that catalyzes the conversion of glucosylceramide to free glucose and ceramide"/>
    <s v="Non-lysosomal glucosylceramidase that catalyzes the conversion of glucosylceramide to free glucose and ceramide"/>
  </r>
  <r>
    <x v="1"/>
    <x v="11"/>
    <s v="OG0006296"/>
    <s v="Ofaveolata003309"/>
    <s v="Ssiderea030049"/>
    <n v="-37.715443"/>
    <n v="-4.4864664000000003"/>
    <s v="Direct"/>
    <s v="eukaryotic translation initiation factor"/>
    <s v="Initiation factor 5a"/>
  </r>
  <r>
    <x v="1"/>
    <x v="11"/>
    <s v="OG0006321"/>
    <s v="Ofaveolata010194"/>
    <s v="Ssiderea054850"/>
    <n v="5.9830983499999997"/>
    <n v="-1.6743451"/>
    <s v="Inverse"/>
    <s v="Marginal zone B and"/>
    <s v="Marginal zone B and"/>
  </r>
  <r>
    <x v="1"/>
    <x v="11"/>
    <s v="OG0006344"/>
    <s v="Ofaveolata014923"/>
    <s v="Ssiderea003932"/>
    <n v="-3.0228183"/>
    <n v="-3.9539803"/>
    <s v="Direct"/>
    <s v="pri-miRNA transcription by RNA polymerase II"/>
    <s v="pri-miRNA transcription by RNA polymerase II"/>
  </r>
  <r>
    <x v="1"/>
    <x v="11"/>
    <s v="OG0006347"/>
    <s v="Ofaveolata027771"/>
    <s v="Ssiderea025334"/>
    <n v="1.5482458400000001"/>
    <n v="1.7815958199999999"/>
    <s v="Direct"/>
    <s v="spectrin binding"/>
    <s v="spectrin binding"/>
  </r>
  <r>
    <x v="1"/>
    <x v="11"/>
    <s v="OG0006384"/>
    <s v="Ofaveolata025979"/>
    <s v="Ssiderea038966"/>
    <n v="-12.710376"/>
    <n v="-12.879647"/>
    <s v="Direct"/>
    <s v="defense response to fungus"/>
    <s v="defense response to fungus"/>
  </r>
  <r>
    <x v="1"/>
    <x v="11"/>
    <s v="OG0006445"/>
    <s v="Ofaveolata005983"/>
    <s v="Ssiderea047826"/>
    <n v="1.0646948899999999"/>
    <n v="-1.7844617"/>
    <s v="Inverse"/>
    <s v="potassium voltage-gated channel, subfamily H"/>
    <s v="potassium voltage-gated channel, subfamily H"/>
  </r>
  <r>
    <x v="1"/>
    <x v="11"/>
    <s v="OG0006457"/>
    <s v="Ofaveolata017108"/>
    <s v="Ssiderea052642"/>
    <n v="-1.4459038"/>
    <n v="1.03973885"/>
    <s v="Inverse"/>
    <s v="chromatin remodeling"/>
    <s v="chromatin remodeling"/>
  </r>
  <r>
    <x v="1"/>
    <x v="11"/>
    <s v="OG0006458"/>
    <s v="Ofaveolata027277"/>
    <s v="Ssiderea025618"/>
    <n v="-1.1194004"/>
    <n v="-6.1417183"/>
    <s v="Direct"/>
    <s v="NA"/>
    <s v="GTPase regulator activity"/>
  </r>
  <r>
    <x v="1"/>
    <x v="11"/>
    <s v="OG0006483"/>
    <s v="Ofaveolata027695"/>
    <s v="Ssiderea025560"/>
    <n v="1.7003061500000001"/>
    <n v="-1.2706074000000001"/>
    <s v="Inverse"/>
    <s v="prolyl 4-hydroxylase"/>
    <s v="prolyl 4-hydroxylase"/>
  </r>
  <r>
    <x v="1"/>
    <x v="11"/>
    <s v="OG0006521"/>
    <s v="Ofaveolata005829"/>
    <s v="Ssiderea045771"/>
    <n v="-1.5296778"/>
    <n v="2.63817704"/>
    <s v="Inverse"/>
    <s v="oxidoreductase activity"/>
    <s v="oxidoreductase activity"/>
  </r>
  <r>
    <x v="1"/>
    <x v="11"/>
    <s v="OG0006565"/>
    <s v="Ofaveolata028768"/>
    <s v="Ssiderea027808"/>
    <n v="3.9372963799999998"/>
    <n v="-6.3861341999999999"/>
    <s v="Inverse"/>
    <s v="PPIases accelerate the folding of proteins. It catalyzes the cis-trans isomerization of proline imidic peptide bonds in oligopeptides"/>
    <s v="PPIases accelerate the folding of proteins. It catalyzes the cis-trans isomerization of proline imidic peptide bonds in oligopeptides"/>
  </r>
  <r>
    <x v="1"/>
    <x v="11"/>
    <s v="OG0006573"/>
    <s v="Ofaveolata007769"/>
    <s v="Ssiderea009245"/>
    <n v="2.16890538"/>
    <n v="2.4662795700000002"/>
    <s v="Direct"/>
    <s v="protein ADP-ribosylase activity"/>
    <s v="protein ADP-ribosylase activity"/>
  </r>
  <r>
    <x v="1"/>
    <x v="11"/>
    <s v="OG0006629"/>
    <s v="Ofaveolata013088"/>
    <s v="Ssiderea001370"/>
    <n v="26.598914199999999"/>
    <n v="50.152459"/>
    <s v="Direct"/>
    <s v="calcium ion binding"/>
    <s v="Calcium ion binding"/>
  </r>
  <r>
    <x v="1"/>
    <x v="11"/>
    <s v="OG0006639"/>
    <s v="Ofaveolata027060"/>
    <s v="Ssiderea042234"/>
    <n v="1.79191989"/>
    <n v="-1.5107237"/>
    <s v="Inverse"/>
    <s v="protein disulfide oxidoreductase activity. It is involved in the biological process described with"/>
    <s v="over those bearing complex type oligosaccharides. Can recognize misfolded proteins in the endoplasmic reticulum that are exported to the cytosol to be destroyed and deglycosylate them, while it has no activity toward native proteins. Deglycosylation is a "/>
  </r>
  <r>
    <x v="1"/>
    <x v="11"/>
    <s v="OG0006657"/>
    <s v="Ofaveolata002636"/>
    <s v="Ssiderea027226"/>
    <n v="-1.2242420000000001"/>
    <n v="-1.4105776000000001"/>
    <s v="Direct"/>
    <s v="O-phospho-L-serine:2-oxoglutarate aminotransferase activity"/>
    <s v="O-phospho-L-serine:2-oxoglutarate aminotransferase activity"/>
  </r>
  <r>
    <x v="1"/>
    <x v="11"/>
    <s v="OG0006663"/>
    <s v="Ofaveolata034385"/>
    <s v="Ssiderea052807"/>
    <n v="-1.5950241000000001"/>
    <n v="-2.7260455000000001"/>
    <s v="Direct"/>
    <s v="medium-chain-acyl-CoA dehydrogenase activity"/>
    <s v="medium-chain-acyl-CoA dehydrogenase activity"/>
  </r>
  <r>
    <x v="1"/>
    <x v="11"/>
    <s v="OG0006682"/>
    <s v="Ofaveolata008207"/>
    <s v="Ssiderea050752"/>
    <n v="-3.2741658"/>
    <n v="-2.1113868"/>
    <s v="Direct"/>
    <s v="FMN binding"/>
    <s v="FMN binding"/>
  </r>
  <r>
    <x v="1"/>
    <x v="11"/>
    <s v="OG0006683"/>
    <s v="Ofaveolata022464"/>
    <s v="Ssiderea015153"/>
    <n v="-1.2260709999999999"/>
    <n v="-1.4842611999999999"/>
    <s v="Direct"/>
    <s v="Dynein, light chain"/>
    <s v="dynein, light chain"/>
  </r>
  <r>
    <x v="1"/>
    <x v="11"/>
    <s v="OG0006690"/>
    <s v="Ofaveolata020752"/>
    <s v="Ssiderea011613"/>
    <n v="-1.5674562999999999"/>
    <n v="-5.6933119000000003"/>
    <s v="Direct"/>
    <s v="Belongs to the class I-like SAM-binding methyltransferase superfamily. RsmB NOP family"/>
    <s v="Belongs to the class I-like SAM-binding methyltransferase superfamily. RsmB NOP family"/>
  </r>
  <r>
    <x v="1"/>
    <x v="11"/>
    <s v="OG0006707"/>
    <s v="Ofaveolata022867"/>
    <s v="Ssiderea015142"/>
    <n v="-1.3379675"/>
    <n v="2.1532025699999999"/>
    <s v="Inverse"/>
    <s v="metal ion binding"/>
    <s v="metal ion binding"/>
  </r>
  <r>
    <x v="1"/>
    <x v="11"/>
    <s v="OG0006748"/>
    <s v="Ofaveolata023572"/>
    <s v="Ssiderea015598"/>
    <n v="1.7962020599999999"/>
    <n v="2.3839082399999998"/>
    <s v="Direct"/>
    <s v="(3S)-citramalyl-CoA lyase activity"/>
    <s v="(3S)-citramalyl-CoA lyase activity"/>
  </r>
  <r>
    <x v="1"/>
    <x v="11"/>
    <s v="OG0006765"/>
    <s v="Ofaveolata032664"/>
    <s v="Ssiderea056251"/>
    <n v="-8.7484517000000004"/>
    <n v="-2.5041367999999999"/>
    <s v="Direct"/>
    <s v="N-succinyltransferase activity"/>
    <s v="N-succinyltransferase activity"/>
  </r>
  <r>
    <x v="1"/>
    <x v="11"/>
    <s v="OG0006801"/>
    <s v="Ofaveolata015531"/>
    <s v="Ssiderea59518"/>
    <n v="3.58893116"/>
    <n v="-1.9114259"/>
    <s v="Inverse"/>
    <s v="integrin-mediated signaling pathway"/>
    <s v="integrin-mediated signaling pathway"/>
  </r>
  <r>
    <x v="1"/>
    <x v="11"/>
    <s v="OG0006847"/>
    <s v="Ofaveolata028491"/>
    <s v="Ssiderea042685"/>
    <n v="-6.1843969000000003"/>
    <n v="1.3359813700000001"/>
    <s v="Inverse"/>
    <s v="HIV-1 Tat interactive protein 2"/>
    <s v="HIV-1 Tat interactive protein 2"/>
  </r>
  <r>
    <x v="1"/>
    <x v="11"/>
    <s v="OG0006872"/>
    <s v="Ofaveolata007492"/>
    <s v="Ssiderea044421"/>
    <n v="2.6990096800000001"/>
    <n v="1.0907226699999999"/>
    <s v="Direct"/>
    <s v="positive regulation of Notch signaling pathway"/>
    <s v="positive regulation of Notch signaling pathway"/>
  </r>
  <r>
    <x v="1"/>
    <x v="11"/>
    <s v="OG0006894"/>
    <s v="Ofaveolata033691"/>
    <s v="Ssiderea053633"/>
    <n v="-2.9368911"/>
    <n v="-2.4889809000000001"/>
    <s v="Direct"/>
    <s v="NA"/>
    <s v="Von Willebrand factor"/>
  </r>
  <r>
    <x v="1"/>
    <x v="11"/>
    <s v="OG0006916"/>
    <s v="Ofaveolata025102"/>
    <s v="Ssiderea021433"/>
    <n v="-7.0157961000000002"/>
    <n v="-12.899782"/>
    <s v="Direct"/>
    <s v="cellular response to nitroglycerin"/>
    <s v="cellular response to nitroglycerin"/>
  </r>
  <r>
    <x v="1"/>
    <x v="11"/>
    <s v="OG0006943"/>
    <s v="Ofaveolata013514"/>
    <s v="Ssiderea000374"/>
    <n v="-1.8630637999999999"/>
    <n v="-1.2059663"/>
    <s v="Direct"/>
    <s v="NA"/>
    <s v="NA"/>
  </r>
  <r>
    <x v="1"/>
    <x v="11"/>
    <s v="OG0006998"/>
    <s v="Ofaveolata002535"/>
    <s v="Ssiderea013109"/>
    <n v="-4.0482813999999996"/>
    <n v="-3.7351702000000002"/>
    <s v="Direct"/>
    <s v="BCCT, betaine/carnitine/choline family transporter"/>
    <s v="BCCT, betaine/carnitine/choline family transporter"/>
  </r>
  <r>
    <x v="1"/>
    <x v="11"/>
    <s v="OG0007013"/>
    <s v="Ofaveolata017525"/>
    <s v="Ssiderea018525"/>
    <n v="-5.6514571"/>
    <n v="-1.3208991999999999"/>
    <s v="Direct"/>
    <s v="box H/ACA snoRNA 3'-end processing"/>
    <s v="box H/ACA snoRNA 3'-end processing"/>
  </r>
  <r>
    <x v="1"/>
    <x v="11"/>
    <s v="OG0007046"/>
    <s v="Ofaveolata017826"/>
    <s v="Ssiderea048533"/>
    <n v="-1.2127568"/>
    <n v="-3.4421127999999999"/>
    <s v="Direct"/>
    <s v="scavenger receptor activity"/>
    <s v="scavenger receptor activity"/>
  </r>
  <r>
    <x v="1"/>
    <x v="11"/>
    <s v="OG0007060"/>
    <s v="Ofaveolata031923"/>
    <s v="Ssiderea007355"/>
    <n v="1.6059464400000001"/>
    <n v="2.30642171"/>
    <s v="Direct"/>
    <s v="metanephric glomerular basement membrane development"/>
    <s v="metanephric glomerular basement membrane development"/>
  </r>
  <r>
    <x v="1"/>
    <x v="11"/>
    <s v="OG0007074"/>
    <s v="Ofaveolata028697"/>
    <s v="Ssiderea042802"/>
    <n v="-3.1503692999999999"/>
    <n v="-1.7597607"/>
    <s v="Direct"/>
    <s v="protein N-linked glycosylation via arginine"/>
    <s v="protein N-linked glycosylation via arginine"/>
  </r>
  <r>
    <x v="1"/>
    <x v="11"/>
    <s v="OG0007085"/>
    <s v="Ofaveolata011062"/>
    <s v="Ssiderea055660"/>
    <n v="-1.1933442000000001"/>
    <n v="-1.6321226"/>
    <s v="Direct"/>
    <s v="acetyl-CoA C-acyltransferase activity"/>
    <s v="acetyl-CoA C-acyltransferase activity"/>
  </r>
  <r>
    <x v="1"/>
    <x v="11"/>
    <s v="OG0007092"/>
    <s v="Ofaveolata025455"/>
    <s v="Ssiderea039828"/>
    <n v="-1.1900770000000001"/>
    <n v="-4.4919558000000004"/>
    <s v="Direct"/>
    <s v="Calbindin 2a"/>
    <s v="connecting tubule development"/>
  </r>
  <r>
    <x v="1"/>
    <x v="11"/>
    <s v="OG0007104"/>
    <s v="Ofaveolata006325"/>
    <s v="Ssiderea048193"/>
    <n v="-3.8729010000000001"/>
    <n v="-6.6169723999999999"/>
    <s v="Direct"/>
    <s v="maltose alpha-glucosidase activity"/>
    <s v="maltose alpha-glucosidase activity"/>
  </r>
  <r>
    <x v="1"/>
    <x v="11"/>
    <s v="OG0007115"/>
    <s v="Ofaveolata026967"/>
    <s v="Ssiderea017954"/>
    <n v="2.1177253600000001"/>
    <n v="3.5280465599999999"/>
    <s v="Direct"/>
    <s v="metal ion binding"/>
    <s v="RNA splicing"/>
  </r>
  <r>
    <x v="1"/>
    <x v="11"/>
    <s v="OG0007121"/>
    <s v="Ofaveolata009257"/>
    <s v="Ssiderea035583"/>
    <n v="-1.5654569"/>
    <n v="-9.3580988999999999"/>
    <s v="Direct"/>
    <s v="Belongs to the glycosyltransferase 43 family"/>
    <s v="Belongs to the glycosyltransferase 43 family"/>
  </r>
  <r>
    <x v="1"/>
    <x v="11"/>
    <s v="OG0007139"/>
    <s v="Ofaveolata018019"/>
    <s v="Ssiderea002250"/>
    <n v="-2.2939438999999999"/>
    <n v="-1.6302540999999999"/>
    <s v="Direct"/>
    <s v="regulation of protein catabolic process"/>
    <s v="regulation of protein catabolic process"/>
  </r>
  <r>
    <x v="1"/>
    <x v="11"/>
    <s v="OG0007159"/>
    <s v="Ofaveolata012650"/>
    <s v="Ssiderea000690"/>
    <n v="-1.6457812000000001"/>
    <n v="-2.5842195000000001"/>
    <s v="Direct"/>
    <s v="acetylcholine-gated cation-selective channel activity"/>
    <s v="acetylcholine-gated cation-selective channel activity"/>
  </r>
  <r>
    <x v="1"/>
    <x v="11"/>
    <s v="OG0007184"/>
    <s v="Ofaveolata019786"/>
    <s v="Ssiderea011997"/>
    <n v="1.0390228399999999"/>
    <n v="-3.6576911999999999"/>
    <s v="Inverse"/>
    <s v="major facilitator superfamily"/>
    <s v="major facilitator superfamily"/>
  </r>
  <r>
    <x v="1"/>
    <x v="11"/>
    <s v="OG0007190"/>
    <s v="Ofaveolata017616"/>
    <s v="Ssiderea046853"/>
    <n v="-1.2766911000000001"/>
    <n v="-1.0677166"/>
    <s v="Direct"/>
    <s v="positive regulation of calcium:sodium antiporter activity"/>
    <s v="positive regulation of calcium:sodium antiporter activity"/>
  </r>
  <r>
    <x v="1"/>
    <x v="11"/>
    <s v="OG0007226"/>
    <s v="Ofaveolata022069"/>
    <s v="Ssiderea022984"/>
    <n v="-2.6212018000000001"/>
    <n v="-1.3155891"/>
    <s v="Direct"/>
    <s v="steroid receptor RNA activator 1"/>
    <s v="steroid receptor RNA activator 1"/>
  </r>
  <r>
    <x v="1"/>
    <x v="11"/>
    <s v="OG0007278"/>
    <s v="Ofaveolata002643"/>
    <s v="Ssiderea027219"/>
    <n v="1.7528566699999999"/>
    <n v="3.7027821200000002"/>
    <s v="Direct"/>
    <s v="Ral GTPase binding"/>
    <s v="Ral GTPase binding"/>
  </r>
  <r>
    <x v="1"/>
    <x v="11"/>
    <s v="OG0007289"/>
    <s v="Ofaveolata021069"/>
    <s v="Ssiderea011779"/>
    <n v="-1.7195729"/>
    <n v="-2.2193407999999999"/>
    <s v="Direct"/>
    <s v="Lysosomal Pro-X"/>
    <s v="Lysosomal Pro-X"/>
  </r>
  <r>
    <x v="1"/>
    <x v="11"/>
    <s v="OG0007318"/>
    <s v="Ofaveolata026754"/>
    <s v="Ssiderea017757"/>
    <n v="-2.1055795000000002"/>
    <n v="-2.6540726000000001"/>
    <s v="Direct"/>
    <s v="NA"/>
    <s v="procollagen-proline 4-dioxygenase activity"/>
  </r>
  <r>
    <x v="1"/>
    <x v="11"/>
    <s v="OG0007324"/>
    <s v="Ofaveolata005802"/>
    <s v="Ssiderea045582"/>
    <n v="-6.6407134000000001"/>
    <n v="-1.6011312"/>
    <s v="Direct"/>
    <s v="N-glycan processing to lysosome"/>
    <s v="N-glycan processing to lysosome"/>
  </r>
  <r>
    <x v="1"/>
    <x v="11"/>
    <s v="OG0007344"/>
    <s v="Ofaveolata001468"/>
    <s v="Ssiderea043681"/>
    <n v="1.2122309499999999"/>
    <n v="1.7629345000000001"/>
    <s v="Direct"/>
    <s v="NA"/>
    <s v="Tudor domain containing 9"/>
  </r>
  <r>
    <x v="1"/>
    <x v="11"/>
    <s v="OG0007376"/>
    <s v="Ofaveolata013659"/>
    <s v="Ssiderea000169"/>
    <n v="-6.5730031999999996"/>
    <n v="-1.6225495999999999"/>
    <s v="Direct"/>
    <s v="ribosomal large subunit assembly"/>
    <s v="ribosomal large subunit assembly"/>
  </r>
  <r>
    <x v="1"/>
    <x v="11"/>
    <s v="OG0007391"/>
    <s v="Ofaveolata012913"/>
    <s v="Ssiderea001538"/>
    <n v="-1.1588768"/>
    <n v="-3.0515837000000001"/>
    <s v="Direct"/>
    <s v="Beta-eliminating lyase"/>
    <s v="Beta-eliminating lyase"/>
  </r>
  <r>
    <x v="1"/>
    <x v="11"/>
    <s v="OG0007404"/>
    <s v="Ofaveolata010569"/>
    <s v="Ssiderea045378"/>
    <n v="1.2185242199999999"/>
    <n v="-28.851704999999999"/>
    <s v="Inverse"/>
    <s v="RNA recognition motif"/>
    <s v="RNA recognition motif"/>
  </r>
  <r>
    <x v="1"/>
    <x v="11"/>
    <s v="OG0007429"/>
    <s v="Ofaveolata034032"/>
    <s v="Ssiderea031967"/>
    <n v="1.54860409"/>
    <n v="3.61783718"/>
    <s v="Direct"/>
    <s v="Mab-21"/>
    <s v="Mab-21"/>
  </r>
  <r>
    <x v="1"/>
    <x v="11"/>
    <s v="OG0007432"/>
    <s v="Ofaveolata017999"/>
    <s v="Ssiderea002267"/>
    <n v="-1.1669014"/>
    <n v="-2.6995100999999999"/>
    <s v="Direct"/>
    <s v="chromatin organization"/>
    <s v="chromatin organization"/>
  </r>
  <r>
    <x v="1"/>
    <x v="11"/>
    <s v="OG0007445"/>
    <s v="Ofaveolata005254"/>
    <s v="Ssiderea015912"/>
    <n v="1.00370633"/>
    <n v="1.49651084"/>
    <s v="Direct"/>
    <s v="ornithine carbamoyltransferase activity"/>
    <s v="ornithine carbamoyltransferase activity"/>
  </r>
  <r>
    <x v="1"/>
    <x v="11"/>
    <s v="OG0007465"/>
    <s v="Ofaveolata002957"/>
    <s v="Ssiderea013007"/>
    <n v="-1.4949520000000001"/>
    <n v="-1.6923265999999999"/>
    <s v="Direct"/>
    <s v="lipoprotein receptor-related protein"/>
    <s v="lipoprotein receptor-related protein"/>
  </r>
  <r>
    <x v="1"/>
    <x v="11"/>
    <s v="OG0007507"/>
    <s v="Ofaveolata030366"/>
    <s v="Ssiderea034261"/>
    <n v="1.6841460399999999"/>
    <n v="4.4764733400000001"/>
    <s v="Direct"/>
    <s v="procollagen galactosyltransferase activity"/>
    <s v="procollagen galactosyltransferase activity"/>
  </r>
  <r>
    <x v="1"/>
    <x v="11"/>
    <s v="OG0007529"/>
    <s v="Ofaveolata003591"/>
    <s v="Ssiderea046322"/>
    <n v="-1.6318263"/>
    <n v="-1.0172296999999999"/>
    <s v="Direct"/>
    <s v="CRD-mediated mRNA stabilization"/>
    <s v="CRD-mediated mRNA stabilization"/>
  </r>
  <r>
    <x v="1"/>
    <x v="11"/>
    <s v="OG0007582"/>
    <s v="Ofaveolata019911"/>
    <s v="Ssiderea052255"/>
    <n v="-3.5135993999999999"/>
    <n v="-3.7481496999999999"/>
    <s v="Direct"/>
    <s v="RNA polymerase II sequence-specific DNA-binding transcription factor binding"/>
    <s v="RNA polymerase II sequence-specific DNA-binding transcription factor binding"/>
  </r>
  <r>
    <x v="1"/>
    <x v="11"/>
    <s v="OG0007685"/>
    <s v="Ofaveolata016052"/>
    <s v="Ssiderea033514"/>
    <n v="-13.410094000000001"/>
    <n v="-5.5574392000000001"/>
    <s v="Direct"/>
    <s v="Sodium-dependent phosphate transport protein"/>
    <s v="Sodium-dependent phosphate transport protein"/>
  </r>
  <r>
    <x v="1"/>
    <x v="11"/>
    <s v="OG0007705"/>
    <s v="Ofaveolata029293"/>
    <s v="Ssiderea033146"/>
    <n v="-1.4032142999999999"/>
    <n v="1.1241956200000001"/>
    <s v="Inverse"/>
    <s v="hematopoietic progenitor cell differentiation"/>
    <s v="hematopoietic progenitor cell differentiation"/>
  </r>
  <r>
    <x v="1"/>
    <x v="11"/>
    <s v="OG0007707"/>
    <s v="Ofaveolata008341"/>
    <s v="Ssiderea008900"/>
    <n v="-7.7198615000000004"/>
    <n v="-2.6731831000000001"/>
    <s v="Direct"/>
    <s v="Belongs to the universal ribosomal protein uL5 family"/>
    <s v="Belongs to the universal ribosomal protein uL5 family"/>
  </r>
  <r>
    <x v="1"/>
    <x v="11"/>
    <s v="OG0007712"/>
    <s v="Ofaveolata016273"/>
    <s v="Ssiderea052692"/>
    <n v="-9.5955911"/>
    <n v="-3.2319315999999998"/>
    <s v="Direct"/>
    <s v="26s proteasome non-ATPase regulatory subunit"/>
    <s v="26s proteasome non-ATPase regulatory subunit"/>
  </r>
  <r>
    <x v="1"/>
    <x v="11"/>
    <s v="OG0007719"/>
    <s v="Ofaveolata000774"/>
    <s v="Ssiderea044996"/>
    <n v="-1.4357937000000001"/>
    <n v="-2.25942"/>
    <s v="Direct"/>
    <s v="peptidyl-serine dephosphorylation"/>
    <s v="peptidyl-serine dephosphorylation"/>
  </r>
  <r>
    <x v="1"/>
    <x v="11"/>
    <s v="OG0007779"/>
    <s v="Ofaveolata017067"/>
    <s v="Ssiderea054485"/>
    <n v="-17.481020999999998"/>
    <n v="-4.8815653000000001"/>
    <s v="Direct"/>
    <s v="Solute carrier family 12"/>
    <s v="Solute carrier family 12"/>
  </r>
  <r>
    <x v="1"/>
    <x v="11"/>
    <s v="OG0007794"/>
    <s v="Ofaveolata022638"/>
    <s v="Ssiderea050126"/>
    <n v="-1.1970129"/>
    <n v="-13.5054"/>
    <s v="Direct"/>
    <s v="carbohydrate binding"/>
    <s v="carbohydrate binding"/>
  </r>
  <r>
    <x v="1"/>
    <x v="11"/>
    <s v="OG0007834"/>
    <s v="Ofaveolata028319"/>
    <s v="Ssiderea042502"/>
    <n v="-6.7186478000000003"/>
    <n v="-1.4759192999999999"/>
    <s v="Direct"/>
    <s v="structural constituent of ribosome"/>
    <s v="structural constituent of ribosome"/>
  </r>
  <r>
    <x v="1"/>
    <x v="11"/>
    <s v="OG0007838"/>
    <s v="Ofaveolata027156"/>
    <s v="Ssiderea036731"/>
    <n v="1.2753462600000001"/>
    <n v="3.9917606499999998"/>
    <s v="Direct"/>
    <s v="zinc finger"/>
    <s v="zinc finger"/>
  </r>
  <r>
    <x v="1"/>
    <x v="11"/>
    <s v="OG0007846"/>
    <s v="Ofaveolata029756"/>
    <s v="Ssiderea023873"/>
    <n v="-5.0651897999999997"/>
    <n v="-1.6831326"/>
    <s v="Direct"/>
    <s v="threonine-type endopeptidase activity"/>
    <s v="threonine-type endopeptidase activity"/>
  </r>
  <r>
    <x v="1"/>
    <x v="11"/>
    <s v="OG0007849"/>
    <s v="Ofaveolata025772"/>
    <s v="Ssiderea038875"/>
    <n v="-2.2151882999999999"/>
    <n v="1.31494201"/>
    <s v="Inverse"/>
    <s v="structural constituent of ribosome"/>
    <s v="structural constituent of ribosome"/>
  </r>
  <r>
    <x v="1"/>
    <x v="11"/>
    <s v="OG0007862"/>
    <s v="Ofaveolata000727"/>
    <s v="Ssiderea044861"/>
    <n v="-3.5352274000000001"/>
    <n v="-1.156596"/>
    <s v="Direct"/>
    <s v="tRNA methyltransferase 1 homolog (S. cerevisiae)"/>
    <s v="tRNA methyltransferase 1 homolog (S. cerevisiae)"/>
  </r>
  <r>
    <x v="1"/>
    <x v="11"/>
    <s v="OG0007877"/>
    <s v="Ofaveolata015345"/>
    <s v="Ssiderea038388"/>
    <n v="-2.3213892"/>
    <n v="1.7778579299999999"/>
    <s v="Inverse"/>
    <s v="mitochondrial translation"/>
    <s v="mitochondrial translation"/>
  </r>
  <r>
    <x v="1"/>
    <x v="11"/>
    <s v="OG0007907"/>
    <s v="Ofaveolata003303"/>
    <s v="Ssiderea046376"/>
    <n v="-3.1582395999999999"/>
    <n v="-2.0510394000000001"/>
    <s v="Direct"/>
    <s v="prostaglandin-F synthase activity"/>
    <s v="prostaglandin-F synthase activity"/>
  </r>
  <r>
    <x v="1"/>
    <x v="11"/>
    <s v="OG0007937"/>
    <s v="Ofaveolata018344"/>
    <s v="Ssiderea018698"/>
    <n v="-2.0288721999999999"/>
    <n v="-10.576108"/>
    <s v="Direct"/>
    <s v="Leucine rich repeat"/>
    <s v="Leucine rich repeat"/>
  </r>
  <r>
    <x v="1"/>
    <x v="11"/>
    <s v="OG0007983"/>
    <s v="Ofaveolata003611"/>
    <s v="Ssiderea046342"/>
    <n v="-1.991914"/>
    <n v="-1.7014739000000001"/>
    <s v="Direct"/>
    <s v="Signal recognition particle receptor"/>
    <s v="Signal recognition particle receptor"/>
  </r>
  <r>
    <x v="1"/>
    <x v="11"/>
    <s v="OG0007984"/>
    <s v="Ofaveolata017146"/>
    <s v="Ssiderea039439"/>
    <n v="-5.9388781000000002"/>
    <n v="-1.6616143000000001"/>
    <s v="Direct"/>
    <s v="large ribosomal subunit rRNA binding"/>
    <s v="Ribosomal protein L14p/L23e"/>
  </r>
  <r>
    <x v="1"/>
    <x v="11"/>
    <s v="OG0007997"/>
    <s v="Ofaveolata014416"/>
    <s v="Ssiderea004897"/>
    <n v="-1.9141066"/>
    <n v="-2.6609337000000002"/>
    <s v="Direct"/>
    <s v="NA"/>
    <s v="collagen fibril organization"/>
  </r>
  <r>
    <x v="1"/>
    <x v="11"/>
    <s v="OG0008033"/>
    <s v="Ofaveolata017427"/>
    <s v="Ssiderea048475"/>
    <n v="-4.7733473000000002"/>
    <n v="-1.5547389"/>
    <s v="Direct"/>
    <s v="Belongs to the AAA ATPase family"/>
    <s v="Belongs to the AAA ATPase family"/>
  </r>
  <r>
    <x v="1"/>
    <x v="11"/>
    <s v="OG0008099"/>
    <s v="Ofaveolata025989"/>
    <s v="Ssiderea038961"/>
    <n v="-1.0355532000000001"/>
    <n v="-1.4232634"/>
    <s v="Direct"/>
    <s v="NA"/>
    <s v="NA"/>
  </r>
  <r>
    <x v="1"/>
    <x v="11"/>
    <s v="OG0008156"/>
    <s v="Ofaveolata033818"/>
    <s v="Ssiderea047181"/>
    <n v="1.8206647600000001"/>
    <n v="1.29825054"/>
    <s v="Direct"/>
    <s v="regulation of translational initiation in response to starvation"/>
    <s v="induction by virus of host autophagy"/>
  </r>
  <r>
    <x v="1"/>
    <x v="11"/>
    <s v="OG0008193"/>
    <s v="Ofaveolata008101"/>
    <s v="Ssiderea009632"/>
    <n v="-6.8976440999999999"/>
    <n v="-1.8436979"/>
    <s v="Direct"/>
    <s v="threonine-type endopeptidase activity"/>
    <s v="threonine-type endopeptidase activity"/>
  </r>
  <r>
    <x v="1"/>
    <x v="11"/>
    <s v="OG0008195"/>
    <s v="Ofaveolata019793"/>
    <s v="Ssiderea012055"/>
    <n v="-21.535767"/>
    <n v="-5.8318054999999998"/>
    <s v="Direct"/>
    <s v="major facilitator superfamily"/>
    <s v="major facilitator superfamily"/>
  </r>
  <r>
    <x v="1"/>
    <x v="11"/>
    <s v="OG0008209"/>
    <s v="Ofaveolata005715"/>
    <s v="Ssiderea045546"/>
    <n v="-6.4499652999999997"/>
    <n v="-1.1389454999999999"/>
    <s v="Direct"/>
    <s v="protein kinase activity"/>
    <s v="protein kinase activity"/>
  </r>
  <r>
    <x v="1"/>
    <x v="11"/>
    <s v="OG0008235"/>
    <s v="Ofaveolata000198"/>
    <s v="Ssiderea029801"/>
    <n v="1.7113784700000001"/>
    <n v="1.21613551"/>
    <s v="Direct"/>
    <s v="dynein heavy chain binding"/>
    <s v="dynein heavy chain binding"/>
  </r>
  <r>
    <x v="1"/>
    <x v="11"/>
    <s v="OG0008265"/>
    <s v="Ofaveolata034158"/>
    <s v="Ssiderea031519"/>
    <n v="-4.2518896000000002"/>
    <n v="-8.3554037999999995"/>
    <s v="Direct"/>
    <s v="Src homology 3 domains"/>
    <s v="Src homology 3 domains"/>
  </r>
  <r>
    <x v="1"/>
    <x v="11"/>
    <s v="OG0008315"/>
    <s v="Ofaveolata006518"/>
    <s v="Ssiderea028014"/>
    <n v="-5.1621021000000002"/>
    <n v="-2.1506039000000001"/>
    <s v="Direct"/>
    <s v="Belongs to the eukaryotic ribosomal protein eS30 family"/>
    <s v="Belongs to the eukaryotic ribosomal protein eS30 family"/>
  </r>
  <r>
    <x v="1"/>
    <x v="11"/>
    <s v="OG0008335"/>
    <s v="Ofaveolata027442"/>
    <s v="Ssiderea035529"/>
    <n v="-2.0716687"/>
    <n v="-5.6747169"/>
    <s v="Direct"/>
    <s v="glutamine biosynthetic process"/>
    <s v="glutamine biosynthetic process"/>
  </r>
  <r>
    <x v="1"/>
    <x v="11"/>
    <s v="OG0008339"/>
    <s v="Ofaveolata016948"/>
    <s v="Ssiderea039355"/>
    <n v="-10.353204"/>
    <n v="-1.1382448000000001"/>
    <s v="Direct"/>
    <s v="60s ribosomal protein"/>
    <s v="60s ribosomal protein"/>
  </r>
  <r>
    <x v="1"/>
    <x v="11"/>
    <s v="OG0008345"/>
    <s v="Ofaveolata000292"/>
    <s v="Ssiderea029511"/>
    <n v="1.7570299899999999"/>
    <n v="-2.2883936"/>
    <s v="Inverse"/>
    <s v="ATP-dependent microtubule motor activity, plus-end-directed"/>
    <s v="Microtubule binding"/>
  </r>
  <r>
    <x v="1"/>
    <x v="11"/>
    <s v="OG0008350"/>
    <s v="Ofaveolata017291"/>
    <s v="Ssiderea046616"/>
    <n v="-1.4157588999999999"/>
    <n v="-2.3121360000000002"/>
    <s v="Direct"/>
    <s v="Acyl-CoA synthetase long-chain family member"/>
    <s v="Acyl-CoA synthetase long-chain family member"/>
  </r>
  <r>
    <x v="1"/>
    <x v="11"/>
    <s v="OG0008373"/>
    <s v="Ofaveolata022583"/>
    <s v="Ssiderea015310"/>
    <n v="-1.7365543999999999"/>
    <n v="-8.7736550999999992"/>
    <s v="Direct"/>
    <s v="Isocitrate lyase family"/>
    <s v="Isocitrate lyase family"/>
  </r>
  <r>
    <x v="1"/>
    <x v="11"/>
    <s v="OG0008443"/>
    <s v="Ofaveolata018860"/>
    <s v="Ssiderea003109"/>
    <n v="-3.2741658"/>
    <n v="-5.5927920000000002"/>
    <s v="Direct"/>
    <s v="thyroid hormone transmembrane transporter activity"/>
    <s v="thyroid hormone transmembrane transporter activity"/>
  </r>
  <r>
    <x v="1"/>
    <x v="11"/>
    <s v="OG0008460"/>
    <s v="Ofaveolata001010"/>
    <s v="Ssiderea022414"/>
    <n v="2.9317247100000001"/>
    <n v="1.86238868"/>
    <s v="Direct"/>
    <s v="negative regulation of vascular smooth muscle contraction"/>
    <s v="negative regulation of vascular smooth muscle contraction"/>
  </r>
  <r>
    <x v="1"/>
    <x v="11"/>
    <s v="OG0008466"/>
    <s v="Ofaveolata012291"/>
    <s v="Ssiderea017401"/>
    <n v="1.1227546100000001"/>
    <n v="1.08102824"/>
    <s v="Direct"/>
    <s v="cell redox homeostasis"/>
    <s v="cell redox homeostasis"/>
  </r>
  <r>
    <x v="1"/>
    <x v="11"/>
    <s v="OG0008478"/>
    <s v="Ofaveolata032667"/>
    <s v="Ssiderea052025"/>
    <n v="1.75654942"/>
    <n v="-2.3203874999999998"/>
    <s v="Inverse"/>
    <s v="Carboxypeptidase"/>
    <s v="Carboxypeptidase"/>
  </r>
  <r>
    <x v="1"/>
    <x v="11"/>
    <s v="OG0008483"/>
    <s v="Ofaveolata016274"/>
    <s v="Ssiderea052691"/>
    <n v="-1.2745716"/>
    <n v="-3.0936349999999999"/>
    <s v="Direct"/>
    <s v="Cupin superfamily protein"/>
    <s v="Cupin superfamily protein"/>
  </r>
  <r>
    <x v="1"/>
    <x v="11"/>
    <s v="OG0008555"/>
    <s v="Ofaveolata021821"/>
    <s v="Ssiderea022764"/>
    <n v="-8.1372286999999996"/>
    <n v="-1.0959156999999999"/>
    <s v="Direct"/>
    <s v="LON peptidase N-terminal domain and RING finger"/>
    <s v="LON peptidase N-terminal domain and RING finger"/>
  </r>
  <r>
    <x v="1"/>
    <x v="11"/>
    <s v="OG0008559"/>
    <s v="Ofaveolata004843"/>
    <s v="Ssiderea011198"/>
    <n v="1.74196324"/>
    <n v="-2.0320575999999999"/>
    <s v="Inverse"/>
    <s v="galactosyltransferase activity"/>
    <s v="galactosyltransferase activity"/>
  </r>
  <r>
    <x v="1"/>
    <x v="11"/>
    <s v="OG0008597"/>
    <s v="Ofaveolata022492"/>
    <s v="Ssiderea015589"/>
    <n v="-1.7447531000000001"/>
    <n v="3.32706955"/>
    <s v="Inverse"/>
    <s v="ATP-dependent DNA helicase activity"/>
    <s v="ATP-dependent DNA helicase activity"/>
  </r>
  <r>
    <x v="1"/>
    <x v="11"/>
    <s v="OG0008618"/>
    <s v="Ofaveolata001565"/>
    <s v="Ssiderea026806"/>
    <n v="-1.7123188"/>
    <n v="-1.0829141"/>
    <s v="Direct"/>
    <s v="peptidyl-threonine phosphorylation"/>
    <s v="peptidyl-threonine phosphorylation"/>
  </r>
  <r>
    <x v="1"/>
    <x v="11"/>
    <s v="OG0008678"/>
    <s v="Ofaveolata016941"/>
    <s v="Ssiderea039342"/>
    <n v="1.4275915400000001"/>
    <n v="1.04545865"/>
    <s v="Direct"/>
    <s v="positive regulation of TOR signaling"/>
    <s v="positive regulation of TOR signaling"/>
  </r>
  <r>
    <x v="1"/>
    <x v="11"/>
    <s v="OG0008701"/>
    <s v="Ofaveolata030710"/>
    <s v="Ssiderea054343"/>
    <n v="-1.7126887"/>
    <n v="1.2100253599999999"/>
    <s v="Inverse"/>
    <s v="Sigma non-opioid intracellular receptor 1"/>
    <s v="Sigma non-opioid intracellular receptor 1"/>
  </r>
  <r>
    <x v="1"/>
    <x v="11"/>
    <s v="OG0008702"/>
    <s v="Ofaveolata014439"/>
    <s v="Ssiderea057628"/>
    <n v="-4.4248471"/>
    <n v="-1.2806221"/>
    <s v="Direct"/>
    <s v="mitotic spindle assembly"/>
    <s v="Metal ion binding"/>
  </r>
  <r>
    <x v="1"/>
    <x v="11"/>
    <s v="OG0008743"/>
    <s v="Ofaveolata019003"/>
    <s v="Ssiderea001880"/>
    <n v="-4.5596655000000004"/>
    <n v="-2.2287499"/>
    <s v="Direct"/>
    <s v="proteasome-activating ATPase activity"/>
    <s v="proteasome-activating ATPase activity"/>
  </r>
  <r>
    <x v="1"/>
    <x v="11"/>
    <s v="OG0008748"/>
    <s v="Ofaveolata021083"/>
    <s v="Ssiderea011921"/>
    <n v="1.6457811600000001"/>
    <n v="-1.0019354"/>
    <s v="Inverse"/>
    <s v="photoreceptor cell maintenance"/>
    <s v="photoreceptor cell maintenance"/>
  </r>
  <r>
    <x v="1"/>
    <x v="11"/>
    <s v="OG0008754"/>
    <s v="Ofaveolata013087"/>
    <s v="Ssiderea001369"/>
    <n v="3.9382895699999998"/>
    <n v="26.068593700000001"/>
    <s v="Direct"/>
    <s v="calcium ion binding"/>
    <s v="calcium ion binding"/>
  </r>
  <r>
    <x v="1"/>
    <x v="11"/>
    <s v="OG0008761"/>
    <s v="Ofaveolata022640"/>
    <s v="Ssiderea050122"/>
    <n v="2.2085902599999998"/>
    <n v="-3.2510634999999999"/>
    <s v="Inverse"/>
    <s v="carbohydrate binding"/>
    <s v="carbohydrate binding"/>
  </r>
  <r>
    <x v="1"/>
    <x v="11"/>
    <s v="OG0008799"/>
    <s v="Ofaveolata026264"/>
    <s v="Ssiderea041915"/>
    <n v="-17.481020999999998"/>
    <n v="-4.6332244999999999"/>
    <s v="Direct"/>
    <s v="Cys/Met metabolism PLP-dependent enzyme"/>
    <s v="Cys/Met metabolism PLP-dependent enzyme"/>
  </r>
  <r>
    <x v="1"/>
    <x v="11"/>
    <s v="OG0008814"/>
    <s v="Ofaveolata008100"/>
    <s v="Ssiderea009630"/>
    <n v="-1.2852840999999999"/>
    <n v="2.1417323100000001"/>
    <s v="Inverse"/>
    <s v="vacuolar protein processing"/>
    <s v="Legumain"/>
  </r>
  <r>
    <x v="1"/>
    <x v="11"/>
    <s v="OG0008816"/>
    <s v="Ofaveolata014337"/>
    <s v="Ssiderea003824"/>
    <n v="1.4554220899999999"/>
    <n v="7.9128826200000004"/>
    <s v="Direct"/>
    <s v="NA"/>
    <s v="NA"/>
  </r>
  <r>
    <x v="1"/>
    <x v="11"/>
    <s v="OG0008844"/>
    <s v="Ofaveolata003495"/>
    <s v="Ssiderea046240"/>
    <n v="1.0360151099999999"/>
    <n v="-1.0459571000000001"/>
    <s v="Inverse"/>
    <s v="Progestin and adipoQ receptor family member"/>
    <s v="steroid hormone receptor activity"/>
  </r>
  <r>
    <x v="1"/>
    <x v="11"/>
    <s v="OG0008867"/>
    <s v="Ofaveolata022801"/>
    <s v="Ssiderea015190"/>
    <n v="-7.5504625000000001"/>
    <n v="1.0674946400000001"/>
    <s v="Inverse"/>
    <s v="tRNA-4-demethylwyosine synthase activity"/>
    <s v="tRNA-4-demethylwyosine synthase activity"/>
  </r>
  <r>
    <x v="1"/>
    <x v="11"/>
    <s v="OG0008871"/>
    <s v="Ofaveolata014952"/>
    <s v="Ssiderea038353"/>
    <n v="1.2210595399999999"/>
    <n v="2.1840907899999999"/>
    <s v="Direct"/>
    <s v="Heme oxygenase"/>
    <s v="Heme oxygenase"/>
  </r>
  <r>
    <x v="1"/>
    <x v="11"/>
    <s v="OG0008881"/>
    <s v="Ofaveolata025437"/>
    <s v="Ssiderea039806"/>
    <n v="-2.6870441"/>
    <n v="-23.926286999999999"/>
    <s v="Direct"/>
    <s v="peptidase inhibitor activity"/>
    <s v="positive regulation of epithelial to mesenchymal transition"/>
  </r>
  <r>
    <x v="1"/>
    <x v="11"/>
    <s v="OG0008907"/>
    <s v="Ofaveolata023264"/>
    <s v="Ssiderea045949"/>
    <n v="-1.2528585000000001"/>
    <n v="-2.3981002"/>
    <s v="Direct"/>
    <s v="NA"/>
    <s v="Golgi to secretory granule transport"/>
  </r>
  <r>
    <x v="1"/>
    <x v="11"/>
    <s v="OG0008932"/>
    <s v="Ofaveolata021054"/>
    <s v="Ssiderea012323"/>
    <n v="-1.0099054000000001"/>
    <n v="-1.0815032"/>
    <s v="Direct"/>
    <s v="anchor protein 17A"/>
    <s v="anchor protein 17A"/>
  </r>
  <r>
    <x v="1"/>
    <x v="11"/>
    <s v="OG0008952"/>
    <s v="Ofaveolata022997"/>
    <s v="Ssiderea014838"/>
    <n v="5.9186658200000002"/>
    <n v="4.9007138100000001"/>
    <s v="Direct"/>
    <s v="regulation of endoplasmic reticulum stress-induced intrinsic apoptotic signaling pathway"/>
    <s v="regulation of endoplasmic reticulum stress-induced intrinsic apoptotic signaling pathway"/>
  </r>
  <r>
    <x v="1"/>
    <x v="11"/>
    <s v="OG0008980"/>
    <s v="Ofaveolata032487"/>
    <s v="Ssiderea034815"/>
    <n v="-4.0343568999999997"/>
    <n v="-1.5254603"/>
    <s v="Direct"/>
    <s v="acyl-CoA dehydrogenase family member 9"/>
    <s v="medium-chain-acyl-CoA dehydrogenase activity"/>
  </r>
  <r>
    <x v="1"/>
    <x v="11"/>
    <s v="OG0008985"/>
    <s v="Ofaveolata032885"/>
    <s v="Ssiderea055254"/>
    <n v="-1.2916839"/>
    <n v="-2.3183098000000002"/>
    <s v="Direct"/>
    <s v="alpha-1,6-mannosylglycoprotein 6-beta-N-acetylglucosaminyltransferase activity"/>
    <s v="alpha-1,6-mannosylglycoprotein 6-beta-N-acetylglucosaminyltransferase activity"/>
  </r>
  <r>
    <x v="1"/>
    <x v="11"/>
    <s v="OG0009012"/>
    <s v="Ofaveolata004494"/>
    <s v="Ssiderea052467"/>
    <n v="-1.3507389999999999"/>
    <n v="-3.3620055"/>
    <s v="Direct"/>
    <s v="structural constituent of cuticle"/>
    <s v="structural constituent of cuticle"/>
  </r>
  <r>
    <x v="1"/>
    <x v="11"/>
    <s v="OG0009019"/>
    <s v="Ofaveolata008792"/>
    <s v="Ssiderea008272"/>
    <n v="3.9515454399999999"/>
    <n v="1.18767387"/>
    <s v="Direct"/>
    <s v="NA"/>
    <s v="macromolecule localization"/>
  </r>
  <r>
    <x v="1"/>
    <x v="11"/>
    <s v="OG0009064"/>
    <s v="Ofaveolata022497"/>
    <s v="Ssiderea015581"/>
    <n v="-1.2874719999999999"/>
    <n v="-2.7165990999999998"/>
    <s v="Direct"/>
    <s v="phosphorylase kinase regulator activity"/>
    <s v="phosphorylase kinase regulator activity"/>
  </r>
  <r>
    <x v="1"/>
    <x v="11"/>
    <s v="OG0009113"/>
    <s v="Ofaveolata002474"/>
    <s v="Ssiderea025037"/>
    <n v="-4.4260937"/>
    <n v="-1.1684657000000001"/>
    <s v="Direct"/>
    <s v="Catalyzes the ferrous insertion into protoporphyrin IX"/>
    <s v="Catalyzes the ferrous insertion into protoporphyrin IX"/>
  </r>
  <r>
    <x v="1"/>
    <x v="11"/>
    <s v="OG0009169"/>
    <s v="Ofaveolata007065"/>
    <s v="Ssiderea028276"/>
    <n v="-1.6949622"/>
    <n v="1.5329742099999999"/>
    <s v="Inverse"/>
    <s v="BRO1-like domain"/>
    <s v="BRO1-like domain"/>
  </r>
  <r>
    <x v="1"/>
    <x v="11"/>
    <s v="OG0009201"/>
    <s v="Ofaveolata003661"/>
    <s v="Ssiderea046477"/>
    <n v="-1.9318185000000001"/>
    <n v="-10.064746"/>
    <s v="Direct"/>
    <s v="Belongs to the peptidase M10A family"/>
    <s v="Belongs to the peptidase M10A family"/>
  </r>
  <r>
    <x v="1"/>
    <x v="11"/>
    <s v="OG0009208"/>
    <s v="Ofaveolata000561"/>
    <s v="Ssiderea029205"/>
    <n v="-2.3827294999999999"/>
    <n v="1.60056748"/>
    <s v="Inverse"/>
    <s v="palmitoyl-(protein) hydrolase activity"/>
    <s v="palmitoyl-(protein) hydrolase activity"/>
  </r>
  <r>
    <x v="1"/>
    <x v="11"/>
    <s v="OG0009232"/>
    <s v="Ofaveolata001013"/>
    <s v="Ssiderea022409"/>
    <n v="-1.0043129"/>
    <n v="1.27524568"/>
    <s v="Inverse"/>
    <s v="Adducin 3 (Gamma)"/>
    <s v="Adducin 3 (Gamma)"/>
  </r>
  <r>
    <x v="1"/>
    <x v="11"/>
    <s v="OG0009286"/>
    <s v="Ofaveolata025786"/>
    <s v="Ssiderea038893"/>
    <n v="-6.5384631000000004"/>
    <n v="-2.3872474000000001"/>
    <s v="Direct"/>
    <s v="S-adenosylhomocysteine catabolic process"/>
    <s v="S-adenosylhomocysteine catabolic process"/>
  </r>
  <r>
    <x v="1"/>
    <x v="11"/>
    <s v="OG0009298"/>
    <s v="Ofaveolata006609"/>
    <s v="Ssiderea010002"/>
    <n v="-1.4728877"/>
    <n v="1.15230546"/>
    <s v="Inverse"/>
    <s v="COPII-coated vesicle budding"/>
    <s v="COPII-coated vesicle budding"/>
  </r>
  <r>
    <x v="1"/>
    <x v="11"/>
    <s v="OG0009332"/>
    <s v="Ofaveolata025856"/>
    <s v="Ssiderea055496"/>
    <n v="-2.1234772999999998"/>
    <n v="-3.6158617"/>
    <s v="Direct"/>
    <s v="RmlD substrate binding domain"/>
    <s v="RmlD substrate binding domain"/>
  </r>
  <r>
    <x v="1"/>
    <x v="11"/>
    <s v="OG0009356"/>
    <s v="Ofaveolata022553"/>
    <s v="Ssiderea015347"/>
    <n v="-1.8591424000000001"/>
    <n v="3.3110008899999999"/>
    <s v="Inverse"/>
    <s v="LON peptidase N-terminal domain and RING finger"/>
    <s v="LON peptidase N-terminal domain and RING finger"/>
  </r>
  <r>
    <x v="1"/>
    <x v="11"/>
    <s v="OG0009447"/>
    <s v="Ofaveolata007439"/>
    <s v="Ssiderea044615"/>
    <n v="2.4436992000000002"/>
    <n v="3.1224029"/>
    <s v="Direct"/>
    <s v="Domain Homologous to E6-AP Carboxyl Terminus with"/>
    <s v="Domain Homologous to E6-AP Carboxyl Terminus with"/>
  </r>
  <r>
    <x v="1"/>
    <x v="11"/>
    <s v="OG0009476"/>
    <s v="Ofaveolata002854"/>
    <s v="Ssiderea013482"/>
    <n v="2.0094263699999999"/>
    <n v="-3.2236175999999999"/>
    <s v="Inverse"/>
    <s v="glutathione hydrolase activity"/>
    <s v="glutathione hydrolase activity"/>
  </r>
  <r>
    <x v="1"/>
    <x v="11"/>
    <s v="OG0009498"/>
    <s v="Ofaveolata026615"/>
    <s v="Ssiderea035159"/>
    <n v="-2.2054716000000001"/>
    <n v="1.4222291499999999"/>
    <s v="Inverse"/>
    <s v="histone demethylase activity (H3-monomethyl-K4 specific)"/>
    <s v="histone demethylase activity (H3-monomethyl-K4 specific)"/>
  </r>
  <r>
    <x v="1"/>
    <x v="11"/>
    <s v="OG0009499"/>
    <s v="Ofaveolata033072"/>
    <s v="Ssiderea026121"/>
    <n v="-1.0045553"/>
    <n v="1.33374685"/>
    <s v="Inverse"/>
    <s v="La ribonucleoprotein domain family, member 7"/>
    <s v="RNA processing"/>
  </r>
  <r>
    <x v="1"/>
    <x v="11"/>
    <s v="OG0009515"/>
    <s v="Ofaveolata016668"/>
    <s v="Ssiderea040441"/>
    <n v="-4.7351653999999996"/>
    <n v="-1.0934785"/>
    <s v="Direct"/>
    <s v="regulation of cellular macromolecule biosynthetic process"/>
    <s v="regulation of cellular macromolecule biosynthetic process"/>
  </r>
  <r>
    <x v="1"/>
    <x v="11"/>
    <s v="OG0009519"/>
    <s v="Ofaveolata005300"/>
    <s v="Ssiderea015838"/>
    <n v="-7.3323663000000003"/>
    <n v="-2.5580769000000001"/>
    <s v="Direct"/>
    <s v="Belongs to the universal ribosomal protein uL13 family"/>
    <s v="Belongs to the universal ribosomal protein uL13 family"/>
  </r>
  <r>
    <x v="1"/>
    <x v="11"/>
    <s v="OG0009551"/>
    <s v="Ofaveolata026600"/>
    <s v="Ssiderea035170"/>
    <n v="-8.6784549000000002"/>
    <n v="1.6184592799999999"/>
    <s v="Inverse"/>
    <s v="2 iron, 2 sulfur cluster binding"/>
    <s v="2Fe-2S iron-sulfur cluster binding domain"/>
  </r>
  <r>
    <x v="1"/>
    <x v="11"/>
    <s v="OG0009555"/>
    <s v="Ofaveolata023565"/>
    <s v="Ssiderea015602"/>
    <n v="-11.014765000000001"/>
    <n v="-1.9557827000000001"/>
    <s v="Direct"/>
    <s v="translational elongation"/>
    <s v="translational elongation"/>
  </r>
  <r>
    <x v="1"/>
    <x v="11"/>
    <s v="OG0009652"/>
    <s v="Ofaveolata025017"/>
    <s v="Ssiderea021332"/>
    <n v="4.9674857000000001"/>
    <n v="1.3337027299999999"/>
    <s v="Direct"/>
    <s v="saccharopine dehydrogenase (NAD+, L-lysine-forming) activity"/>
    <s v="saccharopine dehydrogenase (NAD+, L-lysine-forming) activity"/>
  </r>
  <r>
    <x v="1"/>
    <x v="11"/>
    <s v="OG0009656"/>
    <s v="Ofaveolata024713"/>
    <s v="Ssiderea016961"/>
    <n v="1.52967779"/>
    <n v="-1.7472382"/>
    <s v="Inverse"/>
    <s v="TBC LysM-associated domain containing 1"/>
    <s v="negative regulation of oxidative stress-induced neuron death"/>
  </r>
  <r>
    <x v="1"/>
    <x v="11"/>
    <s v="OG0009662"/>
    <s v="Ofaveolata030010"/>
    <s v="Ssiderea052995"/>
    <n v="-5.4912643000000001"/>
    <n v="-2.0070025"/>
    <s v="Direct"/>
    <s v="Far upstream element-binding protein"/>
    <s v="Far upstream element-binding protein"/>
  </r>
  <r>
    <x v="1"/>
    <x v="11"/>
    <s v="OG0009670"/>
    <s v="Ofaveolata027696"/>
    <s v="Ssiderea025559"/>
    <n v="-1.7355917000000001"/>
    <n v="-2.7622211000000001"/>
    <s v="Direct"/>
    <s v="prolyl 4-hydroxylase"/>
    <s v="prolyl 4-hydroxylase"/>
  </r>
  <r>
    <x v="1"/>
    <x v="11"/>
    <s v="OG0009683"/>
    <s v="Ofaveolata027973"/>
    <s v="Ssiderea035456"/>
    <n v="1.2138686599999999"/>
    <n v="-1.6952339000000001"/>
    <s v="Inverse"/>
    <s v="DIRAS family, GTP-binding Ras-like"/>
    <s v="DIRAS family, GTP-binding Ras-like"/>
  </r>
  <r>
    <x v="1"/>
    <x v="11"/>
    <s v="OG0009685"/>
    <s v="Ofaveolata032877"/>
    <s v="Ssiderea055212"/>
    <n v="-1.0332568"/>
    <n v="-4.5856952"/>
    <s v="Direct"/>
    <s v="cysteine-type endopeptidase activity"/>
    <s v="cysteine-type endopeptidase activity"/>
  </r>
  <r>
    <x v="1"/>
    <x v="11"/>
    <s v="OG0009716"/>
    <s v="Ofaveolata026640"/>
    <s v="Ssiderea017635"/>
    <n v="1.06995383"/>
    <n v="-1.7129761999999999"/>
    <s v="Inverse"/>
    <s v="negative regulation of growth rate"/>
    <s v="negative regulation of growth rate"/>
  </r>
  <r>
    <x v="1"/>
    <x v="11"/>
    <s v="OG0009724"/>
    <s v="Ofaveolata005171"/>
    <s v="Ssiderea010635"/>
    <n v="1.2324794100000001"/>
    <n v="1.6474661500000001"/>
    <s v="Direct"/>
    <s v="homophilic cell adhesion via plasma membrane adhesion molecules"/>
    <s v="radial glial cell differentiation"/>
  </r>
  <r>
    <x v="1"/>
    <x v="11"/>
    <s v="OG0009741"/>
    <s v="Ofaveolata001253"/>
    <s v="Ssiderea056338"/>
    <n v="-3.7642074000000001"/>
    <n v="-5.3557956999999998"/>
    <s v="Direct"/>
    <s v="negative regulation of ERK1 and ERK2 cascade"/>
    <s v="negative regulation of ERK1 and ERK2 cascade"/>
  </r>
  <r>
    <x v="1"/>
    <x v="11"/>
    <s v="OG0009765"/>
    <s v="Ofaveolata008051"/>
    <s v="Ssiderea009584"/>
    <n v="-2.4776527000000002"/>
    <n v="1.3528970300000001"/>
    <s v="Inverse"/>
    <s v="TAF6-like RNA polymerase II, p300 CBP-associated"/>
    <s v="TAF6-like RNA polymerase II, p300 CBP-associated"/>
  </r>
  <r>
    <x v="1"/>
    <x v="11"/>
    <s v="OG0009767"/>
    <s v="Ofaveolata008116"/>
    <s v="Ssiderea009645"/>
    <n v="-1.2355312000000001"/>
    <n v="-1.1439598"/>
    <s v="Direct"/>
    <s v="Initiation factor"/>
    <s v="Initiation factor"/>
  </r>
  <r>
    <x v="1"/>
    <x v="11"/>
    <s v="OG0009798"/>
    <s v="Ofaveolata022032"/>
    <s v="Ssiderea023351"/>
    <n v="-1.4219702000000001"/>
    <n v="-2.2804262"/>
    <s v="Direct"/>
    <s v="nicotinamidase activity"/>
    <s v="nicotinamidase activity"/>
  </r>
  <r>
    <x v="1"/>
    <x v="11"/>
    <s v="OG0009912"/>
    <s v="Ofaveolata010243"/>
    <s v="Ssiderea019444"/>
    <n v="-1.2565199"/>
    <n v="1.3356644"/>
    <s v="Inverse"/>
    <s v="ATP binding"/>
    <s v="ATP binding"/>
  </r>
  <r>
    <x v="1"/>
    <x v="11"/>
    <s v="OG0009918"/>
    <s v="Ofaveolata025486"/>
    <s v="Ssiderea039868"/>
    <n v="-3.8086631999999998"/>
    <n v="-8.3821034999999995"/>
    <s v="Direct"/>
    <s v="dolichyl-diphosphooligosaccharide-protein glycotransferase activity"/>
    <s v="dolichyl-diphosphooligosaccharide-protein glycotransferase activity"/>
  </r>
  <r>
    <x v="1"/>
    <x v="11"/>
    <s v="OG0009971"/>
    <s v="Ofaveolata002025"/>
    <s v="Ssiderea013611"/>
    <n v="1.0783384199999999"/>
    <n v="3.29320857"/>
    <s v="Direct"/>
    <s v="transcriptional enhancer factor"/>
    <s v="transcriptional enhancer factor"/>
  </r>
  <r>
    <x v="1"/>
    <x v="11"/>
    <s v="OG0009992"/>
    <s v="Ofaveolata026734"/>
    <s v="Ssiderea017713"/>
    <n v="1.4448629200000001"/>
    <n v="2.08417494"/>
    <s v="Direct"/>
    <s v="nucleic acid-templated transcription"/>
    <s v="nucleic acid-templated transcription"/>
  </r>
  <r>
    <x v="1"/>
    <x v="11"/>
    <s v="OG0010005"/>
    <s v="Ofaveolata004629"/>
    <s v="Ssiderea016538"/>
    <n v="-3.0949168"/>
    <n v="-1.4191946"/>
    <s v="Direct"/>
    <s v="CAAX-box protein maturation"/>
    <s v="CAAX-box protein maturation"/>
  </r>
  <r>
    <x v="1"/>
    <x v="11"/>
    <s v="OG0010028"/>
    <s v="Ofaveolata010348"/>
    <s v="Ssiderea045276"/>
    <n v="-2.5218758999999999"/>
    <n v="1.0370995199999999"/>
    <s v="Inverse"/>
    <s v="alpha-catenin binding"/>
    <s v="alpha-catenin binding"/>
  </r>
  <r>
    <x v="1"/>
    <x v="11"/>
    <s v="OG0010041"/>
    <s v="Ofaveolata003777"/>
    <s v="Ssiderea028755"/>
    <n v="-1.0592999999999999"/>
    <n v="-1.0253356"/>
    <s v="Direct"/>
    <s v="Cytosolic acyl coenzyme A thioester"/>
    <s v="Cytosolic acyl coenzyme A thioester"/>
  </r>
  <r>
    <x v="1"/>
    <x v="11"/>
    <s v="OG0010048"/>
    <s v="Ofaveolata006966"/>
    <s v="Ssiderea032053"/>
    <n v="-1.1482056"/>
    <n v="1.4992925800000001"/>
    <s v="Inverse"/>
    <s v="DNA strand elongation involved in nuclear cell cycle DNA replication"/>
    <s v="DNA strand elongation involved in nuclear cell cycle DNA replication"/>
  </r>
  <r>
    <x v="1"/>
    <x v="11"/>
    <s v="OG0010049"/>
    <s v="Ofaveolata016136"/>
    <s v="Ssiderea055363"/>
    <n v="-3.5701385999999999"/>
    <n v="2.0918183699999999"/>
    <s v="Inverse"/>
    <s v="sodium-dependent L-ascorbate transmembrane transporter activity"/>
    <s v="sodium-dependent L-ascorbate transmembrane transporter activity"/>
  </r>
  <r>
    <x v="1"/>
    <x v="11"/>
    <s v="OG0010098"/>
    <s v="Ofaveolata001543"/>
    <s v="Ssiderea049588"/>
    <n v="1.5853718699999999"/>
    <n v="1.4786393"/>
    <s v="Direct"/>
    <s v="tryptophan 5-monooxygenase activity"/>
    <s v="tryptophan 5-monooxygenase activity"/>
  </r>
  <r>
    <x v="1"/>
    <x v="11"/>
    <s v="OG0010108"/>
    <s v="Ofaveolata034784"/>
    <s v="Ssiderea049584"/>
    <n v="1.86732524"/>
    <n v="2.0046916399999999"/>
    <s v="Direct"/>
    <s v="NA"/>
    <s v="zinc ion binding"/>
  </r>
  <r>
    <x v="1"/>
    <x v="11"/>
    <s v="OG0010114"/>
    <s v="Ofaveolata026638"/>
    <s v="Ssiderea017638"/>
    <n v="1.0008606600000001"/>
    <n v="-2.3003084"/>
    <s v="Inverse"/>
    <s v="carbohydrate binding"/>
    <s v="carbohydrate binding"/>
  </r>
  <r>
    <x v="1"/>
    <x v="11"/>
    <s v="OG0010121"/>
    <s v="Ofaveolata010960"/>
    <s v="Ssiderea055766"/>
    <n v="-1.5213497"/>
    <n v="-4.8699477"/>
    <s v="Direct"/>
    <s v="N-box binding"/>
    <s v="N-box binding"/>
  </r>
  <r>
    <x v="1"/>
    <x v="11"/>
    <s v="OG0010122"/>
    <s v="Ofaveolata018324"/>
    <s v="Ssiderea018647"/>
    <n v="-1.1125989000000001"/>
    <n v="1.1987899799999999"/>
    <s v="Inverse"/>
    <s v="Collagen triple helix"/>
    <s v="Collagen triple helix"/>
  </r>
  <r>
    <x v="1"/>
    <x v="11"/>
    <s v="OG0010216"/>
    <s v="Ofaveolata030565"/>
    <s v="Ssiderea034040"/>
    <n v="-2.4719055000000001"/>
    <n v="-2.7278747999999999"/>
    <s v="Direct"/>
    <s v="scavenger receptor activity"/>
    <s v="scavenger receptor activity"/>
  </r>
  <r>
    <x v="1"/>
    <x v="11"/>
    <s v="OG0010221"/>
    <s v="Ofaveolata023174"/>
    <s v="Ssiderea014617"/>
    <n v="1.92909905"/>
    <n v="1.09417677"/>
    <s v="Direct"/>
    <s v="fucose metabolic process"/>
    <s v="fucose metabolic process"/>
  </r>
  <r>
    <x v="1"/>
    <x v="11"/>
    <s v="OG0010257"/>
    <s v="Ofaveolata031112"/>
    <s v="Ssiderea048859"/>
    <n v="-1.5189534"/>
    <n v="-3.9289722999999999"/>
    <s v="Direct"/>
    <s v="Small nuclear ribonucleoprotein"/>
    <s v="spliceosomal snRNP assembly"/>
  </r>
  <r>
    <x v="1"/>
    <x v="11"/>
    <s v="OG0010275"/>
    <s v="Ofaveolata014495"/>
    <s v="Ssiderea004433"/>
    <n v="-2.6858528000000002"/>
    <n v="-3.1674082000000001"/>
    <s v="Direct"/>
    <s v="cytoplasmic translational termination"/>
    <s v="cytoplasmic translational termination"/>
  </r>
  <r>
    <x v="1"/>
    <x v="11"/>
    <s v="OG0010327"/>
    <s v="Ofaveolata022369"/>
    <s v="Ssiderea023251"/>
    <n v="1.17215859"/>
    <n v="1.1333983299999999"/>
    <s v="Direct"/>
    <s v="sequence-specific DNA binding"/>
    <s v="sequence-specific DNA binding"/>
  </r>
  <r>
    <x v="1"/>
    <x v="11"/>
    <s v="OG0010354"/>
    <s v="Ofaveolata017118"/>
    <s v="Ssiderea052652"/>
    <n v="1.65354457"/>
    <n v="1.74441782"/>
    <s v="Direct"/>
    <s v="Protein disulfide isomerase family A member 4"/>
    <s v="Protein disulfide isomerase family A member 4"/>
  </r>
  <r>
    <x v="1"/>
    <x v="11"/>
    <s v="OG0010357"/>
    <s v="Ofaveolata029786"/>
    <s v="Ssiderea023919"/>
    <n v="-6.4713674000000001"/>
    <n v="-4.8927307000000004"/>
    <s v="Direct"/>
    <s v="cellular zinc ion homeostasis"/>
    <s v="cellular zinc ion homeostasis"/>
  </r>
  <r>
    <x v="1"/>
    <x v="11"/>
    <s v="OG0010375"/>
    <s v="Ofaveolata025189"/>
    <s v="Ssiderea021604"/>
    <n v="-2.1228413000000002"/>
    <n v="-20.672944999999999"/>
    <s v="Direct"/>
    <s v="structural constituent of cuticle"/>
    <s v="structural constituent of cuticle"/>
  </r>
  <r>
    <x v="1"/>
    <x v="11"/>
    <s v="OG0010413"/>
    <s v="Ofaveolata017901"/>
    <s v="Ssiderea003349"/>
    <n v="-2.0879192"/>
    <n v="-3.3808365999999999"/>
    <s v="Direct"/>
    <s v="thyroid hormone transmembrane transporter activity"/>
    <s v="thyroid hormone transmembrane transporter activity"/>
  </r>
  <r>
    <x v="1"/>
    <x v="11"/>
    <s v="OG0010422"/>
    <s v="Ofaveolata017340"/>
    <s v="Ssiderea046675"/>
    <n v="1.4643850899999999"/>
    <n v="1.4278564199999999"/>
    <s v="Direct"/>
    <s v="TNF(Tumour Necrosis Factor) family"/>
    <s v="TNF(Tumour Necrosis Factor) family"/>
  </r>
  <r>
    <x v="1"/>
    <x v="11"/>
    <s v="OG0010477"/>
    <s v="Ofaveolata020822"/>
    <s v="Ssiderea047596"/>
    <n v="-16.937996999999999"/>
    <n v="-2.4932698000000002"/>
    <s v="Direct"/>
    <s v="oxidoreductase activity, oxidizing metal ions with flavin as acceptor"/>
    <s v="oxidoreductase activity, oxidizing metal ions with flavin as acceptor"/>
  </r>
  <r>
    <x v="1"/>
    <x v="11"/>
    <s v="OG0010491"/>
    <s v="Ofaveolata017432"/>
    <s v="Ssiderea048468"/>
    <n v="-4.5451123999999998"/>
    <n v="-1.4240219000000001"/>
    <s v="Direct"/>
    <s v="structural constituent of ribosome"/>
    <s v="structural constituent of ribosome"/>
  </r>
  <r>
    <x v="1"/>
    <x v="11"/>
    <s v="OG0010533"/>
    <s v="Ofaveolata018782"/>
    <s v="Ssiderea003304"/>
    <n v="1.1754767399999999"/>
    <n v="-1.9598085000000001"/>
    <s v="Inverse"/>
    <s v="TMEM192 family"/>
    <s v="TMEM192 family"/>
  </r>
  <r>
    <x v="1"/>
    <x v="11"/>
    <s v="OG0010545"/>
    <s v="Ofaveolata008780"/>
    <s v="Ssiderea008288"/>
    <n v="-4.5642506000000003"/>
    <n v="-1.1707253"/>
    <s v="Direct"/>
    <s v="translation elongation factor activity"/>
    <s v="translation elongation factor activity"/>
  </r>
  <r>
    <x v="1"/>
    <x v="11"/>
    <s v="OG0010589"/>
    <s v="Ofaveolata022639"/>
    <s v="Ssiderea050125"/>
    <n v="-1.960394"/>
    <n v="-15.197841"/>
    <s v="Direct"/>
    <s v="carbohydrate binding"/>
    <s v="carbohydrate binding"/>
  </r>
  <r>
    <x v="1"/>
    <x v="11"/>
    <s v="OG0010598"/>
    <s v="Ofaveolata001861"/>
    <s v="Ssiderea050455"/>
    <n v="1.2364809999999999"/>
    <n v="4.1673812999999997"/>
    <s v="Direct"/>
    <s v="PRELI domain-containing protein 2"/>
    <s v="PRELI domain-containing protein 2"/>
  </r>
  <r>
    <x v="1"/>
    <x v="11"/>
    <s v="OG0010599"/>
    <s v="Ofaveolata005306"/>
    <s v="Ssiderea015848"/>
    <n v="-3.9577857000000001"/>
    <n v="-1.3015649"/>
    <s v="Direct"/>
    <s v="translation initiation factor activity"/>
    <s v="translation initiation factor activity"/>
  </r>
  <r>
    <x v="1"/>
    <x v="11"/>
    <s v="OG0010611"/>
    <s v="Ofaveolata023072"/>
    <s v="Ssiderea014717"/>
    <n v="-1.5017003"/>
    <n v="-1.9112363000000001"/>
    <s v="Direct"/>
    <s v="mesenchymal cell apoptotic process"/>
    <s v="mesenchymal cell apoptotic process"/>
  </r>
  <r>
    <x v="1"/>
    <x v="11"/>
    <s v="OG0010614"/>
    <s v="Ofaveolata015567"/>
    <s v="Ssiderea038127"/>
    <n v="2.9877141200000001"/>
    <n v="9.1027163400000006"/>
    <s v="Direct"/>
    <s v="NA"/>
    <s v="collagen"/>
  </r>
  <r>
    <x v="1"/>
    <x v="11"/>
    <s v="OG0010635"/>
    <s v="Ofaveolata025100"/>
    <s v="Ssiderea021434"/>
    <n v="-1.0018849000000001"/>
    <n v="-2.9516263"/>
    <s v="Direct"/>
    <s v="NA"/>
    <s v="NA"/>
  </r>
  <r>
    <x v="1"/>
    <x v="11"/>
    <s v="OG0010649"/>
    <s v="Ofaveolata021881"/>
    <s v="Ssiderea020406"/>
    <n v="5.8709845300000003"/>
    <n v="2.0137741199999999"/>
    <s v="Direct"/>
    <s v="regulation of hippo signaling"/>
    <s v="WW and C2 domain containing"/>
  </r>
  <r>
    <x v="1"/>
    <x v="11"/>
    <s v="OG0010671"/>
    <s v="Ofaveolata029427"/>
    <s v="Ssiderea032912"/>
    <n v="-12.842024"/>
    <n v="-6.3836693000000002"/>
    <s v="Direct"/>
    <s v="Elongation factor"/>
    <s v="Elongation factor"/>
  </r>
  <r>
    <x v="1"/>
    <x v="11"/>
    <s v="OG0010700"/>
    <s v="Ofaveolata029723"/>
    <s v="Ssiderea023814"/>
    <n v="-3.2654458000000002"/>
    <n v="-3.5763758000000001"/>
    <s v="Direct"/>
    <s v="NA"/>
    <s v="endoplasmic reticulum stress-induced pre-emptive quality control"/>
  </r>
  <r>
    <x v="1"/>
    <x v="11"/>
    <s v="OG0010708"/>
    <s v="Ofaveolata022706"/>
    <s v="Ssiderea015568"/>
    <n v="-3.2034072"/>
    <n v="-2.5456479999999999"/>
    <s v="Direct"/>
    <s v="aminoacyl-tRNA hydrolase activity"/>
    <s v="aminoacyl-tRNA hydrolase activity"/>
  </r>
  <r>
    <x v="1"/>
    <x v="11"/>
    <s v="OG0010724"/>
    <s v="Ofaveolata002293"/>
    <s v="Ssiderea012793"/>
    <n v="-6.6905853000000004"/>
    <n v="-4.0215803000000001"/>
    <s v="Direct"/>
    <s v="positive regulation of Golgi to plasma membrane protein transport"/>
    <s v="positive regulation of Golgi to plasma membrane protein transport"/>
  </r>
  <r>
    <x v="1"/>
    <x v="11"/>
    <s v="OG0010754"/>
    <s v="Ofaveolata015278"/>
    <s v="Ssiderea051044"/>
    <n v="-1.7519131999999999"/>
    <n v="-5.0926476000000003"/>
    <s v="Direct"/>
    <s v="fibroblast growth factor receptor binding"/>
    <s v="fibroblast growth factor receptor binding"/>
  </r>
  <r>
    <x v="1"/>
    <x v="11"/>
    <s v="OG0010777"/>
    <s v="Ofaveolata034148"/>
    <s v="Ssiderea031598"/>
    <n v="4.6768493400000004"/>
    <n v="-1.1958244"/>
    <s v="Inverse"/>
    <s v="Egl-9 family hypoxia-inducible factor"/>
    <s v="Egl-9 family hypoxia-inducible factor"/>
  </r>
  <r>
    <x v="1"/>
    <x v="11"/>
    <s v="OG0010783"/>
    <s v="Ofaveolata025774"/>
    <s v="Ssiderea038877"/>
    <n v="-4.7264762999999999"/>
    <n v="-4.8234953000000003"/>
    <s v="Direct"/>
    <s v="threonine-type endopeptidase activity"/>
    <s v="threonine-type endopeptidase activity"/>
  </r>
  <r>
    <x v="1"/>
    <x v="11"/>
    <s v="OG0010857"/>
    <s v="Ofaveolata031651"/>
    <s v="Ssiderea006846"/>
    <n v="-3.2224993999999998"/>
    <n v="-6.5770483000000004"/>
    <s v="Direct"/>
    <s v="Glutaredoxin"/>
    <s v="protein disulfide oxidoreductase activity"/>
  </r>
  <r>
    <x v="1"/>
    <x v="11"/>
    <s v="OG0010869"/>
    <s v="Ofaveolata034031"/>
    <s v="Ssiderea031965"/>
    <n v="-2.0859926"/>
    <n v="-3.0228907999999999"/>
    <s v="Direct"/>
    <s v="protein N-linked glycosylation via asparagine"/>
    <s v="protein N-linked glycosylation via asparagine"/>
  </r>
  <r>
    <x v="1"/>
    <x v="11"/>
    <s v="OG0010877"/>
    <s v="Ofaveolata006054"/>
    <s v="Ssiderea057216"/>
    <n v="-1.1659161"/>
    <n v="-4.4190345000000004"/>
    <s v="Direct"/>
    <s v="Belongs to the Ca(2 ) cation antiporter (CaCA) (TC 2.A.19) family"/>
    <s v="Belongs to the Ca(2 ) cation antiporter (CaCA) (TC 2.A.19) family"/>
  </r>
  <r>
    <x v="1"/>
    <x v="11"/>
    <s v="OG0010885"/>
    <s v="Ofaveolata029213"/>
    <s v="Ssiderea034370"/>
    <n v="-2.0754698999999999"/>
    <n v="-1.9796305999999999"/>
    <s v="Direct"/>
    <s v="Sugar transporter"/>
    <s v="Sugar transporter"/>
  </r>
  <r>
    <x v="1"/>
    <x v="11"/>
    <s v="OG0010894"/>
    <s v="Ofaveolata001227"/>
    <s v="Ssiderea029275"/>
    <n v="6.7778596100000001"/>
    <n v="-1.7735455"/>
    <s v="Inverse"/>
    <s v="positive regulation of glomerular metanephric mesangial cell proliferation"/>
    <s v="Transcriptional regulator. Recognizes and binds to the DNA sequence 5'-GCG(T G)GGGCG-3'(EGR-site) in the promoter region of target genes. Binds double-stranded target DNA, irrespective of the cytosine methylation status. Regulates the transcription of num"/>
  </r>
  <r>
    <x v="1"/>
    <x v="11"/>
    <s v="OG0010935"/>
    <s v="Ofaveolata008486"/>
    <s v="Ssiderea008747"/>
    <n v="1.1089029100000001"/>
    <n v="1.9405336900000001"/>
    <s v="Direct"/>
    <s v="retrograde transport, endosome to plasma membrane"/>
    <s v="retrograde transport, endosome to plasma membrane"/>
  </r>
  <r>
    <x v="1"/>
    <x v="11"/>
    <s v="OG0010972"/>
    <s v="Ofaveolata006372"/>
    <s v="Ssiderea028354"/>
    <n v="-1.4783592000000001"/>
    <n v="-1.0114498999999999"/>
    <s v="Direct"/>
    <s v="Cornichon family AMPA receptor auxiliary protein 1"/>
    <s v="Cornichon family AMPA receptor auxiliary protein 1"/>
  </r>
  <r>
    <x v="1"/>
    <x v="11"/>
    <s v="OG0010989"/>
    <s v="Ofaveolata033418"/>
    <s v="Ssiderea047118"/>
    <n v="2.0077529900000002"/>
    <n v="-4.7966034999999998"/>
    <s v="Inverse"/>
    <s v="signaling receptor binding"/>
    <s v="mesenchymal-epithelial cell signaling involved in prostate gland development"/>
  </r>
  <r>
    <x v="1"/>
    <x v="11"/>
    <s v="OG0011006"/>
    <s v="Ofaveolata014959"/>
    <s v="Ssiderea038361"/>
    <n v="-2.9320165999999999"/>
    <n v="-3.9387622000000002"/>
    <s v="Direct"/>
    <s v="ER overload response"/>
    <s v="ER overload response"/>
  </r>
  <r>
    <x v="1"/>
    <x v="11"/>
    <s v="OG0011008"/>
    <s v="Ofaveolata013053"/>
    <s v="Ssiderea001422"/>
    <n v="-2.1477719"/>
    <n v="-4.2097429000000002"/>
    <s v="Direct"/>
    <s v="Solute carrier family 4, sodium bicarbonate transporter, member 10"/>
    <s v="Solute carrier family 4, sodium bicarbonate cotransporter, member 7"/>
  </r>
  <r>
    <x v="1"/>
    <x v="11"/>
    <s v="OG0011022"/>
    <s v="Ofaveolata029599"/>
    <s v="Ssiderea054609"/>
    <n v="-1.8520532000000001"/>
    <n v="-2.8807592"/>
    <s v="Direct"/>
    <s v="cell-cell junction organization"/>
    <s v="cell-cell junction organization"/>
  </r>
  <r>
    <x v="1"/>
    <x v="11"/>
    <s v="OG0011049"/>
    <s v="Ofaveolata000126"/>
    <s v="Ssiderea021909"/>
    <n v="1.47910052"/>
    <n v="2.27610548"/>
    <s v="Direct"/>
    <s v="replication fork processing"/>
    <s v="mitotic sister chromatid biorientation"/>
  </r>
  <r>
    <x v="1"/>
    <x v="11"/>
    <s v="OG0011122"/>
    <s v="Ofaveolata008342"/>
    <s v="Ssiderea008901"/>
    <n v="-3.9803774000000001"/>
    <n v="-1.5712870999999999"/>
    <s v="Direct"/>
    <s v="phosphatidylserine synthase"/>
    <s v="phosphatidylserine biosynthetic process"/>
  </r>
  <r>
    <x v="1"/>
    <x v="11"/>
    <s v="OG0011169"/>
    <s v="Ofaveolata024769"/>
    <s v="Ssiderea016833"/>
    <n v="1.76882374"/>
    <n v="1.99908142"/>
    <s v="Direct"/>
    <s v="cytoskeletal rearrangement involved in phagocytosis, engulfment"/>
    <s v="cytoskeletal rearrangement involved in phagocytosis, engulfment"/>
  </r>
  <r>
    <x v="1"/>
    <x v="11"/>
    <s v="OG0011179"/>
    <s v="Ofaveolata026476"/>
    <s v="Ssiderea038546"/>
    <n v="-1.2466801000000001"/>
    <n v="1.6302541100000001"/>
    <s v="Inverse"/>
    <s v="NA"/>
    <s v="NA"/>
  </r>
  <r>
    <x v="1"/>
    <x v="11"/>
    <s v="OG0011195"/>
    <s v="Ofaveolata015421"/>
    <s v="Ssiderea038169"/>
    <n v="-1.3986415000000001"/>
    <n v="-1.1155672999999999"/>
    <s v="Direct"/>
    <s v="Belongs to the AAA ATPase family"/>
    <s v="Belongs to the AAA ATPase family"/>
  </r>
  <r>
    <x v="1"/>
    <x v="11"/>
    <s v="OG0011214"/>
    <s v="Ofaveolata010131"/>
    <s v="Ssiderea049480"/>
    <n v="-7.4650981999999999"/>
    <n v="-8.3408852000000007"/>
    <s v="Direct"/>
    <s v="Belongs to the short-chain dehydrogenases reductases (SDR) family"/>
    <s v="Belongs to the short-chain dehydrogenases reductases (SDR) family"/>
  </r>
  <r>
    <x v="1"/>
    <x v="11"/>
    <s v="OG0011224"/>
    <s v="Ofaveolata031986"/>
    <s v="Ssiderea048810"/>
    <n v="2.02203738"/>
    <n v="-2.1005224999999998"/>
    <s v="Inverse"/>
    <s v="negative regulation of smooth muscle cell differentiation"/>
    <s v="negative regulation of smooth muscle cell differentiation"/>
  </r>
  <r>
    <x v="1"/>
    <x v="11"/>
    <s v="OG0011232"/>
    <s v="Ofaveolata026486"/>
    <s v="Ssiderea038565"/>
    <n v="-10.925374"/>
    <n v="1.2601769599999999"/>
    <s v="Inverse"/>
    <s v="acetylesterase activity"/>
    <s v="acetylesterase activity"/>
  </r>
  <r>
    <x v="1"/>
    <x v="11"/>
    <s v="OG0011273"/>
    <s v="Ofaveolata015586"/>
    <s v="Ssiderea038084"/>
    <n v="-1.0463842999999999"/>
    <n v="-1.0090152999999999"/>
    <s v="Direct"/>
    <s v="Belongs to the TRAFAC class myosin-kinesin ATPase superfamily. Kinesin family"/>
    <s v="Belongs to the TRAFAC class myosin-kinesin ATPase superfamily. Kinesin family"/>
  </r>
  <r>
    <x v="1"/>
    <x v="11"/>
    <s v="OG0011293"/>
    <s v="Ofaveolata003606"/>
    <s v="Ssiderea046337"/>
    <n v="-13.620983000000001"/>
    <n v="-1.5517996000000001"/>
    <s v="Direct"/>
    <s v="cellular copper ion homeostasis"/>
    <s v="cellular copper ion homeostasis"/>
  </r>
  <r>
    <x v="1"/>
    <x v="11"/>
    <s v="OG0011322"/>
    <s v="Ofaveolata025013"/>
    <s v="Ssiderea021306"/>
    <n v="-2.7345220000000001"/>
    <n v="-4.3008230000000003"/>
    <s v="Direct"/>
    <s v="GDP-mannose"/>
    <s v="GDP-mannose 4,6-dehydratase activity"/>
  </r>
  <r>
    <x v="1"/>
    <x v="11"/>
    <s v="OG0011361"/>
    <s v="Ofaveolata024555"/>
    <s v="Ssiderea005949"/>
    <n v="-4.2557074000000004"/>
    <n v="-2.4665029000000001"/>
    <s v="Direct"/>
    <s v="translation initiation factor activity"/>
    <s v="translation initiation factor activity"/>
  </r>
  <r>
    <x v="1"/>
    <x v="11"/>
    <s v="OG0011373"/>
    <s v="Ofaveolata002782"/>
    <s v="Ssiderea013299"/>
    <n v="-2.4006365000000001"/>
    <n v="-1.3939463000000001"/>
    <s v="Direct"/>
    <s v="protein kinase activity"/>
    <s v="protein kinase activity"/>
  </r>
  <r>
    <x v="1"/>
    <x v="11"/>
    <s v="OG0011380"/>
    <s v="Ofaveolata013671"/>
    <s v="Ssiderea049268"/>
    <n v="-1.1800473"/>
    <n v="-1.4501542000000001"/>
    <s v="Direct"/>
    <s v="Clusterin-associated protein 1"/>
    <s v="Clusterin-associated protein 1"/>
  </r>
  <r>
    <x v="1"/>
    <x v="11"/>
    <s v="OG0011382"/>
    <s v="Ofaveolata031051"/>
    <s v="Ssiderea006575"/>
    <n v="1.9661649999999999"/>
    <n v="1.8851319200000001"/>
    <s v="Direct"/>
    <s v="helix loop helix domain"/>
    <s v="helix loop helix domain"/>
  </r>
  <r>
    <x v="1"/>
    <x v="11"/>
    <s v="OG0011384"/>
    <s v="Ofaveolata023563"/>
    <s v="Ssiderea049941"/>
    <n v="1.3334900700000001"/>
    <n v="-6.0745481999999997"/>
    <s v="Inverse"/>
    <s v="nitric oxide catabolic process"/>
    <s v="nitric oxide catabolic process"/>
  </r>
  <r>
    <x v="1"/>
    <x v="11"/>
    <s v="OG0011388"/>
    <s v="Ofaveolata009933"/>
    <s v="Ssiderea036120"/>
    <n v="-6.5547241999999999"/>
    <n v="-3.8245073000000001"/>
    <s v="Direct"/>
    <s v="Lys63-specific deubiquitinase activity"/>
    <s v="Lys63-specific deubiquitinase activity"/>
  </r>
  <r>
    <x v="1"/>
    <x v="11"/>
    <s v="OG0011389"/>
    <s v="Ofaveolata000336"/>
    <s v="Ssiderea022101"/>
    <n v="-1.0429938000000001"/>
    <n v="-1.0027317"/>
    <s v="Direct"/>
    <s v="glomerular parietal epithelial cell differentiation"/>
    <s v="glomerular parietal epithelial cell differentiation"/>
  </r>
  <r>
    <x v="1"/>
    <x v="11"/>
    <s v="OG0011403"/>
    <s v="Ofaveolata006347"/>
    <s v="Ssiderea048229"/>
    <n v="1.2843131999999999"/>
    <n v="1.3094807900000001"/>
    <s v="Direct"/>
    <s v="RNA binding"/>
    <s v="RNA binding"/>
  </r>
  <r>
    <x v="1"/>
    <x v="11"/>
    <s v="OG0011446"/>
    <s v="Ofaveolata007303"/>
    <s v="Ssiderea009805"/>
    <n v="-1.8060754000000001"/>
    <n v="-2.5778653"/>
    <s v="Direct"/>
    <s v="Bifunctional enzyme that catalyzes the enolization of 2,3-diketo-5-methylthiopentyl-1-phosphate (DK-MTP-1-P) into the intermediate 2-hydroxy-3-keto-5-methylthiopentenyl-1-phosphate (HK-MTPenyl-1-P), which is then dephosphorylated to form the acireductone "/>
    <s v="Bifunctional enzyme that catalyzes the enolization of 2,3-diketo-5-methylthiopentyl-1-phosphate (DK-MTP-1-P) into the intermediate 2-hydroxy-3-keto-5-methylthiopentenyl-1-phosphate (HK-MTPenyl-1-P), which is then dephosphorylated to form the acireductone "/>
  </r>
  <r>
    <x v="1"/>
    <x v="11"/>
    <s v="OG0011448"/>
    <s v="Ofaveolata026000"/>
    <s v="Ssiderea038858"/>
    <n v="-1.2817925999999999"/>
    <n v="-2.0517482999999999"/>
    <s v="Direct"/>
    <s v="metalloendopeptidase activity"/>
    <s v="metalloendopeptidase activity"/>
  </r>
  <r>
    <x v="1"/>
    <x v="11"/>
    <s v="OG0011451"/>
    <s v="Ofaveolata001473"/>
    <s v="Ssiderea043685"/>
    <n v="2.36334"/>
    <n v="-2.1977473000000001"/>
    <s v="Inverse"/>
    <s v="acid phosphatase activity"/>
    <s v="acid phosphatase activity"/>
  </r>
  <r>
    <x v="1"/>
    <x v="11"/>
    <s v="OG0011504"/>
    <s v="Ofaveolata016870"/>
    <s v="Ssiderea039392"/>
    <n v="1.71492657"/>
    <n v="5.2053502399999996"/>
    <s v="Direct"/>
    <s v="protein localization to nuclear pore"/>
    <s v="protein localization to nuclear pore"/>
  </r>
  <r>
    <x v="1"/>
    <x v="11"/>
    <s v="OG0011505"/>
    <s v="Ofaveolata035786"/>
    <s v="Ssiderea044673"/>
    <n v="-1.039023"/>
    <n v="-2.7205262000000001"/>
    <s v="Direct"/>
    <s v="Meprin A"/>
    <s v="Meprin A"/>
  </r>
  <r>
    <x v="1"/>
    <x v="11"/>
    <s v="OG0011552"/>
    <s v="Ofaveolata017222"/>
    <s v="Ssiderea054594"/>
    <n v="-1.1299779000000001"/>
    <n v="-3.1359899000000002"/>
    <s v="Direct"/>
    <s v="CUB and zona pellucida-like domain-containing protein"/>
    <s v="CUB and zona pellucida-like domain-containing protein"/>
  </r>
  <r>
    <x v="1"/>
    <x v="11"/>
    <s v="OG0011557"/>
    <s v="Ofaveolata014552"/>
    <s v="Ssiderea004387"/>
    <n v="3.2396948700000001"/>
    <n v="-1.2655000000000001"/>
    <s v="Inverse"/>
    <s v="regulation of canonical Wnt signaling pathway involved in osteoblast differentiation"/>
    <s v="regulation of canonical Wnt signaling pathway involved in osteoblast differentiation"/>
  </r>
  <r>
    <x v="1"/>
    <x v="11"/>
    <s v="OG0011606"/>
    <s v="Ofaveolata001300"/>
    <s v="Ssiderea049628"/>
    <n v="-1.4590236000000001"/>
    <n v="2.07061443"/>
    <s v="Inverse"/>
    <s v="erythrocyte development"/>
    <s v="erythrocyte development"/>
  </r>
  <r>
    <x v="1"/>
    <x v="11"/>
    <s v="OG0011609"/>
    <s v="Ofaveolata001454"/>
    <s v="Ssiderea043614"/>
    <n v="-1.2710336"/>
    <n v="-1.5663419999999999"/>
    <s v="Direct"/>
    <s v="transmembrane transport"/>
    <s v="transmembrane transport"/>
  </r>
  <r>
    <x v="1"/>
    <x v="11"/>
    <s v="OG0011630"/>
    <s v="Ofaveolata008513"/>
    <s v="Ssiderea050500"/>
    <n v="-4.1415220000000001"/>
    <n v="2.7349705000000002"/>
    <s v="Inverse"/>
    <s v="translocation of peptides or proteins into host cell cytoplasm"/>
    <s v="translocation of peptides or proteins into host cell cytoplasm"/>
  </r>
  <r>
    <x v="1"/>
    <x v="11"/>
    <s v="OG0011640"/>
    <s v="Ofaveolata003063"/>
    <s v="Ssiderea024796"/>
    <n v="-1.0057929999999999"/>
    <n v="-4.3205783000000002"/>
    <s v="Direct"/>
    <s v="pyruvate kinase activity"/>
    <s v="pyruvate kinase activity"/>
  </r>
  <r>
    <x v="1"/>
    <x v="11"/>
    <s v="OG0011644"/>
    <s v="Ofaveolata029049"/>
    <s v="Ssiderea013792"/>
    <n v="-5.1559654000000004"/>
    <n v="-3.4410031000000001"/>
    <s v="Direct"/>
    <s v="medium-chain fatty acid-CoA ligase activity"/>
    <s v="medium-chain fatty acid-CoA ligase activity"/>
  </r>
  <r>
    <x v="1"/>
    <x v="11"/>
    <s v="OG0011645"/>
    <s v="Ofaveolata005591"/>
    <s v="Ssiderea016151"/>
    <n v="-1.0099054000000001"/>
    <n v="-5.9105261999999996"/>
    <s v="Direct"/>
    <s v="protein KIAA0895 homolog"/>
    <s v="protein KIAA0895 homolog"/>
  </r>
  <r>
    <x v="1"/>
    <x v="11"/>
    <s v="OG0011665"/>
    <s v="Ofaveolata014778"/>
    <s v="Ssiderea004700"/>
    <n v="1.7651801499999999"/>
    <n v="3.7157066599999999"/>
    <s v="Direct"/>
    <s v="intracellular chloride channel activity"/>
    <s v="intracellular chloride channel activity"/>
  </r>
  <r>
    <x v="1"/>
    <x v="11"/>
    <s v="OG0011695"/>
    <s v="Ofaveolata018040"/>
    <s v="Ssiderea002216"/>
    <n v="-4.4413960000000001"/>
    <n v="-3.0122431999999999"/>
    <s v="Direct"/>
    <s v="translation initiation factor activity"/>
    <s v="translation initiation factor activity"/>
  </r>
  <r>
    <x v="1"/>
    <x v="11"/>
    <s v="OG0011744"/>
    <s v="Ofaveolata022598"/>
    <s v="Ssiderea015270"/>
    <n v="-1.7593217000000001"/>
    <n v="1.7584005899999999"/>
    <s v="Inverse"/>
    <s v="transcription initiation from RNA polymerase III promoter"/>
    <s v="transcription initiation from RNA polymerase III promoter"/>
  </r>
  <r>
    <x v="1"/>
    <x v="11"/>
    <s v="OG0011757"/>
    <s v="Ofaveolata034824"/>
    <s v="Ssiderea012838"/>
    <n v="1.3333440999999999"/>
    <n v="-2.9525193000000001"/>
    <s v="Inverse"/>
    <s v="carbohydrate binding"/>
    <s v="Macrophage mannose receptor 1-like"/>
  </r>
  <r>
    <x v="1"/>
    <x v="11"/>
    <s v="OG0011803"/>
    <s v="Ofaveolata003267"/>
    <s v="Ssiderea030105"/>
    <n v="-3.9290370000000001"/>
    <n v="-1.0253753999999999"/>
    <s v="Direct"/>
    <s v="threonine-type endopeptidase activity"/>
    <s v="threonine-type endopeptidase activity"/>
  </r>
  <r>
    <x v="1"/>
    <x v="11"/>
    <s v="OG0011807"/>
    <s v="Ofaveolata014694"/>
    <s v="Ssiderea004577"/>
    <n v="-2.5077205999999999"/>
    <n v="-2.3930631999999998"/>
    <s v="Direct"/>
    <s v="phosphomannomutase activity"/>
    <s v="phosphomannomutase activity"/>
  </r>
  <r>
    <x v="1"/>
    <x v="11"/>
    <s v="OG0011863"/>
    <s v="Ofaveolata028792"/>
    <s v="Ssiderea014542"/>
    <n v="-2.5776319000000001"/>
    <n v="-1.2363987000000001"/>
    <s v="Direct"/>
    <s v="Belongs to the universal ribosomal protein uS19 family"/>
    <s v="Belongs to the universal ribosomal protein uS19 family"/>
  </r>
  <r>
    <x v="1"/>
    <x v="11"/>
    <s v="OG0011875"/>
    <s v="Ofaveolata011466"/>
    <s v="Ssiderea019386"/>
    <n v="-2.5824791"/>
    <n v="1.33687785"/>
    <s v="Inverse"/>
    <s v="Catalyzes the formation of N(7)-methylguanine at position 46 (m7G46) in tRNA"/>
    <s v="Catalyzes the formation of N(7)-methylguanine at position 46 (m7G46) in tRNA"/>
  </r>
  <r>
    <x v="1"/>
    <x v="11"/>
    <s v="OG0011893"/>
    <s v="Ofaveolata020827"/>
    <s v="Ssiderea047593"/>
    <n v="-2.2476623"/>
    <n v="1.9077637199999999"/>
    <s v="Inverse"/>
    <s v="Hepatic leukemia factor"/>
    <s v="Hepatic leukemia factor"/>
  </r>
  <r>
    <x v="1"/>
    <x v="11"/>
    <s v="OG0011896"/>
    <s v="Ofaveolata007066"/>
    <s v="Ssiderea028275"/>
    <n v="1.42603474"/>
    <n v="1.4286504900000001"/>
    <s v="Direct"/>
    <s v="E3 ubiquitin-protein ligase RNF216"/>
    <s v="E3 ubiquitin-protein ligase RNF216"/>
  </r>
  <r>
    <x v="1"/>
    <x v="11"/>
    <s v="OG0011908"/>
    <s v="Ofaveolata029688"/>
    <s v="Ssiderea023731"/>
    <n v="-1.2074077999999999"/>
    <n v="2.6841913599999998"/>
    <s v="Inverse"/>
    <s v="NA"/>
    <s v="glomerular parietal epithelial cell differentiation"/>
  </r>
  <r>
    <x v="1"/>
    <x v="11"/>
    <s v="OG0011935"/>
    <s v="Ofaveolata024059"/>
    <s v="Ssiderea005437"/>
    <n v="1.0046689600000001"/>
    <n v="1.1432173000000001"/>
    <s v="Direct"/>
    <s v="phosphatidylinositol 5-phosphate metabolic process"/>
    <s v="phosphatidylinositol 5-phosphate metabolic process"/>
  </r>
  <r>
    <x v="1"/>
    <x v="11"/>
    <s v="OG0011936"/>
    <s v="Ofaveolata023203"/>
    <s v="Ssiderea046063"/>
    <n v="-2.8383908999999998"/>
    <n v="1.34417429"/>
    <s v="Inverse"/>
    <s v="ribosomal protein S23"/>
    <s v="Structural constituent of ribosome. It is involved in the biological process described with"/>
  </r>
  <r>
    <x v="1"/>
    <x v="11"/>
    <s v="OG0011945"/>
    <s v="Ofaveolata004958"/>
    <s v="Ssiderea046599"/>
    <n v="-1.1439343"/>
    <n v="-1.8044699"/>
    <s v="Direct"/>
    <s v="protein xylosyltransferase activity"/>
    <s v="protein xylosyltransferase activity"/>
  </r>
  <r>
    <x v="1"/>
    <x v="11"/>
    <s v="OG0012007"/>
    <s v="Ofaveolata001000"/>
    <s v="Ssiderea022425"/>
    <n v="1.09835555"/>
    <n v="-2.7205262000000001"/>
    <s v="Inverse"/>
    <s v="NA"/>
    <s v="transmembrane receptor protein tyrosine kinase activity"/>
  </r>
  <r>
    <x v="1"/>
    <x v="11"/>
    <s v="OG0012081"/>
    <s v="Ofaveolata005434"/>
    <s v="Ssiderea015745"/>
    <n v="-1.1899227000000001"/>
    <n v="-1.6560257"/>
    <s v="Direct"/>
    <s v="NA"/>
    <s v="NA"/>
  </r>
  <r>
    <x v="1"/>
    <x v="11"/>
    <s v="OG0012104"/>
    <s v="Ofaveolata013649"/>
    <s v="Ssiderea000158"/>
    <n v="1.0668168600000001"/>
    <n v="-1.0947616"/>
    <s v="Inverse"/>
    <s v="gamma-glutamyl-peptidase activity"/>
    <s v="gamma-glutamyl-peptidase activity"/>
  </r>
  <r>
    <x v="1"/>
    <x v="11"/>
    <s v="OG0012179"/>
    <s v="Ofaveolata002556"/>
    <s v="Ssiderea013067"/>
    <n v="12.687360999999999"/>
    <n v="3.0761819500000001"/>
    <s v="Direct"/>
    <s v="dihydrofolate reductase activity"/>
    <s v="dihydrofolate reductase activity"/>
  </r>
  <r>
    <x v="1"/>
    <x v="11"/>
    <s v="OG0012240"/>
    <s v="Ofaveolata005242"/>
    <s v="Ssiderea010147"/>
    <n v="-3.8351128999999999"/>
    <n v="-1.3206815999999999"/>
    <s v="Direct"/>
    <s v="posttranslational protein targeting to membrane, translocation"/>
    <s v="posttranslational protein targeting to membrane, translocation"/>
  </r>
  <r>
    <x v="1"/>
    <x v="11"/>
    <s v="OG0012270"/>
    <s v="Ofaveolata006331"/>
    <s v="Ssiderea048198"/>
    <n v="3.500534"/>
    <n v="2.2443490599999998"/>
    <s v="Direct"/>
    <s v="positive regulation of interleukin-10 biosynthetic process"/>
    <s v="nucleotide-binding oligomerization domain containing 1 signaling pathway"/>
  </r>
  <r>
    <x v="1"/>
    <x v="11"/>
    <s v="OG0012279"/>
    <s v="Ofaveolata002314"/>
    <s v="Ssiderea012825"/>
    <n v="-1.5540311"/>
    <n v="-2.9474572999999999"/>
    <s v="Direct"/>
    <s v="positive regulation of neural precursor cell proliferation"/>
    <s v="positive regulation of neural precursor cell proliferation"/>
  </r>
  <r>
    <x v="1"/>
    <x v="11"/>
    <s v="OG0012364"/>
    <s v="Ofaveolata033676"/>
    <s v="Ssiderea053647"/>
    <n v="-1.0347634999999999"/>
    <n v="-3.4229900999999998"/>
    <s v="Direct"/>
    <s v="solute carrier family 35, member D3"/>
    <s v="solute carrier family 35, member D3"/>
  </r>
  <r>
    <x v="1"/>
    <x v="11"/>
    <s v="OG0012378"/>
    <s v="Ofaveolata030277"/>
    <s v="Ssiderea027536"/>
    <n v="-9.0386991000000005"/>
    <n v="-2.7583429000000002"/>
    <s v="Direct"/>
    <s v="negative regulation of DNA damage checkpoint"/>
    <s v="negative regulation of DNA damage checkpoint"/>
  </r>
  <r>
    <x v="1"/>
    <x v="11"/>
    <s v="OG0012413"/>
    <s v="Ofaveolata022061"/>
    <s v="Ssiderea022936"/>
    <n v="2.0557470800000002"/>
    <n v="-1.121866"/>
    <s v="Inverse"/>
    <s v="NA"/>
    <s v="calcium ion binding"/>
  </r>
  <r>
    <x v="1"/>
    <x v="11"/>
    <s v="OG0012425"/>
    <s v="Ofaveolata033404"/>
    <s v="Ssiderea040239"/>
    <n v="-1.7873226"/>
    <n v="-1.3485066999999999"/>
    <s v="Direct"/>
    <s v="beta-tubulin binding"/>
    <s v="Leucine-rich PPR motif-containing protein"/>
  </r>
  <r>
    <x v="1"/>
    <x v="11"/>
    <s v="OG0012426"/>
    <s v="Ofaveolata016857"/>
    <s v="Ssiderea039239"/>
    <n v="-6.2068162999999998"/>
    <n v="-1.3967026"/>
    <s v="Direct"/>
    <s v="MDM2/MDM4 family protein binding"/>
    <s v="MDM2/MDM4 family protein binding"/>
  </r>
  <r>
    <x v="1"/>
    <x v="11"/>
    <s v="OG0012435"/>
    <s v="Ofaveolata004979"/>
    <s v="Ssiderea046524"/>
    <n v="-2.0957911999999999"/>
    <n v="1.7457583400000001"/>
    <s v="Inverse"/>
    <s v="phosphatase activity"/>
    <s v="phosphatase activity"/>
  </r>
  <r>
    <x v="1"/>
    <x v="11"/>
    <s v="OG0012451"/>
    <s v="Ofaveolata023443"/>
    <s v="Ssiderea005040"/>
    <n v="-3.6873806"/>
    <n v="-1.8782000000000001"/>
    <s v="Direct"/>
    <s v="membrane protein proteolysis involved in retrograde protein transport, ER to cytosol"/>
    <s v="membrane protein proteolysis involved in retrograde protein transport, ER to cytosol"/>
  </r>
  <r>
    <x v="1"/>
    <x v="11"/>
    <s v="OG0012453"/>
    <s v="Ofaveolata034261"/>
    <s v="Ssiderea031880"/>
    <n v="-1.3587555"/>
    <n v="-1.4736467"/>
    <s v="Direct"/>
    <s v="YLP motif-containing protein 1"/>
    <s v="YLP motif-containing protein 1"/>
  </r>
  <r>
    <x v="1"/>
    <x v="11"/>
    <s v="OG0012465"/>
    <s v="Ofaveolata031852"/>
    <s v="Ssiderea007206"/>
    <n v="-2.2030832"/>
    <n v="-5.783067"/>
    <s v="Direct"/>
    <s v="spliceosomal complex assembly"/>
    <s v="spliceosomal complex assembly"/>
  </r>
  <r>
    <x v="1"/>
    <x v="11"/>
    <s v="OG0012489"/>
    <s v="Ofaveolata004788"/>
    <s v="Ssiderea010974"/>
    <n v="-1.2738406"/>
    <n v="-1.7184162999999999"/>
    <s v="Direct"/>
    <s v="Zinc-binding dehydrogenase"/>
    <s v="Zinc-binding dehydrogenase"/>
  </r>
  <r>
    <x v="1"/>
    <x v="11"/>
    <s v="OG0012501"/>
    <s v="Ofaveolata023142"/>
    <s v="Ssiderea014677"/>
    <n v="1.0790227400000001"/>
    <n v="6.42395914"/>
    <s v="Direct"/>
    <s v="protein modification by small protein conjugation"/>
    <s v="protein modification by small protein conjugation"/>
  </r>
  <r>
    <x v="1"/>
    <x v="11"/>
    <s v="OG0012503"/>
    <s v="Ofaveolata008509"/>
    <s v="Ssiderea008714"/>
    <n v="-1.8134631000000001"/>
    <n v="-1.0798711999999999"/>
    <s v="Direct"/>
    <s v="elongation of very long chain fatty acids protein"/>
    <s v="elongation of very long chain fatty acids protein"/>
  </r>
  <r>
    <x v="1"/>
    <x v="11"/>
    <s v="OG0012508"/>
    <s v="Ofaveolata001060"/>
    <s v="Ssiderea022291"/>
    <n v="-2.5355796000000002"/>
    <n v="-1.4667870999999999"/>
    <s v="Direct"/>
    <s v="NA"/>
    <s v="nucleic acid binding"/>
  </r>
  <r>
    <x v="1"/>
    <x v="11"/>
    <s v="OG0012511"/>
    <s v="Ofaveolata017710"/>
    <s v="Ssiderea046938"/>
    <n v="-4.5493557999999998"/>
    <n v="-2.3016228000000001"/>
    <s v="Direct"/>
    <s v="Eukaryotic initiation factor 4A-II isoform X1"/>
    <s v="Eukaryotic translation initiation factor 4A, isoform"/>
  </r>
  <r>
    <x v="1"/>
    <x v="11"/>
    <s v="OG0012573"/>
    <s v="Ofaveolata030138"/>
    <s v="Ssiderea054218"/>
    <n v="-6.6402083999999997"/>
    <n v="-1.5517996000000001"/>
    <s v="Direct"/>
    <s v="Ubiquitin carboxyl-terminal hydrolase"/>
    <s v="Ubiquitin carboxyl-terminal hydrolase"/>
  </r>
  <r>
    <x v="1"/>
    <x v="11"/>
    <s v="OG0012576"/>
    <s v="Ofaveolata001171"/>
    <s v="Ssiderea029404"/>
    <n v="-1.5670345999999999"/>
    <n v="3.5649448800000001"/>
    <s v="Inverse"/>
    <s v="plasma membrane repair"/>
    <s v="plasma membrane repair"/>
  </r>
  <r>
    <x v="1"/>
    <x v="11"/>
    <s v="OG0012612"/>
    <s v="Ofaveolata025365"/>
    <s v="Ssiderea042040"/>
    <n v="-1.6646491000000001"/>
    <n v="-2.1665139999999998"/>
    <s v="Direct"/>
    <s v="NA"/>
    <s v="Domain of unknown function (DUF4618)"/>
  </r>
  <r>
    <x v="1"/>
    <x v="11"/>
    <s v="OG0012616"/>
    <s v="Ofaveolata013556"/>
    <s v="Ssiderea000113"/>
    <n v="-1.6051622999999999"/>
    <n v="-9.2385993000000006"/>
    <s v="Direct"/>
    <s v="steroid binding"/>
    <s v="steroid binding"/>
  </r>
  <r>
    <x v="1"/>
    <x v="11"/>
    <s v="OG0012628"/>
    <s v="Ofaveolata013818"/>
    <s v="Ssiderea049064"/>
    <n v="-6.7036851000000004"/>
    <n v="-1.5957835"/>
    <s v="Direct"/>
    <s v="Glutathione S-transferase, N-terminal domain"/>
    <s v="Glutathione S-transferase, N-terminal domain"/>
  </r>
  <r>
    <x v="1"/>
    <x v="11"/>
    <s v="OG0012669"/>
    <s v="Ofaveolata003776"/>
    <s v="Ssiderea028754"/>
    <n v="1.10435003"/>
    <n v="3.3110008899999999"/>
    <s v="Direct"/>
    <s v="SUZ RNA binding domain containing 1"/>
    <s v="SUZ RNA binding domain containing 1"/>
  </r>
  <r>
    <x v="1"/>
    <x v="11"/>
    <s v="OG0012678"/>
    <s v="Ofaveolata029819"/>
    <s v="Ssiderea023968"/>
    <n v="-1.1817266"/>
    <n v="-12.240216999999999"/>
    <s v="Direct"/>
    <s v="coreceptor activity involved in Wnt signaling pathway, planar cell polarity pathway"/>
    <s v="coreceptor activity involved in Wnt signaling pathway, planar cell polarity pathway"/>
  </r>
  <r>
    <x v="1"/>
    <x v="11"/>
    <s v="OG0012680"/>
    <s v="Ofaveolata016372"/>
    <s v="Ssiderea036587"/>
    <n v="-1.2210559999999999"/>
    <n v="-2.3198438000000001"/>
    <s v="Direct"/>
    <s v="mothers against decapentaplegic homolog"/>
    <s v="mothers against decapentaplegic homolog"/>
  </r>
  <r>
    <x v="1"/>
    <x v="11"/>
    <s v="OG0012695"/>
    <s v="Ofaveolata023439"/>
    <s v="Ssiderea005043"/>
    <n v="-1.5482457999999999"/>
    <n v="-3.3620055"/>
    <s v="Direct"/>
    <s v="endoderm formation"/>
    <s v="endoderm formation"/>
  </r>
  <r>
    <x v="1"/>
    <x v="11"/>
    <s v="OG0012782"/>
    <s v="Ofaveolata026010"/>
    <s v="Ssiderea038852"/>
    <n v="-8.3259874000000007"/>
    <n v="-3.0764106"/>
    <s v="Direct"/>
    <s v="negative regulation of SNARE complex assembly"/>
    <s v="negative regulation of SNARE complex assembly"/>
  </r>
  <r>
    <x v="1"/>
    <x v="11"/>
    <s v="OG0012801"/>
    <s v="Ofaveolata019158"/>
    <s v="Ssiderea019086"/>
    <n v="1.95390123"/>
    <n v="2.72271843"/>
    <s v="Direct"/>
    <s v="calcium-dependent cysteine-type endopeptidase activity"/>
    <s v="calcium-dependent cysteine-type endopeptidase activity"/>
  </r>
  <r>
    <x v="1"/>
    <x v="11"/>
    <s v="OG0012812"/>
    <s v="Ofaveolata025654"/>
    <s v="Ssiderea041924"/>
    <n v="-3.0553324000000002"/>
    <n v="-5.9669352"/>
    <s v="Direct"/>
    <s v="microtubule motor activity"/>
    <s v="microtubule motor activity"/>
  </r>
  <r>
    <x v="1"/>
    <x v="11"/>
    <s v="OG0012846"/>
    <s v="Ofaveolata033137"/>
    <s v="Ssiderea025984"/>
    <n v="-15.761632000000001"/>
    <n v="-2.8672689999999998"/>
    <s v="Direct"/>
    <s v="5'-3' exoribonuclease activity"/>
    <s v="5'-3' exoribonuclease activity"/>
  </r>
  <r>
    <x v="1"/>
    <x v="11"/>
    <s v="OG0012856"/>
    <s v="Ofaveolata003593"/>
    <s v="Ssiderea046325"/>
    <n v="1.5510038399999999"/>
    <n v="4.3575130499999997"/>
    <s v="Direct"/>
    <s v="procollagen-lysine 5-dioxygenase activity"/>
    <s v="procollagen-lysine 5-dioxygenase activity"/>
  </r>
  <r>
    <x v="1"/>
    <x v="11"/>
    <s v="OG0012886"/>
    <s v="Ofaveolata027216"/>
    <s v="Ssiderea035294"/>
    <n v="-2.3013674000000002"/>
    <n v="-2.3757290000000002"/>
    <s v="Direct"/>
    <s v="phospholipase"/>
    <s v="phospholipase"/>
  </r>
  <r>
    <x v="1"/>
    <x v="11"/>
    <s v="OG0012898"/>
    <s v="Ofaveolata000304"/>
    <s v="Ssiderea022140"/>
    <n v="-9.7458933999999999"/>
    <n v="-1.0459361"/>
    <s v="Direct"/>
    <s v="Phosphoethanolamine"/>
    <s v="Phosphoethanolamine"/>
  </r>
  <r>
    <x v="1"/>
    <x v="11"/>
    <s v="OG0012903"/>
    <s v="Ofaveolata019348"/>
    <s v="Ssiderea011388"/>
    <n v="-1.0295856000000001"/>
    <n v="-1.0668820999999999"/>
    <s v="Direct"/>
    <s v="dolichyl pyrophosphate Man9GlcNAc2 alpha-1,3-glucosyltransferase activity"/>
    <s v="dolichyl pyrophosphate Man9GlcNAc2 alpha-1,3-glucosyltransferase activity"/>
  </r>
  <r>
    <x v="1"/>
    <x v="11"/>
    <s v="OG0012914"/>
    <s v="Ofaveolata017124"/>
    <s v="Ssiderea052660"/>
    <n v="1.5499610699999999"/>
    <n v="1.15230546"/>
    <s v="Direct"/>
    <s v="SCF-dependent proteasomal ubiquitin-dependent protein catabolic process"/>
    <s v="SCF-dependent proteasomal ubiquitin-dependent protein catabolic process"/>
  </r>
  <r>
    <x v="1"/>
    <x v="11"/>
    <s v="OG0012915"/>
    <s v="Ofaveolata022352"/>
    <s v="Ssiderea023226"/>
    <n v="-3.4120441000000001"/>
    <n v="2.1931104499999998"/>
    <s v="Inverse"/>
    <s v="RNA polymerase I transcription factor binding"/>
    <s v="RNA polymerase I transcription factor binding"/>
  </r>
  <r>
    <x v="1"/>
    <x v="11"/>
    <s v="OG0012957"/>
    <s v="Ofaveolata014949"/>
    <s v="Ssiderea038386"/>
    <n v="-1.4146538"/>
    <n v="-2.4189384999999999"/>
    <s v="Direct"/>
    <s v="Major facilitator superfamily domain-containing protein 6-like"/>
    <s v="Major facilitator superfamily domain-containing protein 6-like"/>
  </r>
  <r>
    <x v="1"/>
    <x v="11"/>
    <s v="OG0013007"/>
    <s v="Ofaveolata028888"/>
    <s v="Ssiderea014322"/>
    <n v="-1.4150957"/>
    <n v="-1.8553154000000001"/>
    <s v="Direct"/>
    <s v="PFAM Thioredoxin"/>
    <s v="PITH domain"/>
  </r>
  <r>
    <x v="1"/>
    <x v="11"/>
    <s v="OG0013008"/>
    <s v="Ofaveolata015292"/>
    <s v="Ssiderea057465"/>
    <n v="-1.008559"/>
    <n v="1.6139081099999999"/>
    <s v="Inverse"/>
    <s v="positive regulation of fibroblast apoptotic process"/>
    <s v="positive regulation of fibroblast apoptotic process"/>
  </r>
  <r>
    <x v="1"/>
    <x v="11"/>
    <s v="OG0013009"/>
    <s v="Ofaveolata014280"/>
    <s v="Ssiderea003609"/>
    <n v="1.4866225399999999"/>
    <n v="1.90370146"/>
    <s v="Direct"/>
    <s v="Leucine-rich repeat LGI family, member 3"/>
    <s v="Leucine-rich repeat LGI family, member 3"/>
  </r>
  <r>
    <x v="1"/>
    <x v="11"/>
    <s v="OG0013035"/>
    <s v="Ofaveolata012655"/>
    <s v="Ssiderea000686"/>
    <n v="-1.166884"/>
    <n v="-9.1595413000000008"/>
    <s v="Direct"/>
    <s v="zinc ion binding"/>
    <s v="zinc ion binding"/>
  </r>
  <r>
    <x v="1"/>
    <x v="11"/>
    <s v="OG0013046"/>
    <s v="Ofaveolata005736"/>
    <s v="Ssiderea045518"/>
    <n v="-2.1288900000000002"/>
    <n v="-9.5255469999999995"/>
    <s v="Direct"/>
    <s v="Kinesin motor, catalytic domain. ATPase."/>
    <s v="Microtubule binding"/>
  </r>
  <r>
    <x v="1"/>
    <x v="11"/>
    <s v="OG0013054"/>
    <s v="Ofaveolata000020"/>
    <s v="Ssiderea029563"/>
    <n v="-6.7329533000000001"/>
    <n v="-1.5295551000000001"/>
    <s v="Direct"/>
    <s v="glucokinase activity"/>
    <s v="glucokinase activity"/>
  </r>
  <r>
    <x v="1"/>
    <x v="11"/>
    <s v="OG0013055"/>
    <s v="Ofaveolata036465"/>
    <s v="Ssiderea056584"/>
    <n v="-3.0330878999999999"/>
    <n v="-1.0253356"/>
    <s v="Direct"/>
    <s v="meiotic spindle elongation"/>
    <s v="meiotic spindle elongation"/>
  </r>
  <r>
    <x v="1"/>
    <x v="11"/>
    <s v="OG0013060"/>
    <s v="Ofaveolata005753"/>
    <s v="Ssiderea045515"/>
    <n v="-1.5523644999999999"/>
    <n v="2.08417494"/>
    <s v="Inverse"/>
    <s v="NA"/>
    <s v="Glycosyl transferases group 1"/>
  </r>
  <r>
    <x v="1"/>
    <x v="11"/>
    <s v="OG0013062"/>
    <s v="Ofaveolata014463"/>
    <s v="Ssiderea004465"/>
    <n v="-2.5394749000000001"/>
    <n v="-1.4844339"/>
    <s v="Direct"/>
    <s v="ion transport"/>
    <s v="ion transport"/>
  </r>
  <r>
    <x v="1"/>
    <x v="11"/>
    <s v="OG0013097"/>
    <s v="Ofaveolata012675"/>
    <s v="Ssiderea000608"/>
    <n v="-1.2787183"/>
    <n v="-1.9418901"/>
    <s v="Direct"/>
    <s v="DNA-binding transcription factor activity"/>
    <s v="DNA-binding transcription factor activity"/>
  </r>
  <r>
    <x v="1"/>
    <x v="11"/>
    <s v="OG0013102"/>
    <s v="Ofaveolata011377"/>
    <s v="Ssiderea019312"/>
    <n v="-2.3701102999999999"/>
    <n v="-6.2233597999999999"/>
    <s v="Direct"/>
    <s v="heterogeneous nuclear ribonucleoprotein"/>
    <s v="heterogeneous nuclear ribonucleoprotein"/>
  </r>
  <r>
    <x v="1"/>
    <x v="11"/>
    <s v="OG0013122"/>
    <s v="Ofaveolata008008"/>
    <s v="Ssiderea009512"/>
    <n v="2.3933528900000001"/>
    <n v="-5.5515762000000004"/>
    <s v="Inverse"/>
    <s v="NA"/>
    <s v="NA"/>
  </r>
  <r>
    <x v="1"/>
    <x v="11"/>
    <s v="OG0013147"/>
    <s v="Ofaveolata026455"/>
    <s v="Ssiderea038593"/>
    <n v="-5.0435981999999999"/>
    <n v="-8.1046823999999997"/>
    <s v="Direct"/>
    <s v="AFG3-like protein"/>
    <s v="AFG3-like protein"/>
  </r>
  <r>
    <x v="1"/>
    <x v="11"/>
    <s v="OG0013158"/>
    <s v="Ofaveolata011254"/>
    <s v="Ssiderea051466"/>
    <n v="-4.5270511000000004"/>
    <n v="-1.3100145000000001"/>
    <s v="Direct"/>
    <s v="Belongs to the eukaryotic ribosomal protein eS24 family"/>
    <s v="Belongs to the eukaryotic ribosomal protein eS24 family"/>
  </r>
  <r>
    <x v="1"/>
    <x v="11"/>
    <s v="OG0013205"/>
    <s v="Ofaveolata019611"/>
    <s v="Ssiderea020852"/>
    <n v="-3.4575860999999999"/>
    <n v="-16.952686"/>
    <s v="Direct"/>
    <s v="high mobility group"/>
    <s v="high mobility group"/>
  </r>
  <r>
    <x v="1"/>
    <x v="11"/>
    <s v="OG0013221"/>
    <s v="Ofaveolata022024"/>
    <s v="Ssiderea023369"/>
    <n v="-8.7138618000000001"/>
    <n v="-1.6092337999999999"/>
    <s v="Direct"/>
    <s v="L-lactate"/>
    <s v="L-lactate"/>
  </r>
  <r>
    <x v="1"/>
    <x v="11"/>
    <s v="OG0013251"/>
    <s v="Ofaveolata025849"/>
    <s v="Ssiderea055502"/>
    <n v="-1.2919738000000001"/>
    <n v="-4.5678185999999998"/>
    <s v="Direct"/>
    <s v="Myosin, light"/>
    <s v="Myosin, light"/>
  </r>
  <r>
    <x v="1"/>
    <x v="11"/>
    <s v="OG0013269"/>
    <s v="Ofaveolata030370"/>
    <s v="Ssiderea034243"/>
    <n v="-2.1344234000000002"/>
    <n v="-1.5931497999999999"/>
    <s v="Direct"/>
    <s v="Proline-rich coiled-coil"/>
    <s v="Proline-rich coiled-coi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307F382-833E-5247-8E58-D39CB9577EDA}" name="PivotTable3" cacheId="28" applyNumberFormats="0" applyBorderFormats="0" applyFontFormats="0" applyPatternFormats="0" applyAlignmentFormats="0" applyWidthHeightFormats="0" dataCaption="" updatedVersion="8" compact="0" compactData="0">
  <location ref="M1:O16" firstHeaderRow="1" firstDataRow="1" firstDataCol="2"/>
  <pivotFields count="10">
    <pivotField name="Factor" axis="axisRow" compact="0" outline="0" multipleItemSelectionAllowed="1" showAll="0" sortType="ascending">
      <items count="3">
        <item x="0"/>
        <item x="1"/>
        <item t="default"/>
      </items>
    </pivotField>
    <pivotField name="Comparison" axis="axisRow" compact="0" outline="0" multipleItemSelectionAllowed="1" showAll="0" sortType="ascending">
      <items count="13">
        <item x="6"/>
        <item x="7"/>
        <item x="0"/>
        <item x="1"/>
        <item x="2"/>
        <item x="8"/>
        <item x="9"/>
        <item x="10"/>
        <item x="11"/>
        <item x="3"/>
        <item x="4"/>
        <item x="5"/>
        <item t="default"/>
      </items>
    </pivotField>
    <pivotField name="Orthogroup ID" dataField="1" compact="0" outline="0" multipleItemSelectionAllowed="1" showAll="0"/>
    <pivotField name="Ofaveolata ID" compact="0" outline="0" multipleItemSelectionAllowed="1" showAll="0"/>
    <pivotField name="Ssiderea ID" compact="0" outline="0" multipleItemSelectionAllowed="1" showAll="0"/>
    <pivotField name="Ofaveolata lpv" compact="0" outline="0" multipleItemSelectionAllowed="1" showAll="0"/>
    <pivotField name="Ssiderea lpv" compact="0" outline="0" multipleItemSelectionAllowed="1" showAll="0"/>
    <pivotField name="Relationship" compact="0" outline="0" multipleItemSelectionAllowed="1" showAll="0"/>
    <pivotField name="Ofaveolata Gene Annotation" compact="0" outline="0" multipleItemSelectionAllowed="1" showAll="0"/>
    <pivotField name="Ssiderea Gene Annotation" compact="0" outline="0" multipleItemSelectionAllowed="1" showAll="0"/>
  </pivotFields>
  <rowFields count="2">
    <field x="0"/>
    <field x="1"/>
  </rowFields>
  <rowItems count="15">
    <i>
      <x/>
      <x v="2"/>
    </i>
    <i r="1">
      <x v="3"/>
    </i>
    <i r="1">
      <x v="4"/>
    </i>
    <i r="1">
      <x v="9"/>
    </i>
    <i r="1">
      <x v="10"/>
    </i>
    <i r="1">
      <x v="11"/>
    </i>
    <i t="default">
      <x/>
    </i>
    <i>
      <x v="1"/>
      <x/>
    </i>
    <i r="1">
      <x v="1"/>
    </i>
    <i r="1">
      <x v="5"/>
    </i>
    <i r="1">
      <x v="6"/>
    </i>
    <i r="1">
      <x v="7"/>
    </i>
    <i r="1">
      <x v="8"/>
    </i>
    <i t="default">
      <x v="1"/>
    </i>
    <i t="grand">
      <x/>
    </i>
  </rowItems>
  <colItems count="1">
    <i/>
  </colItems>
  <dataFields count="1">
    <dataField name="COUNTA of Orthogroup ID" fld="2" subtotal="count"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3F201-C18E-E349-BB57-28672C01DBFF}">
  <dimension ref="A1:AB2173"/>
  <sheetViews>
    <sheetView tabSelected="1" topLeftCell="E1" workbookViewId="0">
      <selection activeCell="I13" sqref="I13"/>
    </sheetView>
  </sheetViews>
  <sheetFormatPr baseColWidth="10" defaultColWidth="11.1640625" defaultRowHeight="16" x14ac:dyDescent="0.2"/>
  <cols>
    <col min="1" max="1" width="9" bestFit="1" customWidth="1"/>
    <col min="2" max="2" width="29.83203125" bestFit="1" customWidth="1"/>
    <col min="3" max="3" width="14.33203125" bestFit="1" customWidth="1"/>
    <col min="4" max="4" width="15.6640625" bestFit="1" customWidth="1"/>
    <col min="5" max="5" width="13.83203125" bestFit="1" customWidth="1"/>
    <col min="6" max="6" width="13.5" bestFit="1" customWidth="1"/>
    <col min="7" max="7" width="12.83203125" bestFit="1" customWidth="1"/>
    <col min="8" max="8" width="12" bestFit="1" customWidth="1"/>
    <col min="9" max="10" width="255.83203125" bestFit="1" customWidth="1"/>
    <col min="13" max="13" width="15.1640625" customWidth="1"/>
    <col min="14" max="14" width="26.1640625" customWidth="1"/>
    <col min="15" max="15" width="20" customWidth="1"/>
  </cols>
  <sheetData>
    <row r="1" spans="1:28" x14ac:dyDescent="0.2">
      <c r="A1" s="1" t="s">
        <v>0</v>
      </c>
      <c r="B1" s="1" t="s">
        <v>1</v>
      </c>
      <c r="C1" s="1" t="s">
        <v>2</v>
      </c>
      <c r="D1" s="1" t="s">
        <v>3</v>
      </c>
      <c r="E1" s="1" t="s">
        <v>4</v>
      </c>
      <c r="F1" s="1" t="s">
        <v>5</v>
      </c>
      <c r="G1" s="1" t="s">
        <v>6</v>
      </c>
      <c r="H1" s="1" t="s">
        <v>7</v>
      </c>
      <c r="I1" s="1" t="s">
        <v>8</v>
      </c>
      <c r="J1" s="1" t="s">
        <v>9</v>
      </c>
      <c r="K1" s="2"/>
      <c r="L1" s="2"/>
      <c r="M1" s="17" t="s">
        <v>0</v>
      </c>
      <c r="N1" s="17" t="s">
        <v>1</v>
      </c>
      <c r="O1" s="4" t="s">
        <v>10</v>
      </c>
      <c r="P1" s="5" t="s">
        <v>11</v>
      </c>
      <c r="Q1" s="5" t="s">
        <v>12</v>
      </c>
      <c r="R1" s="5" t="s">
        <v>13</v>
      </c>
      <c r="S1" s="5" t="s">
        <v>14</v>
      </c>
      <c r="T1" s="2"/>
      <c r="U1" s="2"/>
      <c r="V1" s="2"/>
      <c r="W1" s="2"/>
      <c r="X1" s="2"/>
      <c r="Y1" s="2"/>
      <c r="Z1" s="2"/>
      <c r="AA1" s="2"/>
      <c r="AB1" s="2"/>
    </row>
    <row r="2" spans="1:28" x14ac:dyDescent="0.2">
      <c r="A2" s="6" t="s">
        <v>15</v>
      </c>
      <c r="B2" s="6" t="s">
        <v>16</v>
      </c>
      <c r="C2" s="6" t="s">
        <v>17</v>
      </c>
      <c r="D2" s="6" t="s">
        <v>18</v>
      </c>
      <c r="E2" s="6" t="s">
        <v>19</v>
      </c>
      <c r="F2" s="7">
        <v>1.06675915</v>
      </c>
      <c r="G2" s="7">
        <v>-1.119714638</v>
      </c>
      <c r="H2" s="6" t="str">
        <f t="shared" ref="H2:H256" si="0">IF(OR(AND(F2&gt;0,G2&gt;0),AND(F2&lt;0,G2&lt;0)),"Direct","Inverse")</f>
        <v>Inverse</v>
      </c>
      <c r="I2" s="6" t="s">
        <v>20</v>
      </c>
      <c r="J2" s="6" t="s">
        <v>20</v>
      </c>
      <c r="M2" s="3" t="s">
        <v>15</v>
      </c>
      <c r="N2" s="3" t="s">
        <v>16</v>
      </c>
      <c r="O2" s="4">
        <v>180</v>
      </c>
      <c r="P2" s="8">
        <f>COUNTIF($H$2:$H$295,"Direct")</f>
        <v>160</v>
      </c>
      <c r="Q2" s="9">
        <f t="shared" ref="Q2:Q7" si="1">P2/SUM(P2,R2)</f>
        <v>0.54421768707482998</v>
      </c>
      <c r="R2" s="8">
        <f>COUNTIF($H$2:$H$295,"Inverse")</f>
        <v>134</v>
      </c>
      <c r="S2" s="9">
        <f t="shared" ref="S2:S7" si="2">R2/SUM(P2,R2)</f>
        <v>0.45578231292517007</v>
      </c>
    </row>
    <row r="3" spans="1:28" x14ac:dyDescent="0.2">
      <c r="A3" s="6" t="s">
        <v>15</v>
      </c>
      <c r="B3" s="6" t="s">
        <v>16</v>
      </c>
      <c r="C3" s="6" t="s">
        <v>21</v>
      </c>
      <c r="D3" s="6" t="s">
        <v>22</v>
      </c>
      <c r="E3" s="6" t="s">
        <v>23</v>
      </c>
      <c r="F3" s="7">
        <v>-4.7315477010000002</v>
      </c>
      <c r="G3" s="7">
        <v>1.843950676</v>
      </c>
      <c r="H3" s="6" t="str">
        <f t="shared" si="0"/>
        <v>Inverse</v>
      </c>
      <c r="I3" s="6" t="s">
        <v>24</v>
      </c>
      <c r="J3" s="6" t="s">
        <v>24</v>
      </c>
      <c r="M3" s="10"/>
      <c r="N3" s="11" t="s">
        <v>25</v>
      </c>
      <c r="O3" s="12">
        <v>114</v>
      </c>
      <c r="P3" s="8">
        <f>COUNTIF($H$182:$H$295,"Direct")</f>
        <v>69</v>
      </c>
      <c r="Q3" s="9">
        <f t="shared" si="1"/>
        <v>0.60526315789473684</v>
      </c>
      <c r="R3" s="8">
        <f>COUNTIF($H$182:$H$295,"Inverse")</f>
        <v>45</v>
      </c>
      <c r="S3" s="9">
        <f t="shared" si="2"/>
        <v>0.39473684210526316</v>
      </c>
    </row>
    <row r="4" spans="1:28" x14ac:dyDescent="0.2">
      <c r="A4" s="6" t="s">
        <v>15</v>
      </c>
      <c r="B4" s="6" t="s">
        <v>16</v>
      </c>
      <c r="C4" s="6" t="s">
        <v>26</v>
      </c>
      <c r="D4" s="6" t="s">
        <v>27</v>
      </c>
      <c r="E4" s="6" t="s">
        <v>28</v>
      </c>
      <c r="F4" s="7">
        <v>-4.5998994169999996</v>
      </c>
      <c r="G4" s="7">
        <v>-1.1154625789999999</v>
      </c>
      <c r="H4" s="6" t="str">
        <f t="shared" si="0"/>
        <v>Direct</v>
      </c>
      <c r="I4" s="6" t="s">
        <v>29</v>
      </c>
      <c r="J4" s="6" t="s">
        <v>29</v>
      </c>
      <c r="M4" s="10"/>
      <c r="N4" s="11" t="s">
        <v>30</v>
      </c>
      <c r="O4" s="12">
        <v>59</v>
      </c>
      <c r="P4" s="8">
        <f>COUNTIF($H$296:$H$354,"Direct")</f>
        <v>34</v>
      </c>
      <c r="Q4" s="9">
        <f t="shared" si="1"/>
        <v>0.57627118644067798</v>
      </c>
      <c r="R4" s="8">
        <f>COUNTIF($H$296:$H$354,"Inverse")</f>
        <v>25</v>
      </c>
      <c r="S4" s="9">
        <f t="shared" si="2"/>
        <v>0.42372881355932202</v>
      </c>
    </row>
    <row r="5" spans="1:28" x14ac:dyDescent="0.2">
      <c r="A5" s="6" t="s">
        <v>15</v>
      </c>
      <c r="B5" s="6" t="s">
        <v>16</v>
      </c>
      <c r="C5" s="6" t="s">
        <v>31</v>
      </c>
      <c r="D5" s="6" t="s">
        <v>32</v>
      </c>
      <c r="E5" s="6" t="s">
        <v>33</v>
      </c>
      <c r="F5" s="7">
        <v>-2.6854363380000001</v>
      </c>
      <c r="G5" s="7">
        <v>1.340084933</v>
      </c>
      <c r="H5" s="6" t="str">
        <f t="shared" si="0"/>
        <v>Inverse</v>
      </c>
      <c r="I5" s="6" t="s">
        <v>34</v>
      </c>
      <c r="J5" s="6" t="s">
        <v>34</v>
      </c>
      <c r="M5" s="10"/>
      <c r="N5" s="11" t="s">
        <v>35</v>
      </c>
      <c r="O5" s="12">
        <v>31</v>
      </c>
      <c r="P5" s="8">
        <f>COUNTIF($H$355:$H$385,"Direct")</f>
        <v>7</v>
      </c>
      <c r="Q5" s="9">
        <f t="shared" si="1"/>
        <v>0.22580645161290322</v>
      </c>
      <c r="R5" s="8">
        <f>COUNTIF($H$355:$H$385,"Inverse")</f>
        <v>24</v>
      </c>
      <c r="S5" s="9">
        <f t="shared" si="2"/>
        <v>0.77419354838709675</v>
      </c>
    </row>
    <row r="6" spans="1:28" x14ac:dyDescent="0.2">
      <c r="A6" s="6" t="s">
        <v>15</v>
      </c>
      <c r="B6" s="6" t="s">
        <v>16</v>
      </c>
      <c r="C6" s="6" t="s">
        <v>36</v>
      </c>
      <c r="D6" s="6" t="s">
        <v>37</v>
      </c>
      <c r="E6" s="6" t="s">
        <v>38</v>
      </c>
      <c r="F6" s="7">
        <v>4.3025978540000001</v>
      </c>
      <c r="G6" s="7">
        <v>-2.6957021659999998</v>
      </c>
      <c r="H6" s="6" t="str">
        <f t="shared" si="0"/>
        <v>Inverse</v>
      </c>
      <c r="I6" s="6" t="s">
        <v>39</v>
      </c>
      <c r="J6" s="6" t="s">
        <v>39</v>
      </c>
      <c r="M6" s="10"/>
      <c r="N6" s="11" t="s">
        <v>40</v>
      </c>
      <c r="O6" s="12">
        <v>35</v>
      </c>
      <c r="P6" s="8">
        <f>COUNTIF($H$386:$H$420,"Direct")</f>
        <v>18</v>
      </c>
      <c r="Q6" s="9">
        <f t="shared" si="1"/>
        <v>0.51428571428571423</v>
      </c>
      <c r="R6" s="8">
        <f>COUNTIF($H$386:$H$420,"Inverse")</f>
        <v>17</v>
      </c>
      <c r="S6" s="9">
        <f t="shared" si="2"/>
        <v>0.48571428571428571</v>
      </c>
    </row>
    <row r="7" spans="1:28" x14ac:dyDescent="0.2">
      <c r="A7" s="6" t="s">
        <v>15</v>
      </c>
      <c r="B7" s="6" t="s">
        <v>16</v>
      </c>
      <c r="C7" s="6" t="s">
        <v>41</v>
      </c>
      <c r="D7" s="6" t="s">
        <v>42</v>
      </c>
      <c r="E7" s="6" t="s">
        <v>43</v>
      </c>
      <c r="F7" s="7">
        <v>-1.4366473879999999</v>
      </c>
      <c r="G7" s="7">
        <v>-1.0252166650000001</v>
      </c>
      <c r="H7" s="6" t="str">
        <f t="shared" si="0"/>
        <v>Direct</v>
      </c>
      <c r="I7" s="6" t="s">
        <v>44</v>
      </c>
      <c r="J7" s="6" t="s">
        <v>45</v>
      </c>
      <c r="M7" s="10"/>
      <c r="N7" s="11" t="s">
        <v>46</v>
      </c>
      <c r="O7" s="12">
        <v>40</v>
      </c>
      <c r="P7" s="8">
        <f>COUNTIF($H$421:$H$460,"Direct")</f>
        <v>24</v>
      </c>
      <c r="Q7" s="9">
        <f t="shared" si="1"/>
        <v>0.6</v>
      </c>
      <c r="R7" s="8">
        <f>COUNTIF($H$421:$H$460,"Inverse")</f>
        <v>16</v>
      </c>
      <c r="S7" s="9">
        <f t="shared" si="2"/>
        <v>0.4</v>
      </c>
    </row>
    <row r="8" spans="1:28" x14ac:dyDescent="0.2">
      <c r="A8" s="6" t="s">
        <v>15</v>
      </c>
      <c r="B8" s="6" t="s">
        <v>16</v>
      </c>
      <c r="C8" s="6" t="s">
        <v>47</v>
      </c>
      <c r="D8" s="6" t="s">
        <v>48</v>
      </c>
      <c r="E8" s="6" t="s">
        <v>49</v>
      </c>
      <c r="F8" s="7">
        <v>-2.969665215</v>
      </c>
      <c r="G8" s="7">
        <v>-1.206961849</v>
      </c>
      <c r="H8" s="6" t="str">
        <f t="shared" si="0"/>
        <v>Direct</v>
      </c>
      <c r="I8" s="6" t="s">
        <v>50</v>
      </c>
      <c r="J8" s="6" t="s">
        <v>50</v>
      </c>
      <c r="M8" s="3" t="s">
        <v>51</v>
      </c>
      <c r="N8" s="13"/>
      <c r="O8" s="4">
        <v>459</v>
      </c>
    </row>
    <row r="9" spans="1:28" x14ac:dyDescent="0.2">
      <c r="A9" s="6" t="s">
        <v>15</v>
      </c>
      <c r="B9" s="6" t="s">
        <v>16</v>
      </c>
      <c r="C9" s="6" t="s">
        <v>52</v>
      </c>
      <c r="D9" s="6" t="s">
        <v>53</v>
      </c>
      <c r="E9" s="6" t="s">
        <v>54</v>
      </c>
      <c r="F9" s="7">
        <v>1.8535895739999999</v>
      </c>
      <c r="G9" s="7">
        <v>-1.0981870419999999</v>
      </c>
      <c r="H9" s="6" t="str">
        <f t="shared" si="0"/>
        <v>Inverse</v>
      </c>
      <c r="I9" s="6" t="s">
        <v>50</v>
      </c>
      <c r="J9" s="6" t="s">
        <v>55</v>
      </c>
      <c r="M9" s="3" t="s">
        <v>56</v>
      </c>
      <c r="N9" s="3" t="s">
        <v>57</v>
      </c>
      <c r="O9" s="4">
        <v>269</v>
      </c>
      <c r="P9" s="8">
        <f>COUNTIF($H$461:$H$729,"Direct")</f>
        <v>227</v>
      </c>
      <c r="Q9" s="9">
        <f t="shared" ref="Q9:Q14" si="3">P9/SUM(P9,R9)</f>
        <v>0.84386617100371752</v>
      </c>
      <c r="R9" s="8">
        <f>COUNTIF($H$461:$H$729,"Inverse")</f>
        <v>42</v>
      </c>
      <c r="S9" s="9">
        <f t="shared" ref="S9:S14" si="4">R9/SUM(P9,R9)</f>
        <v>0.15613382899628253</v>
      </c>
    </row>
    <row r="10" spans="1:28" x14ac:dyDescent="0.2">
      <c r="A10" s="6" t="s">
        <v>15</v>
      </c>
      <c r="B10" s="6" t="s">
        <v>16</v>
      </c>
      <c r="C10" s="6" t="s">
        <v>58</v>
      </c>
      <c r="D10" s="6" t="s">
        <v>59</v>
      </c>
      <c r="E10" s="6" t="s">
        <v>60</v>
      </c>
      <c r="F10" s="7">
        <v>-2.831126206</v>
      </c>
      <c r="G10" s="7">
        <v>-2.2690883390000001</v>
      </c>
      <c r="H10" s="6" t="str">
        <f t="shared" si="0"/>
        <v>Direct</v>
      </c>
      <c r="I10" s="6" t="s">
        <v>61</v>
      </c>
      <c r="J10" s="6" t="s">
        <v>61</v>
      </c>
      <c r="M10" s="10"/>
      <c r="N10" s="11" t="s">
        <v>62</v>
      </c>
      <c r="O10" s="12">
        <v>546</v>
      </c>
      <c r="P10" s="8">
        <f>COUNTIF($H$730:$H$1275,"Direct")</f>
        <v>416</v>
      </c>
      <c r="Q10" s="9">
        <f t="shared" si="3"/>
        <v>0.76190476190476186</v>
      </c>
      <c r="R10" s="8">
        <f>COUNTIF($H$730:$H$1275,"Inverse")</f>
        <v>130</v>
      </c>
      <c r="S10" s="9">
        <f t="shared" si="4"/>
        <v>0.23809523809523808</v>
      </c>
    </row>
    <row r="11" spans="1:28" x14ac:dyDescent="0.2">
      <c r="A11" s="6" t="s">
        <v>15</v>
      </c>
      <c r="B11" s="6" t="s">
        <v>16</v>
      </c>
      <c r="C11" s="6" t="s">
        <v>63</v>
      </c>
      <c r="D11" s="6" t="s">
        <v>64</v>
      </c>
      <c r="E11" s="6" t="s">
        <v>65</v>
      </c>
      <c r="F11" s="7">
        <v>5.4359440489999997</v>
      </c>
      <c r="G11" s="7">
        <v>-1.013127508</v>
      </c>
      <c r="H11" s="6" t="str">
        <f t="shared" si="0"/>
        <v>Inverse</v>
      </c>
      <c r="I11" s="6" t="s">
        <v>66</v>
      </c>
      <c r="J11" s="6" t="s">
        <v>67</v>
      </c>
      <c r="M11" s="10"/>
      <c r="N11" s="11" t="s">
        <v>68</v>
      </c>
      <c r="O11" s="12">
        <v>33</v>
      </c>
      <c r="P11" s="8">
        <f>COUNTIF($H$1276:$H$1308,"Direct")</f>
        <v>22</v>
      </c>
      <c r="Q11" s="9">
        <f t="shared" si="3"/>
        <v>0.66666666666666663</v>
      </c>
      <c r="R11" s="8">
        <f>COUNTIF($H$1276:$H$1308,"Inverse")</f>
        <v>11</v>
      </c>
      <c r="S11" s="9">
        <f t="shared" si="4"/>
        <v>0.33333333333333331</v>
      </c>
    </row>
    <row r="12" spans="1:28" x14ac:dyDescent="0.2">
      <c r="A12" s="6" t="s">
        <v>15</v>
      </c>
      <c r="B12" s="6" t="s">
        <v>16</v>
      </c>
      <c r="C12" s="6" t="s">
        <v>69</v>
      </c>
      <c r="D12" s="6" t="s">
        <v>70</v>
      </c>
      <c r="E12" s="6" t="s">
        <v>71</v>
      </c>
      <c r="F12" s="7">
        <v>-1.987047491</v>
      </c>
      <c r="G12" s="7">
        <v>-1.6260707029999999</v>
      </c>
      <c r="H12" s="6" t="str">
        <f t="shared" si="0"/>
        <v>Direct</v>
      </c>
      <c r="I12" s="6" t="s">
        <v>72</v>
      </c>
      <c r="J12" s="6" t="s">
        <v>72</v>
      </c>
      <c r="M12" s="10"/>
      <c r="N12" s="11" t="s">
        <v>73</v>
      </c>
      <c r="O12" s="12">
        <v>346</v>
      </c>
      <c r="P12" s="8">
        <f>COUNTIF($H$1309:$H$1654,"Direct")</f>
        <v>290</v>
      </c>
      <c r="Q12" s="9">
        <f t="shared" si="3"/>
        <v>0.83815028901734101</v>
      </c>
      <c r="R12" s="8">
        <f>COUNTIF($H$1309:$H$1654,"Inverse")</f>
        <v>56</v>
      </c>
      <c r="S12" s="9">
        <f t="shared" si="4"/>
        <v>0.16184971098265896</v>
      </c>
    </row>
    <row r="13" spans="1:28" x14ac:dyDescent="0.2">
      <c r="A13" s="6" t="s">
        <v>15</v>
      </c>
      <c r="B13" s="6" t="s">
        <v>16</v>
      </c>
      <c r="C13" s="6" t="s">
        <v>74</v>
      </c>
      <c r="D13" s="6" t="s">
        <v>75</v>
      </c>
      <c r="E13" s="6" t="s">
        <v>76</v>
      </c>
      <c r="F13" s="7">
        <v>-1.4548513599999999</v>
      </c>
      <c r="G13" s="7">
        <v>1.2145020959999999</v>
      </c>
      <c r="H13" s="6" t="str">
        <f t="shared" si="0"/>
        <v>Inverse</v>
      </c>
      <c r="I13" s="6" t="s">
        <v>77</v>
      </c>
      <c r="J13" s="6" t="s">
        <v>77</v>
      </c>
      <c r="M13" s="10"/>
      <c r="N13" s="11" t="s">
        <v>78</v>
      </c>
      <c r="O13" s="12">
        <v>1</v>
      </c>
      <c r="P13" s="8">
        <f>COUNTIF($H$1655,"Direct")</f>
        <v>1</v>
      </c>
      <c r="Q13" s="9">
        <f t="shared" si="3"/>
        <v>1</v>
      </c>
      <c r="R13" s="8">
        <f>COUNTIF($H$1655,"Inverse")</f>
        <v>0</v>
      </c>
      <c r="S13" s="9">
        <f t="shared" si="4"/>
        <v>0</v>
      </c>
    </row>
    <row r="14" spans="1:28" x14ac:dyDescent="0.2">
      <c r="A14" s="6" t="s">
        <v>15</v>
      </c>
      <c r="B14" s="6" t="s">
        <v>16</v>
      </c>
      <c r="C14" s="6" t="s">
        <v>79</v>
      </c>
      <c r="D14" s="6" t="s">
        <v>80</v>
      </c>
      <c r="E14" s="6" t="s">
        <v>81</v>
      </c>
      <c r="F14" s="7">
        <v>-1.178972436</v>
      </c>
      <c r="G14" s="7">
        <v>2.6711843150000001</v>
      </c>
      <c r="H14" s="6" t="str">
        <f t="shared" si="0"/>
        <v>Inverse</v>
      </c>
      <c r="I14" s="6" t="s">
        <v>82</v>
      </c>
      <c r="J14" s="6" t="s">
        <v>82</v>
      </c>
      <c r="M14" s="10"/>
      <c r="N14" s="11" t="s">
        <v>83</v>
      </c>
      <c r="O14" s="12">
        <v>515</v>
      </c>
      <c r="P14" s="8">
        <f>COUNTIF($H$1656:$H$2170,"Direct")</f>
        <v>388</v>
      </c>
      <c r="Q14" s="9">
        <f t="shared" si="3"/>
        <v>0.75339805825242723</v>
      </c>
      <c r="R14" s="8">
        <f>COUNTIF($H$1656:$H$2170,"Inverse")</f>
        <v>127</v>
      </c>
      <c r="S14" s="9">
        <f t="shared" si="4"/>
        <v>0.24660194174757283</v>
      </c>
    </row>
    <row r="15" spans="1:28" x14ac:dyDescent="0.2">
      <c r="A15" s="6" t="s">
        <v>15</v>
      </c>
      <c r="B15" s="6" t="s">
        <v>16</v>
      </c>
      <c r="C15" s="6" t="s">
        <v>84</v>
      </c>
      <c r="D15" s="6" t="s">
        <v>85</v>
      </c>
      <c r="E15" s="6" t="s">
        <v>86</v>
      </c>
      <c r="F15" s="7">
        <v>1.8949550820000001</v>
      </c>
      <c r="G15" s="7">
        <v>-2.228607588</v>
      </c>
      <c r="H15" s="6" t="str">
        <f t="shared" si="0"/>
        <v>Inverse</v>
      </c>
      <c r="I15" s="6" t="s">
        <v>50</v>
      </c>
      <c r="J15" s="6" t="s">
        <v>87</v>
      </c>
      <c r="M15" s="3" t="s">
        <v>88</v>
      </c>
      <c r="N15" s="13"/>
      <c r="O15" s="4">
        <v>1710</v>
      </c>
    </row>
    <row r="16" spans="1:28" x14ac:dyDescent="0.2">
      <c r="A16" s="6" t="s">
        <v>15</v>
      </c>
      <c r="B16" s="6" t="s">
        <v>16</v>
      </c>
      <c r="C16" s="6" t="s">
        <v>89</v>
      </c>
      <c r="D16" s="6" t="s">
        <v>90</v>
      </c>
      <c r="E16" s="6" t="s">
        <v>91</v>
      </c>
      <c r="F16" s="7">
        <v>11.08971624</v>
      </c>
      <c r="G16" s="7">
        <v>1.5566285879999999</v>
      </c>
      <c r="H16" s="6" t="str">
        <f t="shared" si="0"/>
        <v>Direct</v>
      </c>
      <c r="I16" s="6" t="s">
        <v>92</v>
      </c>
      <c r="J16" s="6" t="s">
        <v>93</v>
      </c>
      <c r="M16" s="14" t="s">
        <v>94</v>
      </c>
      <c r="N16" s="15"/>
      <c r="O16" s="16">
        <v>2169</v>
      </c>
    </row>
    <row r="17" spans="1:15" x14ac:dyDescent="0.2">
      <c r="A17" s="6" t="s">
        <v>15</v>
      </c>
      <c r="B17" s="6" t="s">
        <v>16</v>
      </c>
      <c r="C17" s="6" t="s">
        <v>95</v>
      </c>
      <c r="D17" s="6" t="s">
        <v>96</v>
      </c>
      <c r="E17" s="6" t="s">
        <v>97</v>
      </c>
      <c r="F17" s="7">
        <v>-5.62652822</v>
      </c>
      <c r="G17" s="7">
        <v>-1.328824427</v>
      </c>
      <c r="H17" s="6" t="str">
        <f t="shared" si="0"/>
        <v>Direct</v>
      </c>
      <c r="I17" s="6" t="s">
        <v>98</v>
      </c>
      <c r="J17" s="6" t="s">
        <v>98</v>
      </c>
      <c r="M17" s="8"/>
      <c r="N17" s="8"/>
      <c r="O17" s="8"/>
    </row>
    <row r="18" spans="1:15" x14ac:dyDescent="0.2">
      <c r="A18" s="6" t="s">
        <v>15</v>
      </c>
      <c r="B18" s="6" t="s">
        <v>16</v>
      </c>
      <c r="C18" s="6" t="s">
        <v>99</v>
      </c>
      <c r="D18" s="6" t="s">
        <v>100</v>
      </c>
      <c r="E18" s="6" t="s">
        <v>101</v>
      </c>
      <c r="F18" s="7">
        <v>2.498344898</v>
      </c>
      <c r="G18" s="7">
        <v>-1.783546058</v>
      </c>
      <c r="H18" s="6" t="str">
        <f t="shared" si="0"/>
        <v>Inverse</v>
      </c>
      <c r="I18" s="6" t="s">
        <v>102</v>
      </c>
      <c r="J18" s="6" t="s">
        <v>102</v>
      </c>
      <c r="M18" s="8"/>
      <c r="N18" s="8"/>
      <c r="O18" s="8"/>
    </row>
    <row r="19" spans="1:15" x14ac:dyDescent="0.2">
      <c r="A19" s="6" t="s">
        <v>15</v>
      </c>
      <c r="B19" s="6" t="s">
        <v>16</v>
      </c>
      <c r="C19" s="6" t="s">
        <v>103</v>
      </c>
      <c r="D19" s="6" t="s">
        <v>104</v>
      </c>
      <c r="E19" s="6" t="s">
        <v>105</v>
      </c>
      <c r="F19" s="7">
        <v>-1.529552866</v>
      </c>
      <c r="G19" s="7">
        <v>1.7698692659999999</v>
      </c>
      <c r="H19" s="6" t="str">
        <f t="shared" si="0"/>
        <v>Inverse</v>
      </c>
      <c r="I19" s="6" t="s">
        <v>106</v>
      </c>
      <c r="J19" s="6" t="s">
        <v>107</v>
      </c>
      <c r="M19" s="8"/>
      <c r="N19" s="8"/>
      <c r="O19" s="8"/>
    </row>
    <row r="20" spans="1:15" x14ac:dyDescent="0.2">
      <c r="A20" s="6" t="s">
        <v>15</v>
      </c>
      <c r="B20" s="6" t="s">
        <v>16</v>
      </c>
      <c r="C20" s="6" t="s">
        <v>108</v>
      </c>
      <c r="D20" s="6" t="s">
        <v>109</v>
      </c>
      <c r="E20" s="6" t="s">
        <v>110</v>
      </c>
      <c r="F20" s="7">
        <v>-1.6615436530000001</v>
      </c>
      <c r="G20" s="7">
        <v>-3.2574922599999998</v>
      </c>
      <c r="H20" s="6" t="str">
        <f t="shared" si="0"/>
        <v>Direct</v>
      </c>
      <c r="I20" s="6" t="s">
        <v>111</v>
      </c>
      <c r="J20" s="6" t="s">
        <v>112</v>
      </c>
      <c r="M20" s="8"/>
      <c r="N20" s="5" t="s">
        <v>11</v>
      </c>
      <c r="O20" s="5" t="s">
        <v>13</v>
      </c>
    </row>
    <row r="21" spans="1:15" x14ac:dyDescent="0.2">
      <c r="A21" s="6" t="s">
        <v>15</v>
      </c>
      <c r="B21" s="6" t="s">
        <v>16</v>
      </c>
      <c r="C21" s="6" t="s">
        <v>113</v>
      </c>
      <c r="D21" s="6" t="s">
        <v>114</v>
      </c>
      <c r="E21" s="6" t="s">
        <v>115</v>
      </c>
      <c r="F21" s="7">
        <v>1.7170187349999999</v>
      </c>
      <c r="G21" s="7">
        <v>3.4347977209999998</v>
      </c>
      <c r="H21" s="6" t="str">
        <f t="shared" si="0"/>
        <v>Direct</v>
      </c>
      <c r="I21" s="6" t="s">
        <v>116</v>
      </c>
      <c r="J21" s="6" t="s">
        <v>117</v>
      </c>
      <c r="M21" s="8" t="s">
        <v>15</v>
      </c>
      <c r="N21" s="8">
        <f>COUNTIF($H$2:$H$460,"Direct")</f>
        <v>243</v>
      </c>
      <c r="O21" s="8">
        <f>COUNTIF($H$2:$H$460,"Inverse")</f>
        <v>216</v>
      </c>
    </row>
    <row r="22" spans="1:15" x14ac:dyDescent="0.2">
      <c r="A22" s="6" t="s">
        <v>15</v>
      </c>
      <c r="B22" s="6" t="s">
        <v>16</v>
      </c>
      <c r="C22" s="6" t="s">
        <v>118</v>
      </c>
      <c r="D22" s="6" t="s">
        <v>119</v>
      </c>
      <c r="E22" s="6" t="s">
        <v>120</v>
      </c>
      <c r="F22" s="7">
        <v>-1.2411526070000001</v>
      </c>
      <c r="G22" s="7">
        <v>-2.31633106</v>
      </c>
      <c r="H22" s="6" t="str">
        <f t="shared" si="0"/>
        <v>Direct</v>
      </c>
      <c r="I22" s="6" t="s">
        <v>121</v>
      </c>
      <c r="J22" s="6" t="s">
        <v>122</v>
      </c>
      <c r="M22" s="8" t="s">
        <v>56</v>
      </c>
      <c r="N22" s="8">
        <f>COUNTIF($H$461:$H$2170,"Direct")</f>
        <v>1344</v>
      </c>
      <c r="O22" s="8">
        <f>COUNTIF($H$461:$H$2170,"Inverse")</f>
        <v>366</v>
      </c>
    </row>
    <row r="23" spans="1:15" x14ac:dyDescent="0.2">
      <c r="A23" s="6" t="s">
        <v>15</v>
      </c>
      <c r="B23" s="6" t="s">
        <v>16</v>
      </c>
      <c r="C23" s="6" t="s">
        <v>123</v>
      </c>
      <c r="D23" s="6" t="s">
        <v>124</v>
      </c>
      <c r="E23" s="6" t="s">
        <v>125</v>
      </c>
      <c r="F23" s="7">
        <v>1.010340765</v>
      </c>
      <c r="G23" s="7">
        <v>-1.208138121</v>
      </c>
      <c r="H23" s="6" t="str">
        <f t="shared" si="0"/>
        <v>Inverse</v>
      </c>
      <c r="I23" s="6" t="s">
        <v>50</v>
      </c>
      <c r="J23" s="6" t="s">
        <v>126</v>
      </c>
      <c r="M23" s="8"/>
      <c r="N23" s="5" t="s">
        <v>11</v>
      </c>
      <c r="O23" s="5" t="s">
        <v>13</v>
      </c>
    </row>
    <row r="24" spans="1:15" x14ac:dyDescent="0.2">
      <c r="A24" s="6" t="s">
        <v>15</v>
      </c>
      <c r="B24" s="6" t="s">
        <v>16</v>
      </c>
      <c r="C24" s="6" t="s">
        <v>127</v>
      </c>
      <c r="D24" s="6" t="s">
        <v>128</v>
      </c>
      <c r="E24" s="6" t="s">
        <v>129</v>
      </c>
      <c r="F24" s="7">
        <v>-3.1961572569999999</v>
      </c>
      <c r="G24" s="7">
        <v>1.325049173</v>
      </c>
      <c r="H24" s="6" t="str">
        <f t="shared" si="0"/>
        <v>Inverse</v>
      </c>
      <c r="I24" s="6" t="s">
        <v>50</v>
      </c>
      <c r="J24" s="6" t="s">
        <v>34</v>
      </c>
      <c r="M24" s="8" t="s">
        <v>15</v>
      </c>
      <c r="N24" s="9">
        <f t="shared" ref="N24:N25" si="5">N21/SUM(N21:O21)</f>
        <v>0.52941176470588236</v>
      </c>
      <c r="O24" s="9">
        <f t="shared" ref="O24:O25" si="6">O21/SUM(N21:O21)</f>
        <v>0.47058823529411764</v>
      </c>
    </row>
    <row r="25" spans="1:15" x14ac:dyDescent="0.2">
      <c r="A25" s="6" t="s">
        <v>15</v>
      </c>
      <c r="B25" s="6" t="s">
        <v>16</v>
      </c>
      <c r="C25" s="6" t="s">
        <v>130</v>
      </c>
      <c r="D25" s="6" t="s">
        <v>131</v>
      </c>
      <c r="E25" s="6" t="s">
        <v>132</v>
      </c>
      <c r="F25" s="7">
        <v>-1.190565799</v>
      </c>
      <c r="G25" s="7">
        <v>3.4770130830000001</v>
      </c>
      <c r="H25" s="6" t="str">
        <f t="shared" si="0"/>
        <v>Inverse</v>
      </c>
      <c r="I25" s="6" t="s">
        <v>50</v>
      </c>
      <c r="J25" s="6" t="s">
        <v>133</v>
      </c>
      <c r="M25" s="8" t="s">
        <v>56</v>
      </c>
      <c r="N25" s="9">
        <f t="shared" si="5"/>
        <v>0.78596491228070176</v>
      </c>
      <c r="O25" s="9">
        <f t="shared" si="6"/>
        <v>0.21403508771929824</v>
      </c>
    </row>
    <row r="26" spans="1:15" x14ac:dyDescent="0.2">
      <c r="A26" s="6" t="s">
        <v>15</v>
      </c>
      <c r="B26" s="6" t="s">
        <v>16</v>
      </c>
      <c r="C26" s="6" t="s">
        <v>134</v>
      </c>
      <c r="D26" s="6" t="s">
        <v>135</v>
      </c>
      <c r="E26" s="6" t="s">
        <v>136</v>
      </c>
      <c r="F26" s="7">
        <v>-3.2568617780000002</v>
      </c>
      <c r="G26" s="7">
        <v>-1.180641874</v>
      </c>
      <c r="H26" s="6" t="str">
        <f t="shared" si="0"/>
        <v>Direct</v>
      </c>
      <c r="I26" s="6" t="s">
        <v>137</v>
      </c>
      <c r="J26" s="6" t="s">
        <v>137</v>
      </c>
      <c r="M26" s="8"/>
      <c r="N26" s="8"/>
      <c r="O26" s="8"/>
    </row>
    <row r="27" spans="1:15" x14ac:dyDescent="0.2">
      <c r="A27" s="6" t="s">
        <v>15</v>
      </c>
      <c r="B27" s="6" t="s">
        <v>16</v>
      </c>
      <c r="C27" s="6" t="s">
        <v>138</v>
      </c>
      <c r="D27" s="6" t="s">
        <v>139</v>
      </c>
      <c r="E27" s="6" t="s">
        <v>140</v>
      </c>
      <c r="F27" s="7">
        <v>1.9312879949999999</v>
      </c>
      <c r="G27" s="7">
        <v>1.5511016849999999</v>
      </c>
      <c r="H27" s="6" t="str">
        <f t="shared" si="0"/>
        <v>Direct</v>
      </c>
      <c r="I27" s="6" t="s">
        <v>141</v>
      </c>
      <c r="J27" s="6" t="s">
        <v>141</v>
      </c>
      <c r="N27" s="5" t="s">
        <v>142</v>
      </c>
      <c r="O27" s="8"/>
    </row>
    <row r="28" spans="1:15" x14ac:dyDescent="0.2">
      <c r="A28" s="6" t="s">
        <v>15</v>
      </c>
      <c r="B28" s="6" t="s">
        <v>16</v>
      </c>
      <c r="C28" s="6" t="s">
        <v>143</v>
      </c>
      <c r="D28" s="6" t="s">
        <v>144</v>
      </c>
      <c r="E28" s="6" t="s">
        <v>145</v>
      </c>
      <c r="F28" s="7">
        <v>-2.2331427260000001</v>
      </c>
      <c r="G28" s="7">
        <v>-2.4057499830000002</v>
      </c>
      <c r="H28" s="6" t="str">
        <f t="shared" si="0"/>
        <v>Direct</v>
      </c>
      <c r="I28" s="6" t="s">
        <v>146</v>
      </c>
      <c r="J28" s="6" t="s">
        <v>146</v>
      </c>
      <c r="M28" s="8" t="s">
        <v>15</v>
      </c>
      <c r="N28" s="8">
        <f ca="1">IFERROR(__xludf.DUMMYFUNCTION("COUNTUNIQUE(C2:C460)"),386)</f>
        <v>386</v>
      </c>
      <c r="O28" s="8"/>
    </row>
    <row r="29" spans="1:15" x14ac:dyDescent="0.2">
      <c r="A29" s="6" t="s">
        <v>15</v>
      </c>
      <c r="B29" s="6" t="s">
        <v>16</v>
      </c>
      <c r="C29" s="6" t="s">
        <v>147</v>
      </c>
      <c r="D29" s="6" t="s">
        <v>148</v>
      </c>
      <c r="E29" s="6" t="s">
        <v>149</v>
      </c>
      <c r="F29" s="7">
        <v>2.1766923770000002</v>
      </c>
      <c r="G29" s="7">
        <v>-1.3939555400000001</v>
      </c>
      <c r="H29" s="6" t="str">
        <f t="shared" si="0"/>
        <v>Inverse</v>
      </c>
      <c r="I29" s="6" t="s">
        <v>50</v>
      </c>
      <c r="J29" s="6" t="s">
        <v>150</v>
      </c>
      <c r="M29" s="8" t="s">
        <v>56</v>
      </c>
      <c r="N29" s="8">
        <f ca="1">IFERROR(__xludf.DUMMYFUNCTION("COUNTUNIQUE(C461:C2170)"),944)</f>
        <v>944</v>
      </c>
      <c r="O29" s="8"/>
    </row>
    <row r="30" spans="1:15" x14ac:dyDescent="0.2">
      <c r="A30" s="6" t="s">
        <v>15</v>
      </c>
      <c r="B30" s="6" t="s">
        <v>16</v>
      </c>
      <c r="C30" s="6" t="s">
        <v>151</v>
      </c>
      <c r="D30" s="6" t="s">
        <v>152</v>
      </c>
      <c r="E30" s="6" t="s">
        <v>153</v>
      </c>
      <c r="F30" s="7">
        <v>-1.1562924320000001</v>
      </c>
      <c r="G30" s="7">
        <v>-1.8449577909999999</v>
      </c>
      <c r="H30" s="6" t="str">
        <f t="shared" si="0"/>
        <v>Direct</v>
      </c>
      <c r="I30" s="6" t="s">
        <v>50</v>
      </c>
      <c r="J30" s="6" t="s">
        <v>154</v>
      </c>
    </row>
    <row r="31" spans="1:15" x14ac:dyDescent="0.2">
      <c r="A31" s="6" t="s">
        <v>15</v>
      </c>
      <c r="B31" s="6" t="s">
        <v>16</v>
      </c>
      <c r="C31" s="6" t="s">
        <v>155</v>
      </c>
      <c r="D31" s="6" t="s">
        <v>156</v>
      </c>
      <c r="E31" s="6" t="s">
        <v>157</v>
      </c>
      <c r="F31" s="7">
        <v>2.5475489580000001</v>
      </c>
      <c r="G31" s="7">
        <v>-1.197191535</v>
      </c>
      <c r="H31" s="6" t="str">
        <f t="shared" si="0"/>
        <v>Inverse</v>
      </c>
      <c r="I31" s="6" t="s">
        <v>158</v>
      </c>
      <c r="J31" s="6" t="s">
        <v>158</v>
      </c>
    </row>
    <row r="32" spans="1:15" x14ac:dyDescent="0.2">
      <c r="A32" s="6" t="s">
        <v>15</v>
      </c>
      <c r="B32" s="6" t="s">
        <v>16</v>
      </c>
      <c r="C32" s="6" t="s">
        <v>159</v>
      </c>
      <c r="D32" s="6" t="s">
        <v>160</v>
      </c>
      <c r="E32" s="6" t="s">
        <v>161</v>
      </c>
      <c r="F32" s="7">
        <v>1.1891779979999999</v>
      </c>
      <c r="G32" s="7">
        <v>-1.0770585660000001</v>
      </c>
      <c r="H32" s="6" t="str">
        <f t="shared" si="0"/>
        <v>Inverse</v>
      </c>
      <c r="I32" s="6" t="s">
        <v>162</v>
      </c>
      <c r="J32" s="6" t="s">
        <v>163</v>
      </c>
    </row>
    <row r="33" spans="1:10" x14ac:dyDescent="0.2">
      <c r="A33" s="6" t="s">
        <v>15</v>
      </c>
      <c r="B33" s="6" t="s">
        <v>16</v>
      </c>
      <c r="C33" s="6" t="s">
        <v>164</v>
      </c>
      <c r="D33" s="6" t="s">
        <v>165</v>
      </c>
      <c r="E33" s="6" t="s">
        <v>166</v>
      </c>
      <c r="F33" s="7">
        <v>-3.1767524030000001</v>
      </c>
      <c r="G33" s="7">
        <v>-1.469035501</v>
      </c>
      <c r="H33" s="6" t="str">
        <f t="shared" si="0"/>
        <v>Direct</v>
      </c>
      <c r="I33" s="6" t="s">
        <v>167</v>
      </c>
      <c r="J33" s="6" t="s">
        <v>167</v>
      </c>
    </row>
    <row r="34" spans="1:10" x14ac:dyDescent="0.2">
      <c r="A34" s="6" t="s">
        <v>15</v>
      </c>
      <c r="B34" s="6" t="s">
        <v>16</v>
      </c>
      <c r="C34" s="6" t="s">
        <v>168</v>
      </c>
      <c r="D34" s="6" t="s">
        <v>169</v>
      </c>
      <c r="E34" s="6" t="s">
        <v>170</v>
      </c>
      <c r="F34" s="7">
        <v>6.0424470460000004</v>
      </c>
      <c r="G34" s="7">
        <v>2.7190929549999998</v>
      </c>
      <c r="H34" s="6" t="str">
        <f t="shared" si="0"/>
        <v>Direct</v>
      </c>
      <c r="I34" s="6" t="s">
        <v>171</v>
      </c>
      <c r="J34" s="6" t="s">
        <v>172</v>
      </c>
    </row>
    <row r="35" spans="1:10" x14ac:dyDescent="0.2">
      <c r="A35" s="6" t="s">
        <v>15</v>
      </c>
      <c r="B35" s="6" t="s">
        <v>16</v>
      </c>
      <c r="C35" s="6" t="s">
        <v>173</v>
      </c>
      <c r="D35" s="6" t="s">
        <v>174</v>
      </c>
      <c r="E35" s="6" t="s">
        <v>175</v>
      </c>
      <c r="F35" s="7">
        <v>-1.3501520380000001</v>
      </c>
      <c r="G35" s="7">
        <v>-1.255675359</v>
      </c>
      <c r="H35" s="6" t="str">
        <f t="shared" si="0"/>
        <v>Direct</v>
      </c>
      <c r="I35" s="6" t="s">
        <v>176</v>
      </c>
      <c r="J35" s="6" t="s">
        <v>177</v>
      </c>
    </row>
    <row r="36" spans="1:10" x14ac:dyDescent="0.2">
      <c r="A36" s="6" t="s">
        <v>15</v>
      </c>
      <c r="B36" s="6" t="s">
        <v>16</v>
      </c>
      <c r="C36" s="6" t="s">
        <v>178</v>
      </c>
      <c r="D36" s="6" t="s">
        <v>179</v>
      </c>
      <c r="E36" s="6" t="s">
        <v>180</v>
      </c>
      <c r="F36" s="7">
        <v>-1.5814303860000001</v>
      </c>
      <c r="G36" s="7">
        <v>-1.014553276</v>
      </c>
      <c r="H36" s="6" t="str">
        <f t="shared" si="0"/>
        <v>Direct</v>
      </c>
      <c r="I36" s="6" t="s">
        <v>181</v>
      </c>
      <c r="J36" s="6" t="s">
        <v>181</v>
      </c>
    </row>
    <row r="37" spans="1:10" x14ac:dyDescent="0.2">
      <c r="A37" s="6" t="s">
        <v>15</v>
      </c>
      <c r="B37" s="6" t="s">
        <v>16</v>
      </c>
      <c r="C37" s="6" t="s">
        <v>182</v>
      </c>
      <c r="D37" s="6" t="s">
        <v>183</v>
      </c>
      <c r="E37" s="6" t="s">
        <v>184</v>
      </c>
      <c r="F37" s="7">
        <v>4.231117545</v>
      </c>
      <c r="G37" s="7">
        <v>-3.1916125750000002</v>
      </c>
      <c r="H37" s="6" t="str">
        <f t="shared" si="0"/>
        <v>Inverse</v>
      </c>
      <c r="I37" s="6" t="s">
        <v>185</v>
      </c>
      <c r="J37" s="6" t="s">
        <v>45</v>
      </c>
    </row>
    <row r="38" spans="1:10" x14ac:dyDescent="0.2">
      <c r="A38" s="6" t="s">
        <v>15</v>
      </c>
      <c r="B38" s="6" t="s">
        <v>16</v>
      </c>
      <c r="C38" s="6" t="s">
        <v>186</v>
      </c>
      <c r="D38" s="6" t="s">
        <v>187</v>
      </c>
      <c r="E38" s="6" t="s">
        <v>188</v>
      </c>
      <c r="F38" s="7">
        <v>1.6192979139999999</v>
      </c>
      <c r="G38" s="7">
        <v>-1.039380644</v>
      </c>
      <c r="H38" s="6" t="str">
        <f t="shared" si="0"/>
        <v>Inverse</v>
      </c>
      <c r="I38" s="6" t="s">
        <v>50</v>
      </c>
      <c r="J38" s="6" t="s">
        <v>189</v>
      </c>
    </row>
    <row r="39" spans="1:10" x14ac:dyDescent="0.2">
      <c r="A39" s="6" t="s">
        <v>15</v>
      </c>
      <c r="B39" s="6" t="s">
        <v>16</v>
      </c>
      <c r="C39" s="6" t="s">
        <v>190</v>
      </c>
      <c r="D39" s="6" t="s">
        <v>191</v>
      </c>
      <c r="E39" s="6" t="s">
        <v>192</v>
      </c>
      <c r="F39" s="7">
        <v>-2.1984036439999999</v>
      </c>
      <c r="G39" s="7">
        <v>1.0938879020000001</v>
      </c>
      <c r="H39" s="6" t="str">
        <f t="shared" si="0"/>
        <v>Inverse</v>
      </c>
      <c r="I39" s="6" t="s">
        <v>50</v>
      </c>
      <c r="J39" s="6" t="s">
        <v>193</v>
      </c>
    </row>
    <row r="40" spans="1:10" x14ac:dyDescent="0.2">
      <c r="A40" s="6" t="s">
        <v>15</v>
      </c>
      <c r="B40" s="6" t="s">
        <v>16</v>
      </c>
      <c r="C40" s="6" t="s">
        <v>194</v>
      </c>
      <c r="D40" s="6" t="s">
        <v>195</v>
      </c>
      <c r="E40" s="6" t="s">
        <v>196</v>
      </c>
      <c r="F40" s="7">
        <v>-1.1025616949999999</v>
      </c>
      <c r="G40" s="7">
        <v>1.749137876</v>
      </c>
      <c r="H40" s="6" t="str">
        <f t="shared" si="0"/>
        <v>Inverse</v>
      </c>
      <c r="I40" s="6" t="s">
        <v>197</v>
      </c>
      <c r="J40" s="6" t="s">
        <v>158</v>
      </c>
    </row>
    <row r="41" spans="1:10" x14ac:dyDescent="0.2">
      <c r="A41" s="6" t="s">
        <v>15</v>
      </c>
      <c r="B41" s="6" t="s">
        <v>16</v>
      </c>
      <c r="C41" s="6" t="s">
        <v>198</v>
      </c>
      <c r="D41" s="6" t="s">
        <v>199</v>
      </c>
      <c r="E41" s="6" t="s">
        <v>200</v>
      </c>
      <c r="F41" s="7">
        <v>4.0544749089999996</v>
      </c>
      <c r="G41" s="7">
        <v>1.5758341890000001</v>
      </c>
      <c r="H41" s="6" t="str">
        <f t="shared" si="0"/>
        <v>Direct</v>
      </c>
      <c r="I41" s="6" t="s">
        <v>201</v>
      </c>
      <c r="J41" s="6" t="s">
        <v>202</v>
      </c>
    </row>
    <row r="42" spans="1:10" x14ac:dyDescent="0.2">
      <c r="A42" s="6" t="s">
        <v>15</v>
      </c>
      <c r="B42" s="6" t="s">
        <v>16</v>
      </c>
      <c r="C42" s="6" t="s">
        <v>203</v>
      </c>
      <c r="D42" s="6" t="s">
        <v>204</v>
      </c>
      <c r="E42" s="6" t="s">
        <v>205</v>
      </c>
      <c r="F42" s="7">
        <v>-3.4781281719999999</v>
      </c>
      <c r="G42" s="7">
        <v>-2.1040194140000001</v>
      </c>
      <c r="H42" s="6" t="str">
        <f t="shared" si="0"/>
        <v>Direct</v>
      </c>
      <c r="I42" s="6" t="s">
        <v>50</v>
      </c>
      <c r="J42" s="6" t="s">
        <v>206</v>
      </c>
    </row>
    <row r="43" spans="1:10" x14ac:dyDescent="0.2">
      <c r="A43" s="6" t="s">
        <v>15</v>
      </c>
      <c r="B43" s="6" t="s">
        <v>16</v>
      </c>
      <c r="C43" s="6" t="s">
        <v>207</v>
      </c>
      <c r="D43" s="6" t="s">
        <v>208</v>
      </c>
      <c r="E43" s="6" t="s">
        <v>209</v>
      </c>
      <c r="F43" s="7">
        <v>-1.358838255</v>
      </c>
      <c r="G43" s="7">
        <v>1.192962206</v>
      </c>
      <c r="H43" s="6" t="str">
        <f t="shared" si="0"/>
        <v>Inverse</v>
      </c>
      <c r="I43" s="6" t="s">
        <v>50</v>
      </c>
      <c r="J43" s="6" t="s">
        <v>210</v>
      </c>
    </row>
    <row r="44" spans="1:10" x14ac:dyDescent="0.2">
      <c r="A44" s="6" t="s">
        <v>15</v>
      </c>
      <c r="B44" s="6" t="s">
        <v>16</v>
      </c>
      <c r="C44" s="6" t="s">
        <v>211</v>
      </c>
      <c r="D44" s="6" t="s">
        <v>212</v>
      </c>
      <c r="E44" s="6" t="s">
        <v>213</v>
      </c>
      <c r="F44" s="7">
        <v>2.1378343260000001</v>
      </c>
      <c r="G44" s="7">
        <v>-1.105218136</v>
      </c>
      <c r="H44" s="6" t="str">
        <f t="shared" si="0"/>
        <v>Inverse</v>
      </c>
      <c r="I44" s="6" t="s">
        <v>214</v>
      </c>
      <c r="J44" s="6" t="s">
        <v>214</v>
      </c>
    </row>
    <row r="45" spans="1:10" x14ac:dyDescent="0.2">
      <c r="A45" s="6" t="s">
        <v>15</v>
      </c>
      <c r="B45" s="6" t="s">
        <v>16</v>
      </c>
      <c r="C45" s="6" t="s">
        <v>215</v>
      </c>
      <c r="D45" s="6" t="s">
        <v>216</v>
      </c>
      <c r="E45" s="6" t="s">
        <v>217</v>
      </c>
      <c r="F45" s="7">
        <v>-4.8644039299999999</v>
      </c>
      <c r="G45" s="7">
        <v>-1.0000315870000001</v>
      </c>
      <c r="H45" s="6" t="str">
        <f t="shared" si="0"/>
        <v>Direct</v>
      </c>
      <c r="I45" s="6" t="s">
        <v>218</v>
      </c>
      <c r="J45" s="6" t="s">
        <v>218</v>
      </c>
    </row>
    <row r="46" spans="1:10" x14ac:dyDescent="0.2">
      <c r="A46" s="6" t="s">
        <v>15</v>
      </c>
      <c r="B46" s="6" t="s">
        <v>16</v>
      </c>
      <c r="C46" s="6" t="s">
        <v>219</v>
      </c>
      <c r="D46" s="6" t="s">
        <v>220</v>
      </c>
      <c r="E46" s="6" t="s">
        <v>221</v>
      </c>
      <c r="F46" s="7">
        <v>1.780319926</v>
      </c>
      <c r="G46" s="7">
        <v>1.181514172</v>
      </c>
      <c r="H46" s="6" t="str">
        <f t="shared" si="0"/>
        <v>Direct</v>
      </c>
      <c r="I46" s="6" t="s">
        <v>222</v>
      </c>
      <c r="J46" s="6" t="s">
        <v>223</v>
      </c>
    </row>
    <row r="47" spans="1:10" x14ac:dyDescent="0.2">
      <c r="A47" s="6" t="s">
        <v>15</v>
      </c>
      <c r="B47" s="6" t="s">
        <v>16</v>
      </c>
      <c r="C47" s="6" t="s">
        <v>224</v>
      </c>
      <c r="D47" s="6" t="s">
        <v>225</v>
      </c>
      <c r="E47" s="6" t="s">
        <v>226</v>
      </c>
      <c r="F47" s="7">
        <v>-2.936035789</v>
      </c>
      <c r="G47" s="7">
        <v>3.1687851720000002</v>
      </c>
      <c r="H47" s="6" t="str">
        <f t="shared" si="0"/>
        <v>Inverse</v>
      </c>
      <c r="I47" s="6" t="s">
        <v>227</v>
      </c>
      <c r="J47" s="6" t="s">
        <v>227</v>
      </c>
    </row>
    <row r="48" spans="1:10" x14ac:dyDescent="0.2">
      <c r="A48" s="6" t="s">
        <v>15</v>
      </c>
      <c r="B48" s="6" t="s">
        <v>16</v>
      </c>
      <c r="C48" s="6" t="s">
        <v>228</v>
      </c>
      <c r="D48" s="6" t="s">
        <v>229</v>
      </c>
      <c r="E48" s="6" t="s">
        <v>230</v>
      </c>
      <c r="F48" s="7">
        <v>1.8523036390000001</v>
      </c>
      <c r="G48" s="7">
        <v>1.2415124129999999</v>
      </c>
      <c r="H48" s="6" t="str">
        <f t="shared" si="0"/>
        <v>Direct</v>
      </c>
      <c r="I48" s="6" t="s">
        <v>231</v>
      </c>
      <c r="J48" s="6" t="s">
        <v>231</v>
      </c>
    </row>
    <row r="49" spans="1:10" x14ac:dyDescent="0.2">
      <c r="A49" s="6" t="s">
        <v>15</v>
      </c>
      <c r="B49" s="6" t="s">
        <v>16</v>
      </c>
      <c r="C49" s="6" t="s">
        <v>232</v>
      </c>
      <c r="D49" s="6" t="s">
        <v>233</v>
      </c>
      <c r="E49" s="6" t="s">
        <v>234</v>
      </c>
      <c r="F49" s="7">
        <v>1.156598365</v>
      </c>
      <c r="G49" s="7">
        <v>1.7477224819999999</v>
      </c>
      <c r="H49" s="6" t="str">
        <f t="shared" si="0"/>
        <v>Direct</v>
      </c>
      <c r="I49" s="6" t="s">
        <v>235</v>
      </c>
      <c r="J49" s="6" t="s">
        <v>235</v>
      </c>
    </row>
    <row r="50" spans="1:10" x14ac:dyDescent="0.2">
      <c r="A50" s="6" t="s">
        <v>15</v>
      </c>
      <c r="B50" s="6" t="s">
        <v>16</v>
      </c>
      <c r="C50" s="6" t="s">
        <v>236</v>
      </c>
      <c r="D50" s="6" t="s">
        <v>237</v>
      </c>
      <c r="E50" s="6" t="s">
        <v>238</v>
      </c>
      <c r="F50" s="7">
        <v>-1.9096040599999999</v>
      </c>
      <c r="G50" s="7">
        <v>3.4744944160000002</v>
      </c>
      <c r="H50" s="6" t="str">
        <f t="shared" si="0"/>
        <v>Inverse</v>
      </c>
      <c r="I50" s="6" t="s">
        <v>34</v>
      </c>
      <c r="J50" s="6" t="s">
        <v>34</v>
      </c>
    </row>
    <row r="51" spans="1:10" x14ac:dyDescent="0.2">
      <c r="A51" s="6" t="s">
        <v>15</v>
      </c>
      <c r="B51" s="6" t="s">
        <v>16</v>
      </c>
      <c r="C51" s="6" t="s">
        <v>239</v>
      </c>
      <c r="D51" s="6" t="s">
        <v>240</v>
      </c>
      <c r="E51" s="6" t="s">
        <v>241</v>
      </c>
      <c r="F51" s="7">
        <v>-3.2195480910000001</v>
      </c>
      <c r="G51" s="7">
        <v>1.4125933319999999</v>
      </c>
      <c r="H51" s="6" t="str">
        <f t="shared" si="0"/>
        <v>Inverse</v>
      </c>
      <c r="I51" s="6" t="s">
        <v>242</v>
      </c>
      <c r="J51" s="6" t="s">
        <v>243</v>
      </c>
    </row>
    <row r="52" spans="1:10" x14ac:dyDescent="0.2">
      <c r="A52" s="6" t="s">
        <v>15</v>
      </c>
      <c r="B52" s="6" t="s">
        <v>16</v>
      </c>
      <c r="C52" s="6" t="s">
        <v>244</v>
      </c>
      <c r="D52" s="6" t="s">
        <v>245</v>
      </c>
      <c r="E52" s="6" t="s">
        <v>246</v>
      </c>
      <c r="F52" s="7">
        <v>-2.8410812320000001</v>
      </c>
      <c r="G52" s="7">
        <v>1.184916289</v>
      </c>
      <c r="H52" s="6" t="str">
        <f t="shared" si="0"/>
        <v>Inverse</v>
      </c>
      <c r="I52" s="6" t="s">
        <v>247</v>
      </c>
      <c r="J52" s="6" t="s">
        <v>247</v>
      </c>
    </row>
    <row r="53" spans="1:10" x14ac:dyDescent="0.2">
      <c r="A53" s="6" t="s">
        <v>15</v>
      </c>
      <c r="B53" s="6" t="s">
        <v>16</v>
      </c>
      <c r="C53" s="6" t="s">
        <v>248</v>
      </c>
      <c r="D53" s="6" t="s">
        <v>249</v>
      </c>
      <c r="E53" s="6" t="s">
        <v>250</v>
      </c>
      <c r="F53" s="7">
        <v>1.7519151260000001</v>
      </c>
      <c r="G53" s="7">
        <v>3.4157248280000001</v>
      </c>
      <c r="H53" s="6" t="str">
        <f t="shared" si="0"/>
        <v>Direct</v>
      </c>
      <c r="I53" s="6" t="s">
        <v>50</v>
      </c>
      <c r="J53" s="6" t="s">
        <v>251</v>
      </c>
    </row>
    <row r="54" spans="1:10" x14ac:dyDescent="0.2">
      <c r="A54" s="6" t="s">
        <v>15</v>
      </c>
      <c r="B54" s="6" t="s">
        <v>16</v>
      </c>
      <c r="C54" s="6" t="s">
        <v>252</v>
      </c>
      <c r="D54" s="6" t="s">
        <v>253</v>
      </c>
      <c r="E54" s="6" t="s">
        <v>254</v>
      </c>
      <c r="F54" s="7">
        <v>-2.563828719</v>
      </c>
      <c r="G54" s="7">
        <v>-2.5016420570000002</v>
      </c>
      <c r="H54" s="6" t="str">
        <f t="shared" si="0"/>
        <v>Direct</v>
      </c>
      <c r="I54" s="6" t="s">
        <v>72</v>
      </c>
      <c r="J54" s="6" t="s">
        <v>72</v>
      </c>
    </row>
    <row r="55" spans="1:10" x14ac:dyDescent="0.2">
      <c r="A55" s="6" t="s">
        <v>15</v>
      </c>
      <c r="B55" s="6" t="s">
        <v>16</v>
      </c>
      <c r="C55" s="6" t="s">
        <v>255</v>
      </c>
      <c r="D55" s="6" t="s">
        <v>256</v>
      </c>
      <c r="E55" s="6" t="s">
        <v>257</v>
      </c>
      <c r="F55" s="7">
        <v>-2.136250311</v>
      </c>
      <c r="G55" s="7">
        <v>1.3189489169999999</v>
      </c>
      <c r="H55" s="6" t="str">
        <f t="shared" si="0"/>
        <v>Inverse</v>
      </c>
      <c r="I55" s="6" t="s">
        <v>258</v>
      </c>
      <c r="J55" s="6" t="s">
        <v>259</v>
      </c>
    </row>
    <row r="56" spans="1:10" x14ac:dyDescent="0.2">
      <c r="A56" s="6" t="s">
        <v>15</v>
      </c>
      <c r="B56" s="6" t="s">
        <v>16</v>
      </c>
      <c r="C56" s="6" t="s">
        <v>260</v>
      </c>
      <c r="D56" s="6" t="s">
        <v>261</v>
      </c>
      <c r="E56" s="6" t="s">
        <v>262</v>
      </c>
      <c r="F56" s="7">
        <v>-2.6159301529999999</v>
      </c>
      <c r="G56" s="7">
        <v>1.033321688</v>
      </c>
      <c r="H56" s="6" t="str">
        <f t="shared" si="0"/>
        <v>Inverse</v>
      </c>
      <c r="I56" s="6" t="s">
        <v>263</v>
      </c>
      <c r="J56" s="6" t="s">
        <v>264</v>
      </c>
    </row>
    <row r="57" spans="1:10" x14ac:dyDescent="0.2">
      <c r="A57" s="6" t="s">
        <v>15</v>
      </c>
      <c r="B57" s="6" t="s">
        <v>16</v>
      </c>
      <c r="C57" s="6" t="s">
        <v>265</v>
      </c>
      <c r="D57" s="6" t="s">
        <v>266</v>
      </c>
      <c r="E57" s="6" t="s">
        <v>267</v>
      </c>
      <c r="F57" s="7">
        <v>3.669447109</v>
      </c>
      <c r="G57" s="7">
        <v>-2.0056630989999999</v>
      </c>
      <c r="H57" s="6" t="str">
        <f t="shared" si="0"/>
        <v>Inverse</v>
      </c>
      <c r="I57" s="6" t="s">
        <v>268</v>
      </c>
      <c r="J57" s="6" t="s">
        <v>268</v>
      </c>
    </row>
    <row r="58" spans="1:10" x14ac:dyDescent="0.2">
      <c r="A58" s="6" t="s">
        <v>15</v>
      </c>
      <c r="B58" s="6" t="s">
        <v>16</v>
      </c>
      <c r="C58" s="6" t="s">
        <v>269</v>
      </c>
      <c r="D58" s="6" t="s">
        <v>270</v>
      </c>
      <c r="E58" s="6" t="s">
        <v>271</v>
      </c>
      <c r="F58" s="7">
        <v>-3.0542296879999999</v>
      </c>
      <c r="G58" s="7">
        <v>1.129793163</v>
      </c>
      <c r="H58" s="6" t="str">
        <f t="shared" si="0"/>
        <v>Inverse</v>
      </c>
      <c r="I58" s="6" t="s">
        <v>50</v>
      </c>
      <c r="J58" s="6" t="s">
        <v>272</v>
      </c>
    </row>
    <row r="59" spans="1:10" x14ac:dyDescent="0.2">
      <c r="A59" s="6" t="s">
        <v>15</v>
      </c>
      <c r="B59" s="6" t="s">
        <v>16</v>
      </c>
      <c r="C59" s="6" t="s">
        <v>273</v>
      </c>
      <c r="D59" s="6" t="s">
        <v>274</v>
      </c>
      <c r="E59" s="6" t="s">
        <v>275</v>
      </c>
      <c r="F59" s="7">
        <v>2.9918141380000001</v>
      </c>
      <c r="G59" s="7">
        <v>4.2709696209999999</v>
      </c>
      <c r="H59" s="6" t="str">
        <f t="shared" si="0"/>
        <v>Direct</v>
      </c>
      <c r="I59" s="6" t="s">
        <v>276</v>
      </c>
      <c r="J59" s="6" t="s">
        <v>276</v>
      </c>
    </row>
    <row r="60" spans="1:10" x14ac:dyDescent="0.2">
      <c r="A60" s="6" t="s">
        <v>15</v>
      </c>
      <c r="B60" s="6" t="s">
        <v>16</v>
      </c>
      <c r="C60" s="6" t="s">
        <v>277</v>
      </c>
      <c r="D60" s="6" t="s">
        <v>278</v>
      </c>
      <c r="E60" s="6" t="s">
        <v>279</v>
      </c>
      <c r="F60" s="7">
        <v>-5.2103295870000004</v>
      </c>
      <c r="G60" s="7">
        <v>-1.4268933690000001</v>
      </c>
      <c r="H60" s="6" t="str">
        <f t="shared" si="0"/>
        <v>Direct</v>
      </c>
      <c r="I60" s="6" t="s">
        <v>280</v>
      </c>
      <c r="J60" s="6" t="s">
        <v>280</v>
      </c>
    </row>
    <row r="61" spans="1:10" x14ac:dyDescent="0.2">
      <c r="A61" s="6" t="s">
        <v>15</v>
      </c>
      <c r="B61" s="6" t="s">
        <v>16</v>
      </c>
      <c r="C61" s="6" t="s">
        <v>281</v>
      </c>
      <c r="D61" s="6" t="s">
        <v>282</v>
      </c>
      <c r="E61" s="6" t="s">
        <v>283</v>
      </c>
      <c r="F61" s="7">
        <v>2.2573712210000001</v>
      </c>
      <c r="G61" s="7">
        <v>-1.906574188</v>
      </c>
      <c r="H61" s="6" t="str">
        <f t="shared" si="0"/>
        <v>Inverse</v>
      </c>
      <c r="I61" s="6" t="s">
        <v>50</v>
      </c>
      <c r="J61" s="6" t="s">
        <v>284</v>
      </c>
    </row>
    <row r="62" spans="1:10" x14ac:dyDescent="0.2">
      <c r="A62" s="6" t="s">
        <v>15</v>
      </c>
      <c r="B62" s="6" t="s">
        <v>16</v>
      </c>
      <c r="C62" s="6" t="s">
        <v>285</v>
      </c>
      <c r="D62" s="6" t="s">
        <v>286</v>
      </c>
      <c r="E62" s="6" t="s">
        <v>287</v>
      </c>
      <c r="F62" s="7">
        <v>-1.740466243</v>
      </c>
      <c r="G62" s="7">
        <v>1.3730110390000001</v>
      </c>
      <c r="H62" s="6" t="str">
        <f t="shared" si="0"/>
        <v>Inverse</v>
      </c>
      <c r="I62" s="6" t="s">
        <v>288</v>
      </c>
      <c r="J62" s="6" t="s">
        <v>288</v>
      </c>
    </row>
    <row r="63" spans="1:10" x14ac:dyDescent="0.2">
      <c r="A63" s="6" t="s">
        <v>15</v>
      </c>
      <c r="B63" s="6" t="s">
        <v>16</v>
      </c>
      <c r="C63" s="6" t="s">
        <v>289</v>
      </c>
      <c r="D63" s="6" t="s">
        <v>290</v>
      </c>
      <c r="E63" s="6" t="s">
        <v>291</v>
      </c>
      <c r="F63" s="7">
        <v>1.0177808269999999</v>
      </c>
      <c r="G63" s="7">
        <v>-1.556133558</v>
      </c>
      <c r="H63" s="6" t="str">
        <f t="shared" si="0"/>
        <v>Inverse</v>
      </c>
      <c r="I63" s="6" t="s">
        <v>292</v>
      </c>
      <c r="J63" s="6" t="s">
        <v>292</v>
      </c>
    </row>
    <row r="64" spans="1:10" x14ac:dyDescent="0.2">
      <c r="A64" s="6" t="s">
        <v>15</v>
      </c>
      <c r="B64" s="6" t="s">
        <v>16</v>
      </c>
      <c r="C64" s="6" t="s">
        <v>293</v>
      </c>
      <c r="D64" s="6" t="s">
        <v>294</v>
      </c>
      <c r="E64" s="6" t="s">
        <v>295</v>
      </c>
      <c r="F64" s="7">
        <v>2.1500706539999999</v>
      </c>
      <c r="G64" s="7">
        <v>-1.2258250500000001</v>
      </c>
      <c r="H64" s="6" t="str">
        <f t="shared" si="0"/>
        <v>Inverse</v>
      </c>
      <c r="I64" s="6" t="s">
        <v>296</v>
      </c>
      <c r="J64" s="6" t="s">
        <v>297</v>
      </c>
    </row>
    <row r="65" spans="1:10" x14ac:dyDescent="0.2">
      <c r="A65" s="6" t="s">
        <v>15</v>
      </c>
      <c r="B65" s="6" t="s">
        <v>16</v>
      </c>
      <c r="C65" s="6" t="s">
        <v>298</v>
      </c>
      <c r="D65" s="6" t="s">
        <v>299</v>
      </c>
      <c r="E65" s="6" t="s">
        <v>300</v>
      </c>
      <c r="F65" s="7">
        <v>-1.0626469519999999</v>
      </c>
      <c r="G65" s="7">
        <v>-1.189619191</v>
      </c>
      <c r="H65" s="6" t="str">
        <f t="shared" si="0"/>
        <v>Direct</v>
      </c>
      <c r="I65" s="6" t="s">
        <v>301</v>
      </c>
      <c r="J65" s="6" t="s">
        <v>301</v>
      </c>
    </row>
    <row r="66" spans="1:10" x14ac:dyDescent="0.2">
      <c r="A66" s="6" t="s">
        <v>15</v>
      </c>
      <c r="B66" s="6" t="s">
        <v>16</v>
      </c>
      <c r="C66" s="6" t="s">
        <v>302</v>
      </c>
      <c r="D66" s="6" t="s">
        <v>303</v>
      </c>
      <c r="E66" s="6" t="s">
        <v>304</v>
      </c>
      <c r="F66" s="7">
        <v>1.6022154580000001</v>
      </c>
      <c r="G66" s="7">
        <v>1.291592321</v>
      </c>
      <c r="H66" s="6" t="str">
        <f t="shared" si="0"/>
        <v>Direct</v>
      </c>
      <c r="I66" s="6" t="s">
        <v>305</v>
      </c>
      <c r="J66" s="6" t="s">
        <v>306</v>
      </c>
    </row>
    <row r="67" spans="1:10" x14ac:dyDescent="0.2">
      <c r="A67" s="6" t="s">
        <v>15</v>
      </c>
      <c r="B67" s="6" t="s">
        <v>16</v>
      </c>
      <c r="C67" s="6" t="s">
        <v>307</v>
      </c>
      <c r="D67" s="6" t="s">
        <v>308</v>
      </c>
      <c r="E67" s="6" t="s">
        <v>309</v>
      </c>
      <c r="F67" s="7">
        <v>2.1130008619999998</v>
      </c>
      <c r="G67" s="7">
        <v>-1.0740312359999999</v>
      </c>
      <c r="H67" s="6" t="str">
        <f t="shared" si="0"/>
        <v>Inverse</v>
      </c>
      <c r="I67" s="6" t="s">
        <v>310</v>
      </c>
      <c r="J67" s="6" t="s">
        <v>311</v>
      </c>
    </row>
    <row r="68" spans="1:10" x14ac:dyDescent="0.2">
      <c r="A68" s="6" t="s">
        <v>15</v>
      </c>
      <c r="B68" s="6" t="s">
        <v>16</v>
      </c>
      <c r="C68" s="6" t="s">
        <v>312</v>
      </c>
      <c r="D68" s="6" t="s">
        <v>313</v>
      </c>
      <c r="E68" s="6" t="s">
        <v>314</v>
      </c>
      <c r="F68" s="7">
        <v>1.125526711</v>
      </c>
      <c r="G68" s="7">
        <v>-6.2516605780000001</v>
      </c>
      <c r="H68" s="6" t="str">
        <f t="shared" si="0"/>
        <v>Inverse</v>
      </c>
      <c r="I68" s="6" t="s">
        <v>315</v>
      </c>
      <c r="J68" s="6" t="s">
        <v>315</v>
      </c>
    </row>
    <row r="69" spans="1:10" x14ac:dyDescent="0.2">
      <c r="A69" s="6" t="s">
        <v>15</v>
      </c>
      <c r="B69" s="6" t="s">
        <v>16</v>
      </c>
      <c r="C69" s="6" t="s">
        <v>316</v>
      </c>
      <c r="D69" s="6" t="s">
        <v>317</v>
      </c>
      <c r="E69" s="6" t="s">
        <v>318</v>
      </c>
      <c r="F69" s="7">
        <v>2.9676020670000001</v>
      </c>
      <c r="G69" s="7">
        <v>1.8854836660000001</v>
      </c>
      <c r="H69" s="6" t="str">
        <f t="shared" si="0"/>
        <v>Direct</v>
      </c>
      <c r="I69" s="6" t="s">
        <v>319</v>
      </c>
      <c r="J69" s="6" t="s">
        <v>319</v>
      </c>
    </row>
    <row r="70" spans="1:10" x14ac:dyDescent="0.2">
      <c r="A70" s="6" t="s">
        <v>15</v>
      </c>
      <c r="B70" s="8" t="s">
        <v>16</v>
      </c>
      <c r="C70" s="8" t="s">
        <v>320</v>
      </c>
      <c r="D70" s="8" t="s">
        <v>321</v>
      </c>
      <c r="E70" s="8" t="s">
        <v>322</v>
      </c>
      <c r="F70" s="8">
        <v>3.239901261</v>
      </c>
      <c r="G70" s="8">
        <v>1.9626791939999999</v>
      </c>
      <c r="H70" s="6" t="str">
        <f t="shared" si="0"/>
        <v>Direct</v>
      </c>
      <c r="I70" s="8" t="s">
        <v>323</v>
      </c>
      <c r="J70" s="8" t="s">
        <v>323</v>
      </c>
    </row>
    <row r="71" spans="1:10" x14ac:dyDescent="0.2">
      <c r="A71" s="6" t="s">
        <v>15</v>
      </c>
      <c r="B71" s="8" t="s">
        <v>16</v>
      </c>
      <c r="C71" s="8" t="s">
        <v>324</v>
      </c>
      <c r="D71" s="8" t="s">
        <v>325</v>
      </c>
      <c r="E71" s="8" t="s">
        <v>326</v>
      </c>
      <c r="F71" s="8">
        <v>2.1219481880000002</v>
      </c>
      <c r="G71" s="8">
        <v>-1.0052042430000001</v>
      </c>
      <c r="H71" s="6" t="str">
        <f t="shared" si="0"/>
        <v>Inverse</v>
      </c>
      <c r="I71" s="8" t="s">
        <v>327</v>
      </c>
      <c r="J71" s="8" t="s">
        <v>327</v>
      </c>
    </row>
    <row r="72" spans="1:10" x14ac:dyDescent="0.2">
      <c r="A72" s="6" t="s">
        <v>15</v>
      </c>
      <c r="B72" s="8" t="s">
        <v>16</v>
      </c>
      <c r="C72" s="8" t="s">
        <v>328</v>
      </c>
      <c r="D72" s="8" t="s">
        <v>329</v>
      </c>
      <c r="E72" s="8" t="s">
        <v>330</v>
      </c>
      <c r="F72" s="8">
        <v>1.4711202889999999</v>
      </c>
      <c r="G72" s="8">
        <v>1.3660684970000001</v>
      </c>
      <c r="H72" s="6" t="str">
        <f t="shared" si="0"/>
        <v>Direct</v>
      </c>
      <c r="I72" s="8" t="s">
        <v>331</v>
      </c>
      <c r="J72" s="8" t="s">
        <v>331</v>
      </c>
    </row>
    <row r="73" spans="1:10" x14ac:dyDescent="0.2">
      <c r="A73" s="6" t="s">
        <v>15</v>
      </c>
      <c r="B73" s="8" t="s">
        <v>16</v>
      </c>
      <c r="C73" s="8" t="s">
        <v>332</v>
      </c>
      <c r="D73" s="8" t="s">
        <v>333</v>
      </c>
      <c r="E73" s="8" t="s">
        <v>334</v>
      </c>
      <c r="F73" s="8">
        <v>-1.888169574</v>
      </c>
      <c r="G73" s="8">
        <v>1.0288556019999999</v>
      </c>
      <c r="H73" s="6" t="str">
        <f t="shared" si="0"/>
        <v>Inverse</v>
      </c>
      <c r="I73" s="8" t="s">
        <v>335</v>
      </c>
      <c r="J73" s="8" t="s">
        <v>336</v>
      </c>
    </row>
    <row r="74" spans="1:10" x14ac:dyDescent="0.2">
      <c r="A74" s="6" t="s">
        <v>15</v>
      </c>
      <c r="B74" s="8" t="s">
        <v>16</v>
      </c>
      <c r="C74" s="8" t="s">
        <v>337</v>
      </c>
      <c r="D74" s="8" t="s">
        <v>338</v>
      </c>
      <c r="E74" s="8" t="s">
        <v>339</v>
      </c>
      <c r="F74" s="8">
        <v>-1.742171876</v>
      </c>
      <c r="G74" s="8">
        <v>1.2085597100000001</v>
      </c>
      <c r="H74" s="6" t="str">
        <f t="shared" si="0"/>
        <v>Inverse</v>
      </c>
      <c r="I74" s="8" t="s">
        <v>340</v>
      </c>
      <c r="J74" s="8" t="s">
        <v>341</v>
      </c>
    </row>
    <row r="75" spans="1:10" x14ac:dyDescent="0.2">
      <c r="A75" s="6" t="s">
        <v>15</v>
      </c>
      <c r="B75" s="8" t="s">
        <v>16</v>
      </c>
      <c r="C75" s="8" t="s">
        <v>342</v>
      </c>
      <c r="D75" s="8" t="s">
        <v>343</v>
      </c>
      <c r="E75" s="8" t="s">
        <v>344</v>
      </c>
      <c r="F75" s="8">
        <v>2.3934414300000002</v>
      </c>
      <c r="G75" s="8">
        <v>-1.945032482</v>
      </c>
      <c r="H75" s="6" t="str">
        <f t="shared" si="0"/>
        <v>Inverse</v>
      </c>
      <c r="I75" s="8" t="s">
        <v>50</v>
      </c>
      <c r="J75" s="8" t="s">
        <v>345</v>
      </c>
    </row>
    <row r="76" spans="1:10" x14ac:dyDescent="0.2">
      <c r="A76" s="6" t="s">
        <v>15</v>
      </c>
      <c r="B76" s="8" t="s">
        <v>16</v>
      </c>
      <c r="C76" s="8" t="s">
        <v>346</v>
      </c>
      <c r="D76" s="8" t="s">
        <v>347</v>
      </c>
      <c r="E76" s="8" t="s">
        <v>348</v>
      </c>
      <c r="F76" s="8">
        <v>-2.815974915</v>
      </c>
      <c r="G76" s="8">
        <v>1.868805292</v>
      </c>
      <c r="H76" s="6" t="str">
        <f t="shared" si="0"/>
        <v>Inverse</v>
      </c>
      <c r="I76" s="8" t="s">
        <v>349</v>
      </c>
      <c r="J76" s="8" t="s">
        <v>349</v>
      </c>
    </row>
    <row r="77" spans="1:10" x14ac:dyDescent="0.2">
      <c r="A77" s="6" t="s">
        <v>15</v>
      </c>
      <c r="B77" s="8" t="s">
        <v>16</v>
      </c>
      <c r="C77" s="8" t="s">
        <v>350</v>
      </c>
      <c r="D77" s="8" t="s">
        <v>351</v>
      </c>
      <c r="E77" s="8" t="s">
        <v>352</v>
      </c>
      <c r="F77" s="8">
        <v>1.2508463590000001</v>
      </c>
      <c r="G77" s="8">
        <v>2.5489783250000002</v>
      </c>
      <c r="H77" s="6" t="str">
        <f t="shared" si="0"/>
        <v>Direct</v>
      </c>
      <c r="I77" s="8" t="s">
        <v>50</v>
      </c>
      <c r="J77" s="8" t="s">
        <v>251</v>
      </c>
    </row>
    <row r="78" spans="1:10" x14ac:dyDescent="0.2">
      <c r="A78" s="6" t="s">
        <v>15</v>
      </c>
      <c r="B78" s="8" t="s">
        <v>16</v>
      </c>
      <c r="C78" s="8" t="s">
        <v>353</v>
      </c>
      <c r="D78" s="8" t="s">
        <v>354</v>
      </c>
      <c r="E78" s="8" t="s">
        <v>355</v>
      </c>
      <c r="F78" s="8">
        <v>3.2936487859999999</v>
      </c>
      <c r="G78" s="8">
        <v>-2.305641375</v>
      </c>
      <c r="H78" s="6" t="str">
        <f t="shared" si="0"/>
        <v>Inverse</v>
      </c>
      <c r="I78" s="8" t="s">
        <v>356</v>
      </c>
      <c r="J78" s="8" t="s">
        <v>357</v>
      </c>
    </row>
    <row r="79" spans="1:10" x14ac:dyDescent="0.2">
      <c r="A79" s="6" t="s">
        <v>15</v>
      </c>
      <c r="B79" s="8" t="s">
        <v>16</v>
      </c>
      <c r="C79" s="8" t="s">
        <v>358</v>
      </c>
      <c r="D79" s="8" t="s">
        <v>359</v>
      </c>
      <c r="E79" s="8" t="s">
        <v>360</v>
      </c>
      <c r="F79" s="8">
        <v>1.440151636</v>
      </c>
      <c r="G79" s="8">
        <v>1.361739611</v>
      </c>
      <c r="H79" s="6" t="str">
        <f t="shared" si="0"/>
        <v>Direct</v>
      </c>
      <c r="I79" s="8" t="s">
        <v>50</v>
      </c>
      <c r="J79" s="8" t="s">
        <v>361</v>
      </c>
    </row>
    <row r="80" spans="1:10" x14ac:dyDescent="0.2">
      <c r="A80" s="6" t="s">
        <v>15</v>
      </c>
      <c r="B80" s="8" t="s">
        <v>16</v>
      </c>
      <c r="C80" s="8" t="s">
        <v>362</v>
      </c>
      <c r="D80" s="8" t="s">
        <v>363</v>
      </c>
      <c r="E80" s="8" t="s">
        <v>364</v>
      </c>
      <c r="F80" s="8">
        <v>-8.2152151129999993</v>
      </c>
      <c r="G80" s="8">
        <v>1.3490518309999999</v>
      </c>
      <c r="H80" s="6" t="str">
        <f t="shared" si="0"/>
        <v>Inverse</v>
      </c>
      <c r="I80" s="8" t="s">
        <v>365</v>
      </c>
      <c r="J80" s="8" t="s">
        <v>365</v>
      </c>
    </row>
    <row r="81" spans="1:10" x14ac:dyDescent="0.2">
      <c r="A81" s="6" t="s">
        <v>15</v>
      </c>
      <c r="B81" s="8" t="s">
        <v>16</v>
      </c>
      <c r="C81" s="8" t="s">
        <v>366</v>
      </c>
      <c r="D81" s="8" t="s">
        <v>367</v>
      </c>
      <c r="E81" s="8" t="s">
        <v>368</v>
      </c>
      <c r="F81" s="8">
        <v>-1.122846936</v>
      </c>
      <c r="G81" s="8">
        <v>1.296142291</v>
      </c>
      <c r="H81" s="6" t="str">
        <f t="shared" si="0"/>
        <v>Inverse</v>
      </c>
      <c r="I81" s="8" t="s">
        <v>50</v>
      </c>
      <c r="J81" s="8" t="s">
        <v>50</v>
      </c>
    </row>
    <row r="82" spans="1:10" x14ac:dyDescent="0.2">
      <c r="A82" s="6" t="s">
        <v>15</v>
      </c>
      <c r="B82" s="8" t="s">
        <v>16</v>
      </c>
      <c r="C82" s="8" t="s">
        <v>369</v>
      </c>
      <c r="D82" s="8" t="s">
        <v>370</v>
      </c>
      <c r="E82" s="8" t="s">
        <v>371</v>
      </c>
      <c r="F82" s="8">
        <v>2.2055654649999998</v>
      </c>
      <c r="G82" s="8">
        <v>1.4113423679999999</v>
      </c>
      <c r="H82" s="6" t="str">
        <f t="shared" si="0"/>
        <v>Direct</v>
      </c>
      <c r="I82" s="8" t="s">
        <v>372</v>
      </c>
      <c r="J82" s="8" t="s">
        <v>372</v>
      </c>
    </row>
    <row r="83" spans="1:10" x14ac:dyDescent="0.2">
      <c r="A83" s="6" t="s">
        <v>15</v>
      </c>
      <c r="B83" s="8" t="s">
        <v>16</v>
      </c>
      <c r="C83" s="8" t="s">
        <v>373</v>
      </c>
      <c r="D83" s="8" t="s">
        <v>374</v>
      </c>
      <c r="E83" s="8" t="s">
        <v>375</v>
      </c>
      <c r="F83" s="8">
        <v>2.5539562550000001</v>
      </c>
      <c r="G83" s="8">
        <v>1.117606893</v>
      </c>
      <c r="H83" s="6" t="str">
        <f t="shared" si="0"/>
        <v>Direct</v>
      </c>
      <c r="I83" s="8" t="s">
        <v>112</v>
      </c>
      <c r="J83" s="8" t="s">
        <v>112</v>
      </c>
    </row>
    <row r="84" spans="1:10" x14ac:dyDescent="0.2">
      <c r="A84" s="6" t="s">
        <v>15</v>
      </c>
      <c r="B84" s="8" t="s">
        <v>16</v>
      </c>
      <c r="C84" s="8" t="s">
        <v>376</v>
      </c>
      <c r="D84" s="8" t="s">
        <v>377</v>
      </c>
      <c r="E84" s="8" t="s">
        <v>378</v>
      </c>
      <c r="F84" s="8">
        <v>2.8679073349999999</v>
      </c>
      <c r="G84" s="8">
        <v>-1.2855370829999999</v>
      </c>
      <c r="H84" s="6" t="str">
        <f t="shared" si="0"/>
        <v>Inverse</v>
      </c>
      <c r="I84" s="8" t="s">
        <v>379</v>
      </c>
      <c r="J84" s="8" t="s">
        <v>379</v>
      </c>
    </row>
    <row r="85" spans="1:10" x14ac:dyDescent="0.2">
      <c r="A85" s="6" t="s">
        <v>15</v>
      </c>
      <c r="B85" s="8" t="s">
        <v>16</v>
      </c>
      <c r="C85" s="8" t="s">
        <v>380</v>
      </c>
      <c r="D85" s="8" t="s">
        <v>381</v>
      </c>
      <c r="E85" s="8" t="s">
        <v>382</v>
      </c>
      <c r="F85" s="8">
        <v>-3.7188947570000002</v>
      </c>
      <c r="G85" s="8">
        <v>1.2786408380000001</v>
      </c>
      <c r="H85" s="6" t="str">
        <f t="shared" si="0"/>
        <v>Inverse</v>
      </c>
      <c r="I85" s="8" t="s">
        <v>383</v>
      </c>
      <c r="J85" s="8" t="s">
        <v>384</v>
      </c>
    </row>
    <row r="86" spans="1:10" x14ac:dyDescent="0.2">
      <c r="A86" s="6" t="s">
        <v>15</v>
      </c>
      <c r="B86" s="8" t="s">
        <v>16</v>
      </c>
      <c r="C86" s="8" t="s">
        <v>385</v>
      </c>
      <c r="D86" s="8" t="s">
        <v>386</v>
      </c>
      <c r="E86" s="8" t="s">
        <v>387</v>
      </c>
      <c r="F86" s="8">
        <v>1.6114348709999999</v>
      </c>
      <c r="G86" s="8">
        <v>1.0067456880000001</v>
      </c>
      <c r="H86" s="6" t="str">
        <f t="shared" si="0"/>
        <v>Direct</v>
      </c>
      <c r="I86" s="8" t="s">
        <v>388</v>
      </c>
      <c r="J86" s="8" t="s">
        <v>389</v>
      </c>
    </row>
    <row r="87" spans="1:10" x14ac:dyDescent="0.2">
      <c r="A87" s="6" t="s">
        <v>15</v>
      </c>
      <c r="B87" s="8" t="s">
        <v>16</v>
      </c>
      <c r="C87" s="8" t="s">
        <v>390</v>
      </c>
      <c r="D87" s="8" t="s">
        <v>391</v>
      </c>
      <c r="E87" s="8" t="s">
        <v>392</v>
      </c>
      <c r="F87" s="8">
        <v>-1.2924209529999999</v>
      </c>
      <c r="G87" s="8">
        <v>-1.601882169</v>
      </c>
      <c r="H87" s="6" t="str">
        <f t="shared" si="0"/>
        <v>Direct</v>
      </c>
      <c r="I87" s="8" t="s">
        <v>393</v>
      </c>
      <c r="J87" s="8" t="s">
        <v>393</v>
      </c>
    </row>
    <row r="88" spans="1:10" x14ac:dyDescent="0.2">
      <c r="A88" s="6" t="s">
        <v>15</v>
      </c>
      <c r="B88" s="8" t="s">
        <v>16</v>
      </c>
      <c r="C88" s="8" t="s">
        <v>394</v>
      </c>
      <c r="D88" s="8" t="s">
        <v>395</v>
      </c>
      <c r="E88" s="8" t="s">
        <v>396</v>
      </c>
      <c r="F88" s="8">
        <v>-1.0272642299999999</v>
      </c>
      <c r="G88" s="8">
        <v>-1.549005623</v>
      </c>
      <c r="H88" s="6" t="str">
        <f t="shared" si="0"/>
        <v>Direct</v>
      </c>
      <c r="I88" s="8" t="s">
        <v>397</v>
      </c>
      <c r="J88" s="8" t="s">
        <v>397</v>
      </c>
    </row>
    <row r="89" spans="1:10" x14ac:dyDescent="0.2">
      <c r="A89" s="6" t="s">
        <v>15</v>
      </c>
      <c r="B89" s="8" t="s">
        <v>16</v>
      </c>
      <c r="C89" s="8" t="s">
        <v>398</v>
      </c>
      <c r="D89" s="8" t="s">
        <v>399</v>
      </c>
      <c r="E89" s="8" t="s">
        <v>400</v>
      </c>
      <c r="F89" s="8">
        <v>-1.1586703780000001</v>
      </c>
      <c r="G89" s="8">
        <v>-1.003772401</v>
      </c>
      <c r="H89" s="6" t="str">
        <f t="shared" si="0"/>
        <v>Direct</v>
      </c>
      <c r="I89" s="8" t="s">
        <v>401</v>
      </c>
      <c r="J89" s="8" t="s">
        <v>401</v>
      </c>
    </row>
    <row r="90" spans="1:10" x14ac:dyDescent="0.2">
      <c r="A90" s="6" t="s">
        <v>15</v>
      </c>
      <c r="B90" s="8" t="s">
        <v>16</v>
      </c>
      <c r="C90" s="8" t="s">
        <v>402</v>
      </c>
      <c r="D90" s="8" t="s">
        <v>403</v>
      </c>
      <c r="E90" s="8" t="s">
        <v>404</v>
      </c>
      <c r="F90" s="8">
        <v>1.2665725640000001</v>
      </c>
      <c r="G90" s="8">
        <v>1.880497659</v>
      </c>
      <c r="H90" s="6" t="str">
        <f t="shared" si="0"/>
        <v>Direct</v>
      </c>
      <c r="I90" s="8" t="s">
        <v>405</v>
      </c>
      <c r="J90" s="8" t="s">
        <v>405</v>
      </c>
    </row>
    <row r="91" spans="1:10" x14ac:dyDescent="0.2">
      <c r="A91" s="6" t="s">
        <v>15</v>
      </c>
      <c r="B91" s="8" t="s">
        <v>16</v>
      </c>
      <c r="C91" s="8" t="s">
        <v>406</v>
      </c>
      <c r="D91" s="8" t="s">
        <v>407</v>
      </c>
      <c r="E91" s="8" t="s">
        <v>408</v>
      </c>
      <c r="F91" s="8">
        <v>1.0976059060000001</v>
      </c>
      <c r="G91" s="8">
        <v>1.015201807</v>
      </c>
      <c r="H91" s="6" t="str">
        <f t="shared" si="0"/>
        <v>Direct</v>
      </c>
      <c r="I91" s="8" t="s">
        <v>409</v>
      </c>
      <c r="J91" s="8" t="s">
        <v>409</v>
      </c>
    </row>
    <row r="92" spans="1:10" x14ac:dyDescent="0.2">
      <c r="A92" s="6" t="s">
        <v>15</v>
      </c>
      <c r="B92" s="8" t="s">
        <v>16</v>
      </c>
      <c r="C92" s="8" t="s">
        <v>410</v>
      </c>
      <c r="D92" s="8" t="s">
        <v>411</v>
      </c>
      <c r="E92" s="8" t="s">
        <v>412</v>
      </c>
      <c r="F92" s="8">
        <v>2.667132171</v>
      </c>
      <c r="G92" s="8">
        <v>-2.6269545000000001</v>
      </c>
      <c r="H92" s="6" t="str">
        <f t="shared" si="0"/>
        <v>Inverse</v>
      </c>
      <c r="I92" s="8" t="s">
        <v>413</v>
      </c>
      <c r="J92" s="8" t="s">
        <v>414</v>
      </c>
    </row>
    <row r="93" spans="1:10" x14ac:dyDescent="0.2">
      <c r="A93" s="6" t="s">
        <v>15</v>
      </c>
      <c r="B93" s="8" t="s">
        <v>16</v>
      </c>
      <c r="C93" s="8" t="s">
        <v>415</v>
      </c>
      <c r="D93" s="8" t="s">
        <v>416</v>
      </c>
      <c r="E93" s="8" t="s">
        <v>417</v>
      </c>
      <c r="F93" s="8">
        <v>1.918759967</v>
      </c>
      <c r="G93" s="8">
        <v>-1.289536373</v>
      </c>
      <c r="H93" s="6" t="str">
        <f t="shared" si="0"/>
        <v>Inverse</v>
      </c>
      <c r="I93" s="8" t="s">
        <v>418</v>
      </c>
      <c r="J93" s="8" t="s">
        <v>418</v>
      </c>
    </row>
    <row r="94" spans="1:10" x14ac:dyDescent="0.2">
      <c r="A94" s="6" t="s">
        <v>15</v>
      </c>
      <c r="B94" s="8" t="s">
        <v>16</v>
      </c>
      <c r="C94" s="8" t="s">
        <v>419</v>
      </c>
      <c r="D94" s="8" t="s">
        <v>420</v>
      </c>
      <c r="E94" s="8" t="s">
        <v>421</v>
      </c>
      <c r="F94" s="8">
        <v>1.3860089</v>
      </c>
      <c r="G94" s="8">
        <v>1.0087328360000001</v>
      </c>
      <c r="H94" s="6" t="str">
        <f t="shared" si="0"/>
        <v>Direct</v>
      </c>
      <c r="I94" s="8" t="s">
        <v>422</v>
      </c>
      <c r="J94" s="8" t="s">
        <v>422</v>
      </c>
    </row>
    <row r="95" spans="1:10" x14ac:dyDescent="0.2">
      <c r="A95" s="6" t="s">
        <v>15</v>
      </c>
      <c r="B95" s="8" t="s">
        <v>16</v>
      </c>
      <c r="C95" s="8" t="s">
        <v>423</v>
      </c>
      <c r="D95" s="8" t="s">
        <v>424</v>
      </c>
      <c r="E95" s="8" t="s">
        <v>425</v>
      </c>
      <c r="F95" s="8">
        <v>1.065381607</v>
      </c>
      <c r="G95" s="8">
        <v>1.0717467839999999</v>
      </c>
      <c r="H95" s="6" t="str">
        <f t="shared" si="0"/>
        <v>Direct</v>
      </c>
      <c r="I95" s="8" t="s">
        <v>426</v>
      </c>
      <c r="J95" s="8" t="s">
        <v>426</v>
      </c>
    </row>
    <row r="96" spans="1:10" x14ac:dyDescent="0.2">
      <c r="A96" s="6" t="s">
        <v>15</v>
      </c>
      <c r="B96" s="8" t="s">
        <v>16</v>
      </c>
      <c r="C96" s="8" t="s">
        <v>427</v>
      </c>
      <c r="D96" s="8" t="s">
        <v>428</v>
      </c>
      <c r="E96" s="8" t="s">
        <v>429</v>
      </c>
      <c r="F96" s="8">
        <v>-1.5825606029999999</v>
      </c>
      <c r="G96" s="8">
        <v>-1.0301929590000001</v>
      </c>
      <c r="H96" s="6" t="str">
        <f t="shared" si="0"/>
        <v>Direct</v>
      </c>
      <c r="I96" s="8" t="s">
        <v>50</v>
      </c>
      <c r="J96" s="8" t="s">
        <v>50</v>
      </c>
    </row>
    <row r="97" spans="1:10" x14ac:dyDescent="0.2">
      <c r="A97" s="6" t="s">
        <v>15</v>
      </c>
      <c r="B97" s="8" t="s">
        <v>16</v>
      </c>
      <c r="C97" s="8" t="s">
        <v>430</v>
      </c>
      <c r="D97" s="8" t="s">
        <v>431</v>
      </c>
      <c r="E97" s="8" t="s">
        <v>432</v>
      </c>
      <c r="F97" s="8">
        <v>-1.3950876139999999</v>
      </c>
      <c r="G97" s="8">
        <v>1.1082754020000001</v>
      </c>
      <c r="H97" s="6" t="str">
        <f t="shared" si="0"/>
        <v>Inverse</v>
      </c>
      <c r="I97" s="8" t="s">
        <v>433</v>
      </c>
      <c r="J97" s="8" t="s">
        <v>433</v>
      </c>
    </row>
    <row r="98" spans="1:10" x14ac:dyDescent="0.2">
      <c r="A98" s="6" t="s">
        <v>15</v>
      </c>
      <c r="B98" s="8" t="s">
        <v>16</v>
      </c>
      <c r="C98" s="8" t="s">
        <v>434</v>
      </c>
      <c r="D98" s="8" t="s">
        <v>435</v>
      </c>
      <c r="E98" s="8" t="s">
        <v>436</v>
      </c>
      <c r="F98" s="8">
        <v>3.1792851070000001</v>
      </c>
      <c r="G98" s="8">
        <v>-1.272900956</v>
      </c>
      <c r="H98" s="6" t="str">
        <f t="shared" si="0"/>
        <v>Inverse</v>
      </c>
      <c r="I98" s="8" t="s">
        <v>437</v>
      </c>
      <c r="J98" s="8" t="s">
        <v>437</v>
      </c>
    </row>
    <row r="99" spans="1:10" x14ac:dyDescent="0.2">
      <c r="A99" s="6" t="s">
        <v>15</v>
      </c>
      <c r="B99" s="8" t="s">
        <v>16</v>
      </c>
      <c r="C99" s="8" t="s">
        <v>438</v>
      </c>
      <c r="D99" s="8" t="s">
        <v>439</v>
      </c>
      <c r="E99" s="8" t="s">
        <v>440</v>
      </c>
      <c r="F99" s="8">
        <v>-1.3478672460000001</v>
      </c>
      <c r="G99" s="8">
        <v>2.278027587</v>
      </c>
      <c r="H99" s="6" t="str">
        <f t="shared" si="0"/>
        <v>Inverse</v>
      </c>
      <c r="I99" s="8" t="s">
        <v>50</v>
      </c>
      <c r="J99" s="8" t="s">
        <v>441</v>
      </c>
    </row>
    <row r="100" spans="1:10" x14ac:dyDescent="0.2">
      <c r="A100" s="6" t="s">
        <v>15</v>
      </c>
      <c r="B100" s="8" t="s">
        <v>16</v>
      </c>
      <c r="C100" s="8" t="s">
        <v>442</v>
      </c>
      <c r="D100" s="8" t="s">
        <v>443</v>
      </c>
      <c r="E100" s="8" t="s">
        <v>444</v>
      </c>
      <c r="F100" s="8">
        <v>2.4740535819999998</v>
      </c>
      <c r="G100" s="8">
        <v>-1.8511012060000001</v>
      </c>
      <c r="H100" s="6" t="str">
        <f t="shared" si="0"/>
        <v>Inverse</v>
      </c>
      <c r="I100" s="8" t="s">
        <v>445</v>
      </c>
      <c r="J100" s="8" t="s">
        <v>445</v>
      </c>
    </row>
    <row r="101" spans="1:10" x14ac:dyDescent="0.2">
      <c r="A101" s="6" t="s">
        <v>15</v>
      </c>
      <c r="B101" s="8" t="s">
        <v>16</v>
      </c>
      <c r="C101" s="8" t="s">
        <v>446</v>
      </c>
      <c r="D101" s="8" t="s">
        <v>447</v>
      </c>
      <c r="E101" s="8" t="s">
        <v>448</v>
      </c>
      <c r="F101" s="8">
        <v>1.593101085</v>
      </c>
      <c r="G101" s="8">
        <v>1.5477303929999999</v>
      </c>
      <c r="H101" s="6" t="str">
        <f t="shared" si="0"/>
        <v>Direct</v>
      </c>
      <c r="I101" s="8" t="s">
        <v>449</v>
      </c>
      <c r="J101" s="8" t="s">
        <v>450</v>
      </c>
    </row>
    <row r="102" spans="1:10" x14ac:dyDescent="0.2">
      <c r="A102" s="6" t="s">
        <v>15</v>
      </c>
      <c r="B102" s="8" t="s">
        <v>16</v>
      </c>
      <c r="C102" s="8" t="s">
        <v>451</v>
      </c>
      <c r="D102" s="8" t="s">
        <v>452</v>
      </c>
      <c r="E102" s="8" t="s">
        <v>453</v>
      </c>
      <c r="F102" s="8">
        <v>-5.9030133239999998</v>
      </c>
      <c r="G102" s="8">
        <v>-1.205133421</v>
      </c>
      <c r="H102" s="6" t="str">
        <f t="shared" si="0"/>
        <v>Direct</v>
      </c>
      <c r="I102" s="8" t="s">
        <v>454</v>
      </c>
      <c r="J102" s="8" t="s">
        <v>454</v>
      </c>
    </row>
    <row r="103" spans="1:10" x14ac:dyDescent="0.2">
      <c r="A103" s="6" t="s">
        <v>15</v>
      </c>
      <c r="B103" s="8" t="s">
        <v>16</v>
      </c>
      <c r="C103" s="8" t="s">
        <v>455</v>
      </c>
      <c r="D103" s="8" t="s">
        <v>456</v>
      </c>
      <c r="E103" s="8" t="s">
        <v>457</v>
      </c>
      <c r="F103" s="8">
        <v>3.21595136</v>
      </c>
      <c r="G103" s="8">
        <v>-1.4203043019999999</v>
      </c>
      <c r="H103" s="6" t="str">
        <f t="shared" si="0"/>
        <v>Inverse</v>
      </c>
      <c r="I103" s="8" t="s">
        <v>458</v>
      </c>
      <c r="J103" s="8" t="s">
        <v>459</v>
      </c>
    </row>
    <row r="104" spans="1:10" x14ac:dyDescent="0.2">
      <c r="A104" s="6" t="s">
        <v>15</v>
      </c>
      <c r="B104" s="8" t="s">
        <v>16</v>
      </c>
      <c r="C104" s="8" t="s">
        <v>460</v>
      </c>
      <c r="D104" s="8" t="s">
        <v>461</v>
      </c>
      <c r="E104" s="8" t="s">
        <v>462</v>
      </c>
      <c r="F104" s="8">
        <v>1.03443193</v>
      </c>
      <c r="G104" s="8">
        <v>1.137911117</v>
      </c>
      <c r="H104" s="6" t="str">
        <f t="shared" si="0"/>
        <v>Direct</v>
      </c>
      <c r="I104" s="8" t="s">
        <v>463</v>
      </c>
      <c r="J104" s="8" t="s">
        <v>463</v>
      </c>
    </row>
    <row r="105" spans="1:10" x14ac:dyDescent="0.2">
      <c r="A105" s="6" t="s">
        <v>15</v>
      </c>
      <c r="B105" s="8" t="s">
        <v>16</v>
      </c>
      <c r="C105" s="8" t="s">
        <v>464</v>
      </c>
      <c r="D105" s="8" t="s">
        <v>465</v>
      </c>
      <c r="E105" s="8" t="s">
        <v>466</v>
      </c>
      <c r="F105" s="8">
        <v>-2.3446586759999999</v>
      </c>
      <c r="G105" s="8">
        <v>1.539836183</v>
      </c>
      <c r="H105" s="6" t="str">
        <f t="shared" si="0"/>
        <v>Inverse</v>
      </c>
      <c r="I105" s="8" t="s">
        <v>467</v>
      </c>
      <c r="J105" s="8" t="s">
        <v>467</v>
      </c>
    </row>
    <row r="106" spans="1:10" x14ac:dyDescent="0.2">
      <c r="A106" s="6" t="s">
        <v>15</v>
      </c>
      <c r="B106" s="8" t="s">
        <v>16</v>
      </c>
      <c r="C106" s="8" t="s">
        <v>468</v>
      </c>
      <c r="D106" s="8" t="s">
        <v>469</v>
      </c>
      <c r="E106" s="8" t="s">
        <v>470</v>
      </c>
      <c r="F106" s="8">
        <v>-1.2723703099999999</v>
      </c>
      <c r="G106" s="8">
        <v>1.1689016910000001</v>
      </c>
      <c r="H106" s="6" t="str">
        <f t="shared" si="0"/>
        <v>Inverse</v>
      </c>
      <c r="I106" s="8" t="s">
        <v>471</v>
      </c>
      <c r="J106" s="8" t="s">
        <v>472</v>
      </c>
    </row>
    <row r="107" spans="1:10" x14ac:dyDescent="0.2">
      <c r="A107" s="6" t="s">
        <v>15</v>
      </c>
      <c r="B107" s="8" t="s">
        <v>16</v>
      </c>
      <c r="C107" s="8" t="s">
        <v>473</v>
      </c>
      <c r="D107" s="8" t="s">
        <v>474</v>
      </c>
      <c r="E107" s="8" t="s">
        <v>475</v>
      </c>
      <c r="F107" s="8">
        <v>-4.6185768380000001</v>
      </c>
      <c r="G107" s="8">
        <v>-1.113426692</v>
      </c>
      <c r="H107" s="6" t="str">
        <f t="shared" si="0"/>
        <v>Direct</v>
      </c>
      <c r="I107" s="8" t="s">
        <v>476</v>
      </c>
      <c r="J107" s="8" t="s">
        <v>476</v>
      </c>
    </row>
    <row r="108" spans="1:10" x14ac:dyDescent="0.2">
      <c r="A108" s="6" t="s">
        <v>15</v>
      </c>
      <c r="B108" s="8" t="s">
        <v>16</v>
      </c>
      <c r="C108" s="8" t="s">
        <v>477</v>
      </c>
      <c r="D108" s="8" t="s">
        <v>478</v>
      </c>
      <c r="E108" s="8" t="s">
        <v>479</v>
      </c>
      <c r="F108" s="8">
        <v>-3.1965268519999999</v>
      </c>
      <c r="G108" s="8">
        <v>-1.074374401</v>
      </c>
      <c r="H108" s="6" t="str">
        <f t="shared" si="0"/>
        <v>Direct</v>
      </c>
      <c r="I108" s="8" t="s">
        <v>480</v>
      </c>
      <c r="J108" s="8" t="s">
        <v>480</v>
      </c>
    </row>
    <row r="109" spans="1:10" x14ac:dyDescent="0.2">
      <c r="A109" s="6" t="s">
        <v>15</v>
      </c>
      <c r="B109" s="8" t="s">
        <v>16</v>
      </c>
      <c r="C109" s="8" t="s">
        <v>481</v>
      </c>
      <c r="D109" s="8" t="s">
        <v>482</v>
      </c>
      <c r="E109" s="8" t="s">
        <v>483</v>
      </c>
      <c r="F109" s="8">
        <v>-1.2980002319999999</v>
      </c>
      <c r="G109" s="8">
        <v>1.0491338139999999</v>
      </c>
      <c r="H109" s="6" t="str">
        <f t="shared" si="0"/>
        <v>Inverse</v>
      </c>
      <c r="I109" s="8" t="s">
        <v>484</v>
      </c>
      <c r="J109" s="8" t="s">
        <v>484</v>
      </c>
    </row>
    <row r="110" spans="1:10" x14ac:dyDescent="0.2">
      <c r="A110" s="6" t="s">
        <v>15</v>
      </c>
      <c r="B110" s="8" t="s">
        <v>16</v>
      </c>
      <c r="C110" s="8" t="s">
        <v>485</v>
      </c>
      <c r="D110" s="8" t="s">
        <v>486</v>
      </c>
      <c r="E110" s="8" t="s">
        <v>487</v>
      </c>
      <c r="F110" s="8">
        <v>2.9574644569999999</v>
      </c>
      <c r="G110" s="8">
        <v>-4.2608994249999999</v>
      </c>
      <c r="H110" s="6" t="str">
        <f t="shared" si="0"/>
        <v>Inverse</v>
      </c>
      <c r="I110" s="8" t="s">
        <v>50</v>
      </c>
      <c r="J110" s="8" t="s">
        <v>488</v>
      </c>
    </row>
    <row r="111" spans="1:10" x14ac:dyDescent="0.2">
      <c r="A111" s="6" t="s">
        <v>15</v>
      </c>
      <c r="B111" s="8" t="s">
        <v>16</v>
      </c>
      <c r="C111" s="8" t="s">
        <v>489</v>
      </c>
      <c r="D111" s="8" t="s">
        <v>490</v>
      </c>
      <c r="E111" s="8" t="s">
        <v>491</v>
      </c>
      <c r="F111" s="8">
        <v>-1.0055954890000001</v>
      </c>
      <c r="G111" s="8">
        <v>1.1938152980000001</v>
      </c>
      <c r="H111" s="6" t="str">
        <f t="shared" si="0"/>
        <v>Inverse</v>
      </c>
      <c r="I111" s="8" t="s">
        <v>492</v>
      </c>
      <c r="J111" s="8" t="s">
        <v>492</v>
      </c>
    </row>
    <row r="112" spans="1:10" x14ac:dyDescent="0.2">
      <c r="A112" s="6" t="s">
        <v>15</v>
      </c>
      <c r="B112" s="8" t="s">
        <v>16</v>
      </c>
      <c r="C112" s="8" t="s">
        <v>493</v>
      </c>
      <c r="D112" s="8" t="s">
        <v>494</v>
      </c>
      <c r="E112" s="8" t="s">
        <v>495</v>
      </c>
      <c r="F112" s="8">
        <v>-1.29290493</v>
      </c>
      <c r="G112" s="8">
        <v>-1.168976405</v>
      </c>
      <c r="H112" s="6" t="str">
        <f t="shared" si="0"/>
        <v>Direct</v>
      </c>
      <c r="I112" s="8" t="s">
        <v>50</v>
      </c>
      <c r="J112" s="8" t="s">
        <v>496</v>
      </c>
    </row>
    <row r="113" spans="1:10" x14ac:dyDescent="0.2">
      <c r="A113" s="6" t="s">
        <v>15</v>
      </c>
      <c r="B113" s="8" t="s">
        <v>16</v>
      </c>
      <c r="C113" s="8" t="s">
        <v>497</v>
      </c>
      <c r="D113" s="8" t="s">
        <v>498</v>
      </c>
      <c r="E113" s="8" t="s">
        <v>499</v>
      </c>
      <c r="F113" s="8">
        <v>1.732253394</v>
      </c>
      <c r="G113" s="8">
        <v>-1.160460568</v>
      </c>
      <c r="H113" s="6" t="str">
        <f t="shared" si="0"/>
        <v>Inverse</v>
      </c>
      <c r="I113" s="8" t="s">
        <v>500</v>
      </c>
      <c r="J113" s="8" t="s">
        <v>500</v>
      </c>
    </row>
    <row r="114" spans="1:10" x14ac:dyDescent="0.2">
      <c r="A114" s="6" t="s">
        <v>15</v>
      </c>
      <c r="B114" s="8" t="s">
        <v>16</v>
      </c>
      <c r="C114" s="8" t="s">
        <v>501</v>
      </c>
      <c r="D114" s="8" t="s">
        <v>502</v>
      </c>
      <c r="E114" s="8" t="s">
        <v>503</v>
      </c>
      <c r="F114" s="8">
        <v>2.167925994</v>
      </c>
      <c r="G114" s="8">
        <v>1.5454651850000001</v>
      </c>
      <c r="H114" s="6" t="str">
        <f t="shared" si="0"/>
        <v>Direct</v>
      </c>
      <c r="I114" s="8" t="s">
        <v>504</v>
      </c>
      <c r="J114" s="8" t="s">
        <v>504</v>
      </c>
    </row>
    <row r="115" spans="1:10" x14ac:dyDescent="0.2">
      <c r="A115" s="6" t="s">
        <v>15</v>
      </c>
      <c r="B115" s="8" t="s">
        <v>16</v>
      </c>
      <c r="C115" s="8" t="s">
        <v>505</v>
      </c>
      <c r="D115" s="8" t="s">
        <v>506</v>
      </c>
      <c r="E115" s="8" t="s">
        <v>507</v>
      </c>
      <c r="F115" s="8">
        <v>4.7394155949999996</v>
      </c>
      <c r="G115" s="8">
        <v>1.7033791739999999</v>
      </c>
      <c r="H115" s="6" t="str">
        <f t="shared" si="0"/>
        <v>Direct</v>
      </c>
      <c r="I115" s="8" t="s">
        <v>508</v>
      </c>
      <c r="J115" s="8" t="s">
        <v>508</v>
      </c>
    </row>
    <row r="116" spans="1:10" x14ac:dyDescent="0.2">
      <c r="A116" s="6" t="s">
        <v>15</v>
      </c>
      <c r="B116" s="8" t="s">
        <v>16</v>
      </c>
      <c r="C116" s="8" t="s">
        <v>509</v>
      </c>
      <c r="D116" s="8" t="s">
        <v>510</v>
      </c>
      <c r="E116" s="8" t="s">
        <v>511</v>
      </c>
      <c r="F116" s="8">
        <v>-3.8159869729999998</v>
      </c>
      <c r="G116" s="8">
        <v>-1.3490518309999999</v>
      </c>
      <c r="H116" s="6" t="str">
        <f t="shared" si="0"/>
        <v>Direct</v>
      </c>
      <c r="I116" s="8" t="s">
        <v>512</v>
      </c>
      <c r="J116" s="8" t="s">
        <v>512</v>
      </c>
    </row>
    <row r="117" spans="1:10" x14ac:dyDescent="0.2">
      <c r="A117" s="6" t="s">
        <v>15</v>
      </c>
      <c r="B117" s="8" t="s">
        <v>16</v>
      </c>
      <c r="C117" s="8" t="s">
        <v>513</v>
      </c>
      <c r="D117" s="8" t="s">
        <v>514</v>
      </c>
      <c r="E117" s="8" t="s">
        <v>515</v>
      </c>
      <c r="F117" s="8">
        <v>1.458336978</v>
      </c>
      <c r="G117" s="8">
        <v>-1.209552594</v>
      </c>
      <c r="H117" s="6" t="str">
        <f t="shared" si="0"/>
        <v>Inverse</v>
      </c>
      <c r="I117" s="8" t="s">
        <v>516</v>
      </c>
      <c r="J117" s="8" t="s">
        <v>516</v>
      </c>
    </row>
    <row r="118" spans="1:10" x14ac:dyDescent="0.2">
      <c r="A118" s="6" t="s">
        <v>15</v>
      </c>
      <c r="B118" s="8" t="s">
        <v>16</v>
      </c>
      <c r="C118" s="8" t="s">
        <v>517</v>
      </c>
      <c r="D118" s="8" t="s">
        <v>518</v>
      </c>
      <c r="E118" s="8" t="s">
        <v>519</v>
      </c>
      <c r="F118" s="8">
        <v>-10.33872925</v>
      </c>
      <c r="G118" s="8">
        <v>-1.6450914729999999</v>
      </c>
      <c r="H118" s="6" t="str">
        <f t="shared" si="0"/>
        <v>Direct</v>
      </c>
      <c r="I118" s="8" t="s">
        <v>50</v>
      </c>
      <c r="J118" s="8" t="s">
        <v>520</v>
      </c>
    </row>
    <row r="119" spans="1:10" x14ac:dyDescent="0.2">
      <c r="A119" s="6" t="s">
        <v>15</v>
      </c>
      <c r="B119" s="8" t="s">
        <v>16</v>
      </c>
      <c r="C119" s="8" t="s">
        <v>521</v>
      </c>
      <c r="D119" s="8" t="s">
        <v>522</v>
      </c>
      <c r="E119" s="8" t="s">
        <v>523</v>
      </c>
      <c r="F119" s="8">
        <v>-1.4620630999999999</v>
      </c>
      <c r="G119" s="8">
        <v>1.241457035</v>
      </c>
      <c r="H119" s="6" t="str">
        <f t="shared" si="0"/>
        <v>Inverse</v>
      </c>
      <c r="I119" s="8" t="s">
        <v>524</v>
      </c>
      <c r="J119" s="8" t="s">
        <v>525</v>
      </c>
    </row>
    <row r="120" spans="1:10" x14ac:dyDescent="0.2">
      <c r="A120" s="6" t="s">
        <v>15</v>
      </c>
      <c r="B120" s="8" t="s">
        <v>16</v>
      </c>
      <c r="C120" s="8" t="s">
        <v>526</v>
      </c>
      <c r="D120" s="8" t="s">
        <v>527</v>
      </c>
      <c r="E120" s="8" t="s">
        <v>528</v>
      </c>
      <c r="F120" s="8">
        <v>2.0872757690000001</v>
      </c>
      <c r="G120" s="8">
        <v>3.7318106110000002</v>
      </c>
      <c r="H120" s="6" t="str">
        <f t="shared" si="0"/>
        <v>Direct</v>
      </c>
      <c r="I120" s="8" t="s">
        <v>50</v>
      </c>
      <c r="J120" s="8" t="s">
        <v>529</v>
      </c>
    </row>
    <row r="121" spans="1:10" x14ac:dyDescent="0.2">
      <c r="A121" s="6" t="s">
        <v>15</v>
      </c>
      <c r="B121" s="8" t="s">
        <v>16</v>
      </c>
      <c r="C121" s="8" t="s">
        <v>530</v>
      </c>
      <c r="D121" s="8" t="s">
        <v>531</v>
      </c>
      <c r="E121" s="8" t="s">
        <v>532</v>
      </c>
      <c r="F121" s="8">
        <v>-4.660244434</v>
      </c>
      <c r="G121" s="8">
        <v>-1.008424725</v>
      </c>
      <c r="H121" s="6" t="str">
        <f t="shared" si="0"/>
        <v>Direct</v>
      </c>
      <c r="I121" s="8" t="s">
        <v>533</v>
      </c>
      <c r="J121" s="8" t="s">
        <v>533</v>
      </c>
    </row>
    <row r="122" spans="1:10" x14ac:dyDescent="0.2">
      <c r="A122" s="6" t="s">
        <v>15</v>
      </c>
      <c r="B122" s="8" t="s">
        <v>16</v>
      </c>
      <c r="C122" s="8" t="s">
        <v>534</v>
      </c>
      <c r="D122" s="8" t="s">
        <v>535</v>
      </c>
      <c r="E122" s="8" t="s">
        <v>536</v>
      </c>
      <c r="F122" s="8">
        <v>1.0695498569999999</v>
      </c>
      <c r="G122" s="8">
        <v>1.039380644</v>
      </c>
      <c r="H122" s="6" t="str">
        <f t="shared" si="0"/>
        <v>Direct</v>
      </c>
      <c r="I122" s="8" t="s">
        <v>537</v>
      </c>
      <c r="J122" s="8" t="s">
        <v>538</v>
      </c>
    </row>
    <row r="123" spans="1:10" x14ac:dyDescent="0.2">
      <c r="A123" s="6" t="s">
        <v>15</v>
      </c>
      <c r="B123" s="8" t="s">
        <v>16</v>
      </c>
      <c r="C123" s="8" t="s">
        <v>539</v>
      </c>
      <c r="D123" s="8" t="s">
        <v>540</v>
      </c>
      <c r="E123" s="8" t="s">
        <v>541</v>
      </c>
      <c r="F123" s="8">
        <v>-2.5508756159999999</v>
      </c>
      <c r="G123" s="8">
        <v>1.1814330900000001</v>
      </c>
      <c r="H123" s="6" t="str">
        <f t="shared" si="0"/>
        <v>Inverse</v>
      </c>
      <c r="I123" s="8" t="s">
        <v>542</v>
      </c>
      <c r="J123" s="8" t="s">
        <v>542</v>
      </c>
    </row>
    <row r="124" spans="1:10" x14ac:dyDescent="0.2">
      <c r="A124" s="6" t="s">
        <v>15</v>
      </c>
      <c r="B124" s="8" t="s">
        <v>16</v>
      </c>
      <c r="C124" s="8" t="s">
        <v>543</v>
      </c>
      <c r="D124" s="8" t="s">
        <v>544</v>
      </c>
      <c r="E124" s="8" t="s">
        <v>545</v>
      </c>
      <c r="F124" s="8">
        <v>1.615823615</v>
      </c>
      <c r="G124" s="8">
        <v>1.0191653940000001</v>
      </c>
      <c r="H124" s="6" t="str">
        <f t="shared" si="0"/>
        <v>Direct</v>
      </c>
      <c r="I124" s="8" t="s">
        <v>546</v>
      </c>
      <c r="J124" s="8" t="s">
        <v>546</v>
      </c>
    </row>
    <row r="125" spans="1:10" x14ac:dyDescent="0.2">
      <c r="A125" s="6" t="s">
        <v>15</v>
      </c>
      <c r="B125" s="8" t="s">
        <v>16</v>
      </c>
      <c r="C125" s="8" t="s">
        <v>547</v>
      </c>
      <c r="D125" s="8" t="s">
        <v>548</v>
      </c>
      <c r="E125" s="8" t="s">
        <v>549</v>
      </c>
      <c r="F125" s="8">
        <v>1.7491315620000001</v>
      </c>
      <c r="G125" s="8">
        <v>1.272900956</v>
      </c>
      <c r="H125" s="6" t="str">
        <f t="shared" si="0"/>
        <v>Direct</v>
      </c>
      <c r="I125" s="8" t="s">
        <v>550</v>
      </c>
      <c r="J125" s="8" t="s">
        <v>550</v>
      </c>
    </row>
    <row r="126" spans="1:10" x14ac:dyDescent="0.2">
      <c r="A126" s="6" t="s">
        <v>15</v>
      </c>
      <c r="B126" s="8" t="s">
        <v>16</v>
      </c>
      <c r="C126" s="8" t="s">
        <v>551</v>
      </c>
      <c r="D126" s="8" t="s">
        <v>552</v>
      </c>
      <c r="E126" s="8" t="s">
        <v>553</v>
      </c>
      <c r="F126" s="8">
        <v>-2.1169152530000002</v>
      </c>
      <c r="G126" s="8">
        <v>-4.3066673929999997</v>
      </c>
      <c r="H126" s="6" t="str">
        <f t="shared" si="0"/>
        <v>Direct</v>
      </c>
      <c r="I126" s="8" t="s">
        <v>554</v>
      </c>
      <c r="J126" s="8" t="s">
        <v>554</v>
      </c>
    </row>
    <row r="127" spans="1:10" x14ac:dyDescent="0.2">
      <c r="A127" s="6" t="s">
        <v>15</v>
      </c>
      <c r="B127" s="8" t="s">
        <v>16</v>
      </c>
      <c r="C127" s="8" t="s">
        <v>555</v>
      </c>
      <c r="D127" s="8" t="s">
        <v>556</v>
      </c>
      <c r="E127" s="8" t="s">
        <v>557</v>
      </c>
      <c r="F127" s="8">
        <v>1.213535944</v>
      </c>
      <c r="G127" s="8">
        <v>-1.2742501230000001</v>
      </c>
      <c r="H127" s="6" t="str">
        <f t="shared" si="0"/>
        <v>Inverse</v>
      </c>
      <c r="I127" s="8" t="s">
        <v>50</v>
      </c>
      <c r="J127" s="8" t="s">
        <v>558</v>
      </c>
    </row>
    <row r="128" spans="1:10" x14ac:dyDescent="0.2">
      <c r="A128" s="6" t="s">
        <v>15</v>
      </c>
      <c r="B128" s="8" t="s">
        <v>16</v>
      </c>
      <c r="C128" s="8" t="s">
        <v>559</v>
      </c>
      <c r="D128" s="8" t="s">
        <v>560</v>
      </c>
      <c r="E128" s="8" t="s">
        <v>561</v>
      </c>
      <c r="F128" s="8">
        <v>-1.1421541390000001</v>
      </c>
      <c r="G128" s="8">
        <v>1.440799001</v>
      </c>
      <c r="H128" s="6" t="str">
        <f t="shared" si="0"/>
        <v>Inverse</v>
      </c>
      <c r="I128" s="8" t="s">
        <v>562</v>
      </c>
      <c r="J128" s="8" t="s">
        <v>563</v>
      </c>
    </row>
    <row r="129" spans="1:10" x14ac:dyDescent="0.2">
      <c r="A129" s="6" t="s">
        <v>15</v>
      </c>
      <c r="B129" s="8" t="s">
        <v>16</v>
      </c>
      <c r="C129" s="8" t="s">
        <v>564</v>
      </c>
      <c r="D129" s="8" t="s">
        <v>565</v>
      </c>
      <c r="E129" s="8" t="s">
        <v>566</v>
      </c>
      <c r="F129" s="8">
        <v>1.2907840450000001</v>
      </c>
      <c r="G129" s="8">
        <v>1.7096134869999999</v>
      </c>
      <c r="H129" s="6" t="str">
        <f t="shared" si="0"/>
        <v>Direct</v>
      </c>
      <c r="I129" s="8" t="s">
        <v>567</v>
      </c>
      <c r="J129" s="8" t="s">
        <v>567</v>
      </c>
    </row>
    <row r="130" spans="1:10" x14ac:dyDescent="0.2">
      <c r="A130" s="6" t="s">
        <v>15</v>
      </c>
      <c r="B130" s="8" t="s">
        <v>16</v>
      </c>
      <c r="C130" s="8" t="s">
        <v>568</v>
      </c>
      <c r="D130" s="8" t="s">
        <v>569</v>
      </c>
      <c r="E130" s="8" t="s">
        <v>570</v>
      </c>
      <c r="F130" s="8">
        <v>2.9602287289999998</v>
      </c>
      <c r="G130" s="8">
        <v>-1.35518155</v>
      </c>
      <c r="H130" s="6" t="str">
        <f t="shared" si="0"/>
        <v>Inverse</v>
      </c>
      <c r="I130" s="8" t="s">
        <v>554</v>
      </c>
      <c r="J130" s="8" t="s">
        <v>554</v>
      </c>
    </row>
    <row r="131" spans="1:10" x14ac:dyDescent="0.2">
      <c r="A131" s="6" t="s">
        <v>15</v>
      </c>
      <c r="B131" s="8" t="s">
        <v>16</v>
      </c>
      <c r="C131" s="8" t="s">
        <v>571</v>
      </c>
      <c r="D131" s="8" t="s">
        <v>572</v>
      </c>
      <c r="E131" s="8" t="s">
        <v>573</v>
      </c>
      <c r="F131" s="8">
        <v>1.97261423</v>
      </c>
      <c r="G131" s="8">
        <v>-1.733130142</v>
      </c>
      <c r="H131" s="6" t="str">
        <f t="shared" si="0"/>
        <v>Inverse</v>
      </c>
      <c r="I131" s="8" t="s">
        <v>574</v>
      </c>
      <c r="J131" s="8" t="s">
        <v>574</v>
      </c>
    </row>
    <row r="132" spans="1:10" x14ac:dyDescent="0.2">
      <c r="A132" s="6" t="s">
        <v>15</v>
      </c>
      <c r="B132" s="8" t="s">
        <v>16</v>
      </c>
      <c r="C132" s="8" t="s">
        <v>575</v>
      </c>
      <c r="D132" s="8" t="s">
        <v>576</v>
      </c>
      <c r="E132" s="8" t="s">
        <v>577</v>
      </c>
      <c r="F132" s="8">
        <v>-1.656840909</v>
      </c>
      <c r="G132" s="8">
        <v>-1.062884019</v>
      </c>
      <c r="H132" s="6" t="str">
        <f t="shared" si="0"/>
        <v>Direct</v>
      </c>
      <c r="I132" s="8" t="s">
        <v>578</v>
      </c>
      <c r="J132" s="8" t="s">
        <v>578</v>
      </c>
    </row>
    <row r="133" spans="1:10" x14ac:dyDescent="0.2">
      <c r="A133" s="6" t="s">
        <v>15</v>
      </c>
      <c r="B133" s="8" t="s">
        <v>16</v>
      </c>
      <c r="C133" s="8" t="s">
        <v>579</v>
      </c>
      <c r="D133" s="8" t="s">
        <v>580</v>
      </c>
      <c r="E133" s="8" t="s">
        <v>581</v>
      </c>
      <c r="F133" s="8">
        <v>-2.9149595160000001</v>
      </c>
      <c r="G133" s="8">
        <v>-5.5081878790000003</v>
      </c>
      <c r="H133" s="6" t="str">
        <f t="shared" si="0"/>
        <v>Direct</v>
      </c>
      <c r="I133" s="8" t="s">
        <v>582</v>
      </c>
      <c r="J133" s="8" t="s">
        <v>582</v>
      </c>
    </row>
    <row r="134" spans="1:10" x14ac:dyDescent="0.2">
      <c r="A134" s="6" t="s">
        <v>15</v>
      </c>
      <c r="B134" s="8" t="s">
        <v>16</v>
      </c>
      <c r="C134" s="8" t="s">
        <v>583</v>
      </c>
      <c r="D134" s="8" t="s">
        <v>584</v>
      </c>
      <c r="E134" s="8" t="s">
        <v>585</v>
      </c>
      <c r="F134" s="8">
        <v>2.2659495299999999</v>
      </c>
      <c r="G134" s="8">
        <v>1.0473789440000001</v>
      </c>
      <c r="H134" s="6" t="str">
        <f t="shared" si="0"/>
        <v>Direct</v>
      </c>
      <c r="I134" s="8" t="s">
        <v>586</v>
      </c>
      <c r="J134" s="8" t="s">
        <v>586</v>
      </c>
    </row>
    <row r="135" spans="1:10" x14ac:dyDescent="0.2">
      <c r="A135" s="6" t="s">
        <v>15</v>
      </c>
      <c r="B135" s="8" t="s">
        <v>16</v>
      </c>
      <c r="C135" s="8" t="s">
        <v>587</v>
      </c>
      <c r="D135" s="8" t="s">
        <v>588</v>
      </c>
      <c r="E135" s="8" t="s">
        <v>589</v>
      </c>
      <c r="F135" s="8">
        <v>2.2992797600000001</v>
      </c>
      <c r="G135" s="8">
        <v>1.616424648</v>
      </c>
      <c r="H135" s="6" t="str">
        <f t="shared" si="0"/>
        <v>Direct</v>
      </c>
      <c r="I135" s="8" t="s">
        <v>590</v>
      </c>
      <c r="J135" s="8" t="s">
        <v>590</v>
      </c>
    </row>
    <row r="136" spans="1:10" x14ac:dyDescent="0.2">
      <c r="A136" s="6" t="s">
        <v>15</v>
      </c>
      <c r="B136" s="8" t="s">
        <v>16</v>
      </c>
      <c r="C136" s="8" t="s">
        <v>591</v>
      </c>
      <c r="D136" s="8" t="s">
        <v>592</v>
      </c>
      <c r="E136" s="8" t="s">
        <v>593</v>
      </c>
      <c r="F136" s="8">
        <v>-1.3650854800000001</v>
      </c>
      <c r="G136" s="8">
        <v>-1.4435737449999999</v>
      </c>
      <c r="H136" s="6" t="str">
        <f t="shared" si="0"/>
        <v>Direct</v>
      </c>
      <c r="I136" s="8" t="s">
        <v>594</v>
      </c>
      <c r="J136" s="8" t="s">
        <v>112</v>
      </c>
    </row>
    <row r="137" spans="1:10" x14ac:dyDescent="0.2">
      <c r="A137" s="6" t="s">
        <v>15</v>
      </c>
      <c r="B137" s="8" t="s">
        <v>16</v>
      </c>
      <c r="C137" s="8" t="s">
        <v>595</v>
      </c>
      <c r="D137" s="8" t="s">
        <v>596</v>
      </c>
      <c r="E137" s="8" t="s">
        <v>597</v>
      </c>
      <c r="F137" s="8">
        <v>-2.1122768349999999</v>
      </c>
      <c r="G137" s="8">
        <v>1.238492954</v>
      </c>
      <c r="H137" s="6" t="str">
        <f t="shared" si="0"/>
        <v>Inverse</v>
      </c>
      <c r="I137" s="8" t="s">
        <v>598</v>
      </c>
      <c r="J137" s="8" t="s">
        <v>598</v>
      </c>
    </row>
    <row r="138" spans="1:10" x14ac:dyDescent="0.2">
      <c r="A138" s="6" t="s">
        <v>15</v>
      </c>
      <c r="B138" s="8" t="s">
        <v>16</v>
      </c>
      <c r="C138" s="8" t="s">
        <v>599</v>
      </c>
      <c r="D138" s="8" t="s">
        <v>600</v>
      </c>
      <c r="E138" s="8" t="s">
        <v>601</v>
      </c>
      <c r="F138" s="8">
        <v>1.23043832</v>
      </c>
      <c r="G138" s="8">
        <v>-1.002377844</v>
      </c>
      <c r="H138" s="6" t="str">
        <f t="shared" si="0"/>
        <v>Inverse</v>
      </c>
      <c r="I138" s="8" t="s">
        <v>602</v>
      </c>
      <c r="J138" s="8" t="s">
        <v>602</v>
      </c>
    </row>
    <row r="139" spans="1:10" x14ac:dyDescent="0.2">
      <c r="A139" s="6" t="s">
        <v>15</v>
      </c>
      <c r="B139" s="8" t="s">
        <v>16</v>
      </c>
      <c r="C139" s="8" t="s">
        <v>603</v>
      </c>
      <c r="D139" s="8" t="s">
        <v>604</v>
      </c>
      <c r="E139" s="8" t="s">
        <v>605</v>
      </c>
      <c r="F139" s="8">
        <v>3.9138661830000001</v>
      </c>
      <c r="G139" s="8">
        <v>-1.3217786419999999</v>
      </c>
      <c r="H139" s="6" t="str">
        <f t="shared" si="0"/>
        <v>Inverse</v>
      </c>
      <c r="I139" s="8" t="s">
        <v>606</v>
      </c>
      <c r="J139" s="8" t="s">
        <v>606</v>
      </c>
    </row>
    <row r="140" spans="1:10" x14ac:dyDescent="0.2">
      <c r="A140" s="6" t="s">
        <v>15</v>
      </c>
      <c r="B140" s="8" t="s">
        <v>16</v>
      </c>
      <c r="C140" s="8" t="s">
        <v>607</v>
      </c>
      <c r="D140" s="8" t="s">
        <v>608</v>
      </c>
      <c r="E140" s="8" t="s">
        <v>609</v>
      </c>
      <c r="F140" s="8">
        <v>-1.028110399</v>
      </c>
      <c r="G140" s="8">
        <v>1.5345696820000001</v>
      </c>
      <c r="H140" s="6" t="str">
        <f t="shared" si="0"/>
        <v>Inverse</v>
      </c>
      <c r="I140" s="8" t="s">
        <v>610</v>
      </c>
      <c r="J140" s="8" t="s">
        <v>610</v>
      </c>
    </row>
    <row r="141" spans="1:10" x14ac:dyDescent="0.2">
      <c r="A141" s="6" t="s">
        <v>15</v>
      </c>
      <c r="B141" s="8" t="s">
        <v>16</v>
      </c>
      <c r="C141" s="8" t="s">
        <v>611</v>
      </c>
      <c r="D141" s="8" t="s">
        <v>612</v>
      </c>
      <c r="E141" s="8" t="s">
        <v>613</v>
      </c>
      <c r="F141" s="8">
        <v>1.013916212</v>
      </c>
      <c r="G141" s="8">
        <v>-1.5428729329999999</v>
      </c>
      <c r="H141" s="6" t="str">
        <f t="shared" si="0"/>
        <v>Inverse</v>
      </c>
      <c r="I141" s="8" t="s">
        <v>614</v>
      </c>
      <c r="J141" s="8" t="s">
        <v>614</v>
      </c>
    </row>
    <row r="142" spans="1:10" x14ac:dyDescent="0.2">
      <c r="A142" s="6" t="s">
        <v>15</v>
      </c>
      <c r="B142" s="8" t="s">
        <v>16</v>
      </c>
      <c r="C142" s="8" t="s">
        <v>615</v>
      </c>
      <c r="D142" s="8" t="s">
        <v>616</v>
      </c>
      <c r="E142" s="8" t="s">
        <v>617</v>
      </c>
      <c r="F142" s="8">
        <v>-1.231573115</v>
      </c>
      <c r="G142" s="8">
        <v>-1.0499754080000001</v>
      </c>
      <c r="H142" s="6" t="str">
        <f t="shared" si="0"/>
        <v>Direct</v>
      </c>
      <c r="I142" s="8" t="s">
        <v>618</v>
      </c>
      <c r="J142" s="8" t="s">
        <v>167</v>
      </c>
    </row>
    <row r="143" spans="1:10" x14ac:dyDescent="0.2">
      <c r="A143" s="6" t="s">
        <v>15</v>
      </c>
      <c r="B143" s="8" t="s">
        <v>16</v>
      </c>
      <c r="C143" s="8" t="s">
        <v>619</v>
      </c>
      <c r="D143" s="8" t="s">
        <v>620</v>
      </c>
      <c r="E143" s="8" t="s">
        <v>621</v>
      </c>
      <c r="F143" s="8">
        <v>-2.987317204</v>
      </c>
      <c r="G143" s="8">
        <v>-1.2592338409999999</v>
      </c>
      <c r="H143" s="6" t="str">
        <f t="shared" si="0"/>
        <v>Direct</v>
      </c>
      <c r="I143" s="8" t="s">
        <v>622</v>
      </c>
      <c r="J143" s="8" t="s">
        <v>623</v>
      </c>
    </row>
    <row r="144" spans="1:10" x14ac:dyDescent="0.2">
      <c r="A144" s="6" t="s">
        <v>15</v>
      </c>
      <c r="B144" s="8" t="s">
        <v>16</v>
      </c>
      <c r="C144" s="8" t="s">
        <v>624</v>
      </c>
      <c r="D144" s="8" t="s">
        <v>625</v>
      </c>
      <c r="E144" s="8" t="s">
        <v>626</v>
      </c>
      <c r="F144" s="8">
        <v>1.515231174</v>
      </c>
      <c r="G144" s="8">
        <v>2.5859206760000002</v>
      </c>
      <c r="H144" s="6" t="str">
        <f t="shared" si="0"/>
        <v>Direct</v>
      </c>
      <c r="I144" s="8" t="s">
        <v>627</v>
      </c>
      <c r="J144" s="8" t="s">
        <v>627</v>
      </c>
    </row>
    <row r="145" spans="1:10" x14ac:dyDescent="0.2">
      <c r="A145" s="6" t="s">
        <v>15</v>
      </c>
      <c r="B145" s="8" t="s">
        <v>16</v>
      </c>
      <c r="C145" s="8" t="s">
        <v>628</v>
      </c>
      <c r="D145" s="8" t="s">
        <v>629</v>
      </c>
      <c r="E145" s="8" t="s">
        <v>630</v>
      </c>
      <c r="F145" s="8">
        <v>2.861196165</v>
      </c>
      <c r="G145" s="8">
        <v>2.146556527</v>
      </c>
      <c r="H145" s="6" t="str">
        <f t="shared" si="0"/>
        <v>Direct</v>
      </c>
      <c r="I145" s="8" t="s">
        <v>631</v>
      </c>
      <c r="J145" s="8" t="s">
        <v>631</v>
      </c>
    </row>
    <row r="146" spans="1:10" x14ac:dyDescent="0.2">
      <c r="A146" s="6" t="s">
        <v>15</v>
      </c>
      <c r="B146" s="8" t="s">
        <v>16</v>
      </c>
      <c r="C146" s="8" t="s">
        <v>632</v>
      </c>
      <c r="D146" s="8" t="s">
        <v>633</v>
      </c>
      <c r="E146" s="8" t="s">
        <v>634</v>
      </c>
      <c r="F146" s="8">
        <v>-1.0915496069999999</v>
      </c>
      <c r="G146" s="8">
        <v>1.0346026109999999</v>
      </c>
      <c r="H146" s="6" t="str">
        <f t="shared" si="0"/>
        <v>Inverse</v>
      </c>
      <c r="I146" s="8" t="s">
        <v>50</v>
      </c>
      <c r="J146" s="8" t="s">
        <v>635</v>
      </c>
    </row>
    <row r="147" spans="1:10" x14ac:dyDescent="0.2">
      <c r="A147" s="6" t="s">
        <v>15</v>
      </c>
      <c r="B147" s="8" t="s">
        <v>16</v>
      </c>
      <c r="C147" s="8" t="s">
        <v>636</v>
      </c>
      <c r="D147" s="8" t="s">
        <v>637</v>
      </c>
      <c r="E147" s="8" t="s">
        <v>638</v>
      </c>
      <c r="F147" s="8">
        <v>-1.3669099979999999</v>
      </c>
      <c r="G147" s="8">
        <v>-1.4663263559999999</v>
      </c>
      <c r="H147" s="6" t="str">
        <f t="shared" si="0"/>
        <v>Direct</v>
      </c>
      <c r="I147" s="8" t="s">
        <v>639</v>
      </c>
      <c r="J147" s="8" t="s">
        <v>639</v>
      </c>
    </row>
    <row r="148" spans="1:10" x14ac:dyDescent="0.2">
      <c r="A148" s="6" t="s">
        <v>15</v>
      </c>
      <c r="B148" s="8" t="s">
        <v>16</v>
      </c>
      <c r="C148" s="8" t="s">
        <v>640</v>
      </c>
      <c r="D148" s="8" t="s">
        <v>641</v>
      </c>
      <c r="E148" s="8" t="s">
        <v>642</v>
      </c>
      <c r="F148" s="8">
        <v>5.4980153060000001</v>
      </c>
      <c r="G148" s="8">
        <v>1.646217821</v>
      </c>
      <c r="H148" s="6" t="str">
        <f t="shared" si="0"/>
        <v>Direct</v>
      </c>
      <c r="I148" s="8" t="s">
        <v>643</v>
      </c>
      <c r="J148" s="8" t="s">
        <v>643</v>
      </c>
    </row>
    <row r="149" spans="1:10" x14ac:dyDescent="0.2">
      <c r="A149" s="6" t="s">
        <v>15</v>
      </c>
      <c r="B149" s="8" t="s">
        <v>16</v>
      </c>
      <c r="C149" s="8" t="s">
        <v>644</v>
      </c>
      <c r="D149" s="8" t="s">
        <v>645</v>
      </c>
      <c r="E149" s="8" t="s">
        <v>646</v>
      </c>
      <c r="F149" s="8">
        <v>1.3534767860000001</v>
      </c>
      <c r="G149" s="8">
        <v>-1.9320892940000001</v>
      </c>
      <c r="H149" s="6" t="str">
        <f t="shared" si="0"/>
        <v>Inverse</v>
      </c>
      <c r="I149" s="8" t="s">
        <v>647</v>
      </c>
      <c r="J149" s="8" t="s">
        <v>648</v>
      </c>
    </row>
    <row r="150" spans="1:10" x14ac:dyDescent="0.2">
      <c r="A150" s="6" t="s">
        <v>15</v>
      </c>
      <c r="B150" s="8" t="s">
        <v>16</v>
      </c>
      <c r="C150" s="8" t="s">
        <v>649</v>
      </c>
      <c r="D150" s="8" t="s">
        <v>650</v>
      </c>
      <c r="E150" s="8" t="s">
        <v>651</v>
      </c>
      <c r="F150" s="8">
        <v>-3.7830520829999998</v>
      </c>
      <c r="G150" s="8">
        <v>1.0050057059999999</v>
      </c>
      <c r="H150" s="6" t="str">
        <f t="shared" si="0"/>
        <v>Inverse</v>
      </c>
      <c r="I150" s="8" t="s">
        <v>652</v>
      </c>
      <c r="J150" s="8" t="s">
        <v>652</v>
      </c>
    </row>
    <row r="151" spans="1:10" x14ac:dyDescent="0.2">
      <c r="A151" s="6" t="s">
        <v>15</v>
      </c>
      <c r="B151" s="8" t="s">
        <v>16</v>
      </c>
      <c r="C151" s="8" t="s">
        <v>653</v>
      </c>
      <c r="D151" s="8" t="s">
        <v>654</v>
      </c>
      <c r="E151" s="8" t="s">
        <v>655</v>
      </c>
      <c r="F151" s="8">
        <v>1.2087261250000001</v>
      </c>
      <c r="G151" s="8">
        <v>-1.662000664</v>
      </c>
      <c r="H151" s="6" t="str">
        <f t="shared" si="0"/>
        <v>Inverse</v>
      </c>
      <c r="I151" s="8" t="s">
        <v>471</v>
      </c>
      <c r="J151" s="8" t="s">
        <v>656</v>
      </c>
    </row>
    <row r="152" spans="1:10" x14ac:dyDescent="0.2">
      <c r="A152" s="6" t="s">
        <v>15</v>
      </c>
      <c r="B152" s="8" t="s">
        <v>16</v>
      </c>
      <c r="C152" s="8" t="s">
        <v>657</v>
      </c>
      <c r="D152" s="8" t="s">
        <v>658</v>
      </c>
      <c r="E152" s="8" t="s">
        <v>659</v>
      </c>
      <c r="F152" s="8">
        <v>1.3748096190000001</v>
      </c>
      <c r="G152" s="8">
        <v>1.294259687</v>
      </c>
      <c r="H152" s="6" t="str">
        <f t="shared" si="0"/>
        <v>Direct</v>
      </c>
      <c r="I152" s="8" t="s">
        <v>660</v>
      </c>
      <c r="J152" s="8" t="s">
        <v>660</v>
      </c>
    </row>
    <row r="153" spans="1:10" x14ac:dyDescent="0.2">
      <c r="A153" s="6" t="s">
        <v>15</v>
      </c>
      <c r="B153" s="8" t="s">
        <v>16</v>
      </c>
      <c r="C153" s="8" t="s">
        <v>661</v>
      </c>
      <c r="D153" s="8" t="s">
        <v>662</v>
      </c>
      <c r="E153" s="8" t="s">
        <v>663</v>
      </c>
      <c r="F153" s="8">
        <v>-1.0372274969999999</v>
      </c>
      <c r="G153" s="8">
        <v>-1.131085686</v>
      </c>
      <c r="H153" s="6" t="str">
        <f t="shared" si="0"/>
        <v>Direct</v>
      </c>
      <c r="I153" s="8" t="s">
        <v>243</v>
      </c>
      <c r="J153" s="8" t="s">
        <v>664</v>
      </c>
    </row>
    <row r="154" spans="1:10" x14ac:dyDescent="0.2">
      <c r="A154" s="6" t="s">
        <v>15</v>
      </c>
      <c r="B154" s="8" t="s">
        <v>16</v>
      </c>
      <c r="C154" s="8" t="s">
        <v>665</v>
      </c>
      <c r="D154" s="8" t="s">
        <v>666</v>
      </c>
      <c r="E154" s="8" t="s">
        <v>667</v>
      </c>
      <c r="F154" s="8">
        <v>1.4868209100000001</v>
      </c>
      <c r="G154" s="8">
        <v>5.512610295</v>
      </c>
      <c r="H154" s="6" t="str">
        <f t="shared" si="0"/>
        <v>Direct</v>
      </c>
      <c r="I154" s="8" t="s">
        <v>668</v>
      </c>
      <c r="J154" s="8" t="s">
        <v>668</v>
      </c>
    </row>
    <row r="155" spans="1:10" x14ac:dyDescent="0.2">
      <c r="A155" s="6" t="s">
        <v>15</v>
      </c>
      <c r="B155" s="8" t="s">
        <v>16</v>
      </c>
      <c r="C155" s="8" t="s">
        <v>669</v>
      </c>
      <c r="D155" s="8" t="s">
        <v>670</v>
      </c>
      <c r="E155" s="8" t="s">
        <v>671</v>
      </c>
      <c r="F155" s="8">
        <v>-1.3880288510000001</v>
      </c>
      <c r="G155" s="8">
        <v>1.28872678</v>
      </c>
      <c r="H155" s="6" t="str">
        <f t="shared" si="0"/>
        <v>Inverse</v>
      </c>
      <c r="I155" s="8" t="s">
        <v>672</v>
      </c>
      <c r="J155" s="8" t="s">
        <v>672</v>
      </c>
    </row>
    <row r="156" spans="1:10" x14ac:dyDescent="0.2">
      <c r="A156" s="6" t="s">
        <v>15</v>
      </c>
      <c r="B156" s="8" t="s">
        <v>16</v>
      </c>
      <c r="C156" s="8" t="s">
        <v>673</v>
      </c>
      <c r="D156" s="8" t="s">
        <v>674</v>
      </c>
      <c r="E156" s="8" t="s">
        <v>675</v>
      </c>
      <c r="F156" s="8">
        <v>-9.1557623360000004</v>
      </c>
      <c r="G156" s="8">
        <v>1.0681046080000001</v>
      </c>
      <c r="H156" s="6" t="str">
        <f t="shared" si="0"/>
        <v>Inverse</v>
      </c>
      <c r="I156" s="8" t="s">
        <v>676</v>
      </c>
      <c r="J156" s="8" t="s">
        <v>676</v>
      </c>
    </row>
    <row r="157" spans="1:10" x14ac:dyDescent="0.2">
      <c r="A157" s="6" t="s">
        <v>15</v>
      </c>
      <c r="B157" s="8" t="s">
        <v>16</v>
      </c>
      <c r="C157" s="8" t="s">
        <v>677</v>
      </c>
      <c r="D157" s="8" t="s">
        <v>678</v>
      </c>
      <c r="E157" s="8" t="s">
        <v>679</v>
      </c>
      <c r="F157" s="8">
        <v>-1.0904903610000001</v>
      </c>
      <c r="G157" s="8">
        <v>-1.1160096799999999</v>
      </c>
      <c r="H157" s="6" t="str">
        <f t="shared" si="0"/>
        <v>Direct</v>
      </c>
      <c r="I157" s="8" t="s">
        <v>680</v>
      </c>
      <c r="J157" s="8" t="s">
        <v>680</v>
      </c>
    </row>
    <row r="158" spans="1:10" x14ac:dyDescent="0.2">
      <c r="A158" s="6" t="s">
        <v>15</v>
      </c>
      <c r="B158" s="8" t="s">
        <v>16</v>
      </c>
      <c r="C158" s="8" t="s">
        <v>681</v>
      </c>
      <c r="D158" s="8" t="s">
        <v>682</v>
      </c>
      <c r="E158" s="8" t="s">
        <v>683</v>
      </c>
      <c r="F158" s="8">
        <v>2.0036584909999999</v>
      </c>
      <c r="G158" s="8">
        <v>-2.2372180529999999</v>
      </c>
      <c r="H158" s="6" t="str">
        <f t="shared" si="0"/>
        <v>Inverse</v>
      </c>
      <c r="I158" s="8" t="s">
        <v>684</v>
      </c>
      <c r="J158" s="8" t="s">
        <v>684</v>
      </c>
    </row>
    <row r="159" spans="1:10" x14ac:dyDescent="0.2">
      <c r="A159" s="6" t="s">
        <v>15</v>
      </c>
      <c r="B159" s="8" t="s">
        <v>16</v>
      </c>
      <c r="C159" s="8" t="s">
        <v>685</v>
      </c>
      <c r="D159" s="8" t="s">
        <v>686</v>
      </c>
      <c r="E159" s="8" t="s">
        <v>687</v>
      </c>
      <c r="F159" s="8">
        <v>-1.1300156589999999</v>
      </c>
      <c r="G159" s="8">
        <v>1.491693806</v>
      </c>
      <c r="H159" s="6" t="str">
        <f t="shared" si="0"/>
        <v>Inverse</v>
      </c>
      <c r="I159" s="8" t="s">
        <v>50</v>
      </c>
      <c r="J159" s="8" t="s">
        <v>688</v>
      </c>
    </row>
    <row r="160" spans="1:10" x14ac:dyDescent="0.2">
      <c r="A160" s="6" t="s">
        <v>15</v>
      </c>
      <c r="B160" s="8" t="s">
        <v>16</v>
      </c>
      <c r="C160" s="8" t="s">
        <v>689</v>
      </c>
      <c r="D160" s="8" t="s">
        <v>690</v>
      </c>
      <c r="E160" s="8" t="s">
        <v>691</v>
      </c>
      <c r="F160" s="8">
        <v>-2.8722368010000001</v>
      </c>
      <c r="G160" s="8">
        <v>-1.469035501</v>
      </c>
      <c r="H160" s="6" t="str">
        <f t="shared" si="0"/>
        <v>Direct</v>
      </c>
      <c r="I160" s="8" t="s">
        <v>692</v>
      </c>
      <c r="J160" s="8" t="s">
        <v>692</v>
      </c>
    </row>
    <row r="161" spans="1:10" x14ac:dyDescent="0.2">
      <c r="A161" s="6" t="s">
        <v>15</v>
      </c>
      <c r="B161" s="8" t="s">
        <v>16</v>
      </c>
      <c r="C161" s="8" t="s">
        <v>693</v>
      </c>
      <c r="D161" s="8" t="s">
        <v>694</v>
      </c>
      <c r="E161" s="8" t="s">
        <v>695</v>
      </c>
      <c r="F161" s="8">
        <v>-1.0079241910000001</v>
      </c>
      <c r="G161" s="8">
        <v>-2.0686900540000002</v>
      </c>
      <c r="H161" s="6" t="str">
        <f t="shared" si="0"/>
        <v>Direct</v>
      </c>
      <c r="I161" s="8" t="s">
        <v>50</v>
      </c>
      <c r="J161" s="8" t="s">
        <v>445</v>
      </c>
    </row>
    <row r="162" spans="1:10" x14ac:dyDescent="0.2">
      <c r="A162" s="6" t="s">
        <v>15</v>
      </c>
      <c r="B162" s="8" t="s">
        <v>16</v>
      </c>
      <c r="C162" s="8" t="s">
        <v>696</v>
      </c>
      <c r="D162" s="8" t="s">
        <v>697</v>
      </c>
      <c r="E162" s="8" t="s">
        <v>698</v>
      </c>
      <c r="F162" s="8">
        <v>-8.0919937609999995</v>
      </c>
      <c r="G162" s="8">
        <v>-1.3615870489999999</v>
      </c>
      <c r="H162" s="6" t="str">
        <f t="shared" si="0"/>
        <v>Direct</v>
      </c>
      <c r="I162" s="8" t="s">
        <v>699</v>
      </c>
      <c r="J162" s="8" t="s">
        <v>699</v>
      </c>
    </row>
    <row r="163" spans="1:10" x14ac:dyDescent="0.2">
      <c r="A163" s="6" t="s">
        <v>15</v>
      </c>
      <c r="B163" s="8" t="s">
        <v>16</v>
      </c>
      <c r="C163" s="8" t="s">
        <v>700</v>
      </c>
      <c r="D163" s="8" t="s">
        <v>701</v>
      </c>
      <c r="E163" s="8" t="s">
        <v>702</v>
      </c>
      <c r="F163" s="8">
        <v>1.248036752</v>
      </c>
      <c r="G163" s="8">
        <v>1.1728781450000001</v>
      </c>
      <c r="H163" s="6" t="str">
        <f t="shared" si="0"/>
        <v>Direct</v>
      </c>
      <c r="I163" s="8" t="s">
        <v>703</v>
      </c>
      <c r="J163" s="8" t="s">
        <v>703</v>
      </c>
    </row>
    <row r="164" spans="1:10" x14ac:dyDescent="0.2">
      <c r="A164" s="6" t="s">
        <v>15</v>
      </c>
      <c r="B164" s="8" t="s">
        <v>16</v>
      </c>
      <c r="C164" s="8" t="s">
        <v>704</v>
      </c>
      <c r="D164" s="8" t="s">
        <v>705</v>
      </c>
      <c r="E164" s="8" t="s">
        <v>706</v>
      </c>
      <c r="F164" s="8">
        <v>1.097355726</v>
      </c>
      <c r="G164" s="8">
        <v>2.732444761</v>
      </c>
      <c r="H164" s="6" t="str">
        <f t="shared" si="0"/>
        <v>Direct</v>
      </c>
      <c r="I164" s="8" t="s">
        <v>50</v>
      </c>
      <c r="J164" s="8" t="s">
        <v>50</v>
      </c>
    </row>
    <row r="165" spans="1:10" x14ac:dyDescent="0.2">
      <c r="A165" s="6" t="s">
        <v>15</v>
      </c>
      <c r="B165" s="8" t="s">
        <v>16</v>
      </c>
      <c r="C165" s="8" t="s">
        <v>707</v>
      </c>
      <c r="D165" s="8" t="s">
        <v>708</v>
      </c>
      <c r="E165" s="8" t="s">
        <v>709</v>
      </c>
      <c r="F165" s="8">
        <v>1.385709648</v>
      </c>
      <c r="G165" s="8">
        <v>-1.361718789</v>
      </c>
      <c r="H165" s="6" t="str">
        <f t="shared" si="0"/>
        <v>Inverse</v>
      </c>
      <c r="I165" s="8" t="s">
        <v>710</v>
      </c>
      <c r="J165" s="8" t="s">
        <v>710</v>
      </c>
    </row>
    <row r="166" spans="1:10" x14ac:dyDescent="0.2">
      <c r="A166" s="6" t="s">
        <v>15</v>
      </c>
      <c r="B166" s="8" t="s">
        <v>16</v>
      </c>
      <c r="C166" s="8" t="s">
        <v>711</v>
      </c>
      <c r="D166" s="8" t="s">
        <v>712</v>
      </c>
      <c r="E166" s="8" t="s">
        <v>713</v>
      </c>
      <c r="F166" s="8">
        <v>-1.831711557</v>
      </c>
      <c r="G166" s="8">
        <v>-1.055794637</v>
      </c>
      <c r="H166" s="6" t="str">
        <f t="shared" si="0"/>
        <v>Direct</v>
      </c>
      <c r="I166" s="8" t="s">
        <v>50</v>
      </c>
      <c r="J166" s="8" t="s">
        <v>714</v>
      </c>
    </row>
    <row r="167" spans="1:10" x14ac:dyDescent="0.2">
      <c r="A167" s="6" t="s">
        <v>15</v>
      </c>
      <c r="B167" s="8" t="s">
        <v>16</v>
      </c>
      <c r="C167" s="8" t="s">
        <v>715</v>
      </c>
      <c r="D167" s="8" t="s">
        <v>716</v>
      </c>
      <c r="E167" s="8" t="s">
        <v>717</v>
      </c>
      <c r="F167" s="8">
        <v>-1.859356099</v>
      </c>
      <c r="G167" s="8">
        <v>-1.4768232429999999</v>
      </c>
      <c r="H167" s="6" t="str">
        <f t="shared" si="0"/>
        <v>Direct</v>
      </c>
      <c r="I167" s="8" t="s">
        <v>718</v>
      </c>
      <c r="J167" s="8" t="s">
        <v>719</v>
      </c>
    </row>
    <row r="168" spans="1:10" x14ac:dyDescent="0.2">
      <c r="A168" s="6" t="s">
        <v>15</v>
      </c>
      <c r="B168" s="8" t="s">
        <v>16</v>
      </c>
      <c r="C168" s="8" t="s">
        <v>720</v>
      </c>
      <c r="D168" s="8" t="s">
        <v>721</v>
      </c>
      <c r="E168" s="8" t="s">
        <v>722</v>
      </c>
      <c r="F168" s="8">
        <v>3.8705298730000002</v>
      </c>
      <c r="G168" s="8">
        <v>-1.239682234</v>
      </c>
      <c r="H168" s="6" t="str">
        <f t="shared" si="0"/>
        <v>Inverse</v>
      </c>
      <c r="I168" s="8" t="s">
        <v>50</v>
      </c>
      <c r="J168" s="8" t="s">
        <v>723</v>
      </c>
    </row>
    <row r="169" spans="1:10" x14ac:dyDescent="0.2">
      <c r="A169" s="6" t="s">
        <v>15</v>
      </c>
      <c r="B169" s="8" t="s">
        <v>16</v>
      </c>
      <c r="C169" s="8" t="s">
        <v>724</v>
      </c>
      <c r="D169" s="8" t="s">
        <v>725</v>
      </c>
      <c r="E169" s="8" t="s">
        <v>726</v>
      </c>
      <c r="F169" s="8">
        <v>-4.1275559529999999</v>
      </c>
      <c r="G169" s="8">
        <v>6.2949581329999997</v>
      </c>
      <c r="H169" s="6" t="str">
        <f t="shared" si="0"/>
        <v>Inverse</v>
      </c>
      <c r="I169" s="8" t="s">
        <v>727</v>
      </c>
      <c r="J169" s="8" t="s">
        <v>727</v>
      </c>
    </row>
    <row r="170" spans="1:10" x14ac:dyDescent="0.2">
      <c r="A170" s="6" t="s">
        <v>15</v>
      </c>
      <c r="B170" s="8" t="s">
        <v>16</v>
      </c>
      <c r="C170" s="8" t="s">
        <v>728</v>
      </c>
      <c r="D170" s="8" t="s">
        <v>729</v>
      </c>
      <c r="E170" s="8" t="s">
        <v>730</v>
      </c>
      <c r="F170" s="8">
        <v>1.1790899889999999</v>
      </c>
      <c r="G170" s="8">
        <v>-2.3220039049999999</v>
      </c>
      <c r="H170" s="6" t="str">
        <f t="shared" si="0"/>
        <v>Inverse</v>
      </c>
      <c r="I170" s="8" t="s">
        <v>116</v>
      </c>
      <c r="J170" s="8" t="s">
        <v>116</v>
      </c>
    </row>
    <row r="171" spans="1:10" x14ac:dyDescent="0.2">
      <c r="A171" s="6" t="s">
        <v>15</v>
      </c>
      <c r="B171" s="8" t="s">
        <v>16</v>
      </c>
      <c r="C171" s="8" t="s">
        <v>731</v>
      </c>
      <c r="D171" s="8" t="s">
        <v>732</v>
      </c>
      <c r="E171" s="8" t="s">
        <v>733</v>
      </c>
      <c r="F171" s="8">
        <v>-1.13467104</v>
      </c>
      <c r="G171" s="8">
        <v>4.2160103769999999</v>
      </c>
      <c r="H171" s="6" t="str">
        <f t="shared" si="0"/>
        <v>Inverse</v>
      </c>
      <c r="I171" s="8" t="s">
        <v>734</v>
      </c>
      <c r="J171" s="8" t="s">
        <v>734</v>
      </c>
    </row>
    <row r="172" spans="1:10" x14ac:dyDescent="0.2">
      <c r="A172" s="6" t="s">
        <v>15</v>
      </c>
      <c r="B172" s="8" t="s">
        <v>16</v>
      </c>
      <c r="C172" s="8" t="s">
        <v>735</v>
      </c>
      <c r="D172" s="8" t="s">
        <v>736</v>
      </c>
      <c r="E172" s="8" t="s">
        <v>737</v>
      </c>
      <c r="F172" s="8">
        <v>-2.7133995199999998</v>
      </c>
      <c r="G172" s="8">
        <v>1.310445018</v>
      </c>
      <c r="H172" s="6" t="str">
        <f t="shared" si="0"/>
        <v>Inverse</v>
      </c>
      <c r="I172" s="8" t="s">
        <v>738</v>
      </c>
      <c r="J172" s="8" t="s">
        <v>739</v>
      </c>
    </row>
    <row r="173" spans="1:10" x14ac:dyDescent="0.2">
      <c r="A173" s="6" t="s">
        <v>15</v>
      </c>
      <c r="B173" s="8" t="s">
        <v>16</v>
      </c>
      <c r="C173" s="8" t="s">
        <v>740</v>
      </c>
      <c r="D173" s="8" t="s">
        <v>741</v>
      </c>
      <c r="E173" s="8" t="s">
        <v>742</v>
      </c>
      <c r="F173" s="8">
        <v>1.326411998</v>
      </c>
      <c r="G173" s="8">
        <v>-2.5304513649999998</v>
      </c>
      <c r="H173" s="6" t="str">
        <f t="shared" si="0"/>
        <v>Inverse</v>
      </c>
      <c r="I173" s="8" t="s">
        <v>743</v>
      </c>
      <c r="J173" s="8" t="s">
        <v>743</v>
      </c>
    </row>
    <row r="174" spans="1:10" x14ac:dyDescent="0.2">
      <c r="A174" s="6" t="s">
        <v>15</v>
      </c>
      <c r="B174" s="8" t="s">
        <v>16</v>
      </c>
      <c r="C174" s="8" t="s">
        <v>744</v>
      </c>
      <c r="D174" s="8" t="s">
        <v>745</v>
      </c>
      <c r="E174" s="8" t="s">
        <v>746</v>
      </c>
      <c r="F174" s="8">
        <v>-1.052349295</v>
      </c>
      <c r="G174" s="8">
        <v>-1.3730110390000001</v>
      </c>
      <c r="H174" s="6" t="str">
        <f t="shared" si="0"/>
        <v>Direct</v>
      </c>
      <c r="I174" s="8" t="s">
        <v>50</v>
      </c>
      <c r="J174" s="8" t="s">
        <v>747</v>
      </c>
    </row>
    <row r="175" spans="1:10" x14ac:dyDescent="0.2">
      <c r="A175" s="6" t="s">
        <v>15</v>
      </c>
      <c r="B175" s="8" t="s">
        <v>16</v>
      </c>
      <c r="C175" s="8" t="s">
        <v>748</v>
      </c>
      <c r="D175" s="8" t="s">
        <v>749</v>
      </c>
      <c r="E175" s="8" t="s">
        <v>750</v>
      </c>
      <c r="F175" s="8">
        <v>-1.527603227</v>
      </c>
      <c r="G175" s="8">
        <v>1.030982568</v>
      </c>
      <c r="H175" s="6" t="str">
        <f t="shared" si="0"/>
        <v>Inverse</v>
      </c>
      <c r="I175" s="8" t="s">
        <v>50</v>
      </c>
      <c r="J175" s="8" t="s">
        <v>751</v>
      </c>
    </row>
    <row r="176" spans="1:10" x14ac:dyDescent="0.2">
      <c r="A176" s="6" t="s">
        <v>15</v>
      </c>
      <c r="B176" s="8" t="s">
        <v>16</v>
      </c>
      <c r="C176" s="8" t="s">
        <v>752</v>
      </c>
      <c r="D176" s="8" t="s">
        <v>753</v>
      </c>
      <c r="E176" s="8" t="s">
        <v>754</v>
      </c>
      <c r="F176" s="8">
        <v>1.3469819089999999</v>
      </c>
      <c r="G176" s="8">
        <v>1.7516225569999999</v>
      </c>
      <c r="H176" s="6" t="str">
        <f t="shared" si="0"/>
        <v>Direct</v>
      </c>
      <c r="I176" s="8" t="s">
        <v>755</v>
      </c>
      <c r="J176" s="8" t="s">
        <v>755</v>
      </c>
    </row>
    <row r="177" spans="1:10" x14ac:dyDescent="0.2">
      <c r="A177" s="6" t="s">
        <v>15</v>
      </c>
      <c r="B177" s="8" t="s">
        <v>16</v>
      </c>
      <c r="C177" s="8" t="s">
        <v>756</v>
      </c>
      <c r="D177" s="8" t="s">
        <v>757</v>
      </c>
      <c r="E177" s="8" t="s">
        <v>758</v>
      </c>
      <c r="F177" s="8">
        <v>-4.8653720810000003</v>
      </c>
      <c r="G177" s="8">
        <v>1.095687904</v>
      </c>
      <c r="H177" s="6" t="str">
        <f t="shared" si="0"/>
        <v>Inverse</v>
      </c>
      <c r="I177" s="8" t="s">
        <v>759</v>
      </c>
      <c r="J177" s="8" t="s">
        <v>760</v>
      </c>
    </row>
    <row r="178" spans="1:10" x14ac:dyDescent="0.2">
      <c r="A178" s="6" t="s">
        <v>15</v>
      </c>
      <c r="B178" s="8" t="s">
        <v>16</v>
      </c>
      <c r="C178" s="8" t="s">
        <v>761</v>
      </c>
      <c r="D178" s="8" t="s">
        <v>762</v>
      </c>
      <c r="E178" s="8" t="s">
        <v>763</v>
      </c>
      <c r="F178" s="8">
        <v>-6.1883015959999996</v>
      </c>
      <c r="G178" s="8">
        <v>-1.5428729329999999</v>
      </c>
      <c r="H178" s="6" t="str">
        <f t="shared" si="0"/>
        <v>Direct</v>
      </c>
      <c r="I178" s="8" t="s">
        <v>764</v>
      </c>
      <c r="J178" s="8" t="s">
        <v>764</v>
      </c>
    </row>
    <row r="179" spans="1:10" x14ac:dyDescent="0.2">
      <c r="A179" s="6" t="s">
        <v>15</v>
      </c>
      <c r="B179" s="8" t="s">
        <v>16</v>
      </c>
      <c r="C179" s="8" t="s">
        <v>765</v>
      </c>
      <c r="D179" s="8" t="s">
        <v>766</v>
      </c>
      <c r="E179" s="8" t="s">
        <v>767</v>
      </c>
      <c r="F179" s="8">
        <v>7.3940741030000003</v>
      </c>
      <c r="G179" s="8">
        <v>2.6156851030000001</v>
      </c>
      <c r="H179" s="6" t="str">
        <f t="shared" si="0"/>
        <v>Direct</v>
      </c>
      <c r="I179" s="8" t="s">
        <v>768</v>
      </c>
      <c r="J179" s="8" t="s">
        <v>768</v>
      </c>
    </row>
    <row r="180" spans="1:10" x14ac:dyDescent="0.2">
      <c r="A180" s="6" t="s">
        <v>15</v>
      </c>
      <c r="B180" s="8" t="s">
        <v>16</v>
      </c>
      <c r="C180" s="8" t="s">
        <v>769</v>
      </c>
      <c r="D180" s="8" t="s">
        <v>770</v>
      </c>
      <c r="E180" s="8" t="s">
        <v>771</v>
      </c>
      <c r="F180" s="8">
        <v>7.352333679</v>
      </c>
      <c r="G180" s="8">
        <v>1.061888395</v>
      </c>
      <c r="H180" s="6" t="str">
        <f t="shared" si="0"/>
        <v>Direct</v>
      </c>
      <c r="I180" s="8" t="s">
        <v>772</v>
      </c>
      <c r="J180" s="8" t="s">
        <v>772</v>
      </c>
    </row>
    <row r="181" spans="1:10" x14ac:dyDescent="0.2">
      <c r="A181" s="6" t="s">
        <v>15</v>
      </c>
      <c r="B181" s="8" t="s">
        <v>16</v>
      </c>
      <c r="C181" s="8" t="s">
        <v>773</v>
      </c>
      <c r="D181" s="8" t="s">
        <v>774</v>
      </c>
      <c r="E181" s="8" t="s">
        <v>775</v>
      </c>
      <c r="F181" s="8">
        <v>1.0002967439999999</v>
      </c>
      <c r="G181" s="8">
        <v>1.7028513300000001</v>
      </c>
      <c r="H181" s="6" t="str">
        <f t="shared" si="0"/>
        <v>Direct</v>
      </c>
      <c r="I181" s="8" t="s">
        <v>50</v>
      </c>
      <c r="J181" s="8" t="s">
        <v>776</v>
      </c>
    </row>
    <row r="182" spans="1:10" x14ac:dyDescent="0.2">
      <c r="A182" s="6" t="s">
        <v>15</v>
      </c>
      <c r="B182" s="8" t="s">
        <v>25</v>
      </c>
      <c r="C182" s="8" t="s">
        <v>777</v>
      </c>
      <c r="D182" s="8" t="s">
        <v>778</v>
      </c>
      <c r="E182" s="8" t="s">
        <v>779</v>
      </c>
      <c r="F182" s="8">
        <v>1.2562196299999999</v>
      </c>
      <c r="G182" s="8">
        <v>-1.568779285</v>
      </c>
      <c r="H182" s="6" t="str">
        <f t="shared" si="0"/>
        <v>Inverse</v>
      </c>
      <c r="I182" s="8" t="s">
        <v>116</v>
      </c>
      <c r="J182" s="8" t="s">
        <v>116</v>
      </c>
    </row>
    <row r="183" spans="1:10" x14ac:dyDescent="0.2">
      <c r="A183" s="6" t="s">
        <v>15</v>
      </c>
      <c r="B183" s="8" t="s">
        <v>25</v>
      </c>
      <c r="C183" s="8" t="s">
        <v>780</v>
      </c>
      <c r="D183" s="8" t="s">
        <v>781</v>
      </c>
      <c r="E183" s="8" t="s">
        <v>782</v>
      </c>
      <c r="F183" s="8">
        <v>2.1454892110000001</v>
      </c>
      <c r="G183" s="8">
        <v>4.262578134</v>
      </c>
      <c r="H183" s="6" t="str">
        <f t="shared" si="0"/>
        <v>Direct</v>
      </c>
      <c r="I183" s="8" t="s">
        <v>50</v>
      </c>
      <c r="J183" s="8" t="s">
        <v>50</v>
      </c>
    </row>
    <row r="184" spans="1:10" x14ac:dyDescent="0.2">
      <c r="A184" s="6" t="s">
        <v>15</v>
      </c>
      <c r="B184" s="8" t="s">
        <v>25</v>
      </c>
      <c r="C184" s="8" t="s">
        <v>783</v>
      </c>
      <c r="D184" s="8" t="s">
        <v>784</v>
      </c>
      <c r="E184" s="8" t="s">
        <v>785</v>
      </c>
      <c r="F184" s="8">
        <v>2.2671323069999998</v>
      </c>
      <c r="G184" s="8">
        <v>-1.2399487979999999</v>
      </c>
      <c r="H184" s="6" t="str">
        <f t="shared" si="0"/>
        <v>Inverse</v>
      </c>
      <c r="I184" s="8" t="s">
        <v>50</v>
      </c>
      <c r="J184" s="8" t="s">
        <v>786</v>
      </c>
    </row>
    <row r="185" spans="1:10" x14ac:dyDescent="0.2">
      <c r="A185" s="6" t="s">
        <v>15</v>
      </c>
      <c r="B185" s="8" t="s">
        <v>25</v>
      </c>
      <c r="C185" s="8" t="s">
        <v>787</v>
      </c>
      <c r="D185" s="8" t="s">
        <v>788</v>
      </c>
      <c r="E185" s="8" t="s">
        <v>789</v>
      </c>
      <c r="F185" s="8">
        <v>-4.7273998180000003</v>
      </c>
      <c r="G185" s="8">
        <v>1.6064346169999999</v>
      </c>
      <c r="H185" s="6" t="str">
        <f t="shared" si="0"/>
        <v>Inverse</v>
      </c>
      <c r="I185" s="8" t="s">
        <v>790</v>
      </c>
      <c r="J185" s="8" t="s">
        <v>790</v>
      </c>
    </row>
    <row r="186" spans="1:10" x14ac:dyDescent="0.2">
      <c r="A186" s="6" t="s">
        <v>15</v>
      </c>
      <c r="B186" s="8" t="s">
        <v>25</v>
      </c>
      <c r="C186" s="8" t="s">
        <v>17</v>
      </c>
      <c r="D186" s="8" t="s">
        <v>18</v>
      </c>
      <c r="E186" s="8" t="s">
        <v>19</v>
      </c>
      <c r="F186" s="8">
        <v>1.030769761</v>
      </c>
      <c r="G186" s="8">
        <v>-1.0518953010000001</v>
      </c>
      <c r="H186" s="6" t="str">
        <f t="shared" si="0"/>
        <v>Inverse</v>
      </c>
      <c r="I186" s="8" t="s">
        <v>20</v>
      </c>
      <c r="J186" s="8" t="s">
        <v>20</v>
      </c>
    </row>
    <row r="187" spans="1:10" x14ac:dyDescent="0.2">
      <c r="A187" s="6" t="s">
        <v>15</v>
      </c>
      <c r="B187" s="8" t="s">
        <v>25</v>
      </c>
      <c r="C187" s="8" t="s">
        <v>791</v>
      </c>
      <c r="D187" s="8" t="s">
        <v>792</v>
      </c>
      <c r="E187" s="8" t="s">
        <v>793</v>
      </c>
      <c r="F187" s="8">
        <v>1.6244567560000001</v>
      </c>
      <c r="G187" s="8">
        <v>1.3231238489999999</v>
      </c>
      <c r="H187" s="6" t="str">
        <f t="shared" si="0"/>
        <v>Direct</v>
      </c>
      <c r="I187" s="8" t="s">
        <v>794</v>
      </c>
      <c r="J187" s="8" t="s">
        <v>794</v>
      </c>
    </row>
    <row r="188" spans="1:10" x14ac:dyDescent="0.2">
      <c r="A188" s="6" t="s">
        <v>15</v>
      </c>
      <c r="B188" s="8" t="s">
        <v>25</v>
      </c>
      <c r="C188" s="8" t="s">
        <v>795</v>
      </c>
      <c r="D188" s="8" t="s">
        <v>796</v>
      </c>
      <c r="E188" s="8" t="s">
        <v>797</v>
      </c>
      <c r="F188" s="8">
        <v>1.1695590600000001</v>
      </c>
      <c r="G188" s="8">
        <v>-1.211014824</v>
      </c>
      <c r="H188" s="6" t="str">
        <f t="shared" si="0"/>
        <v>Inverse</v>
      </c>
      <c r="I188" s="8" t="s">
        <v>798</v>
      </c>
      <c r="J188" s="8" t="s">
        <v>799</v>
      </c>
    </row>
    <row r="189" spans="1:10" x14ac:dyDescent="0.2">
      <c r="A189" s="6" t="s">
        <v>15</v>
      </c>
      <c r="B189" s="8" t="s">
        <v>25</v>
      </c>
      <c r="C189" s="8" t="s">
        <v>800</v>
      </c>
      <c r="D189" s="8" t="s">
        <v>801</v>
      </c>
      <c r="E189" s="8" t="s">
        <v>802</v>
      </c>
      <c r="F189" s="8">
        <v>8.0178811569999997</v>
      </c>
      <c r="G189" s="8">
        <v>-3.3250349809999999</v>
      </c>
      <c r="H189" s="6" t="str">
        <f t="shared" si="0"/>
        <v>Inverse</v>
      </c>
      <c r="I189" s="8" t="s">
        <v>288</v>
      </c>
      <c r="J189" s="8" t="s">
        <v>288</v>
      </c>
    </row>
    <row r="190" spans="1:10" x14ac:dyDescent="0.2">
      <c r="A190" s="6" t="s">
        <v>15</v>
      </c>
      <c r="B190" s="8" t="s">
        <v>25</v>
      </c>
      <c r="C190" s="8" t="s">
        <v>47</v>
      </c>
      <c r="D190" s="8" t="s">
        <v>48</v>
      </c>
      <c r="E190" s="8" t="s">
        <v>49</v>
      </c>
      <c r="F190" s="8">
        <v>-3.5379030669999998</v>
      </c>
      <c r="G190" s="8">
        <v>-1.900699693</v>
      </c>
      <c r="H190" s="6" t="str">
        <f t="shared" si="0"/>
        <v>Direct</v>
      </c>
      <c r="I190" s="8" t="s">
        <v>50</v>
      </c>
      <c r="J190" s="8" t="s">
        <v>50</v>
      </c>
    </row>
    <row r="191" spans="1:10" x14ac:dyDescent="0.2">
      <c r="A191" s="6" t="s">
        <v>15</v>
      </c>
      <c r="B191" s="8" t="s">
        <v>25</v>
      </c>
      <c r="C191" s="8" t="s">
        <v>803</v>
      </c>
      <c r="D191" s="8" t="s">
        <v>804</v>
      </c>
      <c r="E191" s="8" t="s">
        <v>805</v>
      </c>
      <c r="F191" s="8">
        <v>-1.62826446</v>
      </c>
      <c r="G191" s="8">
        <v>-1.5673584410000001</v>
      </c>
      <c r="H191" s="6" t="str">
        <f t="shared" si="0"/>
        <v>Direct</v>
      </c>
      <c r="I191" s="8" t="s">
        <v>806</v>
      </c>
      <c r="J191" s="8" t="s">
        <v>806</v>
      </c>
    </row>
    <row r="192" spans="1:10" x14ac:dyDescent="0.2">
      <c r="A192" s="6" t="s">
        <v>15</v>
      </c>
      <c r="B192" s="8" t="s">
        <v>25</v>
      </c>
      <c r="C192" s="8" t="s">
        <v>807</v>
      </c>
      <c r="D192" s="8" t="s">
        <v>808</v>
      </c>
      <c r="E192" s="8" t="s">
        <v>809</v>
      </c>
      <c r="F192" s="8">
        <v>-2.690241887</v>
      </c>
      <c r="G192" s="8">
        <v>1.578036413</v>
      </c>
      <c r="H192" s="6" t="str">
        <f t="shared" si="0"/>
        <v>Inverse</v>
      </c>
      <c r="I192" s="8" t="s">
        <v>810</v>
      </c>
      <c r="J192" s="8" t="s">
        <v>810</v>
      </c>
    </row>
    <row r="193" spans="1:10" x14ac:dyDescent="0.2">
      <c r="A193" s="6" t="s">
        <v>15</v>
      </c>
      <c r="B193" s="8" t="s">
        <v>25</v>
      </c>
      <c r="C193" s="8" t="s">
        <v>811</v>
      </c>
      <c r="D193" s="8" t="s">
        <v>812</v>
      </c>
      <c r="E193" s="8" t="s">
        <v>813</v>
      </c>
      <c r="F193" s="8">
        <v>1.983955575</v>
      </c>
      <c r="G193" s="8">
        <v>-1.764987013</v>
      </c>
      <c r="H193" s="6" t="str">
        <f t="shared" si="0"/>
        <v>Inverse</v>
      </c>
      <c r="I193" s="8" t="s">
        <v>50</v>
      </c>
      <c r="J193" s="8" t="s">
        <v>814</v>
      </c>
    </row>
    <row r="194" spans="1:10" x14ac:dyDescent="0.2">
      <c r="A194" s="6" t="s">
        <v>15</v>
      </c>
      <c r="B194" s="8" t="s">
        <v>25</v>
      </c>
      <c r="C194" s="8" t="s">
        <v>79</v>
      </c>
      <c r="D194" s="8" t="s">
        <v>80</v>
      </c>
      <c r="E194" s="8" t="s">
        <v>81</v>
      </c>
      <c r="F194" s="8">
        <v>-2.617737151</v>
      </c>
      <c r="G194" s="8">
        <v>1.446913152</v>
      </c>
      <c r="H194" s="6" t="str">
        <f t="shared" si="0"/>
        <v>Inverse</v>
      </c>
      <c r="I194" s="8" t="s">
        <v>82</v>
      </c>
      <c r="J194" s="8" t="s">
        <v>82</v>
      </c>
    </row>
    <row r="195" spans="1:10" x14ac:dyDescent="0.2">
      <c r="A195" s="6" t="s">
        <v>15</v>
      </c>
      <c r="B195" s="8" t="s">
        <v>25</v>
      </c>
      <c r="C195" s="8" t="s">
        <v>815</v>
      </c>
      <c r="D195" s="8" t="s">
        <v>816</v>
      </c>
      <c r="E195" s="8" t="s">
        <v>817</v>
      </c>
      <c r="F195" s="8">
        <v>3.8130670339999999</v>
      </c>
      <c r="G195" s="8">
        <v>-1.769101187</v>
      </c>
      <c r="H195" s="6" t="str">
        <f t="shared" si="0"/>
        <v>Inverse</v>
      </c>
      <c r="I195" s="8" t="s">
        <v>818</v>
      </c>
      <c r="J195" s="8" t="s">
        <v>818</v>
      </c>
    </row>
    <row r="196" spans="1:10" x14ac:dyDescent="0.2">
      <c r="A196" s="6" t="s">
        <v>15</v>
      </c>
      <c r="B196" s="8" t="s">
        <v>25</v>
      </c>
      <c r="C196" s="8" t="s">
        <v>819</v>
      </c>
      <c r="D196" s="8" t="s">
        <v>820</v>
      </c>
      <c r="E196" s="8" t="s">
        <v>821</v>
      </c>
      <c r="F196" s="8">
        <v>-1.3304620110000001</v>
      </c>
      <c r="G196" s="8">
        <v>-2.2446374410000001</v>
      </c>
      <c r="H196" s="6" t="str">
        <f t="shared" si="0"/>
        <v>Direct</v>
      </c>
      <c r="I196" s="8" t="s">
        <v>822</v>
      </c>
      <c r="J196" s="8" t="s">
        <v>823</v>
      </c>
    </row>
    <row r="197" spans="1:10" x14ac:dyDescent="0.2">
      <c r="A197" s="6" t="s">
        <v>15</v>
      </c>
      <c r="B197" s="8" t="s">
        <v>25</v>
      </c>
      <c r="C197" s="8" t="s">
        <v>824</v>
      </c>
      <c r="D197" s="8" t="s">
        <v>825</v>
      </c>
      <c r="E197" s="8" t="s">
        <v>826</v>
      </c>
      <c r="F197" s="8">
        <v>2.6150853710000002</v>
      </c>
      <c r="G197" s="8">
        <v>1.0159104450000001</v>
      </c>
      <c r="H197" s="6" t="str">
        <f t="shared" si="0"/>
        <v>Direct</v>
      </c>
      <c r="I197" s="8" t="s">
        <v>827</v>
      </c>
      <c r="J197" s="8" t="s">
        <v>827</v>
      </c>
    </row>
    <row r="198" spans="1:10" x14ac:dyDescent="0.2">
      <c r="A198" s="6" t="s">
        <v>15</v>
      </c>
      <c r="B198" s="8" t="s">
        <v>25</v>
      </c>
      <c r="C198" s="8" t="s">
        <v>99</v>
      </c>
      <c r="D198" s="8" t="s">
        <v>100</v>
      </c>
      <c r="E198" s="8" t="s">
        <v>101</v>
      </c>
      <c r="F198" s="8">
        <v>3.2756305220000002</v>
      </c>
      <c r="G198" s="8">
        <v>-1.8550501210000001</v>
      </c>
      <c r="H198" s="6" t="str">
        <f t="shared" si="0"/>
        <v>Inverse</v>
      </c>
      <c r="I198" s="8" t="s">
        <v>102</v>
      </c>
      <c r="J198" s="8" t="s">
        <v>102</v>
      </c>
    </row>
    <row r="199" spans="1:10" x14ac:dyDescent="0.2">
      <c r="A199" s="6" t="s">
        <v>15</v>
      </c>
      <c r="B199" s="8" t="s">
        <v>25</v>
      </c>
      <c r="C199" s="8" t="s">
        <v>103</v>
      </c>
      <c r="D199" s="8" t="s">
        <v>104</v>
      </c>
      <c r="E199" s="8" t="s">
        <v>105</v>
      </c>
      <c r="F199" s="8">
        <v>-6.6504951849999996</v>
      </c>
      <c r="G199" s="8">
        <v>1.3914981360000001</v>
      </c>
      <c r="H199" s="6" t="str">
        <f t="shared" si="0"/>
        <v>Inverse</v>
      </c>
      <c r="I199" s="8" t="s">
        <v>106</v>
      </c>
      <c r="J199" s="8" t="s">
        <v>107</v>
      </c>
    </row>
    <row r="200" spans="1:10" x14ac:dyDescent="0.2">
      <c r="A200" s="6" t="s">
        <v>15</v>
      </c>
      <c r="B200" s="8" t="s">
        <v>25</v>
      </c>
      <c r="C200" s="8" t="s">
        <v>828</v>
      </c>
      <c r="D200" s="8" t="s">
        <v>829</v>
      </c>
      <c r="E200" s="8" t="s">
        <v>830</v>
      </c>
      <c r="F200" s="8">
        <v>4.2127941809999996</v>
      </c>
      <c r="G200" s="8">
        <v>3.3385308610000002</v>
      </c>
      <c r="H200" s="6" t="str">
        <f t="shared" si="0"/>
        <v>Direct</v>
      </c>
      <c r="I200" s="8" t="s">
        <v>831</v>
      </c>
      <c r="J200" s="8" t="s">
        <v>832</v>
      </c>
    </row>
    <row r="201" spans="1:10" x14ac:dyDescent="0.2">
      <c r="A201" s="6" t="s">
        <v>15</v>
      </c>
      <c r="B201" s="8" t="s">
        <v>25</v>
      </c>
      <c r="C201" s="8" t="s">
        <v>108</v>
      </c>
      <c r="D201" s="8" t="s">
        <v>109</v>
      </c>
      <c r="E201" s="8" t="s">
        <v>110</v>
      </c>
      <c r="F201" s="8">
        <v>-3.8308684510000002</v>
      </c>
      <c r="G201" s="8">
        <v>-1.603602456</v>
      </c>
      <c r="H201" s="6" t="str">
        <f t="shared" si="0"/>
        <v>Direct</v>
      </c>
      <c r="I201" s="8" t="s">
        <v>111</v>
      </c>
      <c r="J201" s="8" t="s">
        <v>112</v>
      </c>
    </row>
    <row r="202" spans="1:10" x14ac:dyDescent="0.2">
      <c r="A202" s="6" t="s">
        <v>15</v>
      </c>
      <c r="B202" s="8" t="s">
        <v>25</v>
      </c>
      <c r="C202" s="8" t="s">
        <v>833</v>
      </c>
      <c r="D202" s="8" t="s">
        <v>834</v>
      </c>
      <c r="E202" s="8" t="s">
        <v>835</v>
      </c>
      <c r="F202" s="8">
        <v>1.7824142869999999</v>
      </c>
      <c r="G202" s="8">
        <v>1.4191801690000001</v>
      </c>
      <c r="H202" s="6" t="str">
        <f t="shared" si="0"/>
        <v>Direct</v>
      </c>
      <c r="I202" s="8" t="s">
        <v>112</v>
      </c>
      <c r="J202" s="8" t="s">
        <v>112</v>
      </c>
    </row>
    <row r="203" spans="1:10" x14ac:dyDescent="0.2">
      <c r="A203" s="6" t="s">
        <v>15</v>
      </c>
      <c r="B203" s="8" t="s">
        <v>25</v>
      </c>
      <c r="C203" s="8" t="s">
        <v>836</v>
      </c>
      <c r="D203" s="8" t="s">
        <v>837</v>
      </c>
      <c r="E203" s="8" t="s">
        <v>838</v>
      </c>
      <c r="F203" s="8">
        <v>9.7481093269999999</v>
      </c>
      <c r="G203" s="8">
        <v>-1.6485605940000001</v>
      </c>
      <c r="H203" s="6" t="str">
        <f t="shared" si="0"/>
        <v>Inverse</v>
      </c>
      <c r="I203" s="8" t="s">
        <v>839</v>
      </c>
      <c r="J203" s="8" t="s">
        <v>839</v>
      </c>
    </row>
    <row r="204" spans="1:10" x14ac:dyDescent="0.2">
      <c r="A204" s="6" t="s">
        <v>15</v>
      </c>
      <c r="B204" s="8" t="s">
        <v>25</v>
      </c>
      <c r="C204" s="8" t="s">
        <v>118</v>
      </c>
      <c r="D204" s="8" t="s">
        <v>119</v>
      </c>
      <c r="E204" s="8" t="s">
        <v>120</v>
      </c>
      <c r="F204" s="8">
        <v>-3.0776842250000001</v>
      </c>
      <c r="G204" s="8">
        <v>-1.1478583410000001</v>
      </c>
      <c r="H204" s="6" t="str">
        <f t="shared" si="0"/>
        <v>Direct</v>
      </c>
      <c r="I204" s="8" t="s">
        <v>121</v>
      </c>
      <c r="J204" s="8" t="s">
        <v>122</v>
      </c>
    </row>
    <row r="205" spans="1:10" x14ac:dyDescent="0.2">
      <c r="A205" s="6" t="s">
        <v>15</v>
      </c>
      <c r="B205" s="8" t="s">
        <v>25</v>
      </c>
      <c r="C205" s="8" t="s">
        <v>840</v>
      </c>
      <c r="D205" s="8" t="s">
        <v>841</v>
      </c>
      <c r="E205" s="8" t="s">
        <v>842</v>
      </c>
      <c r="F205" s="8">
        <v>-3.1254851879999999</v>
      </c>
      <c r="G205" s="8">
        <v>1.8841024909999999</v>
      </c>
      <c r="H205" s="6" t="str">
        <f t="shared" si="0"/>
        <v>Inverse</v>
      </c>
      <c r="I205" s="8" t="s">
        <v>843</v>
      </c>
      <c r="J205" s="8" t="s">
        <v>843</v>
      </c>
    </row>
    <row r="206" spans="1:10" x14ac:dyDescent="0.2">
      <c r="A206" s="6" t="s">
        <v>15</v>
      </c>
      <c r="B206" s="8" t="s">
        <v>25</v>
      </c>
      <c r="C206" s="8" t="s">
        <v>844</v>
      </c>
      <c r="D206" s="8" t="s">
        <v>845</v>
      </c>
      <c r="E206" s="8" t="s">
        <v>846</v>
      </c>
      <c r="F206" s="8">
        <v>-3.5804681999999999</v>
      </c>
      <c r="G206" s="8">
        <v>-1.9277596379999999</v>
      </c>
      <c r="H206" s="6" t="str">
        <f t="shared" si="0"/>
        <v>Direct</v>
      </c>
      <c r="I206" s="8" t="s">
        <v>847</v>
      </c>
      <c r="J206" s="8" t="s">
        <v>847</v>
      </c>
    </row>
    <row r="207" spans="1:10" x14ac:dyDescent="0.2">
      <c r="A207" s="6" t="s">
        <v>15</v>
      </c>
      <c r="B207" s="8" t="s">
        <v>25</v>
      </c>
      <c r="C207" s="8" t="s">
        <v>848</v>
      </c>
      <c r="D207" s="8" t="s">
        <v>849</v>
      </c>
      <c r="E207" s="8" t="s">
        <v>850</v>
      </c>
      <c r="F207" s="8">
        <v>4.0616946240000003</v>
      </c>
      <c r="G207" s="8">
        <v>1.370066953</v>
      </c>
      <c r="H207" s="6" t="str">
        <f t="shared" si="0"/>
        <v>Direct</v>
      </c>
      <c r="I207" s="8" t="s">
        <v>50</v>
      </c>
      <c r="J207" s="8" t="s">
        <v>851</v>
      </c>
    </row>
    <row r="208" spans="1:10" x14ac:dyDescent="0.2">
      <c r="A208" s="6" t="s">
        <v>15</v>
      </c>
      <c r="B208" s="8" t="s">
        <v>25</v>
      </c>
      <c r="C208" s="8" t="s">
        <v>852</v>
      </c>
      <c r="D208" s="8" t="s">
        <v>853</v>
      </c>
      <c r="E208" s="8" t="s">
        <v>854</v>
      </c>
      <c r="F208" s="8">
        <v>1.955076179</v>
      </c>
      <c r="G208" s="8">
        <v>1.240292401</v>
      </c>
      <c r="H208" s="6" t="str">
        <f t="shared" si="0"/>
        <v>Direct</v>
      </c>
      <c r="I208" s="8" t="s">
        <v>855</v>
      </c>
      <c r="J208" s="8" t="s">
        <v>855</v>
      </c>
    </row>
    <row r="209" spans="1:10" x14ac:dyDescent="0.2">
      <c r="A209" s="6" t="s">
        <v>15</v>
      </c>
      <c r="B209" s="8" t="s">
        <v>25</v>
      </c>
      <c r="C209" s="8" t="s">
        <v>856</v>
      </c>
      <c r="D209" s="8" t="s">
        <v>857</v>
      </c>
      <c r="E209" s="8" t="s">
        <v>858</v>
      </c>
      <c r="F209" s="8">
        <v>1.28146988</v>
      </c>
      <c r="G209" s="8">
        <v>-1.3125790820000001</v>
      </c>
      <c r="H209" s="6" t="str">
        <f t="shared" si="0"/>
        <v>Inverse</v>
      </c>
      <c r="I209" s="8" t="s">
        <v>859</v>
      </c>
      <c r="J209" s="8" t="s">
        <v>859</v>
      </c>
    </row>
    <row r="210" spans="1:10" x14ac:dyDescent="0.2">
      <c r="A210" s="6" t="s">
        <v>15</v>
      </c>
      <c r="B210" s="8" t="s">
        <v>25</v>
      </c>
      <c r="C210" s="8" t="s">
        <v>860</v>
      </c>
      <c r="D210" s="8" t="s">
        <v>861</v>
      </c>
      <c r="E210" s="8" t="s">
        <v>862</v>
      </c>
      <c r="F210" s="8">
        <v>-1.2821358890000001</v>
      </c>
      <c r="G210" s="8">
        <v>-1.2019386969999999</v>
      </c>
      <c r="H210" s="6" t="str">
        <f t="shared" si="0"/>
        <v>Direct</v>
      </c>
      <c r="I210" s="8" t="s">
        <v>863</v>
      </c>
      <c r="J210" s="8" t="s">
        <v>272</v>
      </c>
    </row>
    <row r="211" spans="1:10" x14ac:dyDescent="0.2">
      <c r="A211" s="6" t="s">
        <v>15</v>
      </c>
      <c r="B211" s="8" t="s">
        <v>25</v>
      </c>
      <c r="C211" s="8" t="s">
        <v>864</v>
      </c>
      <c r="D211" s="8" t="s">
        <v>865</v>
      </c>
      <c r="E211" s="8" t="s">
        <v>866</v>
      </c>
      <c r="F211" s="8">
        <v>-1.0365181590000001</v>
      </c>
      <c r="G211" s="8">
        <v>-1.7794051019999999</v>
      </c>
      <c r="H211" s="6" t="str">
        <f t="shared" si="0"/>
        <v>Direct</v>
      </c>
      <c r="I211" s="8" t="s">
        <v>867</v>
      </c>
      <c r="J211" s="8" t="s">
        <v>867</v>
      </c>
    </row>
    <row r="212" spans="1:10" x14ac:dyDescent="0.2">
      <c r="A212" s="6" t="s">
        <v>15</v>
      </c>
      <c r="B212" s="8" t="s">
        <v>25</v>
      </c>
      <c r="C212" s="8" t="s">
        <v>868</v>
      </c>
      <c r="D212" s="8" t="s">
        <v>869</v>
      </c>
      <c r="E212" s="8" t="s">
        <v>870</v>
      </c>
      <c r="F212" s="8">
        <v>-1.5151235190000001</v>
      </c>
      <c r="G212" s="8">
        <v>-1.5315906589999999</v>
      </c>
      <c r="H212" s="6" t="str">
        <f t="shared" si="0"/>
        <v>Direct</v>
      </c>
      <c r="I212" s="8" t="s">
        <v>50</v>
      </c>
      <c r="J212" s="8" t="s">
        <v>871</v>
      </c>
    </row>
    <row r="213" spans="1:10" x14ac:dyDescent="0.2">
      <c r="A213" s="6" t="s">
        <v>15</v>
      </c>
      <c r="B213" s="8" t="s">
        <v>25</v>
      </c>
      <c r="C213" s="8" t="s">
        <v>872</v>
      </c>
      <c r="D213" s="8" t="s">
        <v>873</v>
      </c>
      <c r="E213" s="8" t="s">
        <v>874</v>
      </c>
      <c r="F213" s="8">
        <v>2.0694297229999998</v>
      </c>
      <c r="G213" s="8">
        <v>1.406002958</v>
      </c>
      <c r="H213" s="6" t="str">
        <f t="shared" si="0"/>
        <v>Direct</v>
      </c>
      <c r="I213" s="8" t="s">
        <v>810</v>
      </c>
      <c r="J213" s="8" t="s">
        <v>810</v>
      </c>
    </row>
    <row r="214" spans="1:10" x14ac:dyDescent="0.2">
      <c r="A214" s="6" t="s">
        <v>15</v>
      </c>
      <c r="B214" s="8" t="s">
        <v>25</v>
      </c>
      <c r="C214" s="8" t="s">
        <v>875</v>
      </c>
      <c r="D214" s="8" t="s">
        <v>876</v>
      </c>
      <c r="E214" s="8" t="s">
        <v>877</v>
      </c>
      <c r="F214" s="8">
        <v>-1.2491056229999999</v>
      </c>
      <c r="G214" s="8">
        <v>-1.068468419</v>
      </c>
      <c r="H214" s="6" t="str">
        <f t="shared" si="0"/>
        <v>Direct</v>
      </c>
      <c r="I214" s="8" t="s">
        <v>50</v>
      </c>
      <c r="J214" s="8" t="s">
        <v>878</v>
      </c>
    </row>
    <row r="215" spans="1:10" x14ac:dyDescent="0.2">
      <c r="A215" s="6" t="s">
        <v>15</v>
      </c>
      <c r="B215" s="8" t="s">
        <v>25</v>
      </c>
      <c r="C215" s="8" t="s">
        <v>879</v>
      </c>
      <c r="D215" s="8" t="s">
        <v>880</v>
      </c>
      <c r="E215" s="8" t="s">
        <v>881</v>
      </c>
      <c r="F215" s="8">
        <v>1.412597251</v>
      </c>
      <c r="G215" s="8">
        <v>1.2817825899999999</v>
      </c>
      <c r="H215" s="6" t="str">
        <f t="shared" si="0"/>
        <v>Direct</v>
      </c>
      <c r="I215" s="8" t="s">
        <v>882</v>
      </c>
      <c r="J215" s="8" t="s">
        <v>883</v>
      </c>
    </row>
    <row r="216" spans="1:10" x14ac:dyDescent="0.2">
      <c r="A216" s="6" t="s">
        <v>15</v>
      </c>
      <c r="B216" s="8" t="s">
        <v>25</v>
      </c>
      <c r="C216" s="8" t="s">
        <v>884</v>
      </c>
      <c r="D216" s="8" t="s">
        <v>885</v>
      </c>
      <c r="E216" s="8" t="s">
        <v>886</v>
      </c>
      <c r="F216" s="8">
        <v>1.8033327830000001</v>
      </c>
      <c r="G216" s="8">
        <v>-1.302168591</v>
      </c>
      <c r="H216" s="6" t="str">
        <f t="shared" si="0"/>
        <v>Inverse</v>
      </c>
      <c r="I216" s="8" t="s">
        <v>50</v>
      </c>
      <c r="J216" s="8" t="s">
        <v>747</v>
      </c>
    </row>
    <row r="217" spans="1:10" x14ac:dyDescent="0.2">
      <c r="A217" s="6" t="s">
        <v>15</v>
      </c>
      <c r="B217" s="8" t="s">
        <v>25</v>
      </c>
      <c r="C217" s="8" t="s">
        <v>887</v>
      </c>
      <c r="D217" s="8" t="s">
        <v>888</v>
      </c>
      <c r="E217" s="8" t="s">
        <v>889</v>
      </c>
      <c r="F217" s="8">
        <v>2.6588734139999999</v>
      </c>
      <c r="G217" s="8">
        <v>-1.8486343279999999</v>
      </c>
      <c r="H217" s="6" t="str">
        <f t="shared" si="0"/>
        <v>Inverse</v>
      </c>
      <c r="I217" s="8" t="s">
        <v>50</v>
      </c>
      <c r="J217" s="8" t="s">
        <v>50</v>
      </c>
    </row>
    <row r="218" spans="1:10" x14ac:dyDescent="0.2">
      <c r="A218" s="6" t="s">
        <v>15</v>
      </c>
      <c r="B218" s="8" t="s">
        <v>25</v>
      </c>
      <c r="C218" s="8" t="s">
        <v>252</v>
      </c>
      <c r="D218" s="8" t="s">
        <v>253</v>
      </c>
      <c r="E218" s="8" t="s">
        <v>254</v>
      </c>
      <c r="F218" s="8">
        <v>-1.823028761</v>
      </c>
      <c r="G218" s="8">
        <v>-1.653219488</v>
      </c>
      <c r="H218" s="6" t="str">
        <f t="shared" si="0"/>
        <v>Direct</v>
      </c>
      <c r="I218" s="8" t="s">
        <v>72</v>
      </c>
      <c r="J218" s="8" t="s">
        <v>72</v>
      </c>
    </row>
    <row r="219" spans="1:10" x14ac:dyDescent="0.2">
      <c r="A219" s="6" t="s">
        <v>15</v>
      </c>
      <c r="B219" s="8" t="s">
        <v>25</v>
      </c>
      <c r="C219" s="8" t="s">
        <v>890</v>
      </c>
      <c r="D219" s="8" t="s">
        <v>891</v>
      </c>
      <c r="E219" s="8" t="s">
        <v>892</v>
      </c>
      <c r="F219" s="8">
        <v>2.0894142019999999</v>
      </c>
      <c r="G219" s="8">
        <v>3.2840886980000001</v>
      </c>
      <c r="H219" s="6" t="str">
        <f t="shared" si="0"/>
        <v>Direct</v>
      </c>
      <c r="I219" s="8" t="s">
        <v>50</v>
      </c>
      <c r="J219" s="8" t="s">
        <v>893</v>
      </c>
    </row>
    <row r="220" spans="1:10" x14ac:dyDescent="0.2">
      <c r="A220" s="6" t="s">
        <v>15</v>
      </c>
      <c r="B220" s="8" t="s">
        <v>25</v>
      </c>
      <c r="C220" s="8" t="s">
        <v>894</v>
      </c>
      <c r="D220" s="8" t="s">
        <v>895</v>
      </c>
      <c r="E220" s="8" t="s">
        <v>896</v>
      </c>
      <c r="F220" s="8">
        <v>-2.2551332190000002</v>
      </c>
      <c r="G220" s="8">
        <v>-1.5095359420000001</v>
      </c>
      <c r="H220" s="6" t="str">
        <f t="shared" si="0"/>
        <v>Direct</v>
      </c>
      <c r="I220" s="8" t="s">
        <v>897</v>
      </c>
      <c r="J220" s="8" t="s">
        <v>50</v>
      </c>
    </row>
    <row r="221" spans="1:10" x14ac:dyDescent="0.2">
      <c r="A221" s="6" t="s">
        <v>15</v>
      </c>
      <c r="B221" s="8" t="s">
        <v>25</v>
      </c>
      <c r="C221" s="8" t="s">
        <v>273</v>
      </c>
      <c r="D221" s="8" t="s">
        <v>274</v>
      </c>
      <c r="E221" s="8" t="s">
        <v>275</v>
      </c>
      <c r="F221" s="8">
        <v>4.2272301350000001</v>
      </c>
      <c r="G221" s="8">
        <v>2.5277352980000001</v>
      </c>
      <c r="H221" s="6" t="str">
        <f t="shared" si="0"/>
        <v>Direct</v>
      </c>
      <c r="I221" s="8" t="s">
        <v>276</v>
      </c>
      <c r="J221" s="8" t="s">
        <v>276</v>
      </c>
    </row>
    <row r="222" spans="1:10" x14ac:dyDescent="0.2">
      <c r="A222" s="6" t="s">
        <v>15</v>
      </c>
      <c r="B222" s="8" t="s">
        <v>25</v>
      </c>
      <c r="C222" s="8" t="s">
        <v>898</v>
      </c>
      <c r="D222" s="8" t="s">
        <v>899</v>
      </c>
      <c r="E222" s="8" t="s">
        <v>900</v>
      </c>
      <c r="F222" s="8">
        <v>1.963024229</v>
      </c>
      <c r="G222" s="8">
        <v>-1.3471936760000001</v>
      </c>
      <c r="H222" s="6" t="str">
        <f t="shared" si="0"/>
        <v>Inverse</v>
      </c>
      <c r="I222" s="8" t="s">
        <v>901</v>
      </c>
      <c r="J222" s="8" t="s">
        <v>902</v>
      </c>
    </row>
    <row r="223" spans="1:10" x14ac:dyDescent="0.2">
      <c r="A223" s="6" t="s">
        <v>15</v>
      </c>
      <c r="B223" s="8" t="s">
        <v>25</v>
      </c>
      <c r="C223" s="8" t="s">
        <v>298</v>
      </c>
      <c r="D223" s="8" t="s">
        <v>299</v>
      </c>
      <c r="E223" s="8" t="s">
        <v>300</v>
      </c>
      <c r="F223" s="8">
        <v>-1.8410311319999999</v>
      </c>
      <c r="G223" s="8">
        <v>-1.947407355</v>
      </c>
      <c r="H223" s="6" t="str">
        <f t="shared" si="0"/>
        <v>Direct</v>
      </c>
      <c r="I223" s="8" t="s">
        <v>301</v>
      </c>
      <c r="J223" s="8" t="s">
        <v>301</v>
      </c>
    </row>
    <row r="224" spans="1:10" x14ac:dyDescent="0.2">
      <c r="A224" s="6" t="s">
        <v>15</v>
      </c>
      <c r="B224" s="8" t="s">
        <v>25</v>
      </c>
      <c r="C224" s="8" t="s">
        <v>903</v>
      </c>
      <c r="D224" s="8" t="s">
        <v>904</v>
      </c>
      <c r="E224" s="8" t="s">
        <v>905</v>
      </c>
      <c r="F224" s="8">
        <v>1.0645605419999999</v>
      </c>
      <c r="G224" s="8">
        <v>1.1527819640000001</v>
      </c>
      <c r="H224" s="6" t="str">
        <f t="shared" si="0"/>
        <v>Direct</v>
      </c>
      <c r="I224" s="8" t="s">
        <v>906</v>
      </c>
      <c r="J224" s="8" t="s">
        <v>906</v>
      </c>
    </row>
    <row r="225" spans="1:10" x14ac:dyDescent="0.2">
      <c r="A225" s="6" t="s">
        <v>15</v>
      </c>
      <c r="B225" s="8" t="s">
        <v>25</v>
      </c>
      <c r="C225" s="8" t="s">
        <v>320</v>
      </c>
      <c r="D225" s="8" t="s">
        <v>321</v>
      </c>
      <c r="E225" s="8" t="s">
        <v>322</v>
      </c>
      <c r="F225" s="8">
        <v>3.7515987499999999</v>
      </c>
      <c r="G225" s="8">
        <v>2.8878291699999998</v>
      </c>
      <c r="H225" s="6" t="str">
        <f t="shared" si="0"/>
        <v>Direct</v>
      </c>
      <c r="I225" s="8" t="s">
        <v>323</v>
      </c>
      <c r="J225" s="8" t="s">
        <v>323</v>
      </c>
    </row>
    <row r="226" spans="1:10" x14ac:dyDescent="0.2">
      <c r="A226" s="6" t="s">
        <v>15</v>
      </c>
      <c r="B226" s="8" t="s">
        <v>25</v>
      </c>
      <c r="C226" s="8" t="s">
        <v>907</v>
      </c>
      <c r="D226" s="8" t="s">
        <v>908</v>
      </c>
      <c r="E226" s="8" t="s">
        <v>909</v>
      </c>
      <c r="F226" s="8">
        <v>5.007344636</v>
      </c>
      <c r="G226" s="8">
        <v>1.192445711</v>
      </c>
      <c r="H226" s="6" t="str">
        <f t="shared" si="0"/>
        <v>Direct</v>
      </c>
      <c r="I226" s="8" t="s">
        <v>910</v>
      </c>
      <c r="J226" s="8" t="s">
        <v>910</v>
      </c>
    </row>
    <row r="227" spans="1:10" x14ac:dyDescent="0.2">
      <c r="A227" s="6" t="s">
        <v>15</v>
      </c>
      <c r="B227" s="8" t="s">
        <v>25</v>
      </c>
      <c r="C227" s="8" t="s">
        <v>911</v>
      </c>
      <c r="D227" s="8" t="s">
        <v>912</v>
      </c>
      <c r="E227" s="8" t="s">
        <v>913</v>
      </c>
      <c r="F227" s="8">
        <v>1.329659317</v>
      </c>
      <c r="G227" s="8">
        <v>-2.2048051540000002</v>
      </c>
      <c r="H227" s="6" t="str">
        <f t="shared" si="0"/>
        <v>Inverse</v>
      </c>
      <c r="I227" s="8" t="s">
        <v>914</v>
      </c>
      <c r="J227" s="8" t="s">
        <v>914</v>
      </c>
    </row>
    <row r="228" spans="1:10" x14ac:dyDescent="0.2">
      <c r="A228" s="6" t="s">
        <v>15</v>
      </c>
      <c r="B228" s="8" t="s">
        <v>25</v>
      </c>
      <c r="C228" s="8" t="s">
        <v>342</v>
      </c>
      <c r="D228" s="8" t="s">
        <v>343</v>
      </c>
      <c r="E228" s="8" t="s">
        <v>344</v>
      </c>
      <c r="F228" s="8">
        <v>2.9686286110000002</v>
      </c>
      <c r="G228" s="8">
        <v>-1.8662071499999999</v>
      </c>
      <c r="H228" s="6" t="str">
        <f t="shared" si="0"/>
        <v>Inverse</v>
      </c>
      <c r="I228" s="8" t="s">
        <v>50</v>
      </c>
      <c r="J228" s="8" t="s">
        <v>345</v>
      </c>
    </row>
    <row r="229" spans="1:10" x14ac:dyDescent="0.2">
      <c r="A229" s="6" t="s">
        <v>15</v>
      </c>
      <c r="B229" s="8" t="s">
        <v>25</v>
      </c>
      <c r="C229" s="8" t="s">
        <v>915</v>
      </c>
      <c r="D229" s="8" t="s">
        <v>916</v>
      </c>
      <c r="E229" s="8" t="s">
        <v>917</v>
      </c>
      <c r="F229" s="8">
        <v>1.6653666110000001</v>
      </c>
      <c r="G229" s="8">
        <v>-3.1932500510000001</v>
      </c>
      <c r="H229" s="6" t="str">
        <f t="shared" si="0"/>
        <v>Inverse</v>
      </c>
      <c r="I229" s="8" t="s">
        <v>50</v>
      </c>
      <c r="J229" s="8" t="s">
        <v>918</v>
      </c>
    </row>
    <row r="230" spans="1:10" x14ac:dyDescent="0.2">
      <c r="A230" s="6" t="s">
        <v>15</v>
      </c>
      <c r="B230" s="8" t="s">
        <v>25</v>
      </c>
      <c r="C230" s="8" t="s">
        <v>919</v>
      </c>
      <c r="D230" s="8" t="s">
        <v>920</v>
      </c>
      <c r="E230" s="8" t="s">
        <v>921</v>
      </c>
      <c r="F230" s="8">
        <v>3.0647544930000001</v>
      </c>
      <c r="G230" s="8">
        <v>1.9029164919999999</v>
      </c>
      <c r="H230" s="6" t="str">
        <f t="shared" si="0"/>
        <v>Direct</v>
      </c>
      <c r="I230" s="8" t="s">
        <v>922</v>
      </c>
      <c r="J230" s="8" t="s">
        <v>922</v>
      </c>
    </row>
    <row r="231" spans="1:10" x14ac:dyDescent="0.2">
      <c r="A231" s="6" t="s">
        <v>15</v>
      </c>
      <c r="B231" s="8" t="s">
        <v>25</v>
      </c>
      <c r="C231" s="8" t="s">
        <v>923</v>
      </c>
      <c r="D231" s="8" t="s">
        <v>924</v>
      </c>
      <c r="E231" s="8" t="s">
        <v>925</v>
      </c>
      <c r="F231" s="8">
        <v>1.070944699</v>
      </c>
      <c r="G231" s="8">
        <v>1.3273633890000001</v>
      </c>
      <c r="H231" s="6" t="str">
        <f t="shared" si="0"/>
        <v>Direct</v>
      </c>
      <c r="I231" s="8" t="s">
        <v>652</v>
      </c>
      <c r="J231" s="8" t="s">
        <v>652</v>
      </c>
    </row>
    <row r="232" spans="1:10" x14ac:dyDescent="0.2">
      <c r="A232" s="6" t="s">
        <v>15</v>
      </c>
      <c r="B232" s="8" t="s">
        <v>25</v>
      </c>
      <c r="C232" s="8" t="s">
        <v>369</v>
      </c>
      <c r="D232" s="8" t="s">
        <v>370</v>
      </c>
      <c r="E232" s="8" t="s">
        <v>371</v>
      </c>
      <c r="F232" s="8">
        <v>1.804935108</v>
      </c>
      <c r="G232" s="8">
        <v>1.4465914070000001</v>
      </c>
      <c r="H232" s="6" t="str">
        <f t="shared" si="0"/>
        <v>Direct</v>
      </c>
      <c r="I232" s="8" t="s">
        <v>372</v>
      </c>
      <c r="J232" s="8" t="s">
        <v>372</v>
      </c>
    </row>
    <row r="233" spans="1:10" x14ac:dyDescent="0.2">
      <c r="A233" s="6" t="s">
        <v>15</v>
      </c>
      <c r="B233" s="8" t="s">
        <v>25</v>
      </c>
      <c r="C233" s="8" t="s">
        <v>926</v>
      </c>
      <c r="D233" s="8" t="s">
        <v>927</v>
      </c>
      <c r="E233" s="8" t="s">
        <v>928</v>
      </c>
      <c r="F233" s="8">
        <v>1.8148516619999999</v>
      </c>
      <c r="G233" s="8">
        <v>2.0131068650000001</v>
      </c>
      <c r="H233" s="6" t="str">
        <f t="shared" si="0"/>
        <v>Direct</v>
      </c>
      <c r="I233" s="8" t="s">
        <v>929</v>
      </c>
      <c r="J233" s="8" t="s">
        <v>929</v>
      </c>
    </row>
    <row r="234" spans="1:10" x14ac:dyDescent="0.2">
      <c r="A234" s="6" t="s">
        <v>15</v>
      </c>
      <c r="B234" s="8" t="s">
        <v>25</v>
      </c>
      <c r="C234" s="8" t="s">
        <v>455</v>
      </c>
      <c r="D234" s="8" t="s">
        <v>456</v>
      </c>
      <c r="E234" s="8" t="s">
        <v>457</v>
      </c>
      <c r="F234" s="8">
        <v>5.2541558579999998</v>
      </c>
      <c r="G234" s="8">
        <v>-1.1895783609999999</v>
      </c>
      <c r="H234" s="6" t="str">
        <f t="shared" si="0"/>
        <v>Inverse</v>
      </c>
      <c r="I234" s="8" t="s">
        <v>458</v>
      </c>
      <c r="J234" s="8" t="s">
        <v>459</v>
      </c>
    </row>
    <row r="235" spans="1:10" x14ac:dyDescent="0.2">
      <c r="A235" s="6" t="s">
        <v>15</v>
      </c>
      <c r="B235" s="8" t="s">
        <v>25</v>
      </c>
      <c r="C235" s="8" t="s">
        <v>930</v>
      </c>
      <c r="D235" s="8" t="s">
        <v>931</v>
      </c>
      <c r="E235" s="8" t="s">
        <v>932</v>
      </c>
      <c r="F235" s="8">
        <v>-5.2422796700000003</v>
      </c>
      <c r="G235" s="8">
        <v>1.4413576109999999</v>
      </c>
      <c r="H235" s="6" t="str">
        <f t="shared" si="0"/>
        <v>Inverse</v>
      </c>
      <c r="I235" s="8" t="s">
        <v>933</v>
      </c>
      <c r="J235" s="8" t="s">
        <v>933</v>
      </c>
    </row>
    <row r="236" spans="1:10" x14ac:dyDescent="0.2">
      <c r="A236" s="6" t="s">
        <v>15</v>
      </c>
      <c r="B236" s="8" t="s">
        <v>25</v>
      </c>
      <c r="C236" s="8" t="s">
        <v>934</v>
      </c>
      <c r="D236" s="8" t="s">
        <v>935</v>
      </c>
      <c r="E236" s="8" t="s">
        <v>936</v>
      </c>
      <c r="F236" s="8">
        <v>1.228497516</v>
      </c>
      <c r="G236" s="8">
        <v>1.281918501</v>
      </c>
      <c r="H236" s="6" t="str">
        <f t="shared" si="0"/>
        <v>Direct</v>
      </c>
      <c r="I236" s="8" t="s">
        <v>937</v>
      </c>
      <c r="J236" s="8" t="s">
        <v>937</v>
      </c>
    </row>
    <row r="237" spans="1:10" x14ac:dyDescent="0.2">
      <c r="A237" s="6" t="s">
        <v>15</v>
      </c>
      <c r="B237" s="8" t="s">
        <v>25</v>
      </c>
      <c r="C237" s="8" t="s">
        <v>938</v>
      </c>
      <c r="D237" s="8" t="s">
        <v>939</v>
      </c>
      <c r="E237" s="8" t="s">
        <v>940</v>
      </c>
      <c r="F237" s="8">
        <v>5.2479186200000001</v>
      </c>
      <c r="G237" s="8">
        <v>1.881715596</v>
      </c>
      <c r="H237" s="6" t="str">
        <f t="shared" si="0"/>
        <v>Direct</v>
      </c>
      <c r="I237" s="8" t="s">
        <v>445</v>
      </c>
      <c r="J237" s="8" t="s">
        <v>445</v>
      </c>
    </row>
    <row r="238" spans="1:10" x14ac:dyDescent="0.2">
      <c r="A238" s="6" t="s">
        <v>15</v>
      </c>
      <c r="B238" s="8" t="s">
        <v>25</v>
      </c>
      <c r="C238" s="8" t="s">
        <v>941</v>
      </c>
      <c r="D238" s="8" t="s">
        <v>942</v>
      </c>
      <c r="E238" s="8" t="s">
        <v>943</v>
      </c>
      <c r="F238" s="8">
        <v>1.8154939889999999</v>
      </c>
      <c r="G238" s="8">
        <v>2.1374055420000002</v>
      </c>
      <c r="H238" s="6" t="str">
        <f t="shared" si="0"/>
        <v>Direct</v>
      </c>
      <c r="I238" s="8" t="s">
        <v>944</v>
      </c>
      <c r="J238" s="8" t="s">
        <v>944</v>
      </c>
    </row>
    <row r="239" spans="1:10" x14ac:dyDescent="0.2">
      <c r="A239" s="6" t="s">
        <v>15</v>
      </c>
      <c r="B239" s="8" t="s">
        <v>25</v>
      </c>
      <c r="C239" s="8" t="s">
        <v>945</v>
      </c>
      <c r="D239" s="8" t="s">
        <v>946</v>
      </c>
      <c r="E239" s="8" t="s">
        <v>947</v>
      </c>
      <c r="F239" s="8">
        <v>-1.0234181090000001</v>
      </c>
      <c r="G239" s="8">
        <v>-1.2817825899999999</v>
      </c>
      <c r="H239" s="6" t="str">
        <f t="shared" si="0"/>
        <v>Direct</v>
      </c>
      <c r="I239" s="8" t="s">
        <v>50</v>
      </c>
      <c r="J239" s="8" t="s">
        <v>948</v>
      </c>
    </row>
    <row r="240" spans="1:10" x14ac:dyDescent="0.2">
      <c r="A240" s="6" t="s">
        <v>15</v>
      </c>
      <c r="B240" s="8" t="s">
        <v>25</v>
      </c>
      <c r="C240" s="8" t="s">
        <v>949</v>
      </c>
      <c r="D240" s="8" t="s">
        <v>950</v>
      </c>
      <c r="E240" s="8" t="s">
        <v>951</v>
      </c>
      <c r="F240" s="8">
        <v>2.9864095879999999</v>
      </c>
      <c r="G240" s="8">
        <v>-3.0616409710000001</v>
      </c>
      <c r="H240" s="6" t="str">
        <f t="shared" si="0"/>
        <v>Inverse</v>
      </c>
      <c r="I240" s="8" t="s">
        <v>952</v>
      </c>
      <c r="J240" s="8" t="s">
        <v>953</v>
      </c>
    </row>
    <row r="241" spans="1:10" x14ac:dyDescent="0.2">
      <c r="A241" s="6" t="s">
        <v>15</v>
      </c>
      <c r="B241" s="8" t="s">
        <v>25</v>
      </c>
      <c r="C241" s="8" t="s">
        <v>954</v>
      </c>
      <c r="D241" s="8" t="s">
        <v>955</v>
      </c>
      <c r="E241" s="8" t="s">
        <v>956</v>
      </c>
      <c r="F241" s="8">
        <v>4.879746989</v>
      </c>
      <c r="G241" s="8">
        <v>-1.542157336</v>
      </c>
      <c r="H241" s="6" t="str">
        <f t="shared" si="0"/>
        <v>Inverse</v>
      </c>
      <c r="I241" s="8" t="s">
        <v>957</v>
      </c>
      <c r="J241" s="8" t="s">
        <v>958</v>
      </c>
    </row>
    <row r="242" spans="1:10" x14ac:dyDescent="0.2">
      <c r="A242" s="6" t="s">
        <v>15</v>
      </c>
      <c r="B242" s="8" t="s">
        <v>25</v>
      </c>
      <c r="C242" s="8" t="s">
        <v>959</v>
      </c>
      <c r="D242" s="8" t="s">
        <v>960</v>
      </c>
      <c r="E242" s="8" t="s">
        <v>961</v>
      </c>
      <c r="F242" s="8">
        <v>-1.307287522</v>
      </c>
      <c r="G242" s="8">
        <v>1.780091775</v>
      </c>
      <c r="H242" s="6" t="str">
        <f t="shared" si="0"/>
        <v>Inverse</v>
      </c>
      <c r="I242" s="8" t="s">
        <v>914</v>
      </c>
      <c r="J242" s="8" t="s">
        <v>914</v>
      </c>
    </row>
    <row r="243" spans="1:10" x14ac:dyDescent="0.2">
      <c r="A243" s="6" t="s">
        <v>15</v>
      </c>
      <c r="B243" s="8" t="s">
        <v>25</v>
      </c>
      <c r="C243" s="8" t="s">
        <v>485</v>
      </c>
      <c r="D243" s="8" t="s">
        <v>486</v>
      </c>
      <c r="E243" s="8" t="s">
        <v>487</v>
      </c>
      <c r="F243" s="8">
        <v>8.0174180859999993</v>
      </c>
      <c r="G243" s="8">
        <v>-1.272874974</v>
      </c>
      <c r="H243" s="6" t="str">
        <f t="shared" si="0"/>
        <v>Inverse</v>
      </c>
      <c r="I243" s="8" t="s">
        <v>50</v>
      </c>
      <c r="J243" s="8" t="s">
        <v>488</v>
      </c>
    </row>
    <row r="244" spans="1:10" x14ac:dyDescent="0.2">
      <c r="A244" s="6" t="s">
        <v>15</v>
      </c>
      <c r="B244" s="8" t="s">
        <v>25</v>
      </c>
      <c r="C244" s="8" t="s">
        <v>962</v>
      </c>
      <c r="D244" s="8" t="s">
        <v>963</v>
      </c>
      <c r="E244" s="8" t="s">
        <v>964</v>
      </c>
      <c r="F244" s="8">
        <v>2.6958454459999999</v>
      </c>
      <c r="G244" s="8">
        <v>1.8543909780000001</v>
      </c>
      <c r="H244" s="6" t="str">
        <f t="shared" si="0"/>
        <v>Direct</v>
      </c>
      <c r="I244" s="8" t="s">
        <v>50</v>
      </c>
      <c r="J244" s="8" t="s">
        <v>965</v>
      </c>
    </row>
    <row r="245" spans="1:10" x14ac:dyDescent="0.2">
      <c r="A245" s="6" t="s">
        <v>15</v>
      </c>
      <c r="B245" s="8" t="s">
        <v>25</v>
      </c>
      <c r="C245" s="8" t="s">
        <v>966</v>
      </c>
      <c r="D245" s="8" t="s">
        <v>967</v>
      </c>
      <c r="E245" s="8" t="s">
        <v>968</v>
      </c>
      <c r="F245" s="8">
        <v>-2.2857187940000001</v>
      </c>
      <c r="G245" s="8">
        <v>1.2122337560000001</v>
      </c>
      <c r="H245" s="6" t="str">
        <f t="shared" si="0"/>
        <v>Inverse</v>
      </c>
      <c r="I245" s="8" t="s">
        <v>969</v>
      </c>
      <c r="J245" s="8" t="s">
        <v>970</v>
      </c>
    </row>
    <row r="246" spans="1:10" x14ac:dyDescent="0.2">
      <c r="A246" s="6" t="s">
        <v>15</v>
      </c>
      <c r="B246" s="8" t="s">
        <v>25</v>
      </c>
      <c r="C246" s="8" t="s">
        <v>971</v>
      </c>
      <c r="D246" s="8" t="s">
        <v>972</v>
      </c>
      <c r="E246" s="8" t="s">
        <v>973</v>
      </c>
      <c r="F246" s="8">
        <v>3.835801418</v>
      </c>
      <c r="G246" s="8">
        <v>1.7068428019999999</v>
      </c>
      <c r="H246" s="6" t="str">
        <f t="shared" si="0"/>
        <v>Direct</v>
      </c>
      <c r="I246" s="8" t="s">
        <v>974</v>
      </c>
      <c r="J246" s="8" t="s">
        <v>974</v>
      </c>
    </row>
    <row r="247" spans="1:10" x14ac:dyDescent="0.2">
      <c r="A247" s="6" t="s">
        <v>15</v>
      </c>
      <c r="B247" s="8" t="s">
        <v>25</v>
      </c>
      <c r="C247" s="8" t="s">
        <v>975</v>
      </c>
      <c r="D247" s="8" t="s">
        <v>976</v>
      </c>
      <c r="E247" s="8" t="s">
        <v>977</v>
      </c>
      <c r="F247" s="8">
        <v>1.9645933069999999</v>
      </c>
      <c r="G247" s="8">
        <v>1.8089236909999999</v>
      </c>
      <c r="H247" s="6" t="str">
        <f t="shared" si="0"/>
        <v>Direct</v>
      </c>
      <c r="I247" s="8" t="s">
        <v>50</v>
      </c>
      <c r="J247" s="8" t="s">
        <v>978</v>
      </c>
    </row>
    <row r="248" spans="1:10" x14ac:dyDescent="0.2">
      <c r="A248" s="6" t="s">
        <v>15</v>
      </c>
      <c r="B248" s="8" t="s">
        <v>25</v>
      </c>
      <c r="C248" s="8" t="s">
        <v>979</v>
      </c>
      <c r="D248" s="8" t="s">
        <v>980</v>
      </c>
      <c r="E248" s="8" t="s">
        <v>981</v>
      </c>
      <c r="F248" s="8">
        <v>-1.9436763800000001</v>
      </c>
      <c r="G248" s="8">
        <v>1.2513489250000001</v>
      </c>
      <c r="H248" s="6" t="str">
        <f t="shared" si="0"/>
        <v>Inverse</v>
      </c>
      <c r="I248" s="8" t="s">
        <v>982</v>
      </c>
      <c r="J248" s="8" t="s">
        <v>982</v>
      </c>
    </row>
    <row r="249" spans="1:10" x14ac:dyDescent="0.2">
      <c r="A249" s="6" t="s">
        <v>15</v>
      </c>
      <c r="B249" s="8" t="s">
        <v>25</v>
      </c>
      <c r="C249" s="8" t="s">
        <v>983</v>
      </c>
      <c r="D249" s="8" t="s">
        <v>984</v>
      </c>
      <c r="E249" s="8" t="s">
        <v>985</v>
      </c>
      <c r="F249" s="8">
        <v>-1.3352480120000001</v>
      </c>
      <c r="G249" s="8">
        <v>1.9747561140000001</v>
      </c>
      <c r="H249" s="6" t="str">
        <f t="shared" si="0"/>
        <v>Inverse</v>
      </c>
      <c r="I249" s="8" t="s">
        <v>986</v>
      </c>
      <c r="J249" s="8" t="s">
        <v>986</v>
      </c>
    </row>
    <row r="250" spans="1:10" x14ac:dyDescent="0.2">
      <c r="A250" s="6" t="s">
        <v>15</v>
      </c>
      <c r="B250" s="8" t="s">
        <v>25</v>
      </c>
      <c r="C250" s="8" t="s">
        <v>987</v>
      </c>
      <c r="D250" s="8" t="s">
        <v>988</v>
      </c>
      <c r="E250" s="8" t="s">
        <v>989</v>
      </c>
      <c r="F250" s="8">
        <v>-2.3329798730000002</v>
      </c>
      <c r="G250" s="8">
        <v>1.237113033</v>
      </c>
      <c r="H250" s="6" t="str">
        <f t="shared" si="0"/>
        <v>Inverse</v>
      </c>
      <c r="I250" s="8" t="s">
        <v>990</v>
      </c>
      <c r="J250" s="8" t="s">
        <v>990</v>
      </c>
    </row>
    <row r="251" spans="1:10" x14ac:dyDescent="0.2">
      <c r="A251" s="6" t="s">
        <v>15</v>
      </c>
      <c r="B251" s="8" t="s">
        <v>25</v>
      </c>
      <c r="C251" s="8" t="s">
        <v>991</v>
      </c>
      <c r="D251" s="8" t="s">
        <v>992</v>
      </c>
      <c r="E251" s="8" t="s">
        <v>993</v>
      </c>
      <c r="F251" s="8">
        <v>-2.5762519340000001</v>
      </c>
      <c r="G251" s="8">
        <v>-1.823880172</v>
      </c>
      <c r="H251" s="6" t="str">
        <f t="shared" si="0"/>
        <v>Direct</v>
      </c>
      <c r="I251" s="8" t="s">
        <v>994</v>
      </c>
      <c r="J251" s="8" t="s">
        <v>994</v>
      </c>
    </row>
    <row r="252" spans="1:10" x14ac:dyDescent="0.2">
      <c r="A252" s="6" t="s">
        <v>15</v>
      </c>
      <c r="B252" s="8" t="s">
        <v>25</v>
      </c>
      <c r="C252" s="8" t="s">
        <v>995</v>
      </c>
      <c r="D252" s="8" t="s">
        <v>996</v>
      </c>
      <c r="E252" s="8" t="s">
        <v>997</v>
      </c>
      <c r="F252" s="8">
        <v>4.0191338390000002</v>
      </c>
      <c r="G252" s="8">
        <v>2.1182076489999999</v>
      </c>
      <c r="H252" s="6" t="str">
        <f t="shared" si="0"/>
        <v>Direct</v>
      </c>
      <c r="I252" s="8" t="s">
        <v>998</v>
      </c>
      <c r="J252" s="8" t="s">
        <v>998</v>
      </c>
    </row>
    <row r="253" spans="1:10" x14ac:dyDescent="0.2">
      <c r="A253" s="6" t="s">
        <v>15</v>
      </c>
      <c r="B253" s="8" t="s">
        <v>25</v>
      </c>
      <c r="C253" s="8" t="s">
        <v>999</v>
      </c>
      <c r="D253" s="8" t="s">
        <v>1000</v>
      </c>
      <c r="E253" s="8" t="s">
        <v>1001</v>
      </c>
      <c r="F253" s="8">
        <v>2.1763284330000001</v>
      </c>
      <c r="G253" s="8">
        <v>1.1000423239999999</v>
      </c>
      <c r="H253" s="6" t="str">
        <f t="shared" si="0"/>
        <v>Direct</v>
      </c>
      <c r="I253" s="8" t="s">
        <v>1002</v>
      </c>
      <c r="J253" s="8" t="s">
        <v>1002</v>
      </c>
    </row>
    <row r="254" spans="1:10" x14ac:dyDescent="0.2">
      <c r="A254" s="6" t="s">
        <v>15</v>
      </c>
      <c r="B254" s="8" t="s">
        <v>25</v>
      </c>
      <c r="C254" s="8" t="s">
        <v>1003</v>
      </c>
      <c r="D254" s="8" t="s">
        <v>1004</v>
      </c>
      <c r="E254" s="8" t="s">
        <v>1005</v>
      </c>
      <c r="F254" s="8">
        <v>2.1202402889999998</v>
      </c>
      <c r="G254" s="8">
        <v>1.3182316110000001</v>
      </c>
      <c r="H254" s="6" t="str">
        <f t="shared" si="0"/>
        <v>Direct</v>
      </c>
      <c r="I254" s="8" t="s">
        <v>1006</v>
      </c>
      <c r="J254" s="8" t="s">
        <v>1006</v>
      </c>
    </row>
    <row r="255" spans="1:10" x14ac:dyDescent="0.2">
      <c r="A255" s="6" t="s">
        <v>15</v>
      </c>
      <c r="B255" s="8" t="s">
        <v>25</v>
      </c>
      <c r="C255" s="8" t="s">
        <v>1007</v>
      </c>
      <c r="D255" s="8" t="s">
        <v>1008</v>
      </c>
      <c r="E255" s="8" t="s">
        <v>1009</v>
      </c>
      <c r="F255" s="8">
        <v>-1.119308178</v>
      </c>
      <c r="G255" s="8">
        <v>-1.2653186910000001</v>
      </c>
      <c r="H255" s="6" t="str">
        <f t="shared" si="0"/>
        <v>Direct</v>
      </c>
      <c r="I255" s="8" t="s">
        <v>1010</v>
      </c>
      <c r="J255" s="8" t="s">
        <v>1010</v>
      </c>
    </row>
    <row r="256" spans="1:10" x14ac:dyDescent="0.2">
      <c r="A256" s="6" t="s">
        <v>15</v>
      </c>
      <c r="B256" s="8" t="s">
        <v>25</v>
      </c>
      <c r="C256" s="8" t="s">
        <v>1011</v>
      </c>
      <c r="D256" s="8" t="s">
        <v>1012</v>
      </c>
      <c r="E256" s="8" t="s">
        <v>1013</v>
      </c>
      <c r="F256" s="8">
        <v>1.4559857979999999</v>
      </c>
      <c r="G256" s="8">
        <v>1.446913152</v>
      </c>
      <c r="H256" s="6" t="str">
        <f t="shared" si="0"/>
        <v>Direct</v>
      </c>
      <c r="I256" s="8" t="s">
        <v>1014</v>
      </c>
      <c r="J256" s="8" t="s">
        <v>1014</v>
      </c>
    </row>
    <row r="257" spans="1:10" x14ac:dyDescent="0.2">
      <c r="A257" s="6" t="s">
        <v>15</v>
      </c>
      <c r="B257" s="8" t="s">
        <v>25</v>
      </c>
      <c r="C257" s="8" t="s">
        <v>1015</v>
      </c>
      <c r="D257" s="8" t="s">
        <v>1016</v>
      </c>
      <c r="E257" s="8" t="s">
        <v>1017</v>
      </c>
      <c r="F257" s="8">
        <v>-2.7200019860000002</v>
      </c>
      <c r="G257" s="8">
        <v>1.2405280000000001</v>
      </c>
      <c r="H257" s="6" t="str">
        <f t="shared" ref="H257:H511" si="7">IF(OR(AND(F257&gt;0,G257&gt;0),AND(F257&lt;0,G257&lt;0)),"Direct","Inverse")</f>
        <v>Inverse</v>
      </c>
      <c r="I257" s="8" t="s">
        <v>1018</v>
      </c>
      <c r="J257" s="8" t="s">
        <v>1019</v>
      </c>
    </row>
    <row r="258" spans="1:10" x14ac:dyDescent="0.2">
      <c r="A258" s="6" t="s">
        <v>15</v>
      </c>
      <c r="B258" s="8" t="s">
        <v>25</v>
      </c>
      <c r="C258" s="8" t="s">
        <v>1020</v>
      </c>
      <c r="D258" s="8" t="s">
        <v>1021</v>
      </c>
      <c r="E258" s="8" t="s">
        <v>1022</v>
      </c>
      <c r="F258" s="8">
        <v>3.1327313879999998</v>
      </c>
      <c r="G258" s="8">
        <v>-1.9471394639999999</v>
      </c>
      <c r="H258" s="6" t="str">
        <f t="shared" si="7"/>
        <v>Inverse</v>
      </c>
      <c r="I258" s="8" t="s">
        <v>1023</v>
      </c>
      <c r="J258" s="8" t="s">
        <v>1023</v>
      </c>
    </row>
    <row r="259" spans="1:10" x14ac:dyDescent="0.2">
      <c r="A259" s="6" t="s">
        <v>15</v>
      </c>
      <c r="B259" s="8" t="s">
        <v>25</v>
      </c>
      <c r="C259" s="8" t="s">
        <v>1024</v>
      </c>
      <c r="D259" s="8" t="s">
        <v>1025</v>
      </c>
      <c r="E259" s="8" t="s">
        <v>1026</v>
      </c>
      <c r="F259" s="8">
        <v>1.780859543</v>
      </c>
      <c r="G259" s="8">
        <v>1.4200937490000001</v>
      </c>
      <c r="H259" s="6" t="str">
        <f t="shared" si="7"/>
        <v>Direct</v>
      </c>
      <c r="I259" s="8" t="s">
        <v>1027</v>
      </c>
      <c r="J259" s="8" t="s">
        <v>1027</v>
      </c>
    </row>
    <row r="260" spans="1:10" x14ac:dyDescent="0.2">
      <c r="A260" s="6" t="s">
        <v>15</v>
      </c>
      <c r="B260" s="8" t="s">
        <v>25</v>
      </c>
      <c r="C260" s="8" t="s">
        <v>1028</v>
      </c>
      <c r="D260" s="8" t="s">
        <v>1029</v>
      </c>
      <c r="E260" s="8" t="s">
        <v>1030</v>
      </c>
      <c r="F260" s="8">
        <v>2.505525118</v>
      </c>
      <c r="G260" s="8">
        <v>1.096520435</v>
      </c>
      <c r="H260" s="6" t="str">
        <f t="shared" si="7"/>
        <v>Direct</v>
      </c>
      <c r="I260" s="8" t="s">
        <v>1031</v>
      </c>
      <c r="J260" s="8" t="s">
        <v>1031</v>
      </c>
    </row>
    <row r="261" spans="1:10" x14ac:dyDescent="0.2">
      <c r="A261" s="6" t="s">
        <v>15</v>
      </c>
      <c r="B261" s="8" t="s">
        <v>25</v>
      </c>
      <c r="C261" s="8" t="s">
        <v>1032</v>
      </c>
      <c r="D261" s="8" t="s">
        <v>1033</v>
      </c>
      <c r="E261" s="8" t="s">
        <v>1034</v>
      </c>
      <c r="F261" s="8">
        <v>-2.1641695049999998</v>
      </c>
      <c r="G261" s="8">
        <v>1.171885786</v>
      </c>
      <c r="H261" s="6" t="str">
        <f t="shared" si="7"/>
        <v>Inverse</v>
      </c>
      <c r="I261" s="8" t="s">
        <v>1035</v>
      </c>
      <c r="J261" s="8" t="s">
        <v>1035</v>
      </c>
    </row>
    <row r="262" spans="1:10" x14ac:dyDescent="0.2">
      <c r="A262" s="6" t="s">
        <v>15</v>
      </c>
      <c r="B262" s="8" t="s">
        <v>25</v>
      </c>
      <c r="C262" s="8" t="s">
        <v>1036</v>
      </c>
      <c r="D262" s="8" t="s">
        <v>1037</v>
      </c>
      <c r="E262" s="8" t="s">
        <v>1038</v>
      </c>
      <c r="F262" s="8">
        <v>1.0871149769999999</v>
      </c>
      <c r="G262" s="8">
        <v>-1.3828826569999999</v>
      </c>
      <c r="H262" s="6" t="str">
        <f t="shared" si="7"/>
        <v>Inverse</v>
      </c>
      <c r="I262" s="8" t="s">
        <v>1039</v>
      </c>
      <c r="J262" s="8" t="s">
        <v>1039</v>
      </c>
    </row>
    <row r="263" spans="1:10" x14ac:dyDescent="0.2">
      <c r="A263" s="6" t="s">
        <v>15</v>
      </c>
      <c r="B263" s="8" t="s">
        <v>25</v>
      </c>
      <c r="C263" s="8" t="s">
        <v>1040</v>
      </c>
      <c r="D263" s="8" t="s">
        <v>1041</v>
      </c>
      <c r="E263" s="8" t="s">
        <v>1042</v>
      </c>
      <c r="F263" s="8">
        <v>-3.1063700390000002</v>
      </c>
      <c r="G263" s="8">
        <v>-1.1926822850000001</v>
      </c>
      <c r="H263" s="6" t="str">
        <f t="shared" si="7"/>
        <v>Direct</v>
      </c>
      <c r="I263" s="8" t="s">
        <v>50</v>
      </c>
      <c r="J263" s="8" t="s">
        <v>1043</v>
      </c>
    </row>
    <row r="264" spans="1:10" x14ac:dyDescent="0.2">
      <c r="A264" s="6" t="s">
        <v>15</v>
      </c>
      <c r="B264" s="8" t="s">
        <v>25</v>
      </c>
      <c r="C264" s="8" t="s">
        <v>1044</v>
      </c>
      <c r="D264" s="8" t="s">
        <v>1045</v>
      </c>
      <c r="E264" s="8" t="s">
        <v>1046</v>
      </c>
      <c r="F264" s="8">
        <v>-1.212019409</v>
      </c>
      <c r="G264" s="8">
        <v>1.3425930290000001</v>
      </c>
      <c r="H264" s="6" t="str">
        <f t="shared" si="7"/>
        <v>Inverse</v>
      </c>
      <c r="I264" s="8" t="s">
        <v>1047</v>
      </c>
      <c r="J264" s="8" t="s">
        <v>1047</v>
      </c>
    </row>
    <row r="265" spans="1:10" x14ac:dyDescent="0.2">
      <c r="A265" s="6" t="s">
        <v>15</v>
      </c>
      <c r="B265" s="8" t="s">
        <v>25</v>
      </c>
      <c r="C265" s="8" t="s">
        <v>1048</v>
      </c>
      <c r="D265" s="8" t="s">
        <v>1049</v>
      </c>
      <c r="E265" s="8" t="s">
        <v>1050</v>
      </c>
      <c r="F265" s="8">
        <v>3.2589739849999999</v>
      </c>
      <c r="G265" s="8">
        <v>1.0230526600000001</v>
      </c>
      <c r="H265" s="6" t="str">
        <f t="shared" si="7"/>
        <v>Direct</v>
      </c>
      <c r="I265" s="8" t="s">
        <v>1051</v>
      </c>
      <c r="J265" s="8" t="s">
        <v>1051</v>
      </c>
    </row>
    <row r="266" spans="1:10" x14ac:dyDescent="0.2">
      <c r="A266" s="6" t="s">
        <v>15</v>
      </c>
      <c r="B266" s="8" t="s">
        <v>25</v>
      </c>
      <c r="C266" s="8" t="s">
        <v>1052</v>
      </c>
      <c r="D266" s="8" t="s">
        <v>1053</v>
      </c>
      <c r="E266" s="8" t="s">
        <v>1054</v>
      </c>
      <c r="F266" s="8">
        <v>1.399726451</v>
      </c>
      <c r="G266" s="8">
        <v>-1.302168591</v>
      </c>
      <c r="H266" s="6" t="str">
        <f t="shared" si="7"/>
        <v>Inverse</v>
      </c>
      <c r="I266" s="8" t="s">
        <v>1055</v>
      </c>
      <c r="J266" s="8" t="s">
        <v>1055</v>
      </c>
    </row>
    <row r="267" spans="1:10" x14ac:dyDescent="0.2">
      <c r="A267" s="6" t="s">
        <v>15</v>
      </c>
      <c r="B267" s="8" t="s">
        <v>25</v>
      </c>
      <c r="C267" s="8" t="s">
        <v>1056</v>
      </c>
      <c r="D267" s="8" t="s">
        <v>1057</v>
      </c>
      <c r="E267" s="8" t="s">
        <v>1058</v>
      </c>
      <c r="F267" s="8">
        <v>-1.050054896</v>
      </c>
      <c r="G267" s="8">
        <v>-1.249772068</v>
      </c>
      <c r="H267" s="6" t="str">
        <f t="shared" si="7"/>
        <v>Direct</v>
      </c>
      <c r="I267" s="8" t="s">
        <v>1059</v>
      </c>
      <c r="J267" s="8" t="s">
        <v>1059</v>
      </c>
    </row>
    <row r="268" spans="1:10" x14ac:dyDescent="0.2">
      <c r="A268" s="6" t="s">
        <v>15</v>
      </c>
      <c r="B268" s="8" t="s">
        <v>25</v>
      </c>
      <c r="C268" s="8" t="s">
        <v>1060</v>
      </c>
      <c r="D268" s="8" t="s">
        <v>1061</v>
      </c>
      <c r="E268" s="8" t="s">
        <v>1062</v>
      </c>
      <c r="F268" s="8">
        <v>4.0401683390000001</v>
      </c>
      <c r="G268" s="8">
        <v>1.6579346779999999</v>
      </c>
      <c r="H268" s="6" t="str">
        <f t="shared" si="7"/>
        <v>Direct</v>
      </c>
      <c r="I268" s="8" t="s">
        <v>1063</v>
      </c>
      <c r="J268" s="8" t="s">
        <v>1064</v>
      </c>
    </row>
    <row r="269" spans="1:10" x14ac:dyDescent="0.2">
      <c r="A269" s="6" t="s">
        <v>15</v>
      </c>
      <c r="B269" s="8" t="s">
        <v>25</v>
      </c>
      <c r="C269" s="8" t="s">
        <v>1065</v>
      </c>
      <c r="D269" s="8" t="s">
        <v>1066</v>
      </c>
      <c r="E269" s="8" t="s">
        <v>1067</v>
      </c>
      <c r="F269" s="8">
        <v>-2.1705876069999999</v>
      </c>
      <c r="G269" s="8">
        <v>-1.5267813320000001</v>
      </c>
      <c r="H269" s="6" t="str">
        <f t="shared" si="7"/>
        <v>Direct</v>
      </c>
      <c r="I269" s="8" t="s">
        <v>1068</v>
      </c>
      <c r="J269" s="8" t="s">
        <v>1068</v>
      </c>
    </row>
    <row r="270" spans="1:10" x14ac:dyDescent="0.2">
      <c r="A270" s="6" t="s">
        <v>15</v>
      </c>
      <c r="B270" s="8" t="s">
        <v>25</v>
      </c>
      <c r="C270" s="8" t="s">
        <v>1069</v>
      </c>
      <c r="D270" s="8" t="s">
        <v>1070</v>
      </c>
      <c r="E270" s="8" t="s">
        <v>1071</v>
      </c>
      <c r="F270" s="8">
        <v>5.312457878</v>
      </c>
      <c r="G270" s="8">
        <v>-1.018487001</v>
      </c>
      <c r="H270" s="6" t="str">
        <f t="shared" si="7"/>
        <v>Inverse</v>
      </c>
      <c r="I270" s="8" t="s">
        <v>379</v>
      </c>
      <c r="J270" s="8" t="s">
        <v>379</v>
      </c>
    </row>
    <row r="271" spans="1:10" x14ac:dyDescent="0.2">
      <c r="A271" s="6" t="s">
        <v>15</v>
      </c>
      <c r="B271" s="8" t="s">
        <v>25</v>
      </c>
      <c r="C271" s="8" t="s">
        <v>1072</v>
      </c>
      <c r="D271" s="8" t="s">
        <v>1073</v>
      </c>
      <c r="E271" s="8" t="s">
        <v>1074</v>
      </c>
      <c r="F271" s="8">
        <v>-2.2501918930000002</v>
      </c>
      <c r="G271" s="8">
        <v>-1.046624658</v>
      </c>
      <c r="H271" s="6" t="str">
        <f t="shared" si="7"/>
        <v>Direct</v>
      </c>
      <c r="I271" s="8" t="s">
        <v>167</v>
      </c>
      <c r="J271" s="8" t="s">
        <v>167</v>
      </c>
    </row>
    <row r="272" spans="1:10" x14ac:dyDescent="0.2">
      <c r="A272" s="6" t="s">
        <v>15</v>
      </c>
      <c r="B272" s="8" t="s">
        <v>25</v>
      </c>
      <c r="C272" s="8" t="s">
        <v>1075</v>
      </c>
      <c r="D272" s="8" t="s">
        <v>1076</v>
      </c>
      <c r="E272" s="8" t="s">
        <v>1077</v>
      </c>
      <c r="F272" s="8">
        <v>2.8765064140000001</v>
      </c>
      <c r="G272" s="8">
        <v>1.001350014</v>
      </c>
      <c r="H272" s="6" t="str">
        <f t="shared" si="7"/>
        <v>Direct</v>
      </c>
      <c r="I272" s="8" t="s">
        <v>1078</v>
      </c>
      <c r="J272" s="8" t="s">
        <v>1078</v>
      </c>
    </row>
    <row r="273" spans="1:10" x14ac:dyDescent="0.2">
      <c r="A273" s="6" t="s">
        <v>15</v>
      </c>
      <c r="B273" s="8" t="s">
        <v>25</v>
      </c>
      <c r="C273" s="8" t="s">
        <v>665</v>
      </c>
      <c r="D273" s="8" t="s">
        <v>666</v>
      </c>
      <c r="E273" s="8" t="s">
        <v>667</v>
      </c>
      <c r="F273" s="8">
        <v>1.4284689429999999</v>
      </c>
      <c r="G273" s="8">
        <v>1.1482125270000001</v>
      </c>
      <c r="H273" s="6" t="str">
        <f t="shared" si="7"/>
        <v>Direct</v>
      </c>
      <c r="I273" s="8" t="s">
        <v>668</v>
      </c>
      <c r="J273" s="8" t="s">
        <v>668</v>
      </c>
    </row>
    <row r="274" spans="1:10" x14ac:dyDescent="0.2">
      <c r="A274" s="6" t="s">
        <v>15</v>
      </c>
      <c r="B274" s="8" t="s">
        <v>25</v>
      </c>
      <c r="C274" s="8" t="s">
        <v>1079</v>
      </c>
      <c r="D274" s="8" t="s">
        <v>1080</v>
      </c>
      <c r="E274" s="8" t="s">
        <v>1081</v>
      </c>
      <c r="F274" s="8">
        <v>2.0453956419999999</v>
      </c>
      <c r="G274" s="8">
        <v>-1.8570231669999999</v>
      </c>
      <c r="H274" s="6" t="str">
        <f t="shared" si="7"/>
        <v>Inverse</v>
      </c>
      <c r="I274" s="8" t="s">
        <v>1082</v>
      </c>
      <c r="J274" s="8" t="s">
        <v>1082</v>
      </c>
    </row>
    <row r="275" spans="1:10" x14ac:dyDescent="0.2">
      <c r="A275" s="6" t="s">
        <v>15</v>
      </c>
      <c r="B275" s="8" t="s">
        <v>25</v>
      </c>
      <c r="C275" s="8" t="s">
        <v>1083</v>
      </c>
      <c r="D275" s="8" t="s">
        <v>1084</v>
      </c>
      <c r="E275" s="8" t="s">
        <v>1085</v>
      </c>
      <c r="F275" s="8">
        <v>-1.03238348</v>
      </c>
      <c r="G275" s="8">
        <v>1.891220546</v>
      </c>
      <c r="H275" s="6" t="str">
        <f t="shared" si="7"/>
        <v>Inverse</v>
      </c>
      <c r="I275" s="8" t="s">
        <v>1086</v>
      </c>
      <c r="J275" s="8" t="s">
        <v>1086</v>
      </c>
    </row>
    <row r="276" spans="1:10" x14ac:dyDescent="0.2">
      <c r="A276" s="6" t="s">
        <v>15</v>
      </c>
      <c r="B276" s="8" t="s">
        <v>25</v>
      </c>
      <c r="C276" s="8" t="s">
        <v>1087</v>
      </c>
      <c r="D276" s="8" t="s">
        <v>1088</v>
      </c>
      <c r="E276" s="8" t="s">
        <v>1089</v>
      </c>
      <c r="F276" s="8">
        <v>3.249508482</v>
      </c>
      <c r="G276" s="8">
        <v>-2.6703593400000001</v>
      </c>
      <c r="H276" s="6" t="str">
        <f t="shared" si="7"/>
        <v>Inverse</v>
      </c>
      <c r="I276" s="8" t="s">
        <v>1090</v>
      </c>
      <c r="J276" s="8" t="s">
        <v>1090</v>
      </c>
    </row>
    <row r="277" spans="1:10" x14ac:dyDescent="0.2">
      <c r="A277" s="6" t="s">
        <v>15</v>
      </c>
      <c r="B277" s="8" t="s">
        <v>25</v>
      </c>
      <c r="C277" s="8" t="s">
        <v>1091</v>
      </c>
      <c r="D277" s="8" t="s">
        <v>1092</v>
      </c>
      <c r="E277" s="8" t="s">
        <v>1093</v>
      </c>
      <c r="F277" s="8">
        <v>3.473767069</v>
      </c>
      <c r="G277" s="8">
        <v>1.0962104619999999</v>
      </c>
      <c r="H277" s="6" t="str">
        <f t="shared" si="7"/>
        <v>Direct</v>
      </c>
      <c r="I277" s="8" t="s">
        <v>50</v>
      </c>
      <c r="J277" s="8" t="s">
        <v>1094</v>
      </c>
    </row>
    <row r="278" spans="1:10" x14ac:dyDescent="0.2">
      <c r="A278" s="6" t="s">
        <v>15</v>
      </c>
      <c r="B278" s="8" t="s">
        <v>25</v>
      </c>
      <c r="C278" s="8" t="s">
        <v>689</v>
      </c>
      <c r="D278" s="8" t="s">
        <v>690</v>
      </c>
      <c r="E278" s="8" t="s">
        <v>691</v>
      </c>
      <c r="F278" s="8">
        <v>-1.0246838380000001</v>
      </c>
      <c r="G278" s="8">
        <v>-1.30420443</v>
      </c>
      <c r="H278" s="6" t="str">
        <f t="shared" si="7"/>
        <v>Direct</v>
      </c>
      <c r="I278" s="8" t="s">
        <v>692</v>
      </c>
      <c r="J278" s="8" t="s">
        <v>692</v>
      </c>
    </row>
    <row r="279" spans="1:10" x14ac:dyDescent="0.2">
      <c r="A279" s="6" t="s">
        <v>15</v>
      </c>
      <c r="B279" s="8" t="s">
        <v>25</v>
      </c>
      <c r="C279" s="8" t="s">
        <v>1095</v>
      </c>
      <c r="D279" s="8" t="s">
        <v>1096</v>
      </c>
      <c r="E279" s="8" t="s">
        <v>1097</v>
      </c>
      <c r="F279" s="8">
        <v>1.217156838</v>
      </c>
      <c r="G279" s="8">
        <v>1.0343816130000001</v>
      </c>
      <c r="H279" s="6" t="str">
        <f t="shared" si="7"/>
        <v>Direct</v>
      </c>
      <c r="I279" s="8" t="s">
        <v>1098</v>
      </c>
      <c r="J279" s="8" t="s">
        <v>1098</v>
      </c>
    </row>
    <row r="280" spans="1:10" x14ac:dyDescent="0.2">
      <c r="A280" s="6" t="s">
        <v>15</v>
      </c>
      <c r="B280" s="8" t="s">
        <v>25</v>
      </c>
      <c r="C280" s="8" t="s">
        <v>1099</v>
      </c>
      <c r="D280" s="8" t="s">
        <v>1100</v>
      </c>
      <c r="E280" s="8" t="s">
        <v>1101</v>
      </c>
      <c r="F280" s="8">
        <v>1.2169809330000001</v>
      </c>
      <c r="G280" s="8">
        <v>1.0305762039999999</v>
      </c>
      <c r="H280" s="6" t="str">
        <f t="shared" si="7"/>
        <v>Direct</v>
      </c>
      <c r="I280" s="8" t="s">
        <v>1102</v>
      </c>
      <c r="J280" s="8" t="s">
        <v>1102</v>
      </c>
    </row>
    <row r="281" spans="1:10" x14ac:dyDescent="0.2">
      <c r="A281" s="6" t="s">
        <v>15</v>
      </c>
      <c r="B281" s="8" t="s">
        <v>25</v>
      </c>
      <c r="C281" s="8" t="s">
        <v>1103</v>
      </c>
      <c r="D281" s="8" t="s">
        <v>1104</v>
      </c>
      <c r="E281" s="8" t="s">
        <v>1105</v>
      </c>
      <c r="F281" s="8">
        <v>4.2675154129999999</v>
      </c>
      <c r="G281" s="8">
        <v>1.0213940050000001</v>
      </c>
      <c r="H281" s="6" t="str">
        <f t="shared" si="7"/>
        <v>Direct</v>
      </c>
      <c r="I281" s="8" t="s">
        <v>1106</v>
      </c>
      <c r="J281" s="8" t="s">
        <v>1106</v>
      </c>
    </row>
    <row r="282" spans="1:10" x14ac:dyDescent="0.2">
      <c r="A282" s="6" t="s">
        <v>15</v>
      </c>
      <c r="B282" s="8" t="s">
        <v>25</v>
      </c>
      <c r="C282" s="8" t="s">
        <v>696</v>
      </c>
      <c r="D282" s="8" t="s">
        <v>697</v>
      </c>
      <c r="E282" s="8" t="s">
        <v>698</v>
      </c>
      <c r="F282" s="8">
        <v>-3.3398363820000001</v>
      </c>
      <c r="G282" s="8">
        <v>-1.1236773819999999</v>
      </c>
      <c r="H282" s="6" t="str">
        <f t="shared" si="7"/>
        <v>Direct</v>
      </c>
      <c r="I282" s="8" t="s">
        <v>699</v>
      </c>
      <c r="J282" s="8" t="s">
        <v>699</v>
      </c>
    </row>
    <row r="283" spans="1:10" x14ac:dyDescent="0.2">
      <c r="A283" s="6" t="s">
        <v>15</v>
      </c>
      <c r="B283" s="8" t="s">
        <v>25</v>
      </c>
      <c r="C283" s="8" t="s">
        <v>1107</v>
      </c>
      <c r="D283" s="8" t="s">
        <v>1108</v>
      </c>
      <c r="E283" s="8" t="s">
        <v>1109</v>
      </c>
      <c r="F283" s="8">
        <v>2.6500636700000002</v>
      </c>
      <c r="G283" s="8">
        <v>-1.780336691</v>
      </c>
      <c r="H283" s="6" t="str">
        <f t="shared" si="7"/>
        <v>Inverse</v>
      </c>
      <c r="I283" s="8" t="s">
        <v>1110</v>
      </c>
      <c r="J283" s="8" t="s">
        <v>1110</v>
      </c>
    </row>
    <row r="284" spans="1:10" x14ac:dyDescent="0.2">
      <c r="A284" s="6" t="s">
        <v>15</v>
      </c>
      <c r="B284" s="8" t="s">
        <v>25</v>
      </c>
      <c r="C284" s="8" t="s">
        <v>1111</v>
      </c>
      <c r="D284" s="8" t="s">
        <v>1112</v>
      </c>
      <c r="E284" s="8" t="s">
        <v>1113</v>
      </c>
      <c r="F284" s="8">
        <v>-1.577386059</v>
      </c>
      <c r="G284" s="8">
        <v>-1.0307420110000001</v>
      </c>
      <c r="H284" s="6" t="str">
        <f t="shared" si="7"/>
        <v>Direct</v>
      </c>
      <c r="I284" s="8" t="s">
        <v>1114</v>
      </c>
      <c r="J284" s="8" t="s">
        <v>1115</v>
      </c>
    </row>
    <row r="285" spans="1:10" x14ac:dyDescent="0.2">
      <c r="A285" s="6" t="s">
        <v>15</v>
      </c>
      <c r="B285" s="8" t="s">
        <v>25</v>
      </c>
      <c r="C285" s="8" t="s">
        <v>704</v>
      </c>
      <c r="D285" s="8" t="s">
        <v>705</v>
      </c>
      <c r="E285" s="8" t="s">
        <v>706</v>
      </c>
      <c r="F285" s="8">
        <v>2.908869809</v>
      </c>
      <c r="G285" s="8">
        <v>1.3098263720000001</v>
      </c>
      <c r="H285" s="6" t="str">
        <f t="shared" si="7"/>
        <v>Direct</v>
      </c>
      <c r="I285" s="8" t="s">
        <v>50</v>
      </c>
      <c r="J285" s="8" t="s">
        <v>50</v>
      </c>
    </row>
    <row r="286" spans="1:10" x14ac:dyDescent="0.2">
      <c r="A286" s="6" t="s">
        <v>15</v>
      </c>
      <c r="B286" s="8" t="s">
        <v>25</v>
      </c>
      <c r="C286" s="8" t="s">
        <v>1116</v>
      </c>
      <c r="D286" s="8" t="s">
        <v>1117</v>
      </c>
      <c r="E286" s="8" t="s">
        <v>1118</v>
      </c>
      <c r="F286" s="8">
        <v>-2.1347972670000002</v>
      </c>
      <c r="G286" s="8">
        <v>1.4533174760000001</v>
      </c>
      <c r="H286" s="6" t="str">
        <f t="shared" si="7"/>
        <v>Inverse</v>
      </c>
      <c r="I286" s="8" t="s">
        <v>504</v>
      </c>
      <c r="J286" s="8" t="s">
        <v>504</v>
      </c>
    </row>
    <row r="287" spans="1:10" x14ac:dyDescent="0.2">
      <c r="A287" s="6" t="s">
        <v>15</v>
      </c>
      <c r="B287" s="8" t="s">
        <v>25</v>
      </c>
      <c r="C287" s="8" t="s">
        <v>1119</v>
      </c>
      <c r="D287" s="8" t="s">
        <v>1120</v>
      </c>
      <c r="E287" s="8" t="s">
        <v>1121</v>
      </c>
      <c r="F287" s="8">
        <v>-3.6482209939999999</v>
      </c>
      <c r="G287" s="8">
        <v>-1.161061109</v>
      </c>
      <c r="H287" s="6" t="str">
        <f t="shared" si="7"/>
        <v>Direct</v>
      </c>
      <c r="I287" s="8" t="s">
        <v>1122</v>
      </c>
      <c r="J287" s="8" t="s">
        <v>1123</v>
      </c>
    </row>
    <row r="288" spans="1:10" x14ac:dyDescent="0.2">
      <c r="A288" s="6" t="s">
        <v>15</v>
      </c>
      <c r="B288" s="8" t="s">
        <v>25</v>
      </c>
      <c r="C288" s="8" t="s">
        <v>720</v>
      </c>
      <c r="D288" s="8" t="s">
        <v>721</v>
      </c>
      <c r="E288" s="8" t="s">
        <v>722</v>
      </c>
      <c r="F288" s="8">
        <v>8.9318157300000003</v>
      </c>
      <c r="G288" s="8">
        <v>-1.018427985</v>
      </c>
      <c r="H288" s="6" t="str">
        <f t="shared" si="7"/>
        <v>Inverse</v>
      </c>
      <c r="I288" s="8" t="s">
        <v>50</v>
      </c>
      <c r="J288" s="8" t="s">
        <v>723</v>
      </c>
    </row>
    <row r="289" spans="1:10" x14ac:dyDescent="0.2">
      <c r="A289" s="6" t="s">
        <v>15</v>
      </c>
      <c r="B289" s="8" t="s">
        <v>25</v>
      </c>
      <c r="C289" s="8" t="s">
        <v>1124</v>
      </c>
      <c r="D289" s="8" t="s">
        <v>1125</v>
      </c>
      <c r="E289" s="8" t="s">
        <v>1126</v>
      </c>
      <c r="F289" s="8">
        <v>-1.0565012460000001</v>
      </c>
      <c r="G289" s="8">
        <v>-1.165924773</v>
      </c>
      <c r="H289" s="6" t="str">
        <f t="shared" si="7"/>
        <v>Direct</v>
      </c>
      <c r="I289" s="8" t="s">
        <v>1127</v>
      </c>
      <c r="J289" s="8" t="s">
        <v>1127</v>
      </c>
    </row>
    <row r="290" spans="1:10" x14ac:dyDescent="0.2">
      <c r="A290" s="6" t="s">
        <v>15</v>
      </c>
      <c r="B290" s="8" t="s">
        <v>25</v>
      </c>
      <c r="C290" s="8" t="s">
        <v>1128</v>
      </c>
      <c r="D290" s="8" t="s">
        <v>1129</v>
      </c>
      <c r="E290" s="8" t="s">
        <v>1130</v>
      </c>
      <c r="F290" s="8">
        <v>-1.2517013260000001</v>
      </c>
      <c r="G290" s="8">
        <v>2.2446374410000001</v>
      </c>
      <c r="H290" s="6" t="str">
        <f t="shared" si="7"/>
        <v>Inverse</v>
      </c>
      <c r="I290" s="8" t="s">
        <v>1131</v>
      </c>
      <c r="J290" s="8" t="s">
        <v>1131</v>
      </c>
    </row>
    <row r="291" spans="1:10" x14ac:dyDescent="0.2">
      <c r="A291" s="6" t="s">
        <v>15</v>
      </c>
      <c r="B291" s="8" t="s">
        <v>25</v>
      </c>
      <c r="C291" s="8" t="s">
        <v>1132</v>
      </c>
      <c r="D291" s="8" t="s">
        <v>1133</v>
      </c>
      <c r="E291" s="8" t="s">
        <v>1134</v>
      </c>
      <c r="F291" s="8">
        <v>-1.0263675919999999</v>
      </c>
      <c r="G291" s="8">
        <v>-2.3940679949999999</v>
      </c>
      <c r="H291" s="6" t="str">
        <f t="shared" si="7"/>
        <v>Direct</v>
      </c>
      <c r="I291" s="8" t="s">
        <v>1135</v>
      </c>
      <c r="J291" s="8" t="s">
        <v>1135</v>
      </c>
    </row>
    <row r="292" spans="1:10" x14ac:dyDescent="0.2">
      <c r="A292" s="6" t="s">
        <v>15</v>
      </c>
      <c r="B292" s="8" t="s">
        <v>25</v>
      </c>
      <c r="C292" s="8" t="s">
        <v>1136</v>
      </c>
      <c r="D292" s="8" t="s">
        <v>1137</v>
      </c>
      <c r="E292" s="8" t="s">
        <v>1138</v>
      </c>
      <c r="F292" s="8">
        <v>3.4814064259999999</v>
      </c>
      <c r="G292" s="8">
        <v>1.774017392</v>
      </c>
      <c r="H292" s="6" t="str">
        <f t="shared" si="7"/>
        <v>Direct</v>
      </c>
      <c r="I292" s="8" t="s">
        <v>50</v>
      </c>
      <c r="J292" s="8" t="s">
        <v>288</v>
      </c>
    </row>
    <row r="293" spans="1:10" x14ac:dyDescent="0.2">
      <c r="A293" s="6" t="s">
        <v>15</v>
      </c>
      <c r="B293" s="8" t="s">
        <v>25</v>
      </c>
      <c r="C293" s="8" t="s">
        <v>752</v>
      </c>
      <c r="D293" s="8" t="s">
        <v>753</v>
      </c>
      <c r="E293" s="8" t="s">
        <v>754</v>
      </c>
      <c r="F293" s="8">
        <v>1.23420887</v>
      </c>
      <c r="G293" s="8">
        <v>1.3019471039999999</v>
      </c>
      <c r="H293" s="6" t="str">
        <f t="shared" si="7"/>
        <v>Direct</v>
      </c>
      <c r="I293" s="8" t="s">
        <v>755</v>
      </c>
      <c r="J293" s="8" t="s">
        <v>755</v>
      </c>
    </row>
    <row r="294" spans="1:10" x14ac:dyDescent="0.2">
      <c r="A294" s="6" t="s">
        <v>15</v>
      </c>
      <c r="B294" s="8" t="s">
        <v>25</v>
      </c>
      <c r="C294" s="8" t="s">
        <v>1139</v>
      </c>
      <c r="D294" s="8" t="s">
        <v>1140</v>
      </c>
      <c r="E294" s="8" t="s">
        <v>1141</v>
      </c>
      <c r="F294" s="8">
        <v>-1.000581511</v>
      </c>
      <c r="G294" s="8">
        <v>-1.522343615</v>
      </c>
      <c r="H294" s="6" t="str">
        <f t="shared" si="7"/>
        <v>Direct</v>
      </c>
      <c r="I294" s="8" t="s">
        <v>1142</v>
      </c>
      <c r="J294" s="8" t="s">
        <v>1142</v>
      </c>
    </row>
    <row r="295" spans="1:10" x14ac:dyDescent="0.2">
      <c r="A295" s="6" t="s">
        <v>15</v>
      </c>
      <c r="B295" s="8" t="s">
        <v>25</v>
      </c>
      <c r="C295" s="8" t="s">
        <v>1143</v>
      </c>
      <c r="D295" s="8" t="s">
        <v>1144</v>
      </c>
      <c r="E295" s="8" t="s">
        <v>1145</v>
      </c>
      <c r="F295" s="8">
        <v>-2.2152170560000002</v>
      </c>
      <c r="G295" s="8">
        <v>-1.0213940050000001</v>
      </c>
      <c r="H295" s="6" t="str">
        <f t="shared" si="7"/>
        <v>Direct</v>
      </c>
      <c r="I295" s="8" t="s">
        <v>1146</v>
      </c>
      <c r="J295" s="8" t="s">
        <v>1146</v>
      </c>
    </row>
    <row r="296" spans="1:10" x14ac:dyDescent="0.2">
      <c r="A296" s="6" t="s">
        <v>15</v>
      </c>
      <c r="B296" s="8" t="s">
        <v>30</v>
      </c>
      <c r="C296" s="8" t="s">
        <v>1147</v>
      </c>
      <c r="D296" s="8" t="s">
        <v>1148</v>
      </c>
      <c r="E296" s="8" t="s">
        <v>1149</v>
      </c>
      <c r="F296" s="8">
        <v>3.097387087</v>
      </c>
      <c r="G296" s="8">
        <v>2.0585880489999999</v>
      </c>
      <c r="H296" s="6" t="str">
        <f t="shared" si="7"/>
        <v>Direct</v>
      </c>
      <c r="I296" s="8" t="s">
        <v>810</v>
      </c>
      <c r="J296" s="8" t="s">
        <v>1150</v>
      </c>
    </row>
    <row r="297" spans="1:10" x14ac:dyDescent="0.2">
      <c r="A297" s="6" t="s">
        <v>15</v>
      </c>
      <c r="B297" s="8" t="s">
        <v>30</v>
      </c>
      <c r="C297" s="8" t="s">
        <v>17</v>
      </c>
      <c r="D297" s="8" t="s">
        <v>18</v>
      </c>
      <c r="E297" s="8" t="s">
        <v>19</v>
      </c>
      <c r="F297" s="8">
        <v>1.332771269</v>
      </c>
      <c r="G297" s="8">
        <v>-2.314326179</v>
      </c>
      <c r="H297" s="6" t="str">
        <f t="shared" si="7"/>
        <v>Inverse</v>
      </c>
      <c r="I297" s="8" t="s">
        <v>20</v>
      </c>
      <c r="J297" s="8" t="s">
        <v>20</v>
      </c>
    </row>
    <row r="298" spans="1:10" x14ac:dyDescent="0.2">
      <c r="A298" s="6" t="s">
        <v>15</v>
      </c>
      <c r="B298" s="8" t="s">
        <v>30</v>
      </c>
      <c r="C298" s="8" t="s">
        <v>1151</v>
      </c>
      <c r="D298" s="8" t="s">
        <v>1152</v>
      </c>
      <c r="E298" s="8" t="s">
        <v>1153</v>
      </c>
      <c r="F298" s="8">
        <v>-1.8817260179999999</v>
      </c>
      <c r="G298" s="8">
        <v>1.2104585409999999</v>
      </c>
      <c r="H298" s="6" t="str">
        <f t="shared" si="7"/>
        <v>Inverse</v>
      </c>
      <c r="I298" s="8" t="s">
        <v>50</v>
      </c>
      <c r="J298" s="8" t="s">
        <v>1154</v>
      </c>
    </row>
    <row r="299" spans="1:10" x14ac:dyDescent="0.2">
      <c r="A299" s="6" t="s">
        <v>15</v>
      </c>
      <c r="B299" s="8" t="s">
        <v>30</v>
      </c>
      <c r="C299" s="8" t="s">
        <v>1155</v>
      </c>
      <c r="D299" s="8" t="s">
        <v>1156</v>
      </c>
      <c r="E299" s="8" t="s">
        <v>1157</v>
      </c>
      <c r="F299" s="8">
        <v>-1.2961152490000001</v>
      </c>
      <c r="G299" s="8">
        <v>-3.4084528779999999</v>
      </c>
      <c r="H299" s="6" t="str">
        <f t="shared" si="7"/>
        <v>Direct</v>
      </c>
      <c r="I299" s="8" t="s">
        <v>1158</v>
      </c>
      <c r="J299" s="8" t="s">
        <v>1159</v>
      </c>
    </row>
    <row r="300" spans="1:10" x14ac:dyDescent="0.2">
      <c r="A300" s="6" t="s">
        <v>15</v>
      </c>
      <c r="B300" s="8" t="s">
        <v>30</v>
      </c>
      <c r="C300" s="8" t="s">
        <v>807</v>
      </c>
      <c r="D300" s="8" t="s">
        <v>808</v>
      </c>
      <c r="E300" s="8" t="s">
        <v>809</v>
      </c>
      <c r="F300" s="8">
        <v>-2.6590057809999998</v>
      </c>
      <c r="G300" s="8">
        <v>5.6517782140000001</v>
      </c>
      <c r="H300" s="6" t="str">
        <f t="shared" si="7"/>
        <v>Inverse</v>
      </c>
      <c r="I300" s="8" t="s">
        <v>810</v>
      </c>
      <c r="J300" s="8" t="s">
        <v>810</v>
      </c>
    </row>
    <row r="301" spans="1:10" x14ac:dyDescent="0.2">
      <c r="A301" s="6" t="s">
        <v>15</v>
      </c>
      <c r="B301" s="8" t="s">
        <v>30</v>
      </c>
      <c r="C301" s="8" t="s">
        <v>1160</v>
      </c>
      <c r="D301" s="8" t="s">
        <v>1161</v>
      </c>
      <c r="E301" s="8" t="s">
        <v>1162</v>
      </c>
      <c r="F301" s="8">
        <v>-2.1390456539999998</v>
      </c>
      <c r="G301" s="8">
        <v>-2.2718721369999999</v>
      </c>
      <c r="H301" s="6" t="str">
        <f t="shared" si="7"/>
        <v>Direct</v>
      </c>
      <c r="I301" s="8" t="s">
        <v>1163</v>
      </c>
      <c r="J301" s="8" t="s">
        <v>1163</v>
      </c>
    </row>
    <row r="302" spans="1:10" x14ac:dyDescent="0.2">
      <c r="A302" s="6" t="s">
        <v>15</v>
      </c>
      <c r="B302" s="8" t="s">
        <v>30</v>
      </c>
      <c r="C302" s="8" t="s">
        <v>99</v>
      </c>
      <c r="D302" s="8" t="s">
        <v>100</v>
      </c>
      <c r="E302" s="8" t="s">
        <v>101</v>
      </c>
      <c r="F302" s="8">
        <v>1.7849230789999999</v>
      </c>
      <c r="G302" s="8">
        <v>-1.0571377200000001</v>
      </c>
      <c r="H302" s="6" t="str">
        <f t="shared" si="7"/>
        <v>Inverse</v>
      </c>
      <c r="I302" s="8" t="s">
        <v>102</v>
      </c>
      <c r="J302" s="8" t="s">
        <v>102</v>
      </c>
    </row>
    <row r="303" spans="1:10" x14ac:dyDescent="0.2">
      <c r="A303" s="6" t="s">
        <v>15</v>
      </c>
      <c r="B303" s="8" t="s">
        <v>30</v>
      </c>
      <c r="C303" s="8" t="s">
        <v>1164</v>
      </c>
      <c r="D303" s="8" t="s">
        <v>1165</v>
      </c>
      <c r="E303" s="8" t="s">
        <v>1166</v>
      </c>
      <c r="F303" s="8">
        <v>-1.386591116</v>
      </c>
      <c r="G303" s="8">
        <v>-2.2705682039999999</v>
      </c>
      <c r="H303" s="6" t="str">
        <f t="shared" si="7"/>
        <v>Direct</v>
      </c>
      <c r="I303" s="8" t="s">
        <v>1167</v>
      </c>
      <c r="J303" s="8" t="s">
        <v>445</v>
      </c>
    </row>
    <row r="304" spans="1:10" x14ac:dyDescent="0.2">
      <c r="A304" s="6" t="s">
        <v>15</v>
      </c>
      <c r="B304" s="8" t="s">
        <v>30</v>
      </c>
      <c r="C304" s="8" t="s">
        <v>1168</v>
      </c>
      <c r="D304" s="8" t="s">
        <v>1169</v>
      </c>
      <c r="E304" s="8" t="s">
        <v>1170</v>
      </c>
      <c r="F304" s="8">
        <v>1.231987173</v>
      </c>
      <c r="G304" s="8">
        <v>1.9054644489999999</v>
      </c>
      <c r="H304" s="6" t="str">
        <f t="shared" si="7"/>
        <v>Direct</v>
      </c>
      <c r="I304" s="8" t="s">
        <v>50</v>
      </c>
      <c r="J304" s="8" t="s">
        <v>1171</v>
      </c>
    </row>
    <row r="305" spans="1:10" x14ac:dyDescent="0.2">
      <c r="A305" s="6" t="s">
        <v>15</v>
      </c>
      <c r="B305" s="8" t="s">
        <v>30</v>
      </c>
      <c r="C305" s="8" t="s">
        <v>1172</v>
      </c>
      <c r="D305" s="8" t="s">
        <v>1173</v>
      </c>
      <c r="E305" s="8" t="s">
        <v>1174</v>
      </c>
      <c r="F305" s="8">
        <v>1.35217455</v>
      </c>
      <c r="G305" s="8">
        <v>2.8086720299999999</v>
      </c>
      <c r="H305" s="6" t="str">
        <f t="shared" si="7"/>
        <v>Direct</v>
      </c>
      <c r="I305" s="8" t="s">
        <v>1175</v>
      </c>
      <c r="J305" s="8" t="s">
        <v>1175</v>
      </c>
    </row>
    <row r="306" spans="1:10" x14ac:dyDescent="0.2">
      <c r="A306" s="6" t="s">
        <v>15</v>
      </c>
      <c r="B306" s="8" t="s">
        <v>30</v>
      </c>
      <c r="C306" s="8" t="s">
        <v>1176</v>
      </c>
      <c r="D306" s="8" t="s">
        <v>1177</v>
      </c>
      <c r="E306" s="8" t="s">
        <v>1178</v>
      </c>
      <c r="F306" s="8">
        <v>1.2070767549999999</v>
      </c>
      <c r="G306" s="8">
        <v>3.218503551</v>
      </c>
      <c r="H306" s="6" t="str">
        <f t="shared" si="7"/>
        <v>Direct</v>
      </c>
      <c r="I306" s="8" t="s">
        <v>1179</v>
      </c>
      <c r="J306" s="8" t="s">
        <v>1180</v>
      </c>
    </row>
    <row r="307" spans="1:10" x14ac:dyDescent="0.2">
      <c r="A307" s="6" t="s">
        <v>15</v>
      </c>
      <c r="B307" s="8" t="s">
        <v>30</v>
      </c>
      <c r="C307" s="8" t="s">
        <v>1181</v>
      </c>
      <c r="D307" s="8" t="s">
        <v>1182</v>
      </c>
      <c r="E307" s="8" t="s">
        <v>1183</v>
      </c>
      <c r="F307" s="8">
        <v>4.7413945560000004</v>
      </c>
      <c r="G307" s="8">
        <v>1.887883392</v>
      </c>
      <c r="H307" s="6" t="str">
        <f t="shared" si="7"/>
        <v>Direct</v>
      </c>
      <c r="I307" s="8" t="s">
        <v>1184</v>
      </c>
      <c r="J307" s="8" t="s">
        <v>1184</v>
      </c>
    </row>
    <row r="308" spans="1:10" x14ac:dyDescent="0.2">
      <c r="A308" s="6" t="s">
        <v>15</v>
      </c>
      <c r="B308" s="8" t="s">
        <v>30</v>
      </c>
      <c r="C308" s="8" t="s">
        <v>1185</v>
      </c>
      <c r="D308" s="8" t="s">
        <v>1186</v>
      </c>
      <c r="E308" s="8" t="s">
        <v>1187</v>
      </c>
      <c r="F308" s="8">
        <v>-1.4147821759999999</v>
      </c>
      <c r="G308" s="8">
        <v>1.3067897500000001</v>
      </c>
      <c r="H308" s="6" t="str">
        <f t="shared" si="7"/>
        <v>Inverse</v>
      </c>
      <c r="I308" s="8" t="s">
        <v>50</v>
      </c>
      <c r="J308" s="8" t="s">
        <v>810</v>
      </c>
    </row>
    <row r="309" spans="1:10" x14ac:dyDescent="0.2">
      <c r="A309" s="6" t="s">
        <v>15</v>
      </c>
      <c r="B309" s="8" t="s">
        <v>30</v>
      </c>
      <c r="C309" s="8" t="s">
        <v>164</v>
      </c>
      <c r="D309" s="8" t="s">
        <v>165</v>
      </c>
      <c r="E309" s="8" t="s">
        <v>166</v>
      </c>
      <c r="F309" s="8">
        <v>-4.1513091219999998</v>
      </c>
      <c r="G309" s="8">
        <v>-1.088411912</v>
      </c>
      <c r="H309" s="6" t="str">
        <f t="shared" si="7"/>
        <v>Direct</v>
      </c>
      <c r="I309" s="8" t="s">
        <v>167</v>
      </c>
      <c r="J309" s="8" t="s">
        <v>167</v>
      </c>
    </row>
    <row r="310" spans="1:10" x14ac:dyDescent="0.2">
      <c r="A310" s="6" t="s">
        <v>15</v>
      </c>
      <c r="B310" s="8" t="s">
        <v>30</v>
      </c>
      <c r="C310" s="8" t="s">
        <v>1188</v>
      </c>
      <c r="D310" s="8" t="s">
        <v>1189</v>
      </c>
      <c r="E310" s="8" t="s">
        <v>1190</v>
      </c>
      <c r="F310" s="8">
        <v>3.7991524010000002</v>
      </c>
      <c r="G310" s="8">
        <v>-2.0381055579999998</v>
      </c>
      <c r="H310" s="6" t="str">
        <f t="shared" si="7"/>
        <v>Inverse</v>
      </c>
      <c r="I310" s="8" t="s">
        <v>1191</v>
      </c>
      <c r="J310" s="8" t="s">
        <v>1191</v>
      </c>
    </row>
    <row r="311" spans="1:10" x14ac:dyDescent="0.2">
      <c r="A311" s="6" t="s">
        <v>15</v>
      </c>
      <c r="B311" s="8" t="s">
        <v>30</v>
      </c>
      <c r="C311" s="8" t="s">
        <v>1192</v>
      </c>
      <c r="D311" s="8" t="s">
        <v>1193</v>
      </c>
      <c r="E311" s="8" t="s">
        <v>1194</v>
      </c>
      <c r="F311" s="8">
        <v>-2.3184570760000001</v>
      </c>
      <c r="G311" s="8">
        <v>2.138770772</v>
      </c>
      <c r="H311" s="6" t="str">
        <f t="shared" si="7"/>
        <v>Inverse</v>
      </c>
      <c r="I311" s="8" t="s">
        <v>50</v>
      </c>
      <c r="J311" s="8" t="s">
        <v>379</v>
      </c>
    </row>
    <row r="312" spans="1:10" x14ac:dyDescent="0.2">
      <c r="A312" s="6" t="s">
        <v>15</v>
      </c>
      <c r="B312" s="8" t="s">
        <v>30</v>
      </c>
      <c r="C312" s="8" t="s">
        <v>1195</v>
      </c>
      <c r="D312" s="8" t="s">
        <v>1196</v>
      </c>
      <c r="E312" s="8" t="s">
        <v>1197</v>
      </c>
      <c r="F312" s="8">
        <v>-1.221121651</v>
      </c>
      <c r="G312" s="8">
        <v>-1.7196721150000001</v>
      </c>
      <c r="H312" s="6" t="str">
        <f t="shared" si="7"/>
        <v>Direct</v>
      </c>
      <c r="I312" s="8" t="s">
        <v>1198</v>
      </c>
      <c r="J312" s="8" t="s">
        <v>1199</v>
      </c>
    </row>
    <row r="313" spans="1:10" x14ac:dyDescent="0.2">
      <c r="A313" s="6" t="s">
        <v>15</v>
      </c>
      <c r="B313" s="8" t="s">
        <v>30</v>
      </c>
      <c r="C313" s="8" t="s">
        <v>1200</v>
      </c>
      <c r="D313" s="8" t="s">
        <v>1201</v>
      </c>
      <c r="E313" s="8" t="s">
        <v>1202</v>
      </c>
      <c r="F313" s="8">
        <v>1.110428559</v>
      </c>
      <c r="G313" s="8">
        <v>-1.2341344519999999</v>
      </c>
      <c r="H313" s="6" t="str">
        <f t="shared" si="7"/>
        <v>Inverse</v>
      </c>
      <c r="I313" s="8" t="s">
        <v>1203</v>
      </c>
      <c r="J313" s="8" t="s">
        <v>1203</v>
      </c>
    </row>
    <row r="314" spans="1:10" x14ac:dyDescent="0.2">
      <c r="A314" s="6" t="s">
        <v>15</v>
      </c>
      <c r="B314" s="8" t="s">
        <v>30</v>
      </c>
      <c r="C314" s="8" t="s">
        <v>1204</v>
      </c>
      <c r="D314" s="8" t="s">
        <v>1205</v>
      </c>
      <c r="E314" s="8" t="s">
        <v>1206</v>
      </c>
      <c r="F314" s="8">
        <v>-1.644603107</v>
      </c>
      <c r="G314" s="8">
        <v>-1.14845362</v>
      </c>
      <c r="H314" s="6" t="str">
        <f t="shared" si="7"/>
        <v>Direct</v>
      </c>
      <c r="I314" s="8" t="s">
        <v>1207</v>
      </c>
      <c r="J314" s="8" t="s">
        <v>1207</v>
      </c>
    </row>
    <row r="315" spans="1:10" x14ac:dyDescent="0.2">
      <c r="A315" s="6" t="s">
        <v>15</v>
      </c>
      <c r="B315" s="8" t="s">
        <v>30</v>
      </c>
      <c r="C315" s="8" t="s">
        <v>260</v>
      </c>
      <c r="D315" s="8" t="s">
        <v>261</v>
      </c>
      <c r="E315" s="8" t="s">
        <v>262</v>
      </c>
      <c r="F315" s="8">
        <v>-2.3667266339999999</v>
      </c>
      <c r="G315" s="8">
        <v>1.6088334799999999</v>
      </c>
      <c r="H315" s="6" t="str">
        <f t="shared" si="7"/>
        <v>Inverse</v>
      </c>
      <c r="I315" s="8" t="s">
        <v>263</v>
      </c>
      <c r="J315" s="8" t="s">
        <v>264</v>
      </c>
    </row>
    <row r="316" spans="1:10" x14ac:dyDescent="0.2">
      <c r="A316" s="6" t="s">
        <v>15</v>
      </c>
      <c r="B316" s="8" t="s">
        <v>30</v>
      </c>
      <c r="C316" s="8" t="s">
        <v>298</v>
      </c>
      <c r="D316" s="8" t="s">
        <v>299</v>
      </c>
      <c r="E316" s="8" t="s">
        <v>300</v>
      </c>
      <c r="F316" s="8">
        <v>-1.611204973</v>
      </c>
      <c r="G316" s="8">
        <v>-1.0542949509999999</v>
      </c>
      <c r="H316" s="6" t="str">
        <f t="shared" si="7"/>
        <v>Direct</v>
      </c>
      <c r="I316" s="8" t="s">
        <v>301</v>
      </c>
      <c r="J316" s="8" t="s">
        <v>301</v>
      </c>
    </row>
    <row r="317" spans="1:10" x14ac:dyDescent="0.2">
      <c r="A317" s="6" t="s">
        <v>15</v>
      </c>
      <c r="B317" s="8" t="s">
        <v>30</v>
      </c>
      <c r="C317" s="8" t="s">
        <v>1208</v>
      </c>
      <c r="D317" s="8" t="s">
        <v>1209</v>
      </c>
      <c r="E317" s="8" t="s">
        <v>1210</v>
      </c>
      <c r="F317" s="8">
        <v>-1.48329439</v>
      </c>
      <c r="G317" s="8">
        <v>1.285669991</v>
      </c>
      <c r="H317" s="6" t="str">
        <f t="shared" si="7"/>
        <v>Inverse</v>
      </c>
      <c r="I317" s="8" t="s">
        <v>1211</v>
      </c>
      <c r="J317" s="8" t="s">
        <v>1211</v>
      </c>
    </row>
    <row r="318" spans="1:10" x14ac:dyDescent="0.2">
      <c r="A318" s="6" t="s">
        <v>15</v>
      </c>
      <c r="B318" s="8" t="s">
        <v>30</v>
      </c>
      <c r="C318" s="8" t="s">
        <v>1212</v>
      </c>
      <c r="D318" s="8" t="s">
        <v>1213</v>
      </c>
      <c r="E318" s="8" t="s">
        <v>1214</v>
      </c>
      <c r="F318" s="8">
        <v>-1.041780473</v>
      </c>
      <c r="G318" s="8">
        <v>1.3119981839999999</v>
      </c>
      <c r="H318" s="6" t="str">
        <f t="shared" si="7"/>
        <v>Inverse</v>
      </c>
      <c r="I318" s="8" t="s">
        <v>1215</v>
      </c>
      <c r="J318" s="8" t="s">
        <v>1215</v>
      </c>
    </row>
    <row r="319" spans="1:10" x14ac:dyDescent="0.2">
      <c r="A319" s="6" t="s">
        <v>15</v>
      </c>
      <c r="B319" s="8" t="s">
        <v>30</v>
      </c>
      <c r="C319" s="8" t="s">
        <v>1216</v>
      </c>
      <c r="D319" s="8" t="s">
        <v>1217</v>
      </c>
      <c r="E319" s="8" t="s">
        <v>1218</v>
      </c>
      <c r="F319" s="8">
        <v>1.228695189</v>
      </c>
      <c r="G319" s="8">
        <v>2.3259770450000001</v>
      </c>
      <c r="H319" s="6" t="str">
        <f t="shared" si="7"/>
        <v>Direct</v>
      </c>
      <c r="I319" s="8" t="s">
        <v>50</v>
      </c>
      <c r="J319" s="8" t="s">
        <v>55</v>
      </c>
    </row>
    <row r="320" spans="1:10" x14ac:dyDescent="0.2">
      <c r="A320" s="6" t="s">
        <v>15</v>
      </c>
      <c r="B320" s="8" t="s">
        <v>30</v>
      </c>
      <c r="C320" s="8" t="s">
        <v>1219</v>
      </c>
      <c r="D320" s="8" t="s">
        <v>1220</v>
      </c>
      <c r="E320" s="8" t="s">
        <v>1221</v>
      </c>
      <c r="F320" s="8">
        <v>-1.446846877</v>
      </c>
      <c r="G320" s="8">
        <v>-1.814633886</v>
      </c>
      <c r="H320" s="6" t="str">
        <f t="shared" si="7"/>
        <v>Direct</v>
      </c>
      <c r="I320" s="8" t="s">
        <v>1222</v>
      </c>
      <c r="J320" s="8" t="s">
        <v>1222</v>
      </c>
    </row>
    <row r="321" spans="1:10" x14ac:dyDescent="0.2">
      <c r="A321" s="6" t="s">
        <v>15</v>
      </c>
      <c r="B321" s="8" t="s">
        <v>30</v>
      </c>
      <c r="C321" s="8" t="s">
        <v>1223</v>
      </c>
      <c r="D321" s="8" t="s">
        <v>1224</v>
      </c>
      <c r="E321" s="8" t="s">
        <v>1225</v>
      </c>
      <c r="F321" s="8">
        <v>1.1573220790000001</v>
      </c>
      <c r="G321" s="8">
        <v>1.0447997529999999</v>
      </c>
      <c r="H321" s="6" t="str">
        <f t="shared" si="7"/>
        <v>Direct</v>
      </c>
      <c r="I321" s="8" t="s">
        <v>1226</v>
      </c>
      <c r="J321" s="8" t="s">
        <v>1227</v>
      </c>
    </row>
    <row r="322" spans="1:10" x14ac:dyDescent="0.2">
      <c r="A322" s="6" t="s">
        <v>15</v>
      </c>
      <c r="B322" s="8" t="s">
        <v>30</v>
      </c>
      <c r="C322" s="8" t="s">
        <v>1228</v>
      </c>
      <c r="D322" s="8" t="s">
        <v>1229</v>
      </c>
      <c r="E322" s="8" t="s">
        <v>1230</v>
      </c>
      <c r="F322" s="8">
        <v>1.221399922</v>
      </c>
      <c r="G322" s="8">
        <v>1.040261855</v>
      </c>
      <c r="H322" s="6" t="str">
        <f t="shared" si="7"/>
        <v>Direct</v>
      </c>
      <c r="I322" s="8" t="s">
        <v>1231</v>
      </c>
      <c r="J322" s="8" t="s">
        <v>1231</v>
      </c>
    </row>
    <row r="323" spans="1:10" x14ac:dyDescent="0.2">
      <c r="A323" s="6" t="s">
        <v>15</v>
      </c>
      <c r="B323" s="8" t="s">
        <v>30</v>
      </c>
      <c r="C323" s="8" t="s">
        <v>455</v>
      </c>
      <c r="D323" s="8" t="s">
        <v>456</v>
      </c>
      <c r="E323" s="8" t="s">
        <v>457</v>
      </c>
      <c r="F323" s="8">
        <v>2.3045428650000002</v>
      </c>
      <c r="G323" s="8">
        <v>-1.3096360680000001</v>
      </c>
      <c r="H323" s="6" t="str">
        <f t="shared" si="7"/>
        <v>Inverse</v>
      </c>
      <c r="I323" s="8" t="s">
        <v>458</v>
      </c>
      <c r="J323" s="8" t="s">
        <v>459</v>
      </c>
    </row>
    <row r="324" spans="1:10" x14ac:dyDescent="0.2">
      <c r="A324" s="6" t="s">
        <v>15</v>
      </c>
      <c r="B324" s="8" t="s">
        <v>30</v>
      </c>
      <c r="C324" s="8" t="s">
        <v>1232</v>
      </c>
      <c r="D324" s="8" t="s">
        <v>1233</v>
      </c>
      <c r="E324" s="8" t="s">
        <v>1234</v>
      </c>
      <c r="F324" s="8">
        <v>2.229319496</v>
      </c>
      <c r="G324" s="8">
        <v>1.1305548999999999</v>
      </c>
      <c r="H324" s="6" t="str">
        <f t="shared" si="7"/>
        <v>Direct</v>
      </c>
      <c r="I324" s="8" t="s">
        <v>50</v>
      </c>
      <c r="J324" s="8" t="s">
        <v>50</v>
      </c>
    </row>
    <row r="325" spans="1:10" x14ac:dyDescent="0.2">
      <c r="A325" s="6" t="s">
        <v>15</v>
      </c>
      <c r="B325" s="8" t="s">
        <v>30</v>
      </c>
      <c r="C325" s="8" t="s">
        <v>1235</v>
      </c>
      <c r="D325" s="8" t="s">
        <v>1236</v>
      </c>
      <c r="E325" s="8" t="s">
        <v>1237</v>
      </c>
      <c r="F325" s="8">
        <v>1.299869138</v>
      </c>
      <c r="G325" s="8">
        <v>-1.339350413</v>
      </c>
      <c r="H325" s="6" t="str">
        <f t="shared" si="7"/>
        <v>Inverse</v>
      </c>
      <c r="I325" s="8" t="s">
        <v>50</v>
      </c>
      <c r="J325" s="8" t="s">
        <v>1238</v>
      </c>
    </row>
    <row r="326" spans="1:10" x14ac:dyDescent="0.2">
      <c r="A326" s="6" t="s">
        <v>15</v>
      </c>
      <c r="B326" s="8" t="s">
        <v>30</v>
      </c>
      <c r="C326" s="8" t="s">
        <v>473</v>
      </c>
      <c r="D326" s="8" t="s">
        <v>474</v>
      </c>
      <c r="E326" s="8" t="s">
        <v>475</v>
      </c>
      <c r="F326" s="8">
        <v>-2.9775305250000002</v>
      </c>
      <c r="G326" s="8">
        <v>-1.289466402</v>
      </c>
      <c r="H326" s="6" t="str">
        <f t="shared" si="7"/>
        <v>Direct</v>
      </c>
      <c r="I326" s="8" t="s">
        <v>476</v>
      </c>
      <c r="J326" s="8" t="s">
        <v>476</v>
      </c>
    </row>
    <row r="327" spans="1:10" x14ac:dyDescent="0.2">
      <c r="A327" s="6" t="s">
        <v>15</v>
      </c>
      <c r="B327" s="8" t="s">
        <v>30</v>
      </c>
      <c r="C327" s="8" t="s">
        <v>938</v>
      </c>
      <c r="D327" s="8" t="s">
        <v>939</v>
      </c>
      <c r="E327" s="8" t="s">
        <v>940</v>
      </c>
      <c r="F327" s="8">
        <v>1.6277820730000001</v>
      </c>
      <c r="G327" s="8">
        <v>1.4799556519999999</v>
      </c>
      <c r="H327" s="6" t="str">
        <f t="shared" si="7"/>
        <v>Direct</v>
      </c>
      <c r="I327" s="8" t="s">
        <v>445</v>
      </c>
      <c r="J327" s="8" t="s">
        <v>445</v>
      </c>
    </row>
    <row r="328" spans="1:10" x14ac:dyDescent="0.2">
      <c r="A328" s="6" t="s">
        <v>15</v>
      </c>
      <c r="B328" s="8" t="s">
        <v>30</v>
      </c>
      <c r="C328" s="8" t="s">
        <v>1239</v>
      </c>
      <c r="D328" s="8" t="s">
        <v>1240</v>
      </c>
      <c r="E328" s="8" t="s">
        <v>1241</v>
      </c>
      <c r="F328" s="8">
        <v>1.0407977289999999</v>
      </c>
      <c r="G328" s="8">
        <v>-1.3431919779999999</v>
      </c>
      <c r="H328" s="6" t="str">
        <f t="shared" si="7"/>
        <v>Inverse</v>
      </c>
      <c r="I328" s="8" t="s">
        <v>1242</v>
      </c>
      <c r="J328" s="8" t="s">
        <v>1242</v>
      </c>
    </row>
    <row r="329" spans="1:10" x14ac:dyDescent="0.2">
      <c r="A329" s="6" t="s">
        <v>15</v>
      </c>
      <c r="B329" s="8" t="s">
        <v>30</v>
      </c>
      <c r="C329" s="8" t="s">
        <v>1243</v>
      </c>
      <c r="D329" s="8" t="s">
        <v>1244</v>
      </c>
      <c r="E329" s="8" t="s">
        <v>1245</v>
      </c>
      <c r="F329" s="8">
        <v>1.0042623470000001</v>
      </c>
      <c r="G329" s="8">
        <v>-1.062573548</v>
      </c>
      <c r="H329" s="6" t="str">
        <f t="shared" si="7"/>
        <v>Inverse</v>
      </c>
      <c r="I329" s="8" t="s">
        <v>1246</v>
      </c>
      <c r="J329" s="8" t="s">
        <v>1246</v>
      </c>
    </row>
    <row r="330" spans="1:10" x14ac:dyDescent="0.2">
      <c r="A330" s="6" t="s">
        <v>15</v>
      </c>
      <c r="B330" s="8" t="s">
        <v>30</v>
      </c>
      <c r="C330" s="8" t="s">
        <v>485</v>
      </c>
      <c r="D330" s="8" t="s">
        <v>486</v>
      </c>
      <c r="E330" s="8" t="s">
        <v>487</v>
      </c>
      <c r="F330" s="8">
        <v>1.3659505240000001</v>
      </c>
      <c r="G330" s="8">
        <v>-1.8802921770000001</v>
      </c>
      <c r="H330" s="6" t="str">
        <f t="shared" si="7"/>
        <v>Inverse</v>
      </c>
      <c r="I330" s="8" t="s">
        <v>50</v>
      </c>
      <c r="J330" s="8" t="s">
        <v>488</v>
      </c>
    </row>
    <row r="331" spans="1:10" x14ac:dyDescent="0.2">
      <c r="A331" s="6" t="s">
        <v>15</v>
      </c>
      <c r="B331" s="8" t="s">
        <v>30</v>
      </c>
      <c r="C331" s="8" t="s">
        <v>1247</v>
      </c>
      <c r="D331" s="8" t="s">
        <v>1248</v>
      </c>
      <c r="E331" s="8" t="s">
        <v>1249</v>
      </c>
      <c r="F331" s="8">
        <v>-1.8874040160000001</v>
      </c>
      <c r="G331" s="8">
        <v>-1.3144288019999999</v>
      </c>
      <c r="H331" s="6" t="str">
        <f t="shared" si="7"/>
        <v>Direct</v>
      </c>
      <c r="I331" s="8" t="s">
        <v>1250</v>
      </c>
      <c r="J331" s="8" t="s">
        <v>1250</v>
      </c>
    </row>
    <row r="332" spans="1:10" x14ac:dyDescent="0.2">
      <c r="A332" s="6" t="s">
        <v>15</v>
      </c>
      <c r="B332" s="8" t="s">
        <v>30</v>
      </c>
      <c r="C332" s="8" t="s">
        <v>1251</v>
      </c>
      <c r="D332" s="8" t="s">
        <v>1252</v>
      </c>
      <c r="E332" s="8" t="s">
        <v>1253</v>
      </c>
      <c r="F332" s="8">
        <v>1.681886456</v>
      </c>
      <c r="G332" s="8">
        <v>-1.087531698</v>
      </c>
      <c r="H332" s="6" t="str">
        <f t="shared" si="7"/>
        <v>Inverse</v>
      </c>
      <c r="I332" s="8" t="s">
        <v>1254</v>
      </c>
      <c r="J332" s="8" t="s">
        <v>1255</v>
      </c>
    </row>
    <row r="333" spans="1:10" x14ac:dyDescent="0.2">
      <c r="A333" s="6" t="s">
        <v>15</v>
      </c>
      <c r="B333" s="8" t="s">
        <v>30</v>
      </c>
      <c r="C333" s="8" t="s">
        <v>975</v>
      </c>
      <c r="D333" s="8" t="s">
        <v>976</v>
      </c>
      <c r="E333" s="8" t="s">
        <v>977</v>
      </c>
      <c r="F333" s="8">
        <v>1.4690702840000001</v>
      </c>
      <c r="G333" s="8">
        <v>2.528625855</v>
      </c>
      <c r="H333" s="6" t="str">
        <f t="shared" si="7"/>
        <v>Direct</v>
      </c>
      <c r="I333" s="8" t="s">
        <v>50</v>
      </c>
      <c r="J333" s="8" t="s">
        <v>978</v>
      </c>
    </row>
    <row r="334" spans="1:10" x14ac:dyDescent="0.2">
      <c r="A334" s="6" t="s">
        <v>15</v>
      </c>
      <c r="B334" s="8" t="s">
        <v>30</v>
      </c>
      <c r="C334" s="8" t="s">
        <v>1256</v>
      </c>
      <c r="D334" s="8" t="s">
        <v>1257</v>
      </c>
      <c r="E334" s="8" t="s">
        <v>1258</v>
      </c>
      <c r="F334" s="8">
        <v>3.6551295979999998</v>
      </c>
      <c r="G334" s="8">
        <v>-1.5180207509999999</v>
      </c>
      <c r="H334" s="6" t="str">
        <f t="shared" si="7"/>
        <v>Inverse</v>
      </c>
      <c r="I334" s="8" t="s">
        <v>1259</v>
      </c>
      <c r="J334" s="8" t="s">
        <v>1259</v>
      </c>
    </row>
    <row r="335" spans="1:10" x14ac:dyDescent="0.2">
      <c r="A335" s="6" t="s">
        <v>15</v>
      </c>
      <c r="B335" s="8" t="s">
        <v>30</v>
      </c>
      <c r="C335" s="8" t="s">
        <v>1260</v>
      </c>
      <c r="D335" s="8" t="s">
        <v>1261</v>
      </c>
      <c r="E335" s="8" t="s">
        <v>1262</v>
      </c>
      <c r="F335" s="8">
        <v>-1.7744729130000001</v>
      </c>
      <c r="G335" s="8">
        <v>1.225339336</v>
      </c>
      <c r="H335" s="6" t="str">
        <f t="shared" si="7"/>
        <v>Inverse</v>
      </c>
      <c r="I335" s="8" t="s">
        <v>1039</v>
      </c>
      <c r="J335" s="8" t="s">
        <v>1039</v>
      </c>
    </row>
    <row r="336" spans="1:10" x14ac:dyDescent="0.2">
      <c r="A336" s="6" t="s">
        <v>15</v>
      </c>
      <c r="B336" s="8" t="s">
        <v>30</v>
      </c>
      <c r="C336" s="8" t="s">
        <v>1263</v>
      </c>
      <c r="D336" s="8" t="s">
        <v>1264</v>
      </c>
      <c r="E336" s="8" t="s">
        <v>1265</v>
      </c>
      <c r="F336" s="8">
        <v>-1.6124255750000001</v>
      </c>
      <c r="G336" s="8">
        <v>1.49355525</v>
      </c>
      <c r="H336" s="6" t="str">
        <f t="shared" si="7"/>
        <v>Inverse</v>
      </c>
      <c r="I336" s="8" t="s">
        <v>50</v>
      </c>
      <c r="J336" s="8" t="s">
        <v>1266</v>
      </c>
    </row>
    <row r="337" spans="1:10" x14ac:dyDescent="0.2">
      <c r="A337" s="6" t="s">
        <v>15</v>
      </c>
      <c r="B337" s="8" t="s">
        <v>30</v>
      </c>
      <c r="C337" s="8" t="s">
        <v>564</v>
      </c>
      <c r="D337" s="8" t="s">
        <v>565</v>
      </c>
      <c r="E337" s="8" t="s">
        <v>566</v>
      </c>
      <c r="F337" s="8">
        <v>1.9400686599999999</v>
      </c>
      <c r="G337" s="8">
        <v>1.064699048</v>
      </c>
      <c r="H337" s="6" t="str">
        <f t="shared" si="7"/>
        <v>Direct</v>
      </c>
      <c r="I337" s="8" t="s">
        <v>567</v>
      </c>
      <c r="J337" s="8" t="s">
        <v>567</v>
      </c>
    </row>
    <row r="338" spans="1:10" x14ac:dyDescent="0.2">
      <c r="A338" s="6" t="s">
        <v>15</v>
      </c>
      <c r="B338" s="8" t="s">
        <v>30</v>
      </c>
      <c r="C338" s="8" t="s">
        <v>568</v>
      </c>
      <c r="D338" s="8" t="s">
        <v>569</v>
      </c>
      <c r="E338" s="8" t="s">
        <v>570</v>
      </c>
      <c r="F338" s="8">
        <v>1.603381532</v>
      </c>
      <c r="G338" s="8">
        <v>-1.817793631</v>
      </c>
      <c r="H338" s="6" t="str">
        <f t="shared" si="7"/>
        <v>Inverse</v>
      </c>
      <c r="I338" s="8" t="s">
        <v>554</v>
      </c>
      <c r="J338" s="8" t="s">
        <v>554</v>
      </c>
    </row>
    <row r="339" spans="1:10" x14ac:dyDescent="0.2">
      <c r="A339" s="6" t="s">
        <v>15</v>
      </c>
      <c r="B339" s="8" t="s">
        <v>30</v>
      </c>
      <c r="C339" s="8" t="s">
        <v>1267</v>
      </c>
      <c r="D339" s="8" t="s">
        <v>1268</v>
      </c>
      <c r="E339" s="8" t="s">
        <v>1269</v>
      </c>
      <c r="F339" s="8">
        <v>-2.1229865800000001</v>
      </c>
      <c r="G339" s="8">
        <v>-1.250952356</v>
      </c>
      <c r="H339" s="6" t="str">
        <f t="shared" si="7"/>
        <v>Direct</v>
      </c>
      <c r="I339" s="8" t="s">
        <v>1270</v>
      </c>
      <c r="J339" s="8" t="s">
        <v>1270</v>
      </c>
    </row>
    <row r="340" spans="1:10" x14ac:dyDescent="0.2">
      <c r="A340" s="6" t="s">
        <v>15</v>
      </c>
      <c r="B340" s="8" t="s">
        <v>30</v>
      </c>
      <c r="C340" s="8" t="s">
        <v>1003</v>
      </c>
      <c r="D340" s="8" t="s">
        <v>1004</v>
      </c>
      <c r="E340" s="8" t="s">
        <v>1005</v>
      </c>
      <c r="F340" s="8">
        <v>1.5889397199999999</v>
      </c>
      <c r="G340" s="8">
        <v>1.093174455</v>
      </c>
      <c r="H340" s="6" t="str">
        <f t="shared" si="7"/>
        <v>Direct</v>
      </c>
      <c r="I340" s="8" t="s">
        <v>1006</v>
      </c>
      <c r="J340" s="8" t="s">
        <v>1006</v>
      </c>
    </row>
    <row r="341" spans="1:10" x14ac:dyDescent="0.2">
      <c r="A341" s="6" t="s">
        <v>15</v>
      </c>
      <c r="B341" s="8" t="s">
        <v>30</v>
      </c>
      <c r="C341" s="8" t="s">
        <v>1271</v>
      </c>
      <c r="D341" s="8" t="s">
        <v>1272</v>
      </c>
      <c r="E341" s="8" t="s">
        <v>1273</v>
      </c>
      <c r="F341" s="8">
        <v>7.5888540039999999</v>
      </c>
      <c r="G341" s="8">
        <v>1.051037526</v>
      </c>
      <c r="H341" s="6" t="str">
        <f t="shared" si="7"/>
        <v>Direct</v>
      </c>
      <c r="I341" s="8" t="s">
        <v>1274</v>
      </c>
      <c r="J341" s="8" t="s">
        <v>1275</v>
      </c>
    </row>
    <row r="342" spans="1:10" x14ac:dyDescent="0.2">
      <c r="A342" s="6" t="s">
        <v>15</v>
      </c>
      <c r="B342" s="8" t="s">
        <v>30</v>
      </c>
      <c r="C342" s="8" t="s">
        <v>1276</v>
      </c>
      <c r="D342" s="8" t="s">
        <v>1277</v>
      </c>
      <c r="E342" s="8" t="s">
        <v>1278</v>
      </c>
      <c r="F342" s="8">
        <v>1.56531771</v>
      </c>
      <c r="G342" s="8">
        <v>1.051911689</v>
      </c>
      <c r="H342" s="6" t="str">
        <f t="shared" si="7"/>
        <v>Direct</v>
      </c>
      <c r="I342" s="8" t="s">
        <v>1279</v>
      </c>
      <c r="J342" s="8" t="s">
        <v>1279</v>
      </c>
    </row>
    <row r="343" spans="1:10" x14ac:dyDescent="0.2">
      <c r="A343" s="6" t="s">
        <v>15</v>
      </c>
      <c r="B343" s="8" t="s">
        <v>30</v>
      </c>
      <c r="C343" s="8" t="s">
        <v>1280</v>
      </c>
      <c r="D343" s="8" t="s">
        <v>1281</v>
      </c>
      <c r="E343" s="8" t="s">
        <v>1282</v>
      </c>
      <c r="F343" s="8">
        <v>-1.1447650089999999</v>
      </c>
      <c r="G343" s="8">
        <v>1.0875919460000001</v>
      </c>
      <c r="H343" s="6" t="str">
        <f t="shared" si="7"/>
        <v>Inverse</v>
      </c>
      <c r="I343" s="8" t="s">
        <v>1283</v>
      </c>
      <c r="J343" s="8" t="s">
        <v>1284</v>
      </c>
    </row>
    <row r="344" spans="1:10" x14ac:dyDescent="0.2">
      <c r="A344" s="6" t="s">
        <v>15</v>
      </c>
      <c r="B344" s="8" t="s">
        <v>30</v>
      </c>
      <c r="C344" s="8" t="s">
        <v>1285</v>
      </c>
      <c r="D344" s="8" t="s">
        <v>1286</v>
      </c>
      <c r="E344" s="8" t="s">
        <v>1287</v>
      </c>
      <c r="F344" s="8">
        <v>1.124827552</v>
      </c>
      <c r="G344" s="8">
        <v>-1.0268796870000001</v>
      </c>
      <c r="H344" s="6" t="str">
        <f t="shared" si="7"/>
        <v>Inverse</v>
      </c>
      <c r="I344" s="8" t="s">
        <v>1288</v>
      </c>
      <c r="J344" s="8" t="s">
        <v>1289</v>
      </c>
    </row>
    <row r="345" spans="1:10" x14ac:dyDescent="0.2">
      <c r="A345" s="6" t="s">
        <v>15</v>
      </c>
      <c r="B345" s="8" t="s">
        <v>30</v>
      </c>
      <c r="C345" s="8" t="s">
        <v>628</v>
      </c>
      <c r="D345" s="8" t="s">
        <v>629</v>
      </c>
      <c r="E345" s="8" t="s">
        <v>630</v>
      </c>
      <c r="F345" s="8">
        <v>2.9437115650000001</v>
      </c>
      <c r="G345" s="8">
        <v>1.515399148</v>
      </c>
      <c r="H345" s="6" t="str">
        <f t="shared" si="7"/>
        <v>Direct</v>
      </c>
      <c r="I345" s="8" t="s">
        <v>631</v>
      </c>
      <c r="J345" s="8" t="s">
        <v>631</v>
      </c>
    </row>
    <row r="346" spans="1:10" x14ac:dyDescent="0.2">
      <c r="A346" s="6" t="s">
        <v>15</v>
      </c>
      <c r="B346" s="8" t="s">
        <v>30</v>
      </c>
      <c r="C346" s="8" t="s">
        <v>1290</v>
      </c>
      <c r="D346" s="8" t="s">
        <v>1291</v>
      </c>
      <c r="E346" s="8" t="s">
        <v>1292</v>
      </c>
      <c r="F346" s="8">
        <v>-1.609699741</v>
      </c>
      <c r="G346" s="8">
        <v>-1.3899887019999999</v>
      </c>
      <c r="H346" s="6" t="str">
        <f t="shared" si="7"/>
        <v>Direct</v>
      </c>
      <c r="I346" s="8" t="s">
        <v>50</v>
      </c>
      <c r="J346" s="8" t="s">
        <v>1293</v>
      </c>
    </row>
    <row r="347" spans="1:10" x14ac:dyDescent="0.2">
      <c r="A347" s="6" t="s">
        <v>15</v>
      </c>
      <c r="B347" s="8" t="s">
        <v>30</v>
      </c>
      <c r="C347" s="8" t="s">
        <v>1060</v>
      </c>
      <c r="D347" s="8" t="s">
        <v>1061</v>
      </c>
      <c r="E347" s="8" t="s">
        <v>1062</v>
      </c>
      <c r="F347" s="8">
        <v>2.2840080880000002</v>
      </c>
      <c r="G347" s="8">
        <v>2.0668026839999998</v>
      </c>
      <c r="H347" s="6" t="str">
        <f t="shared" si="7"/>
        <v>Direct</v>
      </c>
      <c r="I347" s="8" t="s">
        <v>1063</v>
      </c>
      <c r="J347" s="8" t="s">
        <v>1064</v>
      </c>
    </row>
    <row r="348" spans="1:10" x14ac:dyDescent="0.2">
      <c r="A348" s="6" t="s">
        <v>15</v>
      </c>
      <c r="B348" s="8" t="s">
        <v>30</v>
      </c>
      <c r="C348" s="8" t="s">
        <v>1065</v>
      </c>
      <c r="D348" s="8" t="s">
        <v>1066</v>
      </c>
      <c r="E348" s="8" t="s">
        <v>1067</v>
      </c>
      <c r="F348" s="8">
        <v>-1.287283094</v>
      </c>
      <c r="G348" s="8">
        <v>-1.210643578</v>
      </c>
      <c r="H348" s="6" t="str">
        <f t="shared" si="7"/>
        <v>Direct</v>
      </c>
      <c r="I348" s="8" t="s">
        <v>1068</v>
      </c>
      <c r="J348" s="8" t="s">
        <v>1068</v>
      </c>
    </row>
    <row r="349" spans="1:10" x14ac:dyDescent="0.2">
      <c r="A349" s="6" t="s">
        <v>15</v>
      </c>
      <c r="B349" s="8" t="s">
        <v>30</v>
      </c>
      <c r="C349" s="8" t="s">
        <v>1294</v>
      </c>
      <c r="D349" s="8" t="s">
        <v>1295</v>
      </c>
      <c r="E349" s="8" t="s">
        <v>1296</v>
      </c>
      <c r="F349" s="8">
        <v>-5.8066535159999999</v>
      </c>
      <c r="G349" s="8">
        <v>1.3277381420000001</v>
      </c>
      <c r="H349" s="6" t="str">
        <f t="shared" si="7"/>
        <v>Inverse</v>
      </c>
      <c r="I349" s="8" t="s">
        <v>1297</v>
      </c>
      <c r="J349" s="8" t="s">
        <v>1297</v>
      </c>
    </row>
    <row r="350" spans="1:10" x14ac:dyDescent="0.2">
      <c r="A350" s="6" t="s">
        <v>15</v>
      </c>
      <c r="B350" s="8" t="s">
        <v>30</v>
      </c>
      <c r="C350" s="8" t="s">
        <v>1298</v>
      </c>
      <c r="D350" s="8" t="s">
        <v>1299</v>
      </c>
      <c r="E350" s="8" t="s">
        <v>1300</v>
      </c>
      <c r="F350" s="8">
        <v>1.9005841349999999</v>
      </c>
      <c r="G350" s="8">
        <v>-1.661840534</v>
      </c>
      <c r="H350" s="6" t="str">
        <f t="shared" si="7"/>
        <v>Inverse</v>
      </c>
      <c r="I350" s="8" t="s">
        <v>1301</v>
      </c>
      <c r="J350" s="8" t="s">
        <v>1301</v>
      </c>
    </row>
    <row r="351" spans="1:10" x14ac:dyDescent="0.2">
      <c r="A351" s="6" t="s">
        <v>15</v>
      </c>
      <c r="B351" s="8" t="s">
        <v>30</v>
      </c>
      <c r="C351" s="8" t="s">
        <v>665</v>
      </c>
      <c r="D351" s="8" t="s">
        <v>666</v>
      </c>
      <c r="E351" s="8" t="s">
        <v>667</v>
      </c>
      <c r="F351" s="8">
        <v>1.2096327929999999</v>
      </c>
      <c r="G351" s="8">
        <v>1.882425783</v>
      </c>
      <c r="H351" s="6" t="str">
        <f t="shared" si="7"/>
        <v>Direct</v>
      </c>
      <c r="I351" s="8" t="s">
        <v>668</v>
      </c>
      <c r="J351" s="8" t="s">
        <v>668</v>
      </c>
    </row>
    <row r="352" spans="1:10" x14ac:dyDescent="0.2">
      <c r="A352" s="6" t="s">
        <v>15</v>
      </c>
      <c r="B352" s="8" t="s">
        <v>30</v>
      </c>
      <c r="C352" s="8" t="s">
        <v>1302</v>
      </c>
      <c r="D352" s="8" t="s">
        <v>1303</v>
      </c>
      <c r="E352" s="8" t="s">
        <v>1304</v>
      </c>
      <c r="F352" s="8">
        <v>-2.0092244770000001</v>
      </c>
      <c r="G352" s="8">
        <v>-1.1733947060000001</v>
      </c>
      <c r="H352" s="6" t="str">
        <f t="shared" si="7"/>
        <v>Direct</v>
      </c>
      <c r="I352" s="8" t="s">
        <v>117</v>
      </c>
      <c r="J352" s="8" t="s">
        <v>116</v>
      </c>
    </row>
    <row r="353" spans="1:10" x14ac:dyDescent="0.2">
      <c r="A353" s="6" t="s">
        <v>15</v>
      </c>
      <c r="B353" s="8" t="s">
        <v>30</v>
      </c>
      <c r="C353" s="8" t="s">
        <v>1305</v>
      </c>
      <c r="D353" s="8" t="s">
        <v>1306</v>
      </c>
      <c r="E353" s="8" t="s">
        <v>1307</v>
      </c>
      <c r="F353" s="8">
        <v>3.0228342979999998</v>
      </c>
      <c r="G353" s="8">
        <v>1.667560347</v>
      </c>
      <c r="H353" s="6" t="str">
        <f t="shared" si="7"/>
        <v>Direct</v>
      </c>
      <c r="I353" s="8" t="s">
        <v>1308</v>
      </c>
      <c r="J353" s="8" t="s">
        <v>1309</v>
      </c>
    </row>
    <row r="354" spans="1:10" x14ac:dyDescent="0.2">
      <c r="A354" s="6" t="s">
        <v>15</v>
      </c>
      <c r="B354" s="8" t="s">
        <v>30</v>
      </c>
      <c r="C354" s="8" t="s">
        <v>1310</v>
      </c>
      <c r="D354" s="8" t="s">
        <v>1311</v>
      </c>
      <c r="E354" s="8" t="s">
        <v>1312</v>
      </c>
      <c r="F354" s="8">
        <v>-1.437207589</v>
      </c>
      <c r="G354" s="8">
        <v>-1.6371963780000001</v>
      </c>
      <c r="H354" s="6" t="str">
        <f t="shared" si="7"/>
        <v>Direct</v>
      </c>
      <c r="I354" s="8" t="s">
        <v>1313</v>
      </c>
      <c r="J354" s="8" t="s">
        <v>1314</v>
      </c>
    </row>
    <row r="355" spans="1:10" x14ac:dyDescent="0.2">
      <c r="A355" s="6" t="s">
        <v>15</v>
      </c>
      <c r="B355" s="6" t="s">
        <v>35</v>
      </c>
      <c r="C355" s="6" t="s">
        <v>777</v>
      </c>
      <c r="D355" s="6" t="s">
        <v>778</v>
      </c>
      <c r="E355" s="6" t="s">
        <v>779</v>
      </c>
      <c r="F355" s="7">
        <v>-2.583936536</v>
      </c>
      <c r="G355" s="7">
        <v>3.3338047180000001</v>
      </c>
      <c r="H355" s="6" t="str">
        <f t="shared" si="7"/>
        <v>Inverse</v>
      </c>
      <c r="I355" s="6" t="s">
        <v>116</v>
      </c>
      <c r="J355" s="6" t="s">
        <v>116</v>
      </c>
    </row>
    <row r="356" spans="1:10" x14ac:dyDescent="0.2">
      <c r="A356" s="6" t="s">
        <v>15</v>
      </c>
      <c r="B356" s="6" t="s">
        <v>35</v>
      </c>
      <c r="C356" s="6" t="s">
        <v>787</v>
      </c>
      <c r="D356" s="6" t="s">
        <v>788</v>
      </c>
      <c r="E356" s="6" t="s">
        <v>789</v>
      </c>
      <c r="F356" s="7">
        <v>3.4791770199999998</v>
      </c>
      <c r="G356" s="7">
        <v>-1.7332038030000001</v>
      </c>
      <c r="H356" s="6" t="str">
        <f t="shared" si="7"/>
        <v>Inverse</v>
      </c>
      <c r="I356" s="6" t="s">
        <v>790</v>
      </c>
      <c r="J356" s="6" t="s">
        <v>790</v>
      </c>
    </row>
    <row r="357" spans="1:10" x14ac:dyDescent="0.2">
      <c r="A357" s="6" t="s">
        <v>15</v>
      </c>
      <c r="B357" s="6" t="s">
        <v>35</v>
      </c>
      <c r="C357" s="6" t="s">
        <v>800</v>
      </c>
      <c r="D357" s="6" t="s">
        <v>801</v>
      </c>
      <c r="E357" s="6" t="s">
        <v>802</v>
      </c>
      <c r="F357" s="7">
        <v>-4.8139073110000004</v>
      </c>
      <c r="G357" s="7">
        <v>3.479730269</v>
      </c>
      <c r="H357" s="6" t="str">
        <f t="shared" si="7"/>
        <v>Inverse</v>
      </c>
      <c r="I357" s="6" t="s">
        <v>288</v>
      </c>
      <c r="J357" s="6" t="s">
        <v>288</v>
      </c>
    </row>
    <row r="358" spans="1:10" x14ac:dyDescent="0.2">
      <c r="A358" s="6" t="s">
        <v>15</v>
      </c>
      <c r="B358" s="6" t="s">
        <v>35</v>
      </c>
      <c r="C358" s="6" t="s">
        <v>74</v>
      </c>
      <c r="D358" s="6" t="s">
        <v>75</v>
      </c>
      <c r="E358" s="6" t="s">
        <v>76</v>
      </c>
      <c r="F358" s="7">
        <v>-2.318727768</v>
      </c>
      <c r="G358" s="7">
        <v>1.282776355</v>
      </c>
      <c r="H358" s="6" t="str">
        <f t="shared" si="7"/>
        <v>Inverse</v>
      </c>
      <c r="I358" s="6" t="s">
        <v>77</v>
      </c>
      <c r="J358" s="6" t="s">
        <v>77</v>
      </c>
    </row>
    <row r="359" spans="1:10" x14ac:dyDescent="0.2">
      <c r="A359" s="6" t="s">
        <v>15</v>
      </c>
      <c r="B359" s="6" t="s">
        <v>35</v>
      </c>
      <c r="C359" s="6" t="s">
        <v>1315</v>
      </c>
      <c r="D359" s="6" t="s">
        <v>1316</v>
      </c>
      <c r="E359" s="6" t="s">
        <v>1317</v>
      </c>
      <c r="F359" s="7">
        <v>1.837703227</v>
      </c>
      <c r="G359" s="7">
        <v>-1.0390046980000001</v>
      </c>
      <c r="H359" s="6" t="str">
        <f t="shared" si="7"/>
        <v>Inverse</v>
      </c>
      <c r="I359" s="6" t="s">
        <v>1318</v>
      </c>
      <c r="J359" s="6" t="s">
        <v>1319</v>
      </c>
    </row>
    <row r="360" spans="1:10" x14ac:dyDescent="0.2">
      <c r="A360" s="6" t="s">
        <v>15</v>
      </c>
      <c r="B360" s="6" t="s">
        <v>35</v>
      </c>
      <c r="C360" s="6" t="s">
        <v>1320</v>
      </c>
      <c r="D360" s="6" t="s">
        <v>1321</v>
      </c>
      <c r="E360" s="6" t="s">
        <v>1322</v>
      </c>
      <c r="F360" s="7">
        <v>-1.319305095</v>
      </c>
      <c r="G360" s="7">
        <v>2.1592940839999999</v>
      </c>
      <c r="H360" s="6" t="str">
        <f t="shared" si="7"/>
        <v>Inverse</v>
      </c>
      <c r="I360" s="6" t="s">
        <v>288</v>
      </c>
      <c r="J360" s="6" t="s">
        <v>288</v>
      </c>
    </row>
    <row r="361" spans="1:10" x14ac:dyDescent="0.2">
      <c r="A361" s="6" t="s">
        <v>15</v>
      </c>
      <c r="B361" s="6" t="s">
        <v>35</v>
      </c>
      <c r="C361" s="6" t="s">
        <v>89</v>
      </c>
      <c r="D361" s="6" t="s">
        <v>90</v>
      </c>
      <c r="E361" s="6" t="s">
        <v>91</v>
      </c>
      <c r="F361" s="7">
        <v>3.6041744069999999</v>
      </c>
      <c r="G361" s="7">
        <v>1.299281339</v>
      </c>
      <c r="H361" s="6" t="str">
        <f t="shared" si="7"/>
        <v>Direct</v>
      </c>
      <c r="I361" s="6" t="s">
        <v>92</v>
      </c>
      <c r="J361" s="6" t="s">
        <v>93</v>
      </c>
    </row>
    <row r="362" spans="1:10" x14ac:dyDescent="0.2">
      <c r="A362" s="6" t="s">
        <v>15</v>
      </c>
      <c r="B362" s="6" t="s">
        <v>35</v>
      </c>
      <c r="C362" s="6" t="s">
        <v>1323</v>
      </c>
      <c r="D362" s="6" t="s">
        <v>1324</v>
      </c>
      <c r="E362" s="6" t="s">
        <v>1325</v>
      </c>
      <c r="F362" s="7">
        <v>1.883913336</v>
      </c>
      <c r="G362" s="7">
        <v>-1.0683908040000001</v>
      </c>
      <c r="H362" s="6" t="str">
        <f t="shared" si="7"/>
        <v>Inverse</v>
      </c>
      <c r="I362" s="6" t="s">
        <v>1326</v>
      </c>
      <c r="J362" s="6" t="s">
        <v>1327</v>
      </c>
    </row>
    <row r="363" spans="1:10" x14ac:dyDescent="0.2">
      <c r="A363" s="6" t="s">
        <v>15</v>
      </c>
      <c r="B363" s="6" t="s">
        <v>35</v>
      </c>
      <c r="C363" s="6" t="s">
        <v>1328</v>
      </c>
      <c r="D363" s="6" t="s">
        <v>1329</v>
      </c>
      <c r="E363" s="6" t="s">
        <v>1330</v>
      </c>
      <c r="F363" s="7">
        <v>1.0861421739999999</v>
      </c>
      <c r="G363" s="7">
        <v>-2.3141251060000001</v>
      </c>
      <c r="H363" s="6" t="str">
        <f t="shared" si="7"/>
        <v>Inverse</v>
      </c>
      <c r="I363" s="6" t="s">
        <v>1331</v>
      </c>
      <c r="J363" s="6" t="s">
        <v>1332</v>
      </c>
    </row>
    <row r="364" spans="1:10" x14ac:dyDescent="0.2">
      <c r="A364" s="6" t="s">
        <v>15</v>
      </c>
      <c r="B364" s="6" t="s">
        <v>35</v>
      </c>
      <c r="C364" s="6" t="s">
        <v>1333</v>
      </c>
      <c r="D364" s="6" t="s">
        <v>1334</v>
      </c>
      <c r="E364" s="6" t="s">
        <v>1335</v>
      </c>
      <c r="F364" s="7">
        <v>-1.132342196</v>
      </c>
      <c r="G364" s="7">
        <v>1.8188382510000001</v>
      </c>
      <c r="H364" s="6" t="str">
        <f t="shared" si="7"/>
        <v>Inverse</v>
      </c>
      <c r="I364" s="6" t="s">
        <v>1336</v>
      </c>
      <c r="J364" s="6" t="s">
        <v>1336</v>
      </c>
    </row>
    <row r="365" spans="1:10" x14ac:dyDescent="0.2">
      <c r="A365" s="6" t="s">
        <v>15</v>
      </c>
      <c r="B365" s="6" t="s">
        <v>35</v>
      </c>
      <c r="C365" s="6" t="s">
        <v>194</v>
      </c>
      <c r="D365" s="6" t="s">
        <v>195</v>
      </c>
      <c r="E365" s="6" t="s">
        <v>196</v>
      </c>
      <c r="F365" s="7">
        <v>-1.079403173</v>
      </c>
      <c r="G365" s="7">
        <v>1.126944653</v>
      </c>
      <c r="H365" s="6" t="str">
        <f t="shared" si="7"/>
        <v>Inverse</v>
      </c>
      <c r="I365" s="6" t="s">
        <v>197</v>
      </c>
      <c r="J365" s="6" t="s">
        <v>158</v>
      </c>
    </row>
    <row r="366" spans="1:10" x14ac:dyDescent="0.2">
      <c r="A366" s="6" t="s">
        <v>15</v>
      </c>
      <c r="B366" s="6" t="s">
        <v>35</v>
      </c>
      <c r="C366" s="6" t="s">
        <v>1337</v>
      </c>
      <c r="D366" s="6" t="s">
        <v>1338</v>
      </c>
      <c r="E366" s="6" t="s">
        <v>1339</v>
      </c>
      <c r="F366" s="7">
        <v>1.017480027</v>
      </c>
      <c r="G366" s="7">
        <v>-1.217584223</v>
      </c>
      <c r="H366" s="6" t="str">
        <f t="shared" si="7"/>
        <v>Inverse</v>
      </c>
      <c r="I366" s="6" t="s">
        <v>50</v>
      </c>
      <c r="J366" s="6" t="s">
        <v>714</v>
      </c>
    </row>
    <row r="367" spans="1:10" x14ac:dyDescent="0.2">
      <c r="A367" s="6" t="s">
        <v>15</v>
      </c>
      <c r="B367" s="6" t="s">
        <v>35</v>
      </c>
      <c r="C367" s="6" t="s">
        <v>248</v>
      </c>
      <c r="D367" s="6" t="s">
        <v>249</v>
      </c>
      <c r="E367" s="6" t="s">
        <v>250</v>
      </c>
      <c r="F367" s="7">
        <v>1.366778305</v>
      </c>
      <c r="G367" s="7">
        <v>1.745726533</v>
      </c>
      <c r="H367" s="6" t="str">
        <f t="shared" si="7"/>
        <v>Direct</v>
      </c>
      <c r="I367" s="6" t="s">
        <v>50</v>
      </c>
      <c r="J367" s="6" t="s">
        <v>251</v>
      </c>
    </row>
    <row r="368" spans="1:10" x14ac:dyDescent="0.2">
      <c r="A368" s="6" t="s">
        <v>15</v>
      </c>
      <c r="B368" s="6" t="s">
        <v>35</v>
      </c>
      <c r="C368" s="6" t="s">
        <v>898</v>
      </c>
      <c r="D368" s="6" t="s">
        <v>899</v>
      </c>
      <c r="E368" s="6" t="s">
        <v>900</v>
      </c>
      <c r="F368" s="7">
        <v>-1.203269347</v>
      </c>
      <c r="G368" s="7">
        <v>1.312145444</v>
      </c>
      <c r="H368" s="6" t="str">
        <f t="shared" si="7"/>
        <v>Inverse</v>
      </c>
      <c r="I368" s="6" t="s">
        <v>901</v>
      </c>
      <c r="J368" s="6" t="s">
        <v>902</v>
      </c>
    </row>
    <row r="369" spans="1:10" x14ac:dyDescent="0.2">
      <c r="A369" s="6" t="s">
        <v>15</v>
      </c>
      <c r="B369" s="6" t="s">
        <v>35</v>
      </c>
      <c r="C369" s="6" t="s">
        <v>312</v>
      </c>
      <c r="D369" s="6" t="s">
        <v>313</v>
      </c>
      <c r="E369" s="6" t="s">
        <v>314</v>
      </c>
      <c r="F369" s="7">
        <v>-1.910531414</v>
      </c>
      <c r="G369" s="7">
        <v>-6.2242884199999997</v>
      </c>
      <c r="H369" s="6" t="str">
        <f t="shared" si="7"/>
        <v>Direct</v>
      </c>
      <c r="I369" s="6" t="s">
        <v>315</v>
      </c>
      <c r="J369" s="6" t="s">
        <v>315</v>
      </c>
    </row>
    <row r="370" spans="1:10" x14ac:dyDescent="0.2">
      <c r="A370" s="6" t="s">
        <v>15</v>
      </c>
      <c r="B370" s="6" t="s">
        <v>35</v>
      </c>
      <c r="C370" s="6" t="s">
        <v>1340</v>
      </c>
      <c r="D370" s="6" t="s">
        <v>1341</v>
      </c>
      <c r="E370" s="6" t="s">
        <v>1342</v>
      </c>
      <c r="F370" s="7">
        <v>1.0738931330000001</v>
      </c>
      <c r="G370" s="7">
        <v>1.3774181649999999</v>
      </c>
      <c r="H370" s="6" t="str">
        <f t="shared" si="7"/>
        <v>Direct</v>
      </c>
      <c r="I370" s="6" t="s">
        <v>1343</v>
      </c>
      <c r="J370" s="6" t="s">
        <v>1343</v>
      </c>
    </row>
    <row r="371" spans="1:10" x14ac:dyDescent="0.2">
      <c r="A371" s="6" t="s">
        <v>15</v>
      </c>
      <c r="B371" s="6" t="s">
        <v>35</v>
      </c>
      <c r="C371" s="6" t="s">
        <v>1344</v>
      </c>
      <c r="D371" s="6" t="s">
        <v>1345</v>
      </c>
      <c r="E371" s="6" t="s">
        <v>1346</v>
      </c>
      <c r="F371" s="7">
        <v>3.4761066459999999</v>
      </c>
      <c r="G371" s="7">
        <v>-1.8421448810000001</v>
      </c>
      <c r="H371" s="6" t="str">
        <f t="shared" si="7"/>
        <v>Inverse</v>
      </c>
      <c r="I371" s="6" t="s">
        <v>1347</v>
      </c>
      <c r="J371" s="6" t="s">
        <v>1347</v>
      </c>
    </row>
    <row r="372" spans="1:10" x14ac:dyDescent="0.2">
      <c r="A372" s="6" t="s">
        <v>15</v>
      </c>
      <c r="B372" s="6" t="s">
        <v>35</v>
      </c>
      <c r="C372" s="6" t="s">
        <v>1348</v>
      </c>
      <c r="D372" s="6" t="s">
        <v>1349</v>
      </c>
      <c r="E372" s="6" t="s">
        <v>1350</v>
      </c>
      <c r="F372" s="7">
        <v>1.31810396</v>
      </c>
      <c r="G372" s="7">
        <v>-1.014722557</v>
      </c>
      <c r="H372" s="6" t="str">
        <f t="shared" si="7"/>
        <v>Inverse</v>
      </c>
      <c r="I372" s="6" t="s">
        <v>1351</v>
      </c>
      <c r="J372" s="6" t="s">
        <v>1351</v>
      </c>
    </row>
    <row r="373" spans="1:10" x14ac:dyDescent="0.2">
      <c r="A373" s="6" t="s">
        <v>15</v>
      </c>
      <c r="B373" s="6" t="s">
        <v>35</v>
      </c>
      <c r="C373" s="6" t="s">
        <v>1352</v>
      </c>
      <c r="D373" s="6" t="s">
        <v>1353</v>
      </c>
      <c r="E373" s="6" t="s">
        <v>1354</v>
      </c>
      <c r="F373" s="7">
        <v>-1.106658337</v>
      </c>
      <c r="G373" s="7">
        <v>1.4326647290000001</v>
      </c>
      <c r="H373" s="6" t="str">
        <f t="shared" si="7"/>
        <v>Inverse</v>
      </c>
      <c r="I373" s="6" t="s">
        <v>66</v>
      </c>
      <c r="J373" s="6" t="s">
        <v>66</v>
      </c>
    </row>
    <row r="374" spans="1:10" x14ac:dyDescent="0.2">
      <c r="A374" s="6" t="s">
        <v>15</v>
      </c>
      <c r="B374" s="6" t="s">
        <v>35</v>
      </c>
      <c r="C374" s="6" t="s">
        <v>551</v>
      </c>
      <c r="D374" s="6" t="s">
        <v>552</v>
      </c>
      <c r="E374" s="6" t="s">
        <v>553</v>
      </c>
      <c r="F374" s="7">
        <v>-1.417718499</v>
      </c>
      <c r="G374" s="7">
        <v>-1.392706521</v>
      </c>
      <c r="H374" s="6" t="str">
        <f t="shared" si="7"/>
        <v>Direct</v>
      </c>
      <c r="I374" s="6" t="s">
        <v>554</v>
      </c>
      <c r="J374" s="6" t="s">
        <v>554</v>
      </c>
    </row>
    <row r="375" spans="1:10" x14ac:dyDescent="0.2">
      <c r="A375" s="6" t="s">
        <v>15</v>
      </c>
      <c r="B375" s="6" t="s">
        <v>35</v>
      </c>
      <c r="C375" s="6" t="s">
        <v>1355</v>
      </c>
      <c r="D375" s="6" t="s">
        <v>1356</v>
      </c>
      <c r="E375" s="6" t="s">
        <v>1357</v>
      </c>
      <c r="F375" s="7">
        <v>1.2367807</v>
      </c>
      <c r="G375" s="7">
        <v>-1.049393419</v>
      </c>
      <c r="H375" s="6" t="str">
        <f t="shared" si="7"/>
        <v>Inverse</v>
      </c>
      <c r="I375" s="6" t="s">
        <v>1039</v>
      </c>
      <c r="J375" s="6" t="s">
        <v>1297</v>
      </c>
    </row>
    <row r="376" spans="1:10" x14ac:dyDescent="0.2">
      <c r="A376" s="6" t="s">
        <v>15</v>
      </c>
      <c r="B376" s="6" t="s">
        <v>35</v>
      </c>
      <c r="C376" s="6" t="s">
        <v>1358</v>
      </c>
      <c r="D376" s="6" t="s">
        <v>1359</v>
      </c>
      <c r="E376" s="6" t="s">
        <v>1360</v>
      </c>
      <c r="F376" s="7">
        <v>-1.3679817089999999</v>
      </c>
      <c r="G376" s="7">
        <v>1.1409693329999999</v>
      </c>
      <c r="H376" s="6" t="str">
        <f t="shared" si="7"/>
        <v>Inverse</v>
      </c>
      <c r="I376" s="6" t="s">
        <v>50</v>
      </c>
      <c r="J376" s="6" t="s">
        <v>1361</v>
      </c>
    </row>
    <row r="377" spans="1:10" x14ac:dyDescent="0.2">
      <c r="A377" s="6" t="s">
        <v>15</v>
      </c>
      <c r="B377" s="6" t="s">
        <v>35</v>
      </c>
      <c r="C377" s="6" t="s">
        <v>603</v>
      </c>
      <c r="D377" s="6" t="s">
        <v>604</v>
      </c>
      <c r="E377" s="6" t="s">
        <v>605</v>
      </c>
      <c r="F377" s="7">
        <v>1.0713290980000001</v>
      </c>
      <c r="G377" s="7">
        <v>-1.205381109</v>
      </c>
      <c r="H377" s="6" t="str">
        <f t="shared" si="7"/>
        <v>Inverse</v>
      </c>
      <c r="I377" s="6" t="s">
        <v>606</v>
      </c>
      <c r="J377" s="6" t="s">
        <v>606</v>
      </c>
    </row>
    <row r="378" spans="1:10" x14ac:dyDescent="0.2">
      <c r="A378" s="6" t="s">
        <v>15</v>
      </c>
      <c r="B378" s="6" t="s">
        <v>35</v>
      </c>
      <c r="C378" s="6" t="s">
        <v>1362</v>
      </c>
      <c r="D378" s="6" t="s">
        <v>1363</v>
      </c>
      <c r="E378" s="6" t="s">
        <v>1364</v>
      </c>
      <c r="F378" s="7">
        <v>1.0248947399999999</v>
      </c>
      <c r="G378" s="7">
        <v>-2.154760284</v>
      </c>
      <c r="H378" s="6" t="str">
        <f t="shared" si="7"/>
        <v>Inverse</v>
      </c>
      <c r="I378" s="6" t="s">
        <v>1365</v>
      </c>
      <c r="J378" s="6" t="s">
        <v>1365</v>
      </c>
    </row>
    <row r="379" spans="1:10" x14ac:dyDescent="0.2">
      <c r="A379" s="6" t="s">
        <v>15</v>
      </c>
      <c r="B379" s="6" t="s">
        <v>35</v>
      </c>
      <c r="C379" s="6" t="s">
        <v>1366</v>
      </c>
      <c r="D379" s="6" t="s">
        <v>1367</v>
      </c>
      <c r="E379" s="6" t="s">
        <v>1368</v>
      </c>
      <c r="F379" s="7">
        <v>3.3836743130000002</v>
      </c>
      <c r="G379" s="7">
        <v>-1.3230663220000001</v>
      </c>
      <c r="H379" s="6" t="str">
        <f t="shared" si="7"/>
        <v>Inverse</v>
      </c>
      <c r="I379" s="6" t="s">
        <v>1369</v>
      </c>
      <c r="J379" s="6" t="s">
        <v>1369</v>
      </c>
    </row>
    <row r="380" spans="1:10" x14ac:dyDescent="0.2">
      <c r="A380" s="6" t="s">
        <v>15</v>
      </c>
      <c r="B380" s="6" t="s">
        <v>35</v>
      </c>
      <c r="C380" s="6" t="s">
        <v>1370</v>
      </c>
      <c r="D380" s="6" t="s">
        <v>1371</v>
      </c>
      <c r="E380" s="6" t="s">
        <v>1372</v>
      </c>
      <c r="F380" s="7">
        <v>-4.2852149370000001</v>
      </c>
      <c r="G380" s="7">
        <v>1.0141620060000001</v>
      </c>
      <c r="H380" s="6" t="str">
        <f t="shared" si="7"/>
        <v>Inverse</v>
      </c>
      <c r="I380" s="6" t="s">
        <v>50</v>
      </c>
      <c r="J380" s="6" t="s">
        <v>1373</v>
      </c>
    </row>
    <row r="381" spans="1:10" x14ac:dyDescent="0.2">
      <c r="A381" s="6" t="s">
        <v>15</v>
      </c>
      <c r="B381" s="6" t="s">
        <v>35</v>
      </c>
      <c r="C381" s="6" t="s">
        <v>1374</v>
      </c>
      <c r="D381" s="6" t="s">
        <v>1375</v>
      </c>
      <c r="E381" s="6" t="s">
        <v>1376</v>
      </c>
      <c r="F381" s="7">
        <v>1.072239103</v>
      </c>
      <c r="G381" s="7">
        <v>1.5990189020000001</v>
      </c>
      <c r="H381" s="6" t="str">
        <f t="shared" si="7"/>
        <v>Direct</v>
      </c>
      <c r="I381" s="6" t="s">
        <v>1377</v>
      </c>
      <c r="J381" s="6" t="s">
        <v>1377</v>
      </c>
    </row>
    <row r="382" spans="1:10" x14ac:dyDescent="0.2">
      <c r="A382" s="6" t="s">
        <v>15</v>
      </c>
      <c r="B382" s="6" t="s">
        <v>35</v>
      </c>
      <c r="C382" s="6" t="s">
        <v>1378</v>
      </c>
      <c r="D382" s="6" t="s">
        <v>1379</v>
      </c>
      <c r="E382" s="6" t="s">
        <v>1380</v>
      </c>
      <c r="F382" s="7">
        <v>1.2996036390000001</v>
      </c>
      <c r="G382" s="7">
        <v>-2.035419825</v>
      </c>
      <c r="H382" s="6" t="str">
        <f t="shared" si="7"/>
        <v>Inverse</v>
      </c>
      <c r="I382" s="6" t="s">
        <v>1381</v>
      </c>
      <c r="J382" s="6" t="s">
        <v>1381</v>
      </c>
    </row>
    <row r="383" spans="1:10" x14ac:dyDescent="0.2">
      <c r="A383" s="6" t="s">
        <v>15</v>
      </c>
      <c r="B383" s="6" t="s">
        <v>35</v>
      </c>
      <c r="C383" s="6" t="s">
        <v>1382</v>
      </c>
      <c r="D383" s="6" t="s">
        <v>1383</v>
      </c>
      <c r="E383" s="6" t="s">
        <v>1384</v>
      </c>
      <c r="F383" s="7">
        <v>-2.4230523580000001</v>
      </c>
      <c r="G383" s="7">
        <v>1.087137078</v>
      </c>
      <c r="H383" s="6" t="str">
        <f t="shared" si="7"/>
        <v>Inverse</v>
      </c>
      <c r="I383" s="6" t="s">
        <v>50</v>
      </c>
      <c r="J383" s="6" t="s">
        <v>1385</v>
      </c>
    </row>
    <row r="384" spans="1:10" x14ac:dyDescent="0.2">
      <c r="A384" s="6" t="s">
        <v>15</v>
      </c>
      <c r="B384" s="6" t="s">
        <v>35</v>
      </c>
      <c r="C384" s="6" t="s">
        <v>1386</v>
      </c>
      <c r="D384" s="6" t="s">
        <v>1387</v>
      </c>
      <c r="E384" s="6" t="s">
        <v>1388</v>
      </c>
      <c r="F384" s="7">
        <v>-3.0675355940000002</v>
      </c>
      <c r="G384" s="7">
        <v>1.2568151599999999</v>
      </c>
      <c r="H384" s="6" t="str">
        <f t="shared" si="7"/>
        <v>Inverse</v>
      </c>
      <c r="I384" s="6" t="s">
        <v>1389</v>
      </c>
      <c r="J384" s="6" t="s">
        <v>1390</v>
      </c>
    </row>
    <row r="385" spans="1:10" x14ac:dyDescent="0.2">
      <c r="A385" s="6" t="s">
        <v>15</v>
      </c>
      <c r="B385" s="6" t="s">
        <v>35</v>
      </c>
      <c r="C385" s="6" t="s">
        <v>1391</v>
      </c>
      <c r="D385" s="6" t="s">
        <v>1392</v>
      </c>
      <c r="E385" s="6" t="s">
        <v>1393</v>
      </c>
      <c r="F385" s="7">
        <v>1.237682349</v>
      </c>
      <c r="G385" s="7">
        <v>1.0047913850000001</v>
      </c>
      <c r="H385" s="6" t="str">
        <f t="shared" si="7"/>
        <v>Direct</v>
      </c>
      <c r="I385" s="6" t="s">
        <v>1394</v>
      </c>
      <c r="J385" s="6" t="s">
        <v>1395</v>
      </c>
    </row>
    <row r="386" spans="1:10" x14ac:dyDescent="0.2">
      <c r="A386" s="6" t="s">
        <v>15</v>
      </c>
      <c r="B386" s="6" t="s">
        <v>40</v>
      </c>
      <c r="C386" s="6" t="s">
        <v>36</v>
      </c>
      <c r="D386" s="6" t="s">
        <v>37</v>
      </c>
      <c r="E386" s="6" t="s">
        <v>38</v>
      </c>
      <c r="F386" s="7">
        <v>2.3198340900000001</v>
      </c>
      <c r="G386" s="7">
        <v>-6.1094160039999998</v>
      </c>
      <c r="H386" s="6" t="str">
        <f t="shared" si="7"/>
        <v>Inverse</v>
      </c>
      <c r="I386" s="6" t="s">
        <v>39</v>
      </c>
      <c r="J386" s="6" t="s">
        <v>39</v>
      </c>
    </row>
    <row r="387" spans="1:10" x14ac:dyDescent="0.2">
      <c r="A387" s="6" t="s">
        <v>15</v>
      </c>
      <c r="B387" s="6" t="s">
        <v>40</v>
      </c>
      <c r="C387" s="6" t="s">
        <v>1396</v>
      </c>
      <c r="D387" s="6" t="s">
        <v>1397</v>
      </c>
      <c r="E387" s="6" t="s">
        <v>1398</v>
      </c>
      <c r="F387" s="7">
        <v>-2.1340126700000002</v>
      </c>
      <c r="G387" s="7">
        <v>1.9710265789999999</v>
      </c>
      <c r="H387" s="6" t="str">
        <f t="shared" si="7"/>
        <v>Inverse</v>
      </c>
      <c r="I387" s="6" t="s">
        <v>50</v>
      </c>
      <c r="J387" s="6" t="s">
        <v>1399</v>
      </c>
    </row>
    <row r="388" spans="1:10" x14ac:dyDescent="0.2">
      <c r="A388" s="6" t="s">
        <v>15</v>
      </c>
      <c r="B388" s="6" t="s">
        <v>40</v>
      </c>
      <c r="C388" s="6" t="s">
        <v>58</v>
      </c>
      <c r="D388" s="6" t="s">
        <v>59</v>
      </c>
      <c r="E388" s="6" t="s">
        <v>60</v>
      </c>
      <c r="F388" s="7">
        <v>-2.9383088119999998</v>
      </c>
      <c r="G388" s="7">
        <v>-3.1779903169999999</v>
      </c>
      <c r="H388" s="6" t="str">
        <f t="shared" si="7"/>
        <v>Direct</v>
      </c>
      <c r="I388" s="6" t="s">
        <v>61</v>
      </c>
      <c r="J388" s="6" t="s">
        <v>61</v>
      </c>
    </row>
    <row r="389" spans="1:10" x14ac:dyDescent="0.2">
      <c r="A389" s="6" t="s">
        <v>15</v>
      </c>
      <c r="B389" s="6" t="s">
        <v>40</v>
      </c>
      <c r="C389" s="6" t="s">
        <v>63</v>
      </c>
      <c r="D389" s="6" t="s">
        <v>64</v>
      </c>
      <c r="E389" s="6" t="s">
        <v>65</v>
      </c>
      <c r="F389" s="7">
        <v>3.1779679679999999</v>
      </c>
      <c r="G389" s="7">
        <v>-1.14135835</v>
      </c>
      <c r="H389" s="6" t="str">
        <f t="shared" si="7"/>
        <v>Inverse</v>
      </c>
      <c r="I389" s="6" t="s">
        <v>66</v>
      </c>
      <c r="J389" s="6" t="s">
        <v>67</v>
      </c>
    </row>
    <row r="390" spans="1:10" x14ac:dyDescent="0.2">
      <c r="A390" s="6" t="s">
        <v>15</v>
      </c>
      <c r="B390" s="6" t="s">
        <v>40</v>
      </c>
      <c r="C390" s="6" t="s">
        <v>1400</v>
      </c>
      <c r="D390" s="6" t="s">
        <v>1401</v>
      </c>
      <c r="E390" s="6" t="s">
        <v>1402</v>
      </c>
      <c r="F390" s="7">
        <v>1.8660982749999999</v>
      </c>
      <c r="G390" s="7">
        <v>-3.6933828580000001</v>
      </c>
      <c r="H390" s="6" t="str">
        <f t="shared" si="7"/>
        <v>Inverse</v>
      </c>
      <c r="I390" s="6" t="s">
        <v>1403</v>
      </c>
      <c r="J390" s="6" t="s">
        <v>1404</v>
      </c>
    </row>
    <row r="391" spans="1:10" x14ac:dyDescent="0.2">
      <c r="A391" s="6" t="s">
        <v>15</v>
      </c>
      <c r="B391" s="6" t="s">
        <v>40</v>
      </c>
      <c r="C391" s="6" t="s">
        <v>1405</v>
      </c>
      <c r="D391" s="6" t="s">
        <v>1406</v>
      </c>
      <c r="E391" s="6" t="s">
        <v>1407</v>
      </c>
      <c r="F391" s="7">
        <v>3.451656925</v>
      </c>
      <c r="G391" s="7">
        <v>-2.2213356219999998</v>
      </c>
      <c r="H391" s="6" t="str">
        <f t="shared" si="7"/>
        <v>Inverse</v>
      </c>
      <c r="I391" s="6" t="s">
        <v>1408</v>
      </c>
      <c r="J391" s="6" t="s">
        <v>1409</v>
      </c>
    </row>
    <row r="392" spans="1:10" x14ac:dyDescent="0.2">
      <c r="A392" s="6" t="s">
        <v>15</v>
      </c>
      <c r="B392" s="6" t="s">
        <v>40</v>
      </c>
      <c r="C392" s="6" t="s">
        <v>1410</v>
      </c>
      <c r="D392" s="6" t="s">
        <v>1411</v>
      </c>
      <c r="E392" s="6" t="s">
        <v>1412</v>
      </c>
      <c r="F392" s="7">
        <v>1.8179299840000001</v>
      </c>
      <c r="G392" s="7">
        <v>-1.333590665</v>
      </c>
      <c r="H392" s="6" t="str">
        <f t="shared" si="7"/>
        <v>Inverse</v>
      </c>
      <c r="I392" s="6" t="s">
        <v>50</v>
      </c>
      <c r="J392" s="6" t="s">
        <v>1413</v>
      </c>
    </row>
    <row r="393" spans="1:10" x14ac:dyDescent="0.2">
      <c r="A393" s="6" t="s">
        <v>15</v>
      </c>
      <c r="B393" s="6" t="s">
        <v>40</v>
      </c>
      <c r="C393" s="6" t="s">
        <v>1414</v>
      </c>
      <c r="D393" s="6" t="s">
        <v>1415</v>
      </c>
      <c r="E393" s="6" t="s">
        <v>1416</v>
      </c>
      <c r="F393" s="7">
        <v>-1.2959234100000001</v>
      </c>
      <c r="G393" s="7">
        <v>-1.1971127420000001</v>
      </c>
      <c r="H393" s="6" t="str">
        <f t="shared" si="7"/>
        <v>Direct</v>
      </c>
      <c r="I393" s="6" t="s">
        <v>1417</v>
      </c>
      <c r="J393" s="6" t="s">
        <v>1418</v>
      </c>
    </row>
    <row r="394" spans="1:10" x14ac:dyDescent="0.2">
      <c r="A394" s="6" t="s">
        <v>15</v>
      </c>
      <c r="B394" s="6" t="s">
        <v>40</v>
      </c>
      <c r="C394" s="6" t="s">
        <v>168</v>
      </c>
      <c r="D394" s="6" t="s">
        <v>169</v>
      </c>
      <c r="E394" s="6" t="s">
        <v>170</v>
      </c>
      <c r="F394" s="7">
        <v>2.888520309</v>
      </c>
      <c r="G394" s="7">
        <v>5.6313333639999996</v>
      </c>
      <c r="H394" s="6" t="str">
        <f t="shared" si="7"/>
        <v>Direct</v>
      </c>
      <c r="I394" s="6" t="s">
        <v>171</v>
      </c>
      <c r="J394" s="6" t="s">
        <v>172</v>
      </c>
    </row>
    <row r="395" spans="1:10" x14ac:dyDescent="0.2">
      <c r="A395" s="6" t="s">
        <v>15</v>
      </c>
      <c r="B395" s="6" t="s">
        <v>40</v>
      </c>
      <c r="C395" s="6" t="s">
        <v>864</v>
      </c>
      <c r="D395" s="6" t="s">
        <v>865</v>
      </c>
      <c r="E395" s="6" t="s">
        <v>866</v>
      </c>
      <c r="F395" s="7">
        <v>-1.6474427410000001</v>
      </c>
      <c r="G395" s="7">
        <v>-1.5543327170000001</v>
      </c>
      <c r="H395" s="6" t="str">
        <f t="shared" si="7"/>
        <v>Direct</v>
      </c>
      <c r="I395" s="6" t="s">
        <v>867</v>
      </c>
      <c r="J395" s="6" t="s">
        <v>867</v>
      </c>
    </row>
    <row r="396" spans="1:10" x14ac:dyDescent="0.2">
      <c r="A396" s="6" t="s">
        <v>15</v>
      </c>
      <c r="B396" s="6" t="s">
        <v>40</v>
      </c>
      <c r="C396" s="6" t="s">
        <v>207</v>
      </c>
      <c r="D396" s="6" t="s">
        <v>208</v>
      </c>
      <c r="E396" s="6" t="s">
        <v>209</v>
      </c>
      <c r="F396" s="7">
        <v>-2.8735455600000002</v>
      </c>
      <c r="G396" s="7">
        <v>1.8228441529999999</v>
      </c>
      <c r="H396" s="6" t="str">
        <f t="shared" si="7"/>
        <v>Inverse</v>
      </c>
      <c r="I396" s="6" t="s">
        <v>50</v>
      </c>
      <c r="J396" s="6" t="s">
        <v>210</v>
      </c>
    </row>
    <row r="397" spans="1:10" x14ac:dyDescent="0.2">
      <c r="A397" s="6" t="s">
        <v>15</v>
      </c>
      <c r="B397" s="6" t="s">
        <v>40</v>
      </c>
      <c r="C397" s="6" t="s">
        <v>1419</v>
      </c>
      <c r="D397" s="6" t="s">
        <v>1420</v>
      </c>
      <c r="E397" s="6" t="s">
        <v>1421</v>
      </c>
      <c r="F397" s="7">
        <v>-1.3512421160000001</v>
      </c>
      <c r="G397" s="7">
        <v>1.196935351</v>
      </c>
      <c r="H397" s="6" t="str">
        <f t="shared" si="7"/>
        <v>Inverse</v>
      </c>
      <c r="I397" s="6" t="s">
        <v>1422</v>
      </c>
      <c r="J397" s="6" t="s">
        <v>1422</v>
      </c>
    </row>
    <row r="398" spans="1:10" x14ac:dyDescent="0.2">
      <c r="A398" s="6" t="s">
        <v>15</v>
      </c>
      <c r="B398" s="6" t="s">
        <v>40</v>
      </c>
      <c r="C398" s="6" t="s">
        <v>890</v>
      </c>
      <c r="D398" s="6" t="s">
        <v>891</v>
      </c>
      <c r="E398" s="6" t="s">
        <v>892</v>
      </c>
      <c r="F398" s="7">
        <v>1.2041659709999999</v>
      </c>
      <c r="G398" s="7">
        <v>1.5610371999999999</v>
      </c>
      <c r="H398" s="6" t="str">
        <f t="shared" si="7"/>
        <v>Direct</v>
      </c>
      <c r="I398" s="6" t="s">
        <v>50</v>
      </c>
      <c r="J398" s="6" t="s">
        <v>893</v>
      </c>
    </row>
    <row r="399" spans="1:10" x14ac:dyDescent="0.2">
      <c r="A399" s="6" t="s">
        <v>15</v>
      </c>
      <c r="B399" s="6" t="s">
        <v>40</v>
      </c>
      <c r="C399" s="6" t="s">
        <v>1423</v>
      </c>
      <c r="D399" s="6" t="s">
        <v>1424</v>
      </c>
      <c r="E399" s="6" t="s">
        <v>1425</v>
      </c>
      <c r="F399" s="7">
        <v>-1.9722036730000001</v>
      </c>
      <c r="G399" s="7">
        <v>-2.9137363650000001</v>
      </c>
      <c r="H399" s="6" t="str">
        <f t="shared" si="7"/>
        <v>Direct</v>
      </c>
      <c r="I399" s="6" t="s">
        <v>50</v>
      </c>
      <c r="J399" s="6" t="s">
        <v>272</v>
      </c>
    </row>
    <row r="400" spans="1:10" x14ac:dyDescent="0.2">
      <c r="A400" s="6" t="s">
        <v>15</v>
      </c>
      <c r="B400" s="6" t="s">
        <v>40</v>
      </c>
      <c r="C400" s="6" t="s">
        <v>1426</v>
      </c>
      <c r="D400" s="6" t="s">
        <v>1427</v>
      </c>
      <c r="E400" s="6" t="s">
        <v>1428</v>
      </c>
      <c r="F400" s="7">
        <v>-2.3001409669999999</v>
      </c>
      <c r="G400" s="7">
        <v>-3.195940829</v>
      </c>
      <c r="H400" s="6" t="str">
        <f t="shared" si="7"/>
        <v>Direct</v>
      </c>
      <c r="I400" s="6" t="s">
        <v>1429</v>
      </c>
      <c r="J400" s="6" t="s">
        <v>1429</v>
      </c>
    </row>
    <row r="401" spans="1:10" x14ac:dyDescent="0.2">
      <c r="A401" s="6" t="s">
        <v>15</v>
      </c>
      <c r="B401" s="6" t="s">
        <v>40</v>
      </c>
      <c r="C401" s="6" t="s">
        <v>1430</v>
      </c>
      <c r="D401" s="6" t="s">
        <v>1431</v>
      </c>
      <c r="E401" s="6" t="s">
        <v>1432</v>
      </c>
      <c r="F401" s="7">
        <v>-1.034565932</v>
      </c>
      <c r="G401" s="7">
        <v>-1.918099494</v>
      </c>
      <c r="H401" s="6" t="str">
        <f t="shared" si="7"/>
        <v>Direct</v>
      </c>
      <c r="I401" s="6" t="s">
        <v>1433</v>
      </c>
      <c r="J401" s="6" t="s">
        <v>272</v>
      </c>
    </row>
    <row r="402" spans="1:10" x14ac:dyDescent="0.2">
      <c r="A402" s="6" t="s">
        <v>15</v>
      </c>
      <c r="B402" s="6" t="s">
        <v>40</v>
      </c>
      <c r="C402" s="6" t="s">
        <v>1434</v>
      </c>
      <c r="D402" s="6" t="s">
        <v>1435</v>
      </c>
      <c r="E402" s="6" t="s">
        <v>1436</v>
      </c>
      <c r="F402" s="7">
        <v>1.0013112310000001</v>
      </c>
      <c r="G402" s="7">
        <v>-1.058156686</v>
      </c>
      <c r="H402" s="6" t="str">
        <f t="shared" si="7"/>
        <v>Inverse</v>
      </c>
      <c r="I402" s="6" t="s">
        <v>1437</v>
      </c>
      <c r="J402" s="6" t="s">
        <v>1437</v>
      </c>
    </row>
    <row r="403" spans="1:10" x14ac:dyDescent="0.2">
      <c r="A403" s="6" t="s">
        <v>15</v>
      </c>
      <c r="B403" s="6" t="s">
        <v>40</v>
      </c>
      <c r="C403" s="6" t="s">
        <v>460</v>
      </c>
      <c r="D403" s="6" t="s">
        <v>461</v>
      </c>
      <c r="E403" s="6" t="s">
        <v>462</v>
      </c>
      <c r="F403" s="7">
        <v>1.0961123189999999</v>
      </c>
      <c r="G403" s="7">
        <v>1.7880014289999999</v>
      </c>
      <c r="H403" s="6" t="str">
        <f t="shared" si="7"/>
        <v>Direct</v>
      </c>
      <c r="I403" s="6" t="s">
        <v>463</v>
      </c>
      <c r="J403" s="6" t="s">
        <v>463</v>
      </c>
    </row>
    <row r="404" spans="1:10" x14ac:dyDescent="0.2">
      <c r="A404" s="6" t="s">
        <v>15</v>
      </c>
      <c r="B404" s="6" t="s">
        <v>40</v>
      </c>
      <c r="C404" s="6" t="s">
        <v>1438</v>
      </c>
      <c r="D404" s="6" t="s">
        <v>1439</v>
      </c>
      <c r="E404" s="6" t="s">
        <v>1440</v>
      </c>
      <c r="F404" s="7">
        <v>1.3988363079999999</v>
      </c>
      <c r="G404" s="7">
        <v>-1.8316015240000001</v>
      </c>
      <c r="H404" s="6" t="str">
        <f t="shared" si="7"/>
        <v>Inverse</v>
      </c>
      <c r="I404" s="6" t="s">
        <v>1441</v>
      </c>
      <c r="J404" s="6" t="s">
        <v>1441</v>
      </c>
    </row>
    <row r="405" spans="1:10" x14ac:dyDescent="0.2">
      <c r="A405" s="6" t="s">
        <v>15</v>
      </c>
      <c r="B405" s="6" t="s">
        <v>40</v>
      </c>
      <c r="C405" s="6" t="s">
        <v>1442</v>
      </c>
      <c r="D405" s="6" t="s">
        <v>1443</v>
      </c>
      <c r="E405" s="6" t="s">
        <v>1444</v>
      </c>
      <c r="F405" s="7">
        <v>1.1737892379999999</v>
      </c>
      <c r="G405" s="7">
        <v>2.30305917</v>
      </c>
      <c r="H405" s="6" t="str">
        <f t="shared" si="7"/>
        <v>Direct</v>
      </c>
      <c r="I405" s="6" t="s">
        <v>1445</v>
      </c>
      <c r="J405" s="6" t="s">
        <v>1445</v>
      </c>
    </row>
    <row r="406" spans="1:10" x14ac:dyDescent="0.2">
      <c r="A406" s="6" t="s">
        <v>15</v>
      </c>
      <c r="B406" s="6" t="s">
        <v>40</v>
      </c>
      <c r="C406" s="6" t="s">
        <v>509</v>
      </c>
      <c r="D406" s="6" t="s">
        <v>510</v>
      </c>
      <c r="E406" s="6" t="s">
        <v>511</v>
      </c>
      <c r="F406" s="7">
        <v>-1.5646716730000001</v>
      </c>
      <c r="G406" s="7">
        <v>-2.2450833659999998</v>
      </c>
      <c r="H406" s="6" t="str">
        <f t="shared" si="7"/>
        <v>Direct</v>
      </c>
      <c r="I406" s="6" t="s">
        <v>512</v>
      </c>
      <c r="J406" s="6" t="s">
        <v>512</v>
      </c>
    </row>
    <row r="407" spans="1:10" x14ac:dyDescent="0.2">
      <c r="A407" s="6" t="s">
        <v>15</v>
      </c>
      <c r="B407" s="6" t="s">
        <v>40</v>
      </c>
      <c r="C407" s="6" t="s">
        <v>1446</v>
      </c>
      <c r="D407" s="6" t="s">
        <v>1447</v>
      </c>
      <c r="E407" s="6" t="s">
        <v>1448</v>
      </c>
      <c r="F407" s="7">
        <v>1.340138362</v>
      </c>
      <c r="G407" s="7">
        <v>-1.496359998</v>
      </c>
      <c r="H407" s="6" t="str">
        <f t="shared" si="7"/>
        <v>Inverse</v>
      </c>
      <c r="I407" s="6" t="s">
        <v>1449</v>
      </c>
      <c r="J407" s="6" t="s">
        <v>1449</v>
      </c>
    </row>
    <row r="408" spans="1:10" x14ac:dyDescent="0.2">
      <c r="A408" s="6" t="s">
        <v>15</v>
      </c>
      <c r="B408" s="6" t="s">
        <v>40</v>
      </c>
      <c r="C408" s="6" t="s">
        <v>1450</v>
      </c>
      <c r="D408" s="6" t="s">
        <v>1451</v>
      </c>
      <c r="E408" s="6" t="s">
        <v>1452</v>
      </c>
      <c r="F408" s="7">
        <v>-1.421227923</v>
      </c>
      <c r="G408" s="7">
        <v>2.4823358999999998</v>
      </c>
      <c r="H408" s="6" t="str">
        <f t="shared" si="7"/>
        <v>Inverse</v>
      </c>
      <c r="I408" s="6" t="s">
        <v>1453</v>
      </c>
      <c r="J408" s="6" t="s">
        <v>1453</v>
      </c>
    </row>
    <row r="409" spans="1:10" x14ac:dyDescent="0.2">
      <c r="A409" s="6" t="s">
        <v>15</v>
      </c>
      <c r="B409" s="6" t="s">
        <v>40</v>
      </c>
      <c r="C409" s="6" t="s">
        <v>1260</v>
      </c>
      <c r="D409" s="6" t="s">
        <v>1261</v>
      </c>
      <c r="E409" s="6" t="s">
        <v>1262</v>
      </c>
      <c r="F409" s="7">
        <v>1.7010457619999999</v>
      </c>
      <c r="G409" s="7">
        <v>-1.1719608690000001</v>
      </c>
      <c r="H409" s="6" t="str">
        <f t="shared" si="7"/>
        <v>Inverse</v>
      </c>
      <c r="I409" s="6" t="s">
        <v>1039</v>
      </c>
      <c r="J409" s="6" t="s">
        <v>1039</v>
      </c>
    </row>
    <row r="410" spans="1:10" x14ac:dyDescent="0.2">
      <c r="A410" s="6" t="s">
        <v>15</v>
      </c>
      <c r="B410" s="6" t="s">
        <v>40</v>
      </c>
      <c r="C410" s="6" t="s">
        <v>1454</v>
      </c>
      <c r="D410" s="6" t="s">
        <v>1455</v>
      </c>
      <c r="E410" s="6" t="s">
        <v>1456</v>
      </c>
      <c r="F410" s="7">
        <v>-1.256035282</v>
      </c>
      <c r="G410" s="7">
        <v>-1.2875475670000001</v>
      </c>
      <c r="H410" s="6" t="str">
        <f t="shared" si="7"/>
        <v>Direct</v>
      </c>
      <c r="I410" s="6" t="s">
        <v>50</v>
      </c>
      <c r="J410" s="6" t="s">
        <v>50</v>
      </c>
    </row>
    <row r="411" spans="1:10" x14ac:dyDescent="0.2">
      <c r="A411" s="6" t="s">
        <v>15</v>
      </c>
      <c r="B411" s="6" t="s">
        <v>40</v>
      </c>
      <c r="C411" s="6" t="s">
        <v>1457</v>
      </c>
      <c r="D411" s="6" t="s">
        <v>1458</v>
      </c>
      <c r="E411" s="6" t="s">
        <v>1459</v>
      </c>
      <c r="F411" s="7">
        <v>1.770549894</v>
      </c>
      <c r="G411" s="7">
        <v>-2.565659439</v>
      </c>
      <c r="H411" s="6" t="str">
        <f t="shared" si="7"/>
        <v>Inverse</v>
      </c>
      <c r="I411" s="6" t="s">
        <v>1460</v>
      </c>
      <c r="J411" s="6" t="s">
        <v>1460</v>
      </c>
    </row>
    <row r="412" spans="1:10" x14ac:dyDescent="0.2">
      <c r="A412" s="6" t="s">
        <v>15</v>
      </c>
      <c r="B412" s="6" t="s">
        <v>40</v>
      </c>
      <c r="C412" s="6" t="s">
        <v>1461</v>
      </c>
      <c r="D412" s="6" t="s">
        <v>1462</v>
      </c>
      <c r="E412" s="6" t="s">
        <v>1463</v>
      </c>
      <c r="F412" s="7">
        <v>1.961223358</v>
      </c>
      <c r="G412" s="7">
        <v>-1.1318428659999999</v>
      </c>
      <c r="H412" s="6" t="str">
        <f t="shared" si="7"/>
        <v>Inverse</v>
      </c>
      <c r="I412" s="6" t="s">
        <v>1254</v>
      </c>
      <c r="J412" s="6" t="s">
        <v>1254</v>
      </c>
    </row>
    <row r="413" spans="1:10" x14ac:dyDescent="0.2">
      <c r="A413" s="6" t="s">
        <v>15</v>
      </c>
      <c r="B413" s="6" t="s">
        <v>40</v>
      </c>
      <c r="C413" s="6" t="s">
        <v>1464</v>
      </c>
      <c r="D413" s="6" t="s">
        <v>1465</v>
      </c>
      <c r="E413" s="6" t="s">
        <v>1466</v>
      </c>
      <c r="F413" s="7">
        <v>1.3502587850000001</v>
      </c>
      <c r="G413" s="7">
        <v>4.9362743880000002</v>
      </c>
      <c r="H413" s="6" t="str">
        <f t="shared" si="7"/>
        <v>Direct</v>
      </c>
      <c r="I413" s="6" t="s">
        <v>1467</v>
      </c>
      <c r="J413" s="6" t="s">
        <v>1467</v>
      </c>
    </row>
    <row r="414" spans="1:10" x14ac:dyDescent="0.2">
      <c r="A414" s="6" t="s">
        <v>15</v>
      </c>
      <c r="B414" s="6" t="s">
        <v>40</v>
      </c>
      <c r="C414" s="6" t="s">
        <v>1468</v>
      </c>
      <c r="D414" s="6" t="s">
        <v>1469</v>
      </c>
      <c r="E414" s="6" t="s">
        <v>1470</v>
      </c>
      <c r="F414" s="7">
        <v>3.392433086</v>
      </c>
      <c r="G414" s="7">
        <v>1.251979422</v>
      </c>
      <c r="H414" s="6" t="str">
        <f t="shared" si="7"/>
        <v>Direct</v>
      </c>
      <c r="I414" s="6" t="s">
        <v>1471</v>
      </c>
      <c r="J414" s="6" t="s">
        <v>1471</v>
      </c>
    </row>
    <row r="415" spans="1:10" x14ac:dyDescent="0.2">
      <c r="A415" s="6" t="s">
        <v>15</v>
      </c>
      <c r="B415" s="6" t="s">
        <v>40</v>
      </c>
      <c r="C415" s="6" t="s">
        <v>1472</v>
      </c>
      <c r="D415" s="6" t="s">
        <v>1473</v>
      </c>
      <c r="E415" s="6" t="s">
        <v>1474</v>
      </c>
      <c r="F415" s="7">
        <v>-1.0610506529999999</v>
      </c>
      <c r="G415" s="7">
        <v>1.2709015640000001</v>
      </c>
      <c r="H415" s="6" t="str">
        <f t="shared" si="7"/>
        <v>Inverse</v>
      </c>
      <c r="I415" s="6" t="s">
        <v>1475</v>
      </c>
      <c r="J415" s="6" t="s">
        <v>1475</v>
      </c>
    </row>
    <row r="416" spans="1:10" x14ac:dyDescent="0.2">
      <c r="A416" s="6" t="s">
        <v>15</v>
      </c>
      <c r="B416" s="6" t="s">
        <v>40</v>
      </c>
      <c r="C416" s="6" t="s">
        <v>1476</v>
      </c>
      <c r="D416" s="6" t="s">
        <v>1477</v>
      </c>
      <c r="E416" s="6" t="s">
        <v>1478</v>
      </c>
      <c r="F416" s="7">
        <v>1.527913726</v>
      </c>
      <c r="G416" s="7">
        <v>1.0654190649999999</v>
      </c>
      <c r="H416" s="6" t="str">
        <f t="shared" si="7"/>
        <v>Direct</v>
      </c>
      <c r="I416" s="6" t="s">
        <v>1479</v>
      </c>
      <c r="J416" s="6" t="s">
        <v>1479</v>
      </c>
    </row>
    <row r="417" spans="1:10" x14ac:dyDescent="0.2">
      <c r="A417" s="6" t="s">
        <v>15</v>
      </c>
      <c r="B417" s="6" t="s">
        <v>40</v>
      </c>
      <c r="C417" s="6" t="s">
        <v>1480</v>
      </c>
      <c r="D417" s="6" t="s">
        <v>1481</v>
      </c>
      <c r="E417" s="6" t="s">
        <v>1482</v>
      </c>
      <c r="F417" s="7">
        <v>1.699503277</v>
      </c>
      <c r="G417" s="7">
        <v>-1.6673820189999999</v>
      </c>
      <c r="H417" s="6" t="str">
        <f t="shared" si="7"/>
        <v>Inverse</v>
      </c>
      <c r="I417" s="6" t="s">
        <v>1483</v>
      </c>
      <c r="J417" s="6" t="s">
        <v>1484</v>
      </c>
    </row>
    <row r="418" spans="1:10" x14ac:dyDescent="0.2">
      <c r="A418" s="6" t="s">
        <v>15</v>
      </c>
      <c r="B418" s="6" t="s">
        <v>40</v>
      </c>
      <c r="C418" s="6" t="s">
        <v>1485</v>
      </c>
      <c r="D418" s="6" t="s">
        <v>1486</v>
      </c>
      <c r="E418" s="6" t="s">
        <v>1487</v>
      </c>
      <c r="F418" s="7">
        <v>1.2422661829999999</v>
      </c>
      <c r="G418" s="7">
        <v>2.5045511440000001</v>
      </c>
      <c r="H418" s="6" t="str">
        <f t="shared" si="7"/>
        <v>Direct</v>
      </c>
      <c r="I418" s="6" t="s">
        <v>50</v>
      </c>
      <c r="J418" s="6" t="s">
        <v>1488</v>
      </c>
    </row>
    <row r="419" spans="1:10" x14ac:dyDescent="0.2">
      <c r="A419" s="6" t="s">
        <v>15</v>
      </c>
      <c r="B419" s="6" t="s">
        <v>40</v>
      </c>
      <c r="C419" s="6" t="s">
        <v>1489</v>
      </c>
      <c r="D419" s="6" t="s">
        <v>1490</v>
      </c>
      <c r="E419" s="6" t="s">
        <v>1491</v>
      </c>
      <c r="F419" s="7">
        <v>1.6911682800000001</v>
      </c>
      <c r="G419" s="7">
        <v>1.058087639</v>
      </c>
      <c r="H419" s="6" t="str">
        <f t="shared" si="7"/>
        <v>Direct</v>
      </c>
      <c r="I419" s="6" t="s">
        <v>1492</v>
      </c>
      <c r="J419" s="6" t="s">
        <v>1492</v>
      </c>
    </row>
    <row r="420" spans="1:10" x14ac:dyDescent="0.2">
      <c r="A420" s="6" t="s">
        <v>15</v>
      </c>
      <c r="B420" s="6" t="s">
        <v>40</v>
      </c>
      <c r="C420" s="6" t="s">
        <v>1493</v>
      </c>
      <c r="D420" s="6" t="s">
        <v>1494</v>
      </c>
      <c r="E420" s="6" t="s">
        <v>1495</v>
      </c>
      <c r="F420" s="7">
        <v>1.8680080729999999</v>
      </c>
      <c r="G420" s="7">
        <v>2.8489388870000001</v>
      </c>
      <c r="H420" s="6" t="str">
        <f t="shared" si="7"/>
        <v>Direct</v>
      </c>
      <c r="I420" s="6" t="s">
        <v>1496</v>
      </c>
      <c r="J420" s="6" t="s">
        <v>1496</v>
      </c>
    </row>
    <row r="421" spans="1:10" x14ac:dyDescent="0.2">
      <c r="A421" s="6" t="s">
        <v>15</v>
      </c>
      <c r="B421" s="8" t="s">
        <v>46</v>
      </c>
      <c r="C421" s="8" t="s">
        <v>1497</v>
      </c>
      <c r="D421" s="8" t="s">
        <v>1498</v>
      </c>
      <c r="E421" s="8" t="s">
        <v>1499</v>
      </c>
      <c r="F421" s="8">
        <v>-1.159041574</v>
      </c>
      <c r="G421" s="8">
        <v>1.6144101500000001</v>
      </c>
      <c r="H421" s="6" t="str">
        <f t="shared" si="7"/>
        <v>Inverse</v>
      </c>
      <c r="I421" s="8" t="s">
        <v>1500</v>
      </c>
      <c r="J421" s="8" t="s">
        <v>1500</v>
      </c>
    </row>
    <row r="422" spans="1:10" x14ac:dyDescent="0.2">
      <c r="A422" s="6" t="s">
        <v>15</v>
      </c>
      <c r="B422" s="8" t="s">
        <v>46</v>
      </c>
      <c r="C422" s="8" t="s">
        <v>1501</v>
      </c>
      <c r="D422" s="8" t="s">
        <v>1502</v>
      </c>
      <c r="E422" s="8" t="s">
        <v>1503</v>
      </c>
      <c r="F422" s="8">
        <v>-1.1914456849999999</v>
      </c>
      <c r="G422" s="8">
        <v>-1.218832015</v>
      </c>
      <c r="H422" s="6" t="str">
        <f t="shared" si="7"/>
        <v>Direct</v>
      </c>
      <c r="I422" s="8" t="s">
        <v>1504</v>
      </c>
      <c r="J422" s="8" t="s">
        <v>1332</v>
      </c>
    </row>
    <row r="423" spans="1:10" x14ac:dyDescent="0.2">
      <c r="A423" s="6" t="s">
        <v>15</v>
      </c>
      <c r="B423" s="8" t="s">
        <v>46</v>
      </c>
      <c r="C423" s="8" t="s">
        <v>1505</v>
      </c>
      <c r="D423" s="8" t="s">
        <v>1506</v>
      </c>
      <c r="E423" s="8" t="s">
        <v>1507</v>
      </c>
      <c r="F423" s="8">
        <v>1.5127782729999999</v>
      </c>
      <c r="G423" s="8">
        <v>1.104276923</v>
      </c>
      <c r="H423" s="6" t="str">
        <f t="shared" si="7"/>
        <v>Direct</v>
      </c>
      <c r="I423" s="8" t="s">
        <v>1508</v>
      </c>
      <c r="J423" s="8" t="s">
        <v>1508</v>
      </c>
    </row>
    <row r="424" spans="1:10" x14ac:dyDescent="0.2">
      <c r="A424" s="6" t="s">
        <v>15</v>
      </c>
      <c r="B424" s="8" t="s">
        <v>46</v>
      </c>
      <c r="C424" s="8" t="s">
        <v>1509</v>
      </c>
      <c r="D424" s="8" t="s">
        <v>1510</v>
      </c>
      <c r="E424" s="8" t="s">
        <v>1511</v>
      </c>
      <c r="F424" s="8">
        <v>1.051862965</v>
      </c>
      <c r="G424" s="8">
        <v>2.2950367489999999</v>
      </c>
      <c r="H424" s="6" t="str">
        <f t="shared" si="7"/>
        <v>Direct</v>
      </c>
      <c r="I424" s="8" t="s">
        <v>50</v>
      </c>
      <c r="J424" s="8" t="s">
        <v>50</v>
      </c>
    </row>
    <row r="425" spans="1:10" x14ac:dyDescent="0.2">
      <c r="A425" s="6" t="s">
        <v>15</v>
      </c>
      <c r="B425" s="8" t="s">
        <v>46</v>
      </c>
      <c r="C425" s="8" t="s">
        <v>1512</v>
      </c>
      <c r="D425" s="8" t="s">
        <v>1513</v>
      </c>
      <c r="E425" s="8" t="s">
        <v>1514</v>
      </c>
      <c r="F425" s="8">
        <v>1.268646226</v>
      </c>
      <c r="G425" s="8">
        <v>1.2969245819999999</v>
      </c>
      <c r="H425" s="6" t="str">
        <f t="shared" si="7"/>
        <v>Direct</v>
      </c>
      <c r="I425" s="8" t="s">
        <v>50</v>
      </c>
      <c r="J425" s="8" t="s">
        <v>50</v>
      </c>
    </row>
    <row r="426" spans="1:10" x14ac:dyDescent="0.2">
      <c r="A426" s="6" t="s">
        <v>15</v>
      </c>
      <c r="B426" s="8" t="s">
        <v>46</v>
      </c>
      <c r="C426" s="8" t="s">
        <v>800</v>
      </c>
      <c r="D426" s="8" t="s">
        <v>801</v>
      </c>
      <c r="E426" s="8" t="s">
        <v>802</v>
      </c>
      <c r="F426" s="8">
        <v>6.1237504200000004</v>
      </c>
      <c r="G426" s="8">
        <v>-2.8016165320000002</v>
      </c>
      <c r="H426" s="6" t="str">
        <f t="shared" si="7"/>
        <v>Inverse</v>
      </c>
      <c r="I426" s="8" t="s">
        <v>288</v>
      </c>
      <c r="J426" s="8" t="s">
        <v>288</v>
      </c>
    </row>
    <row r="427" spans="1:10" x14ac:dyDescent="0.2">
      <c r="A427" s="6" t="s">
        <v>15</v>
      </c>
      <c r="B427" s="8" t="s">
        <v>46</v>
      </c>
      <c r="C427" s="8" t="s">
        <v>815</v>
      </c>
      <c r="D427" s="8" t="s">
        <v>816</v>
      </c>
      <c r="E427" s="8" t="s">
        <v>817</v>
      </c>
      <c r="F427" s="8">
        <v>1.1914063020000001</v>
      </c>
      <c r="G427" s="8">
        <v>-2.9169026219999998</v>
      </c>
      <c r="H427" s="6" t="str">
        <f t="shared" si="7"/>
        <v>Inverse</v>
      </c>
      <c r="I427" s="8" t="s">
        <v>818</v>
      </c>
      <c r="J427" s="8" t="s">
        <v>818</v>
      </c>
    </row>
    <row r="428" spans="1:10" x14ac:dyDescent="0.2">
      <c r="A428" s="6" t="s">
        <v>15</v>
      </c>
      <c r="B428" s="8" t="s">
        <v>46</v>
      </c>
      <c r="C428" s="8" t="s">
        <v>1515</v>
      </c>
      <c r="D428" s="8" t="s">
        <v>1516</v>
      </c>
      <c r="E428" s="8" t="s">
        <v>1517</v>
      </c>
      <c r="F428" s="8">
        <v>-2.1690200110000002</v>
      </c>
      <c r="G428" s="8">
        <v>-2.2613526990000001</v>
      </c>
      <c r="H428" s="6" t="str">
        <f t="shared" si="7"/>
        <v>Direct</v>
      </c>
      <c r="I428" s="8" t="s">
        <v>1518</v>
      </c>
      <c r="J428" s="8" t="s">
        <v>1518</v>
      </c>
    </row>
    <row r="429" spans="1:10" x14ac:dyDescent="0.2">
      <c r="A429" s="6" t="s">
        <v>15</v>
      </c>
      <c r="B429" s="8" t="s">
        <v>46</v>
      </c>
      <c r="C429" s="8" t="s">
        <v>1519</v>
      </c>
      <c r="D429" s="8" t="s">
        <v>1520</v>
      </c>
      <c r="E429" s="8" t="s">
        <v>1521</v>
      </c>
      <c r="F429" s="8">
        <v>1.410410642</v>
      </c>
      <c r="G429" s="8">
        <v>1.3154394599999999</v>
      </c>
      <c r="H429" s="6" t="str">
        <f t="shared" si="7"/>
        <v>Direct</v>
      </c>
      <c r="I429" s="8" t="s">
        <v>50</v>
      </c>
      <c r="J429" s="8" t="s">
        <v>1522</v>
      </c>
    </row>
    <row r="430" spans="1:10" x14ac:dyDescent="0.2">
      <c r="A430" s="6" t="s">
        <v>15</v>
      </c>
      <c r="B430" s="8" t="s">
        <v>46</v>
      </c>
      <c r="C430" s="8" t="s">
        <v>1523</v>
      </c>
      <c r="D430" s="8" t="s">
        <v>1524</v>
      </c>
      <c r="E430" s="8" t="s">
        <v>1525</v>
      </c>
      <c r="F430" s="8">
        <v>-1.8054560239999999</v>
      </c>
      <c r="G430" s="8">
        <v>-1.366735247</v>
      </c>
      <c r="H430" s="6" t="str">
        <f t="shared" si="7"/>
        <v>Direct</v>
      </c>
      <c r="I430" s="8" t="s">
        <v>1526</v>
      </c>
      <c r="J430" s="8" t="s">
        <v>688</v>
      </c>
    </row>
    <row r="431" spans="1:10" x14ac:dyDescent="0.2">
      <c r="A431" s="6" t="s">
        <v>15</v>
      </c>
      <c r="B431" s="8" t="s">
        <v>46</v>
      </c>
      <c r="C431" s="8" t="s">
        <v>848</v>
      </c>
      <c r="D431" s="8" t="s">
        <v>849</v>
      </c>
      <c r="E431" s="8" t="s">
        <v>850</v>
      </c>
      <c r="F431" s="8">
        <v>2.475089793</v>
      </c>
      <c r="G431" s="8">
        <v>1.638592805</v>
      </c>
      <c r="H431" s="6" t="str">
        <f t="shared" si="7"/>
        <v>Direct</v>
      </c>
      <c r="I431" s="8" t="s">
        <v>50</v>
      </c>
      <c r="J431" s="8" t="s">
        <v>851</v>
      </c>
    </row>
    <row r="432" spans="1:10" x14ac:dyDescent="0.2">
      <c r="A432" s="6" t="s">
        <v>15</v>
      </c>
      <c r="B432" s="8" t="s">
        <v>46</v>
      </c>
      <c r="C432" s="8" t="s">
        <v>1527</v>
      </c>
      <c r="D432" s="8" t="s">
        <v>1528</v>
      </c>
      <c r="E432" s="8" t="s">
        <v>1529</v>
      </c>
      <c r="F432" s="8">
        <v>2.890438021</v>
      </c>
      <c r="G432" s="8">
        <v>2.6766739949999998</v>
      </c>
      <c r="H432" s="6" t="str">
        <f t="shared" si="7"/>
        <v>Direct</v>
      </c>
      <c r="I432" s="8" t="s">
        <v>1530</v>
      </c>
      <c r="J432" s="8" t="s">
        <v>1530</v>
      </c>
    </row>
    <row r="433" spans="1:10" x14ac:dyDescent="0.2">
      <c r="A433" s="6" t="s">
        <v>15</v>
      </c>
      <c r="B433" s="8" t="s">
        <v>46</v>
      </c>
      <c r="C433" s="8" t="s">
        <v>1531</v>
      </c>
      <c r="D433" s="8" t="s">
        <v>1532</v>
      </c>
      <c r="E433" s="8" t="s">
        <v>1533</v>
      </c>
      <c r="F433" s="8">
        <v>1.987322531</v>
      </c>
      <c r="G433" s="8">
        <v>1.6017829130000001</v>
      </c>
      <c r="H433" s="6" t="str">
        <f t="shared" si="7"/>
        <v>Direct</v>
      </c>
      <c r="I433" s="8" t="s">
        <v>1534</v>
      </c>
      <c r="J433" s="8" t="s">
        <v>1534</v>
      </c>
    </row>
    <row r="434" spans="1:10" x14ac:dyDescent="0.2">
      <c r="A434" s="6" t="s">
        <v>15</v>
      </c>
      <c r="B434" s="8" t="s">
        <v>46</v>
      </c>
      <c r="C434" s="8" t="s">
        <v>872</v>
      </c>
      <c r="D434" s="8" t="s">
        <v>873</v>
      </c>
      <c r="E434" s="8" t="s">
        <v>874</v>
      </c>
      <c r="F434" s="8">
        <v>1.8705547650000001</v>
      </c>
      <c r="G434" s="8">
        <v>2.4031651580000002</v>
      </c>
      <c r="H434" s="6" t="str">
        <f t="shared" si="7"/>
        <v>Direct</v>
      </c>
      <c r="I434" s="8" t="s">
        <v>810</v>
      </c>
      <c r="J434" s="8" t="s">
        <v>810</v>
      </c>
    </row>
    <row r="435" spans="1:10" x14ac:dyDescent="0.2">
      <c r="A435" s="6" t="s">
        <v>15</v>
      </c>
      <c r="B435" s="8" t="s">
        <v>46</v>
      </c>
      <c r="C435" s="8" t="s">
        <v>1535</v>
      </c>
      <c r="D435" s="8" t="s">
        <v>1536</v>
      </c>
      <c r="E435" s="8" t="s">
        <v>1537</v>
      </c>
      <c r="F435" s="8">
        <v>1.761378441</v>
      </c>
      <c r="G435" s="8">
        <v>-1.2969245819999999</v>
      </c>
      <c r="H435" s="6" t="str">
        <f t="shared" si="7"/>
        <v>Inverse</v>
      </c>
      <c r="I435" s="8" t="s">
        <v>1538</v>
      </c>
      <c r="J435" s="8" t="s">
        <v>1538</v>
      </c>
    </row>
    <row r="436" spans="1:10" x14ac:dyDescent="0.2">
      <c r="A436" s="6" t="s">
        <v>15</v>
      </c>
      <c r="B436" s="8" t="s">
        <v>46</v>
      </c>
      <c r="C436" s="8" t="s">
        <v>1539</v>
      </c>
      <c r="D436" s="8" t="s">
        <v>1540</v>
      </c>
      <c r="E436" s="8" t="s">
        <v>1541</v>
      </c>
      <c r="F436" s="8">
        <v>2.2336497450000001</v>
      </c>
      <c r="G436" s="8">
        <v>-1.2990535350000001</v>
      </c>
      <c r="H436" s="6" t="str">
        <f t="shared" si="7"/>
        <v>Inverse</v>
      </c>
      <c r="I436" s="8" t="s">
        <v>1542</v>
      </c>
      <c r="J436" s="8" t="s">
        <v>1543</v>
      </c>
    </row>
    <row r="437" spans="1:10" x14ac:dyDescent="0.2">
      <c r="A437" s="6" t="s">
        <v>15</v>
      </c>
      <c r="B437" s="8" t="s">
        <v>46</v>
      </c>
      <c r="C437" s="8" t="s">
        <v>890</v>
      </c>
      <c r="D437" s="8" t="s">
        <v>891</v>
      </c>
      <c r="E437" s="8" t="s">
        <v>892</v>
      </c>
      <c r="F437" s="8">
        <v>2.4034810009999998</v>
      </c>
      <c r="G437" s="8">
        <v>9.2006835220000003</v>
      </c>
      <c r="H437" s="6" t="str">
        <f t="shared" si="7"/>
        <v>Direct</v>
      </c>
      <c r="I437" s="8" t="s">
        <v>50</v>
      </c>
      <c r="J437" s="8" t="s">
        <v>893</v>
      </c>
    </row>
    <row r="438" spans="1:10" x14ac:dyDescent="0.2">
      <c r="A438" s="6" t="s">
        <v>15</v>
      </c>
      <c r="B438" s="8" t="s">
        <v>46</v>
      </c>
      <c r="C438" s="8" t="s">
        <v>1544</v>
      </c>
      <c r="D438" s="8" t="s">
        <v>1545</v>
      </c>
      <c r="E438" s="8" t="s">
        <v>1546</v>
      </c>
      <c r="F438" s="8">
        <v>1.1429870419999999</v>
      </c>
      <c r="G438" s="8">
        <v>1.080622441</v>
      </c>
      <c r="H438" s="6" t="str">
        <f t="shared" si="7"/>
        <v>Direct</v>
      </c>
      <c r="I438" s="8" t="s">
        <v>1547</v>
      </c>
      <c r="J438" s="8" t="s">
        <v>1547</v>
      </c>
    </row>
    <row r="439" spans="1:10" x14ac:dyDescent="0.2">
      <c r="A439" s="6" t="s">
        <v>15</v>
      </c>
      <c r="B439" s="8" t="s">
        <v>46</v>
      </c>
      <c r="C439" s="8" t="s">
        <v>434</v>
      </c>
      <c r="D439" s="8" t="s">
        <v>435</v>
      </c>
      <c r="E439" s="8" t="s">
        <v>436</v>
      </c>
      <c r="F439" s="8">
        <v>1.2129790979999999</v>
      </c>
      <c r="G439" s="8">
        <v>1.662506316</v>
      </c>
      <c r="H439" s="6" t="str">
        <f t="shared" si="7"/>
        <v>Direct</v>
      </c>
      <c r="I439" s="8" t="s">
        <v>437</v>
      </c>
      <c r="J439" s="8" t="s">
        <v>437</v>
      </c>
    </row>
    <row r="440" spans="1:10" x14ac:dyDescent="0.2">
      <c r="A440" s="6" t="s">
        <v>15</v>
      </c>
      <c r="B440" s="8" t="s">
        <v>46</v>
      </c>
      <c r="C440" s="8" t="s">
        <v>1548</v>
      </c>
      <c r="D440" s="8" t="s">
        <v>1549</v>
      </c>
      <c r="E440" s="8" t="s">
        <v>1550</v>
      </c>
      <c r="F440" s="8">
        <v>1.056443502</v>
      </c>
      <c r="G440" s="8">
        <v>-1.1193103849999999</v>
      </c>
      <c r="H440" s="6" t="str">
        <f t="shared" si="7"/>
        <v>Inverse</v>
      </c>
      <c r="I440" s="8" t="s">
        <v>1551</v>
      </c>
      <c r="J440" s="8" t="s">
        <v>1551</v>
      </c>
    </row>
    <row r="441" spans="1:10" x14ac:dyDescent="0.2">
      <c r="A441" s="6" t="s">
        <v>15</v>
      </c>
      <c r="B441" s="8" t="s">
        <v>46</v>
      </c>
      <c r="C441" s="8" t="s">
        <v>1552</v>
      </c>
      <c r="D441" s="8" t="s">
        <v>1553</v>
      </c>
      <c r="E441" s="8" t="s">
        <v>1554</v>
      </c>
      <c r="F441" s="8">
        <v>-1.6818461330000001</v>
      </c>
      <c r="G441" s="8">
        <v>-1.2270776569999999</v>
      </c>
      <c r="H441" s="6" t="str">
        <f t="shared" si="7"/>
        <v>Direct</v>
      </c>
      <c r="I441" s="8" t="s">
        <v>50</v>
      </c>
      <c r="J441" s="8" t="s">
        <v>1555</v>
      </c>
    </row>
    <row r="442" spans="1:10" x14ac:dyDescent="0.2">
      <c r="A442" s="6" t="s">
        <v>15</v>
      </c>
      <c r="B442" s="8" t="s">
        <v>46</v>
      </c>
      <c r="C442" s="8" t="s">
        <v>1556</v>
      </c>
      <c r="D442" s="8" t="s">
        <v>1557</v>
      </c>
      <c r="E442" s="8" t="s">
        <v>1558</v>
      </c>
      <c r="F442" s="8">
        <v>-1.2070972499999999</v>
      </c>
      <c r="G442" s="8">
        <v>1.1975614000000001</v>
      </c>
      <c r="H442" s="6" t="str">
        <f t="shared" si="7"/>
        <v>Inverse</v>
      </c>
      <c r="I442" s="8" t="s">
        <v>445</v>
      </c>
      <c r="J442" s="8" t="s">
        <v>445</v>
      </c>
    </row>
    <row r="443" spans="1:10" x14ac:dyDescent="0.2">
      <c r="A443" s="6" t="s">
        <v>15</v>
      </c>
      <c r="B443" s="8" t="s">
        <v>46</v>
      </c>
      <c r="C443" s="8" t="s">
        <v>1559</v>
      </c>
      <c r="D443" s="8" t="s">
        <v>1560</v>
      </c>
      <c r="E443" s="8" t="s">
        <v>1561</v>
      </c>
      <c r="F443" s="8">
        <v>2.134198853</v>
      </c>
      <c r="G443" s="8">
        <v>1.997540782</v>
      </c>
      <c r="H443" s="6" t="str">
        <f t="shared" si="7"/>
        <v>Direct</v>
      </c>
      <c r="I443" s="8" t="s">
        <v>1562</v>
      </c>
      <c r="J443" s="8" t="s">
        <v>1563</v>
      </c>
    </row>
    <row r="444" spans="1:10" x14ac:dyDescent="0.2">
      <c r="A444" s="6" t="s">
        <v>15</v>
      </c>
      <c r="B444" s="8" t="s">
        <v>46</v>
      </c>
      <c r="C444" s="8" t="s">
        <v>954</v>
      </c>
      <c r="D444" s="8" t="s">
        <v>955</v>
      </c>
      <c r="E444" s="8" t="s">
        <v>956</v>
      </c>
      <c r="F444" s="8">
        <v>1.601107759</v>
      </c>
      <c r="G444" s="8">
        <v>-1.064279204</v>
      </c>
      <c r="H444" s="6" t="str">
        <f t="shared" si="7"/>
        <v>Inverse</v>
      </c>
      <c r="I444" s="8" t="s">
        <v>957</v>
      </c>
      <c r="J444" s="8" t="s">
        <v>958</v>
      </c>
    </row>
    <row r="445" spans="1:10" x14ac:dyDescent="0.2">
      <c r="A445" s="6" t="s">
        <v>15</v>
      </c>
      <c r="B445" s="8" t="s">
        <v>46</v>
      </c>
      <c r="C445" s="8" t="s">
        <v>971</v>
      </c>
      <c r="D445" s="8" t="s">
        <v>972</v>
      </c>
      <c r="E445" s="8" t="s">
        <v>973</v>
      </c>
      <c r="F445" s="8">
        <v>1.103742013</v>
      </c>
      <c r="G445" s="8">
        <v>1.9001065559999999</v>
      </c>
      <c r="H445" s="6" t="str">
        <f t="shared" si="7"/>
        <v>Direct</v>
      </c>
      <c r="I445" s="8" t="s">
        <v>974</v>
      </c>
      <c r="J445" s="8" t="s">
        <v>974</v>
      </c>
    </row>
    <row r="446" spans="1:10" x14ac:dyDescent="0.2">
      <c r="A446" s="6" t="s">
        <v>15</v>
      </c>
      <c r="B446" s="8" t="s">
        <v>46</v>
      </c>
      <c r="C446" s="8" t="s">
        <v>1564</v>
      </c>
      <c r="D446" s="8" t="s">
        <v>1565</v>
      </c>
      <c r="E446" s="8" t="s">
        <v>1566</v>
      </c>
      <c r="F446" s="8">
        <v>1.791672344</v>
      </c>
      <c r="G446" s="8">
        <v>1.169542351</v>
      </c>
      <c r="H446" s="6" t="str">
        <f t="shared" si="7"/>
        <v>Direct</v>
      </c>
      <c r="I446" s="8" t="s">
        <v>1567</v>
      </c>
      <c r="J446" s="8" t="s">
        <v>1567</v>
      </c>
    </row>
    <row r="447" spans="1:10" x14ac:dyDescent="0.2">
      <c r="A447" s="6" t="s">
        <v>15</v>
      </c>
      <c r="B447" s="8" t="s">
        <v>46</v>
      </c>
      <c r="C447" s="8" t="s">
        <v>1260</v>
      </c>
      <c r="D447" s="8" t="s">
        <v>1261</v>
      </c>
      <c r="E447" s="8" t="s">
        <v>1262</v>
      </c>
      <c r="F447" s="8">
        <v>1.5155788560000001</v>
      </c>
      <c r="G447" s="8">
        <v>-2.6850122399999998</v>
      </c>
      <c r="H447" s="6" t="str">
        <f t="shared" si="7"/>
        <v>Inverse</v>
      </c>
      <c r="I447" s="8" t="s">
        <v>1039</v>
      </c>
      <c r="J447" s="8" t="s">
        <v>1039</v>
      </c>
    </row>
    <row r="448" spans="1:10" x14ac:dyDescent="0.2">
      <c r="A448" s="6" t="s">
        <v>15</v>
      </c>
      <c r="B448" s="8" t="s">
        <v>46</v>
      </c>
      <c r="C448" s="8" t="s">
        <v>547</v>
      </c>
      <c r="D448" s="8" t="s">
        <v>548</v>
      </c>
      <c r="E448" s="8" t="s">
        <v>549</v>
      </c>
      <c r="F448" s="8">
        <v>1.0548182820000001</v>
      </c>
      <c r="G448" s="8">
        <v>2.3980811929999999</v>
      </c>
      <c r="H448" s="6" t="str">
        <f t="shared" si="7"/>
        <v>Direct</v>
      </c>
      <c r="I448" s="8" t="s">
        <v>550</v>
      </c>
      <c r="J448" s="8" t="s">
        <v>550</v>
      </c>
    </row>
    <row r="449" spans="1:10" x14ac:dyDescent="0.2">
      <c r="A449" s="6" t="s">
        <v>15</v>
      </c>
      <c r="B449" s="8" t="s">
        <v>46</v>
      </c>
      <c r="C449" s="8" t="s">
        <v>1568</v>
      </c>
      <c r="D449" s="8" t="s">
        <v>1569</v>
      </c>
      <c r="E449" s="8" t="s">
        <v>1570</v>
      </c>
      <c r="F449" s="8">
        <v>-1.309289199</v>
      </c>
      <c r="G449" s="8">
        <v>-1.8377660330000001</v>
      </c>
      <c r="H449" s="6" t="str">
        <f t="shared" si="7"/>
        <v>Direct</v>
      </c>
      <c r="I449" s="8" t="s">
        <v>1571</v>
      </c>
      <c r="J449" s="8" t="s">
        <v>1572</v>
      </c>
    </row>
    <row r="450" spans="1:10" x14ac:dyDescent="0.2">
      <c r="A450" s="6" t="s">
        <v>15</v>
      </c>
      <c r="B450" s="8" t="s">
        <v>46</v>
      </c>
      <c r="C450" s="8" t="s">
        <v>1573</v>
      </c>
      <c r="D450" s="8" t="s">
        <v>1574</v>
      </c>
      <c r="E450" s="8" t="s">
        <v>1575</v>
      </c>
      <c r="F450" s="8">
        <v>-5.1622430970000002</v>
      </c>
      <c r="G450" s="8">
        <v>1.4018541760000001</v>
      </c>
      <c r="H450" s="6" t="str">
        <f t="shared" si="7"/>
        <v>Inverse</v>
      </c>
      <c r="I450" s="8" t="s">
        <v>554</v>
      </c>
      <c r="J450" s="8" t="s">
        <v>554</v>
      </c>
    </row>
    <row r="451" spans="1:10" x14ac:dyDescent="0.2">
      <c r="A451" s="6" t="s">
        <v>15</v>
      </c>
      <c r="B451" s="8" t="s">
        <v>46</v>
      </c>
      <c r="C451" s="8" t="s">
        <v>1468</v>
      </c>
      <c r="D451" s="8" t="s">
        <v>1469</v>
      </c>
      <c r="E451" s="8" t="s">
        <v>1470</v>
      </c>
      <c r="F451" s="8">
        <v>2.773346332</v>
      </c>
      <c r="G451" s="8">
        <v>1.8423563220000001</v>
      </c>
      <c r="H451" s="6" t="str">
        <f t="shared" si="7"/>
        <v>Direct</v>
      </c>
      <c r="I451" s="8" t="s">
        <v>1471</v>
      </c>
      <c r="J451" s="8" t="s">
        <v>1471</v>
      </c>
    </row>
    <row r="452" spans="1:10" x14ac:dyDescent="0.2">
      <c r="A452" s="6" t="s">
        <v>15</v>
      </c>
      <c r="B452" s="8" t="s">
        <v>46</v>
      </c>
      <c r="C452" s="8" t="s">
        <v>1576</v>
      </c>
      <c r="D452" s="8" t="s">
        <v>1577</v>
      </c>
      <c r="E452" s="8" t="s">
        <v>1578</v>
      </c>
      <c r="F452" s="8">
        <v>-2.0390525159999999</v>
      </c>
      <c r="G452" s="8">
        <v>-1.8149695640000001</v>
      </c>
      <c r="H452" s="6" t="str">
        <f t="shared" si="7"/>
        <v>Direct</v>
      </c>
      <c r="I452" s="8" t="s">
        <v>50</v>
      </c>
      <c r="J452" s="8" t="s">
        <v>1579</v>
      </c>
    </row>
    <row r="453" spans="1:10" x14ac:dyDescent="0.2">
      <c r="A453" s="6" t="s">
        <v>15</v>
      </c>
      <c r="B453" s="8" t="s">
        <v>46</v>
      </c>
      <c r="C453" s="8" t="s">
        <v>1374</v>
      </c>
      <c r="D453" s="8" t="s">
        <v>1375</v>
      </c>
      <c r="E453" s="8" t="s">
        <v>1376</v>
      </c>
      <c r="F453" s="8">
        <v>-1.9012239609999999</v>
      </c>
      <c r="G453" s="8">
        <v>-1.9165894530000001</v>
      </c>
      <c r="H453" s="6" t="str">
        <f t="shared" si="7"/>
        <v>Direct</v>
      </c>
      <c r="I453" s="8" t="s">
        <v>1377</v>
      </c>
      <c r="J453" s="8" t="s">
        <v>1377</v>
      </c>
    </row>
    <row r="454" spans="1:10" x14ac:dyDescent="0.2">
      <c r="A454" s="6" t="s">
        <v>15</v>
      </c>
      <c r="B454" s="8" t="s">
        <v>46</v>
      </c>
      <c r="C454" s="8" t="s">
        <v>1083</v>
      </c>
      <c r="D454" s="8" t="s">
        <v>1084</v>
      </c>
      <c r="E454" s="8" t="s">
        <v>1085</v>
      </c>
      <c r="F454" s="8">
        <v>-1.8334491639999999</v>
      </c>
      <c r="G454" s="8">
        <v>1.141503301</v>
      </c>
      <c r="H454" s="6" t="str">
        <f t="shared" si="7"/>
        <v>Inverse</v>
      </c>
      <c r="I454" s="8" t="s">
        <v>1086</v>
      </c>
      <c r="J454" s="8" t="s">
        <v>1086</v>
      </c>
    </row>
    <row r="455" spans="1:10" x14ac:dyDescent="0.2">
      <c r="A455" s="6" t="s">
        <v>15</v>
      </c>
      <c r="B455" s="8" t="s">
        <v>46</v>
      </c>
      <c r="C455" s="8" t="s">
        <v>1580</v>
      </c>
      <c r="D455" s="8" t="s">
        <v>1581</v>
      </c>
      <c r="E455" s="8" t="s">
        <v>1582</v>
      </c>
      <c r="F455" s="8">
        <v>-1.026804056</v>
      </c>
      <c r="G455" s="8">
        <v>1.889319644</v>
      </c>
      <c r="H455" s="6" t="str">
        <f t="shared" si="7"/>
        <v>Inverse</v>
      </c>
      <c r="I455" s="8" t="s">
        <v>1583</v>
      </c>
      <c r="J455" s="8" t="s">
        <v>1584</v>
      </c>
    </row>
    <row r="456" spans="1:10" x14ac:dyDescent="0.2">
      <c r="A456" s="6" t="s">
        <v>15</v>
      </c>
      <c r="B456" s="8" t="s">
        <v>46</v>
      </c>
      <c r="C456" s="8" t="s">
        <v>1585</v>
      </c>
      <c r="D456" s="8" t="s">
        <v>1586</v>
      </c>
      <c r="E456" s="8" t="s">
        <v>1587</v>
      </c>
      <c r="F456" s="8">
        <v>1.7351452030000001</v>
      </c>
      <c r="G456" s="8">
        <v>-1.026970143</v>
      </c>
      <c r="H456" s="6" t="str">
        <f t="shared" si="7"/>
        <v>Inverse</v>
      </c>
      <c r="I456" s="8" t="s">
        <v>50</v>
      </c>
      <c r="J456" s="8" t="s">
        <v>50</v>
      </c>
    </row>
    <row r="457" spans="1:10" x14ac:dyDescent="0.2">
      <c r="A457" s="6" t="s">
        <v>15</v>
      </c>
      <c r="B457" s="8" t="s">
        <v>46</v>
      </c>
      <c r="C457" s="8" t="s">
        <v>1588</v>
      </c>
      <c r="D457" s="8" t="s">
        <v>1589</v>
      </c>
      <c r="E457" s="8" t="s">
        <v>1590</v>
      </c>
      <c r="F457" s="8">
        <v>1.1914456849999999</v>
      </c>
      <c r="G457" s="8">
        <v>1.4570955889999999</v>
      </c>
      <c r="H457" s="6" t="str">
        <f t="shared" si="7"/>
        <v>Direct</v>
      </c>
      <c r="I457" s="8" t="s">
        <v>1591</v>
      </c>
      <c r="J457" s="8" t="s">
        <v>1592</v>
      </c>
    </row>
    <row r="458" spans="1:10" x14ac:dyDescent="0.2">
      <c r="A458" s="6" t="s">
        <v>15</v>
      </c>
      <c r="B458" s="8" t="s">
        <v>46</v>
      </c>
      <c r="C458" s="8" t="s">
        <v>1593</v>
      </c>
      <c r="D458" s="8" t="s">
        <v>1594</v>
      </c>
      <c r="E458" s="8" t="s">
        <v>1595</v>
      </c>
      <c r="F458" s="8">
        <v>1.1748360390000001</v>
      </c>
      <c r="G458" s="8">
        <v>-2.210286532</v>
      </c>
      <c r="H458" s="6" t="str">
        <f t="shared" si="7"/>
        <v>Inverse</v>
      </c>
      <c r="I458" s="8" t="s">
        <v>1596</v>
      </c>
      <c r="J458" s="8" t="s">
        <v>1596</v>
      </c>
    </row>
    <row r="459" spans="1:10" x14ac:dyDescent="0.2">
      <c r="A459" s="6" t="s">
        <v>15</v>
      </c>
      <c r="B459" s="8" t="s">
        <v>46</v>
      </c>
      <c r="C459" s="8" t="s">
        <v>1597</v>
      </c>
      <c r="D459" s="8" t="s">
        <v>1598</v>
      </c>
      <c r="E459" s="8" t="s">
        <v>1599</v>
      </c>
      <c r="F459" s="8">
        <v>3.4627206940000002</v>
      </c>
      <c r="G459" s="8">
        <v>-1.2921569230000001</v>
      </c>
      <c r="H459" s="6" t="str">
        <f t="shared" si="7"/>
        <v>Inverse</v>
      </c>
      <c r="I459" s="8" t="s">
        <v>1449</v>
      </c>
      <c r="J459" s="8" t="s">
        <v>1600</v>
      </c>
    </row>
    <row r="460" spans="1:10" x14ac:dyDescent="0.2">
      <c r="A460" s="6" t="s">
        <v>15</v>
      </c>
      <c r="B460" s="8" t="s">
        <v>46</v>
      </c>
      <c r="C460" s="8" t="s">
        <v>1601</v>
      </c>
      <c r="D460" s="8" t="s">
        <v>1602</v>
      </c>
      <c r="E460" s="8" t="s">
        <v>1603</v>
      </c>
      <c r="F460" s="8">
        <v>-2.575322355</v>
      </c>
      <c r="G460" s="8">
        <v>2.6041194339999998</v>
      </c>
      <c r="H460" s="6" t="str">
        <f t="shared" si="7"/>
        <v>Inverse</v>
      </c>
      <c r="I460" s="8" t="s">
        <v>1604</v>
      </c>
      <c r="J460" s="8" t="s">
        <v>1604</v>
      </c>
    </row>
    <row r="461" spans="1:10" x14ac:dyDescent="0.2">
      <c r="A461" s="8" t="s">
        <v>56</v>
      </c>
      <c r="B461" s="8" t="s">
        <v>57</v>
      </c>
      <c r="C461" s="8" t="s">
        <v>1605</v>
      </c>
      <c r="D461" s="8" t="s">
        <v>1606</v>
      </c>
      <c r="E461" s="8" t="s">
        <v>1607</v>
      </c>
      <c r="F461" s="8">
        <v>-5.3792302999999997</v>
      </c>
      <c r="G461" s="8">
        <v>-2.3100811999999999</v>
      </c>
      <c r="H461" s="6" t="str">
        <f t="shared" si="7"/>
        <v>Direct</v>
      </c>
      <c r="I461" s="8" t="s">
        <v>1608</v>
      </c>
      <c r="J461" s="8" t="s">
        <v>459</v>
      </c>
    </row>
    <row r="462" spans="1:10" x14ac:dyDescent="0.2">
      <c r="A462" s="8" t="s">
        <v>56</v>
      </c>
      <c r="B462" s="8" t="s">
        <v>57</v>
      </c>
      <c r="C462" s="8" t="s">
        <v>31</v>
      </c>
      <c r="D462" s="8" t="s">
        <v>32</v>
      </c>
      <c r="E462" s="8" t="s">
        <v>33</v>
      </c>
      <c r="F462" s="8">
        <v>1.0589023200000001</v>
      </c>
      <c r="G462" s="8">
        <v>-2.2598734</v>
      </c>
      <c r="H462" s="6" t="str">
        <f t="shared" si="7"/>
        <v>Inverse</v>
      </c>
      <c r="I462" s="8" t="s">
        <v>34</v>
      </c>
      <c r="J462" s="8" t="s">
        <v>34</v>
      </c>
    </row>
    <row r="463" spans="1:10" x14ac:dyDescent="0.2">
      <c r="A463" s="8" t="s">
        <v>56</v>
      </c>
      <c r="B463" s="8" t="s">
        <v>57</v>
      </c>
      <c r="C463" s="8" t="s">
        <v>1609</v>
      </c>
      <c r="D463" s="8" t="s">
        <v>1610</v>
      </c>
      <c r="E463" s="8" t="s">
        <v>1611</v>
      </c>
      <c r="F463" s="8">
        <v>-2.8697157999999998</v>
      </c>
      <c r="G463" s="8">
        <v>-1.63913</v>
      </c>
      <c r="H463" s="6" t="str">
        <f t="shared" si="7"/>
        <v>Direct</v>
      </c>
      <c r="I463" s="8" t="s">
        <v>1612</v>
      </c>
      <c r="J463" s="8" t="s">
        <v>1613</v>
      </c>
    </row>
    <row r="464" spans="1:10" x14ac:dyDescent="0.2">
      <c r="A464" s="8" t="s">
        <v>56</v>
      </c>
      <c r="B464" s="8" t="s">
        <v>57</v>
      </c>
      <c r="C464" s="8" t="s">
        <v>1614</v>
      </c>
      <c r="D464" s="8" t="s">
        <v>1615</v>
      </c>
      <c r="E464" s="8" t="s">
        <v>1616</v>
      </c>
      <c r="F464" s="8">
        <v>2.0635980799999998</v>
      </c>
      <c r="G464" s="8">
        <v>1.97236594</v>
      </c>
      <c r="H464" s="6" t="str">
        <f t="shared" si="7"/>
        <v>Direct</v>
      </c>
      <c r="I464" s="8" t="s">
        <v>1617</v>
      </c>
      <c r="J464" s="8" t="s">
        <v>1617</v>
      </c>
    </row>
    <row r="465" spans="1:10" x14ac:dyDescent="0.2">
      <c r="A465" s="8" t="s">
        <v>56</v>
      </c>
      <c r="B465" s="8" t="s">
        <v>57</v>
      </c>
      <c r="C465" s="8" t="s">
        <v>1618</v>
      </c>
      <c r="D465" s="8" t="s">
        <v>1619</v>
      </c>
      <c r="E465" s="8" t="s">
        <v>1620</v>
      </c>
      <c r="F465" s="8">
        <v>-1.0873808</v>
      </c>
      <c r="G465" s="8">
        <v>-1.7217538999999999</v>
      </c>
      <c r="H465" s="6" t="str">
        <f t="shared" si="7"/>
        <v>Direct</v>
      </c>
      <c r="I465" s="8" t="s">
        <v>50</v>
      </c>
      <c r="J465" s="8" t="s">
        <v>1621</v>
      </c>
    </row>
    <row r="466" spans="1:10" x14ac:dyDescent="0.2">
      <c r="A466" s="8" t="s">
        <v>56</v>
      </c>
      <c r="B466" s="8" t="s">
        <v>57</v>
      </c>
      <c r="C466" s="8" t="s">
        <v>99</v>
      </c>
      <c r="D466" s="8" t="s">
        <v>100</v>
      </c>
      <c r="E466" s="8" t="s">
        <v>101</v>
      </c>
      <c r="F466" s="8">
        <v>-1.5904210999999999</v>
      </c>
      <c r="G466" s="8">
        <v>-14.399245000000001</v>
      </c>
      <c r="H466" s="6" t="str">
        <f t="shared" si="7"/>
        <v>Direct</v>
      </c>
      <c r="I466" s="8" t="s">
        <v>102</v>
      </c>
      <c r="J466" s="8" t="s">
        <v>102</v>
      </c>
    </row>
    <row r="467" spans="1:10" x14ac:dyDescent="0.2">
      <c r="A467" s="8" t="s">
        <v>56</v>
      </c>
      <c r="B467" s="8" t="s">
        <v>57</v>
      </c>
      <c r="C467" s="8" t="s">
        <v>1622</v>
      </c>
      <c r="D467" s="8" t="s">
        <v>1623</v>
      </c>
      <c r="E467" s="8" t="s">
        <v>1624</v>
      </c>
      <c r="F467" s="8">
        <v>4.42828233</v>
      </c>
      <c r="G467" s="8">
        <v>3.48516315</v>
      </c>
      <c r="H467" s="6" t="str">
        <f t="shared" si="7"/>
        <v>Direct</v>
      </c>
      <c r="I467" s="8" t="s">
        <v>1625</v>
      </c>
      <c r="J467" s="8" t="s">
        <v>1626</v>
      </c>
    </row>
    <row r="468" spans="1:10" x14ac:dyDescent="0.2">
      <c r="A468" s="8" t="s">
        <v>56</v>
      </c>
      <c r="B468" s="8" t="s">
        <v>57</v>
      </c>
      <c r="C468" s="8" t="s">
        <v>103</v>
      </c>
      <c r="D468" s="8" t="s">
        <v>104</v>
      </c>
      <c r="E468" s="8" t="s">
        <v>105</v>
      </c>
      <c r="F468" s="8">
        <v>2.2573645600000001</v>
      </c>
      <c r="G468" s="8">
        <v>2.8874729399999999</v>
      </c>
      <c r="H468" s="6" t="str">
        <f t="shared" si="7"/>
        <v>Direct</v>
      </c>
      <c r="I468" s="8" t="s">
        <v>106</v>
      </c>
      <c r="J468" s="8" t="s">
        <v>107</v>
      </c>
    </row>
    <row r="469" spans="1:10" x14ac:dyDescent="0.2">
      <c r="A469" s="8" t="s">
        <v>56</v>
      </c>
      <c r="B469" s="8" t="s">
        <v>57</v>
      </c>
      <c r="C469" s="8" t="s">
        <v>1627</v>
      </c>
      <c r="D469" s="8" t="s">
        <v>1628</v>
      </c>
      <c r="E469" s="8" t="s">
        <v>1629</v>
      </c>
      <c r="F469" s="8">
        <v>-6.7325001999999996</v>
      </c>
      <c r="G469" s="8">
        <v>-8.7179164</v>
      </c>
      <c r="H469" s="6" t="str">
        <f t="shared" si="7"/>
        <v>Direct</v>
      </c>
      <c r="I469" s="8" t="s">
        <v>1630</v>
      </c>
      <c r="J469" s="8" t="s">
        <v>1630</v>
      </c>
    </row>
    <row r="470" spans="1:10" x14ac:dyDescent="0.2">
      <c r="A470" s="8" t="s">
        <v>56</v>
      </c>
      <c r="B470" s="8" t="s">
        <v>57</v>
      </c>
      <c r="C470" s="8" t="s">
        <v>108</v>
      </c>
      <c r="D470" s="8" t="s">
        <v>834</v>
      </c>
      <c r="E470" s="8" t="s">
        <v>835</v>
      </c>
      <c r="F470" s="8">
        <v>-1.6069983999999999</v>
      </c>
      <c r="G470" s="8">
        <v>-1.7815977999999999</v>
      </c>
      <c r="H470" s="6" t="str">
        <f t="shared" si="7"/>
        <v>Direct</v>
      </c>
      <c r="I470" s="8" t="s">
        <v>112</v>
      </c>
      <c r="J470" s="8" t="s">
        <v>112</v>
      </c>
    </row>
    <row r="471" spans="1:10" x14ac:dyDescent="0.2">
      <c r="A471" s="8" t="s">
        <v>56</v>
      </c>
      <c r="B471" s="8" t="s">
        <v>57</v>
      </c>
      <c r="C471" s="8" t="s">
        <v>1631</v>
      </c>
      <c r="D471" s="8" t="s">
        <v>1632</v>
      </c>
      <c r="E471" s="8" t="s">
        <v>1633</v>
      </c>
      <c r="F471" s="8">
        <v>-5.5288168999999998</v>
      </c>
      <c r="G471" s="8">
        <v>-1.843548</v>
      </c>
      <c r="H471" s="6" t="str">
        <f t="shared" si="7"/>
        <v>Direct</v>
      </c>
      <c r="I471" s="8" t="s">
        <v>459</v>
      </c>
      <c r="J471" s="8" t="s">
        <v>459</v>
      </c>
    </row>
    <row r="472" spans="1:10" x14ac:dyDescent="0.2">
      <c r="A472" s="8" t="s">
        <v>56</v>
      </c>
      <c r="B472" s="8" t="s">
        <v>57</v>
      </c>
      <c r="C472" s="8" t="s">
        <v>1634</v>
      </c>
      <c r="D472" s="8" t="s">
        <v>1635</v>
      </c>
      <c r="E472" s="8" t="s">
        <v>1636</v>
      </c>
      <c r="F472" s="8">
        <v>-1.4254157000000001</v>
      </c>
      <c r="G472" s="8">
        <v>-1.9670110000000001</v>
      </c>
      <c r="H472" s="6" t="str">
        <f t="shared" si="7"/>
        <v>Direct</v>
      </c>
      <c r="I472" s="8" t="s">
        <v>1637</v>
      </c>
      <c r="J472" s="8" t="s">
        <v>1637</v>
      </c>
    </row>
    <row r="473" spans="1:10" x14ac:dyDescent="0.2">
      <c r="A473" s="8" t="s">
        <v>56</v>
      </c>
      <c r="B473" s="8" t="s">
        <v>57</v>
      </c>
      <c r="C473" s="8" t="s">
        <v>1638</v>
      </c>
      <c r="D473" s="8" t="s">
        <v>1639</v>
      </c>
      <c r="E473" s="8" t="s">
        <v>1640</v>
      </c>
      <c r="F473" s="8">
        <v>-6.8788004999999997</v>
      </c>
      <c r="G473" s="8">
        <v>-1.0018773999999999</v>
      </c>
      <c r="H473" s="6" t="str">
        <f t="shared" si="7"/>
        <v>Direct</v>
      </c>
      <c r="I473" s="8" t="s">
        <v>567</v>
      </c>
      <c r="J473" s="8" t="s">
        <v>1641</v>
      </c>
    </row>
    <row r="474" spans="1:10" x14ac:dyDescent="0.2">
      <c r="A474" s="8" t="s">
        <v>56</v>
      </c>
      <c r="B474" s="8" t="s">
        <v>57</v>
      </c>
      <c r="C474" s="8" t="s">
        <v>1642</v>
      </c>
      <c r="D474" s="8" t="s">
        <v>1643</v>
      </c>
      <c r="E474" s="8" t="s">
        <v>1644</v>
      </c>
      <c r="F474" s="8">
        <v>-1.4407591</v>
      </c>
      <c r="G474" s="8">
        <v>-1.0400474</v>
      </c>
      <c r="H474" s="6" t="str">
        <f t="shared" si="7"/>
        <v>Direct</v>
      </c>
      <c r="I474" s="8" t="s">
        <v>1184</v>
      </c>
      <c r="J474" s="8" t="s">
        <v>1645</v>
      </c>
    </row>
    <row r="475" spans="1:10" x14ac:dyDescent="0.2">
      <c r="A475" s="8" t="s">
        <v>56</v>
      </c>
      <c r="B475" s="8" t="s">
        <v>57</v>
      </c>
      <c r="C475" s="8" t="s">
        <v>1646</v>
      </c>
      <c r="D475" s="8" t="s">
        <v>1647</v>
      </c>
      <c r="E475" s="8" t="s">
        <v>1648</v>
      </c>
      <c r="F475" s="8">
        <v>-1.4921844</v>
      </c>
      <c r="G475" s="8">
        <v>-4.3468869000000003</v>
      </c>
      <c r="H475" s="6" t="str">
        <f t="shared" si="7"/>
        <v>Direct</v>
      </c>
      <c r="I475" s="8" t="s">
        <v>1649</v>
      </c>
      <c r="J475" s="8" t="s">
        <v>1649</v>
      </c>
    </row>
    <row r="476" spans="1:10" x14ac:dyDescent="0.2">
      <c r="A476" s="8" t="s">
        <v>56</v>
      </c>
      <c r="B476" s="8" t="s">
        <v>57</v>
      </c>
      <c r="C476" s="8" t="s">
        <v>1650</v>
      </c>
      <c r="D476" s="8" t="s">
        <v>1651</v>
      </c>
      <c r="E476" s="8" t="s">
        <v>1652</v>
      </c>
      <c r="F476" s="8">
        <v>3.14536836</v>
      </c>
      <c r="G476" s="8">
        <v>6.0718119699999997</v>
      </c>
      <c r="H476" s="6" t="str">
        <f t="shared" si="7"/>
        <v>Direct</v>
      </c>
      <c r="I476" s="8" t="s">
        <v>50</v>
      </c>
      <c r="J476" s="8" t="s">
        <v>107</v>
      </c>
    </row>
    <row r="477" spans="1:10" x14ac:dyDescent="0.2">
      <c r="A477" s="8" t="s">
        <v>56</v>
      </c>
      <c r="B477" s="8" t="s">
        <v>57</v>
      </c>
      <c r="C477" s="8" t="s">
        <v>1653</v>
      </c>
      <c r="D477" s="8" t="s">
        <v>1654</v>
      </c>
      <c r="E477" s="8" t="s">
        <v>1655</v>
      </c>
      <c r="F477" s="8">
        <v>1.84475148</v>
      </c>
      <c r="G477" s="8">
        <v>-4.4600609999999996</v>
      </c>
      <c r="H477" s="6" t="str">
        <f t="shared" si="7"/>
        <v>Inverse</v>
      </c>
      <c r="I477" s="8" t="s">
        <v>1656</v>
      </c>
      <c r="J477" s="8" t="s">
        <v>1656</v>
      </c>
    </row>
    <row r="478" spans="1:10" x14ac:dyDescent="0.2">
      <c r="A478" s="8" t="s">
        <v>56</v>
      </c>
      <c r="B478" s="8" t="s">
        <v>57</v>
      </c>
      <c r="C478" s="8" t="s">
        <v>1657</v>
      </c>
      <c r="D478" s="8" t="s">
        <v>1658</v>
      </c>
      <c r="E478" s="8" t="s">
        <v>1659</v>
      </c>
      <c r="F478" s="8">
        <v>-3.3399323999999999</v>
      </c>
      <c r="G478" s="8">
        <v>-3.7263128999999999</v>
      </c>
      <c r="H478" s="6" t="str">
        <f t="shared" si="7"/>
        <v>Direct</v>
      </c>
      <c r="I478" s="8" t="s">
        <v>1660</v>
      </c>
      <c r="J478" s="8" t="s">
        <v>1660</v>
      </c>
    </row>
    <row r="479" spans="1:10" x14ac:dyDescent="0.2">
      <c r="A479" s="8" t="s">
        <v>56</v>
      </c>
      <c r="B479" s="8" t="s">
        <v>57</v>
      </c>
      <c r="C479" s="8" t="s">
        <v>1661</v>
      </c>
      <c r="D479" s="8" t="s">
        <v>1662</v>
      </c>
      <c r="E479" s="8" t="s">
        <v>1663</v>
      </c>
      <c r="F479" s="8">
        <v>-1.210108</v>
      </c>
      <c r="G479" s="8">
        <v>-3.6364561000000002</v>
      </c>
      <c r="H479" s="6" t="str">
        <f t="shared" si="7"/>
        <v>Direct</v>
      </c>
      <c r="I479" s="8" t="s">
        <v>1664</v>
      </c>
      <c r="J479" s="8" t="s">
        <v>1664</v>
      </c>
    </row>
    <row r="480" spans="1:10" x14ac:dyDescent="0.2">
      <c r="A480" s="8" t="s">
        <v>56</v>
      </c>
      <c r="B480" s="8" t="s">
        <v>57</v>
      </c>
      <c r="C480" s="8" t="s">
        <v>1665</v>
      </c>
      <c r="D480" s="8" t="s">
        <v>1666</v>
      </c>
      <c r="E480" s="8" t="s">
        <v>1667</v>
      </c>
      <c r="F480" s="8">
        <v>1.4967907199999999</v>
      </c>
      <c r="G480" s="8">
        <v>1.1593608399999999</v>
      </c>
      <c r="H480" s="6" t="str">
        <f t="shared" si="7"/>
        <v>Direct</v>
      </c>
      <c r="I480" s="8" t="s">
        <v>1668</v>
      </c>
      <c r="J480" s="8" t="s">
        <v>1669</v>
      </c>
    </row>
    <row r="481" spans="1:10" x14ac:dyDescent="0.2">
      <c r="A481" s="8" t="s">
        <v>56</v>
      </c>
      <c r="B481" s="8" t="s">
        <v>57</v>
      </c>
      <c r="C481" s="8" t="s">
        <v>1670</v>
      </c>
      <c r="D481" s="8" t="s">
        <v>1671</v>
      </c>
      <c r="E481" s="8" t="s">
        <v>1672</v>
      </c>
      <c r="F481" s="8">
        <v>1.44424346</v>
      </c>
      <c r="G481" s="8">
        <v>-1.7446718999999999</v>
      </c>
      <c r="H481" s="6" t="str">
        <f t="shared" si="7"/>
        <v>Inverse</v>
      </c>
      <c r="I481" s="8" t="s">
        <v>50</v>
      </c>
      <c r="J481" s="8" t="s">
        <v>1159</v>
      </c>
    </row>
    <row r="482" spans="1:10" x14ac:dyDescent="0.2">
      <c r="A482" s="8" t="s">
        <v>56</v>
      </c>
      <c r="B482" s="8" t="s">
        <v>57</v>
      </c>
      <c r="C482" s="8" t="s">
        <v>1531</v>
      </c>
      <c r="D482" s="8" t="s">
        <v>1532</v>
      </c>
      <c r="E482" s="8" t="s">
        <v>1533</v>
      </c>
      <c r="F482" s="8">
        <v>1.383669</v>
      </c>
      <c r="G482" s="8">
        <v>9.4989865400000006</v>
      </c>
      <c r="H482" s="6" t="str">
        <f t="shared" si="7"/>
        <v>Direct</v>
      </c>
      <c r="I482" s="8" t="s">
        <v>1534</v>
      </c>
      <c r="J482" s="8" t="s">
        <v>1534</v>
      </c>
    </row>
    <row r="483" spans="1:10" x14ac:dyDescent="0.2">
      <c r="A483" s="8" t="s">
        <v>56</v>
      </c>
      <c r="B483" s="8" t="s">
        <v>57</v>
      </c>
      <c r="C483" s="8" t="s">
        <v>1673</v>
      </c>
      <c r="D483" s="8" t="s">
        <v>1674</v>
      </c>
      <c r="E483" s="8" t="s">
        <v>1675</v>
      </c>
      <c r="F483" s="8">
        <v>-5.2609216999999999</v>
      </c>
      <c r="G483" s="8">
        <v>-3.8610769</v>
      </c>
      <c r="H483" s="6" t="str">
        <f t="shared" si="7"/>
        <v>Direct</v>
      </c>
      <c r="I483" s="8" t="s">
        <v>1676</v>
      </c>
      <c r="J483" s="8" t="s">
        <v>1676</v>
      </c>
    </row>
    <row r="484" spans="1:10" x14ac:dyDescent="0.2">
      <c r="A484" s="8" t="s">
        <v>56</v>
      </c>
      <c r="B484" s="8" t="s">
        <v>57</v>
      </c>
      <c r="C484" s="8" t="s">
        <v>1677</v>
      </c>
      <c r="D484" s="8" t="s">
        <v>1678</v>
      </c>
      <c r="E484" s="8" t="s">
        <v>1679</v>
      </c>
      <c r="F484" s="8">
        <v>1.3620446399999999</v>
      </c>
      <c r="G484" s="8">
        <v>6.2081015400000004</v>
      </c>
      <c r="H484" s="6" t="str">
        <f t="shared" si="7"/>
        <v>Direct</v>
      </c>
      <c r="I484" s="8" t="s">
        <v>1343</v>
      </c>
      <c r="J484" s="8" t="s">
        <v>1343</v>
      </c>
    </row>
    <row r="485" spans="1:10" x14ac:dyDescent="0.2">
      <c r="A485" s="8" t="s">
        <v>56</v>
      </c>
      <c r="B485" s="8" t="s">
        <v>57</v>
      </c>
      <c r="C485" s="8" t="s">
        <v>1680</v>
      </c>
      <c r="D485" s="8" t="s">
        <v>1681</v>
      </c>
      <c r="E485" s="8" t="s">
        <v>1682</v>
      </c>
      <c r="F485" s="8">
        <v>2.4838366399999998</v>
      </c>
      <c r="G485" s="8">
        <v>1.0870381899999999</v>
      </c>
      <c r="H485" s="6" t="str">
        <f t="shared" si="7"/>
        <v>Direct</v>
      </c>
      <c r="I485" s="8" t="s">
        <v>1683</v>
      </c>
      <c r="J485" s="8" t="s">
        <v>1683</v>
      </c>
    </row>
    <row r="486" spans="1:10" x14ac:dyDescent="0.2">
      <c r="A486" s="8" t="s">
        <v>56</v>
      </c>
      <c r="B486" s="8" t="s">
        <v>57</v>
      </c>
      <c r="C486" s="8" t="s">
        <v>1684</v>
      </c>
      <c r="D486" s="8" t="s">
        <v>1685</v>
      </c>
      <c r="E486" s="8" t="s">
        <v>1686</v>
      </c>
      <c r="F486" s="8">
        <v>-15.981878999999999</v>
      </c>
      <c r="G486" s="8">
        <v>-25.630765</v>
      </c>
      <c r="H486" s="6" t="str">
        <f t="shared" si="7"/>
        <v>Direct</v>
      </c>
      <c r="I486" s="8" t="s">
        <v>1687</v>
      </c>
      <c r="J486" s="8" t="s">
        <v>1687</v>
      </c>
    </row>
    <row r="487" spans="1:10" x14ac:dyDescent="0.2">
      <c r="A487" s="8" t="s">
        <v>56</v>
      </c>
      <c r="B487" s="8" t="s">
        <v>57</v>
      </c>
      <c r="C487" s="8" t="s">
        <v>1688</v>
      </c>
      <c r="D487" s="8" t="s">
        <v>1689</v>
      </c>
      <c r="E487" s="8" t="s">
        <v>1690</v>
      </c>
      <c r="F487" s="8">
        <v>-1.0314304999999999</v>
      </c>
      <c r="G487" s="8">
        <v>1.53167334</v>
      </c>
      <c r="H487" s="6" t="str">
        <f t="shared" si="7"/>
        <v>Inverse</v>
      </c>
      <c r="I487" s="8" t="s">
        <v>1691</v>
      </c>
      <c r="J487" s="8" t="s">
        <v>1691</v>
      </c>
    </row>
    <row r="488" spans="1:10" x14ac:dyDescent="0.2">
      <c r="A488" s="8" t="s">
        <v>56</v>
      </c>
      <c r="B488" s="8" t="s">
        <v>57</v>
      </c>
      <c r="C488" s="8" t="s">
        <v>1692</v>
      </c>
      <c r="D488" s="8" t="s">
        <v>1693</v>
      </c>
      <c r="E488" s="8" t="s">
        <v>1694</v>
      </c>
      <c r="F488" s="8">
        <v>-1.2492764999999999</v>
      </c>
      <c r="G488" s="8">
        <v>-1.1101916000000001</v>
      </c>
      <c r="H488" s="6" t="str">
        <f t="shared" si="7"/>
        <v>Direct</v>
      </c>
      <c r="I488" s="8" t="s">
        <v>1695</v>
      </c>
      <c r="J488" s="8" t="s">
        <v>1695</v>
      </c>
    </row>
    <row r="489" spans="1:10" x14ac:dyDescent="0.2">
      <c r="A489" s="8" t="s">
        <v>56</v>
      </c>
      <c r="B489" s="8" t="s">
        <v>57</v>
      </c>
      <c r="C489" s="8" t="s">
        <v>1696</v>
      </c>
      <c r="D489" s="8" t="s">
        <v>1697</v>
      </c>
      <c r="E489" s="8" t="s">
        <v>1698</v>
      </c>
      <c r="F489" s="8">
        <v>-6.7266336999999998</v>
      </c>
      <c r="G489" s="8">
        <v>2.2957640700000002</v>
      </c>
      <c r="H489" s="6" t="str">
        <f t="shared" si="7"/>
        <v>Inverse</v>
      </c>
      <c r="I489" s="8" t="s">
        <v>1699</v>
      </c>
      <c r="J489" s="8" t="s">
        <v>55</v>
      </c>
    </row>
    <row r="490" spans="1:10" x14ac:dyDescent="0.2">
      <c r="A490" s="8" t="s">
        <v>56</v>
      </c>
      <c r="B490" s="8" t="s">
        <v>57</v>
      </c>
      <c r="C490" s="8" t="s">
        <v>1700</v>
      </c>
      <c r="D490" s="8" t="s">
        <v>1701</v>
      </c>
      <c r="E490" s="8" t="s">
        <v>1702</v>
      </c>
      <c r="F490" s="8">
        <v>-1.0734572</v>
      </c>
      <c r="G490" s="8">
        <v>-1.5473124</v>
      </c>
      <c r="H490" s="6" t="str">
        <f t="shared" si="7"/>
        <v>Direct</v>
      </c>
      <c r="I490" s="8" t="s">
        <v>1703</v>
      </c>
      <c r="J490" s="8" t="s">
        <v>1703</v>
      </c>
    </row>
    <row r="491" spans="1:10" x14ac:dyDescent="0.2">
      <c r="A491" s="8" t="s">
        <v>56</v>
      </c>
      <c r="B491" s="8" t="s">
        <v>57</v>
      </c>
      <c r="C491" s="8" t="s">
        <v>1704</v>
      </c>
      <c r="D491" s="8" t="s">
        <v>1705</v>
      </c>
      <c r="E491" s="8" t="s">
        <v>1706</v>
      </c>
      <c r="F491" s="8">
        <v>-1.0559886000000001</v>
      </c>
      <c r="G491" s="8">
        <v>2.6037495100000001</v>
      </c>
      <c r="H491" s="6" t="str">
        <f t="shared" si="7"/>
        <v>Inverse</v>
      </c>
      <c r="I491" s="8" t="s">
        <v>1707</v>
      </c>
      <c r="J491" s="8" t="s">
        <v>1449</v>
      </c>
    </row>
    <row r="492" spans="1:10" x14ac:dyDescent="0.2">
      <c r="A492" s="8" t="s">
        <v>56</v>
      </c>
      <c r="B492" s="8" t="s">
        <v>57</v>
      </c>
      <c r="C492" s="8" t="s">
        <v>1708</v>
      </c>
      <c r="D492" s="8" t="s">
        <v>1709</v>
      </c>
      <c r="E492" s="8" t="s">
        <v>1710</v>
      </c>
      <c r="F492" s="8">
        <v>-1.2606899</v>
      </c>
      <c r="G492" s="8">
        <v>-1.6480395000000001</v>
      </c>
      <c r="H492" s="6" t="str">
        <f t="shared" si="7"/>
        <v>Direct</v>
      </c>
      <c r="I492" s="8" t="s">
        <v>1711</v>
      </c>
      <c r="J492" s="8" t="s">
        <v>1711</v>
      </c>
    </row>
    <row r="493" spans="1:10" x14ac:dyDescent="0.2">
      <c r="A493" s="8" t="s">
        <v>56</v>
      </c>
      <c r="B493" s="8" t="s">
        <v>57</v>
      </c>
      <c r="C493" s="8" t="s">
        <v>1712</v>
      </c>
      <c r="D493" s="8" t="s">
        <v>1713</v>
      </c>
      <c r="E493" s="8" t="s">
        <v>1714</v>
      </c>
      <c r="F493" s="8">
        <v>1.63901462</v>
      </c>
      <c r="G493" s="8">
        <v>2.1838826199999999</v>
      </c>
      <c r="H493" s="6" t="str">
        <f t="shared" si="7"/>
        <v>Direct</v>
      </c>
      <c r="I493" s="8" t="s">
        <v>1715</v>
      </c>
      <c r="J493" s="8" t="s">
        <v>1715</v>
      </c>
    </row>
    <row r="494" spans="1:10" x14ac:dyDescent="0.2">
      <c r="A494" s="8" t="s">
        <v>56</v>
      </c>
      <c r="B494" s="8" t="s">
        <v>57</v>
      </c>
      <c r="C494" s="8" t="s">
        <v>1716</v>
      </c>
      <c r="D494" s="8" t="s">
        <v>1717</v>
      </c>
      <c r="E494" s="8" t="s">
        <v>1718</v>
      </c>
      <c r="F494" s="8">
        <v>1.5027483699999999</v>
      </c>
      <c r="G494" s="8">
        <v>15.2840144</v>
      </c>
      <c r="H494" s="6" t="str">
        <f t="shared" si="7"/>
        <v>Direct</v>
      </c>
      <c r="I494" s="8" t="s">
        <v>1719</v>
      </c>
      <c r="J494" s="8" t="s">
        <v>1719</v>
      </c>
    </row>
    <row r="495" spans="1:10" x14ac:dyDescent="0.2">
      <c r="A495" s="8" t="s">
        <v>56</v>
      </c>
      <c r="B495" s="8" t="s">
        <v>57</v>
      </c>
      <c r="C495" s="8" t="s">
        <v>1720</v>
      </c>
      <c r="D495" s="8" t="s">
        <v>1721</v>
      </c>
      <c r="E495" s="8" t="s">
        <v>1722</v>
      </c>
      <c r="F495" s="8">
        <v>-2.9619143999999999</v>
      </c>
      <c r="G495" s="8">
        <v>-2.6901367999999999</v>
      </c>
      <c r="H495" s="6" t="str">
        <f t="shared" si="7"/>
        <v>Direct</v>
      </c>
      <c r="I495" s="8" t="s">
        <v>1723</v>
      </c>
      <c r="J495" s="8" t="s">
        <v>1723</v>
      </c>
    </row>
    <row r="496" spans="1:10" x14ac:dyDescent="0.2">
      <c r="A496" s="8" t="s">
        <v>56</v>
      </c>
      <c r="B496" s="8" t="s">
        <v>57</v>
      </c>
      <c r="C496" s="8" t="s">
        <v>1724</v>
      </c>
      <c r="D496" s="8" t="s">
        <v>1725</v>
      </c>
      <c r="E496" s="8" t="s">
        <v>1726</v>
      </c>
      <c r="F496" s="8">
        <v>6.4409224199999997</v>
      </c>
      <c r="G496" s="8">
        <v>1.09785628</v>
      </c>
      <c r="H496" s="6" t="str">
        <f t="shared" si="7"/>
        <v>Direct</v>
      </c>
      <c r="I496" s="8" t="s">
        <v>1422</v>
      </c>
      <c r="J496" s="8" t="s">
        <v>1727</v>
      </c>
    </row>
    <row r="497" spans="1:10" x14ac:dyDescent="0.2">
      <c r="A497" s="8" t="s">
        <v>56</v>
      </c>
      <c r="B497" s="8" t="s">
        <v>57</v>
      </c>
      <c r="C497" s="8" t="s">
        <v>1728</v>
      </c>
      <c r="D497" s="8" t="s">
        <v>1729</v>
      </c>
      <c r="E497" s="8" t="s">
        <v>1730</v>
      </c>
      <c r="F497" s="8">
        <v>-3.1908310000000002</v>
      </c>
      <c r="G497" s="8">
        <v>-5.0350843000000003</v>
      </c>
      <c r="H497" s="6" t="str">
        <f t="shared" si="7"/>
        <v>Direct</v>
      </c>
      <c r="I497" s="8" t="s">
        <v>1731</v>
      </c>
      <c r="J497" s="8" t="s">
        <v>1731</v>
      </c>
    </row>
    <row r="498" spans="1:10" x14ac:dyDescent="0.2">
      <c r="A498" s="8" t="s">
        <v>56</v>
      </c>
      <c r="B498" s="8" t="s">
        <v>57</v>
      </c>
      <c r="C498" s="8" t="s">
        <v>1732</v>
      </c>
      <c r="D498" s="8" t="s">
        <v>1733</v>
      </c>
      <c r="E498" s="8" t="s">
        <v>1734</v>
      </c>
      <c r="F498" s="8">
        <v>-3.6252751999999999</v>
      </c>
      <c r="G498" s="8">
        <v>1.1466803299999999</v>
      </c>
      <c r="H498" s="6" t="str">
        <f t="shared" si="7"/>
        <v>Inverse</v>
      </c>
      <c r="I498" s="8" t="s">
        <v>1735</v>
      </c>
      <c r="J498" s="8" t="s">
        <v>1735</v>
      </c>
    </row>
    <row r="499" spans="1:10" x14ac:dyDescent="0.2">
      <c r="A499" s="8" t="s">
        <v>56</v>
      </c>
      <c r="B499" s="8" t="s">
        <v>57</v>
      </c>
      <c r="C499" s="8" t="s">
        <v>1736</v>
      </c>
      <c r="D499" s="8" t="s">
        <v>1737</v>
      </c>
      <c r="E499" s="8" t="s">
        <v>1738</v>
      </c>
      <c r="F499" s="8">
        <v>-2.7234655999999999</v>
      </c>
      <c r="G499" s="8">
        <v>-1.2219084</v>
      </c>
      <c r="H499" s="6" t="str">
        <f t="shared" si="7"/>
        <v>Direct</v>
      </c>
      <c r="I499" s="8" t="s">
        <v>50</v>
      </c>
      <c r="J499" s="8" t="s">
        <v>1739</v>
      </c>
    </row>
    <row r="500" spans="1:10" x14ac:dyDescent="0.2">
      <c r="A500" s="8" t="s">
        <v>56</v>
      </c>
      <c r="B500" s="8" t="s">
        <v>57</v>
      </c>
      <c r="C500" s="8" t="s">
        <v>1740</v>
      </c>
      <c r="D500" s="8" t="s">
        <v>1741</v>
      </c>
      <c r="E500" s="8" t="s">
        <v>1742</v>
      </c>
      <c r="F500" s="8">
        <v>-1.6230868000000001</v>
      </c>
      <c r="G500" s="8">
        <v>-1.1115889000000001</v>
      </c>
      <c r="H500" s="6" t="str">
        <f t="shared" si="7"/>
        <v>Direct</v>
      </c>
      <c r="I500" s="8" t="s">
        <v>1743</v>
      </c>
      <c r="J500" s="8" t="s">
        <v>1743</v>
      </c>
    </row>
    <row r="501" spans="1:10" x14ac:dyDescent="0.2">
      <c r="A501" s="8" t="s">
        <v>56</v>
      </c>
      <c r="B501" s="8" t="s">
        <v>57</v>
      </c>
      <c r="C501" s="8" t="s">
        <v>1744</v>
      </c>
      <c r="D501" s="8" t="s">
        <v>1745</v>
      </c>
      <c r="E501" s="8" t="s">
        <v>1746</v>
      </c>
      <c r="F501" s="8">
        <v>3.3081879500000002</v>
      </c>
      <c r="G501" s="8">
        <v>1.16486416</v>
      </c>
      <c r="H501" s="6" t="str">
        <f t="shared" si="7"/>
        <v>Direct</v>
      </c>
      <c r="I501" s="8" t="s">
        <v>1747</v>
      </c>
      <c r="J501" s="8" t="s">
        <v>1747</v>
      </c>
    </row>
    <row r="502" spans="1:10" x14ac:dyDescent="0.2">
      <c r="A502" s="8" t="s">
        <v>56</v>
      </c>
      <c r="B502" s="8" t="s">
        <v>57</v>
      </c>
      <c r="C502" s="8" t="s">
        <v>312</v>
      </c>
      <c r="D502" s="8" t="s">
        <v>313</v>
      </c>
      <c r="E502" s="8" t="s">
        <v>314</v>
      </c>
      <c r="F502" s="8">
        <v>-8.9641552999999998</v>
      </c>
      <c r="G502" s="8">
        <v>-8.5645387999999993</v>
      </c>
      <c r="H502" s="6" t="str">
        <f t="shared" si="7"/>
        <v>Direct</v>
      </c>
      <c r="I502" s="8" t="s">
        <v>315</v>
      </c>
      <c r="J502" s="8" t="s">
        <v>315</v>
      </c>
    </row>
    <row r="503" spans="1:10" x14ac:dyDescent="0.2">
      <c r="A503" s="8" t="s">
        <v>56</v>
      </c>
      <c r="B503" s="8" t="s">
        <v>57</v>
      </c>
      <c r="C503" s="8" t="s">
        <v>1748</v>
      </c>
      <c r="D503" s="8" t="s">
        <v>1749</v>
      </c>
      <c r="E503" s="8" t="s">
        <v>1750</v>
      </c>
      <c r="F503" s="8">
        <v>-5.8132910999999998</v>
      </c>
      <c r="G503" s="8">
        <v>-1.3419128</v>
      </c>
      <c r="H503" s="6" t="str">
        <f t="shared" si="7"/>
        <v>Direct</v>
      </c>
      <c r="I503" s="8" t="s">
        <v>1751</v>
      </c>
      <c r="J503" s="8" t="s">
        <v>1751</v>
      </c>
    </row>
    <row r="504" spans="1:10" x14ac:dyDescent="0.2">
      <c r="A504" s="8" t="s">
        <v>56</v>
      </c>
      <c r="B504" s="8" t="s">
        <v>57</v>
      </c>
      <c r="C504" s="8" t="s">
        <v>1752</v>
      </c>
      <c r="D504" s="8" t="s">
        <v>1753</v>
      </c>
      <c r="E504" s="8" t="s">
        <v>1754</v>
      </c>
      <c r="F504" s="8">
        <v>-1.6314654</v>
      </c>
      <c r="G504" s="8">
        <v>-3.0808559999999998</v>
      </c>
      <c r="H504" s="6" t="str">
        <f t="shared" si="7"/>
        <v>Direct</v>
      </c>
      <c r="I504" s="8" t="s">
        <v>1755</v>
      </c>
      <c r="J504" s="8" t="s">
        <v>1755</v>
      </c>
    </row>
    <row r="505" spans="1:10" x14ac:dyDescent="0.2">
      <c r="A505" s="8" t="s">
        <v>56</v>
      </c>
      <c r="B505" s="8" t="s">
        <v>57</v>
      </c>
      <c r="C505" s="8" t="s">
        <v>1756</v>
      </c>
      <c r="D505" s="8" t="s">
        <v>1757</v>
      </c>
      <c r="E505" s="8" t="s">
        <v>1758</v>
      </c>
      <c r="F505" s="8">
        <v>1.9741887499999999</v>
      </c>
      <c r="G505" s="8">
        <v>1.2027238099999999</v>
      </c>
      <c r="H505" s="6" t="str">
        <f t="shared" si="7"/>
        <v>Direct</v>
      </c>
      <c r="I505" s="8" t="s">
        <v>1759</v>
      </c>
      <c r="J505" s="8" t="s">
        <v>1759</v>
      </c>
    </row>
    <row r="506" spans="1:10" x14ac:dyDescent="0.2">
      <c r="A506" s="8" t="s">
        <v>56</v>
      </c>
      <c r="B506" s="8" t="s">
        <v>57</v>
      </c>
      <c r="C506" s="8" t="s">
        <v>1760</v>
      </c>
      <c r="D506" s="8" t="s">
        <v>1761</v>
      </c>
      <c r="E506" s="8" t="s">
        <v>1762</v>
      </c>
      <c r="F506" s="8">
        <v>3.23325263</v>
      </c>
      <c r="G506" s="8">
        <v>9.4550382499999994</v>
      </c>
      <c r="H506" s="6" t="str">
        <f t="shared" si="7"/>
        <v>Direct</v>
      </c>
      <c r="I506" s="8" t="s">
        <v>1763</v>
      </c>
      <c r="J506" s="8" t="s">
        <v>1764</v>
      </c>
    </row>
    <row r="507" spans="1:10" x14ac:dyDescent="0.2">
      <c r="A507" s="8" t="s">
        <v>56</v>
      </c>
      <c r="B507" s="8" t="s">
        <v>57</v>
      </c>
      <c r="C507" s="8" t="s">
        <v>1765</v>
      </c>
      <c r="D507" s="8" t="s">
        <v>1766</v>
      </c>
      <c r="E507" s="8" t="s">
        <v>1767</v>
      </c>
      <c r="F507" s="8">
        <v>-3.90842</v>
      </c>
      <c r="G507" s="8">
        <v>-1.5312030999999999</v>
      </c>
      <c r="H507" s="6" t="str">
        <f t="shared" si="7"/>
        <v>Direct</v>
      </c>
      <c r="I507" s="8" t="s">
        <v>1768</v>
      </c>
      <c r="J507" s="8" t="s">
        <v>1768</v>
      </c>
    </row>
    <row r="508" spans="1:10" x14ac:dyDescent="0.2">
      <c r="A508" s="8" t="s">
        <v>56</v>
      </c>
      <c r="B508" s="8" t="s">
        <v>57</v>
      </c>
      <c r="C508" s="8" t="s">
        <v>1769</v>
      </c>
      <c r="D508" s="8" t="s">
        <v>1770</v>
      </c>
      <c r="E508" s="8" t="s">
        <v>1771</v>
      </c>
      <c r="F508" s="8">
        <v>1.00549957</v>
      </c>
      <c r="G508" s="8">
        <v>1.12792764</v>
      </c>
      <c r="H508" s="6" t="str">
        <f t="shared" si="7"/>
        <v>Direct</v>
      </c>
      <c r="I508" s="8" t="s">
        <v>1772</v>
      </c>
      <c r="J508" s="8" t="s">
        <v>1772</v>
      </c>
    </row>
    <row r="509" spans="1:10" x14ac:dyDescent="0.2">
      <c r="A509" s="8" t="s">
        <v>56</v>
      </c>
      <c r="B509" s="8" t="s">
        <v>57</v>
      </c>
      <c r="C509" s="8" t="s">
        <v>1773</v>
      </c>
      <c r="D509" s="8" t="s">
        <v>1774</v>
      </c>
      <c r="E509" s="8" t="s">
        <v>1775</v>
      </c>
      <c r="F509" s="8">
        <v>-8.5346575999999992</v>
      </c>
      <c r="G509" s="8">
        <v>-3.3756254999999999</v>
      </c>
      <c r="H509" s="6" t="str">
        <f t="shared" si="7"/>
        <v>Direct</v>
      </c>
      <c r="I509" s="8" t="s">
        <v>1776</v>
      </c>
      <c r="J509" s="8" t="s">
        <v>1776</v>
      </c>
    </row>
    <row r="510" spans="1:10" x14ac:dyDescent="0.2">
      <c r="A510" s="8" t="s">
        <v>56</v>
      </c>
      <c r="B510" s="8" t="s">
        <v>57</v>
      </c>
      <c r="C510" s="8" t="s">
        <v>1777</v>
      </c>
      <c r="D510" s="8" t="s">
        <v>1778</v>
      </c>
      <c r="E510" s="8" t="s">
        <v>1779</v>
      </c>
      <c r="F510" s="8">
        <v>1.66220415</v>
      </c>
      <c r="G510" s="8">
        <v>2.6847601499999998</v>
      </c>
      <c r="H510" s="6" t="str">
        <f t="shared" si="7"/>
        <v>Direct</v>
      </c>
      <c r="I510" s="8" t="s">
        <v>1780</v>
      </c>
      <c r="J510" s="8" t="s">
        <v>1780</v>
      </c>
    </row>
    <row r="511" spans="1:10" x14ac:dyDescent="0.2">
      <c r="A511" s="8" t="s">
        <v>56</v>
      </c>
      <c r="B511" s="8" t="s">
        <v>57</v>
      </c>
      <c r="C511" s="8" t="s">
        <v>1781</v>
      </c>
      <c r="D511" s="8" t="s">
        <v>1782</v>
      </c>
      <c r="E511" s="8" t="s">
        <v>1783</v>
      </c>
      <c r="F511" s="8">
        <v>-1.3486644999999999</v>
      </c>
      <c r="G511" s="8">
        <v>-3.7352626999999998</v>
      </c>
      <c r="H511" s="6" t="str">
        <f t="shared" si="7"/>
        <v>Direct</v>
      </c>
      <c r="I511" s="8" t="s">
        <v>50</v>
      </c>
      <c r="J511" s="8" t="s">
        <v>1784</v>
      </c>
    </row>
    <row r="512" spans="1:10" x14ac:dyDescent="0.2">
      <c r="A512" s="8" t="s">
        <v>56</v>
      </c>
      <c r="B512" s="8" t="s">
        <v>57</v>
      </c>
      <c r="C512" s="8" t="s">
        <v>1785</v>
      </c>
      <c r="D512" s="8" t="s">
        <v>1786</v>
      </c>
      <c r="E512" s="8" t="s">
        <v>1787</v>
      </c>
      <c r="F512" s="8">
        <v>-1.1000620999999999</v>
      </c>
      <c r="G512" s="8">
        <v>-1.2992885000000001</v>
      </c>
      <c r="H512" s="6" t="str">
        <f t="shared" ref="H512:H766" si="8">IF(OR(AND(F512&gt;0,G512&gt;0),AND(F512&lt;0,G512&lt;0)),"Direct","Inverse")</f>
        <v>Direct</v>
      </c>
      <c r="I512" s="8" t="s">
        <v>1788</v>
      </c>
      <c r="J512" s="8" t="s">
        <v>1788</v>
      </c>
    </row>
    <row r="513" spans="1:10" x14ac:dyDescent="0.2">
      <c r="A513" s="8" t="s">
        <v>56</v>
      </c>
      <c r="B513" s="8" t="s">
        <v>57</v>
      </c>
      <c r="C513" s="8" t="s">
        <v>1789</v>
      </c>
      <c r="D513" s="8" t="s">
        <v>1790</v>
      </c>
      <c r="E513" s="8" t="s">
        <v>1791</v>
      </c>
      <c r="F513" s="8">
        <v>-3.0104483000000002</v>
      </c>
      <c r="G513" s="8">
        <v>-3.5167411999999998</v>
      </c>
      <c r="H513" s="6" t="str">
        <f t="shared" si="8"/>
        <v>Direct</v>
      </c>
      <c r="I513" s="8" t="s">
        <v>1792</v>
      </c>
      <c r="J513" s="8" t="s">
        <v>1792</v>
      </c>
    </row>
    <row r="514" spans="1:10" x14ac:dyDescent="0.2">
      <c r="A514" s="8" t="s">
        <v>56</v>
      </c>
      <c r="B514" s="8" t="s">
        <v>57</v>
      </c>
      <c r="C514" s="8" t="s">
        <v>1793</v>
      </c>
      <c r="D514" s="8" t="s">
        <v>1794</v>
      </c>
      <c r="E514" s="8" t="s">
        <v>1795</v>
      </c>
      <c r="F514" s="8">
        <v>-1.0706149</v>
      </c>
      <c r="G514" s="8">
        <v>-1.0985376</v>
      </c>
      <c r="H514" s="6" t="str">
        <f t="shared" si="8"/>
        <v>Direct</v>
      </c>
      <c r="I514" s="8" t="s">
        <v>1796</v>
      </c>
      <c r="J514" s="8" t="s">
        <v>1796</v>
      </c>
    </row>
    <row r="515" spans="1:10" x14ac:dyDescent="0.2">
      <c r="A515" s="8" t="s">
        <v>56</v>
      </c>
      <c r="B515" s="8" t="s">
        <v>57</v>
      </c>
      <c r="C515" s="8" t="s">
        <v>1797</v>
      </c>
      <c r="D515" s="8" t="s">
        <v>1798</v>
      </c>
      <c r="E515" s="8" t="s">
        <v>1799</v>
      </c>
      <c r="F515" s="8">
        <v>-1.674596</v>
      </c>
      <c r="G515" s="8">
        <v>-7.6636113000000003</v>
      </c>
      <c r="H515" s="6" t="str">
        <f t="shared" si="8"/>
        <v>Direct</v>
      </c>
      <c r="I515" s="8" t="s">
        <v>1800</v>
      </c>
      <c r="J515" s="8" t="s">
        <v>1800</v>
      </c>
    </row>
    <row r="516" spans="1:10" x14ac:dyDescent="0.2">
      <c r="A516" s="8" t="s">
        <v>56</v>
      </c>
      <c r="B516" s="8" t="s">
        <v>57</v>
      </c>
      <c r="C516" s="8" t="s">
        <v>1801</v>
      </c>
      <c r="D516" s="8" t="s">
        <v>1802</v>
      </c>
      <c r="E516" s="8" t="s">
        <v>1803</v>
      </c>
      <c r="F516" s="8">
        <v>-3.4608373000000001</v>
      </c>
      <c r="G516" s="8">
        <v>-7.6201034999999999</v>
      </c>
      <c r="H516" s="6" t="str">
        <f t="shared" si="8"/>
        <v>Direct</v>
      </c>
      <c r="I516" s="8" t="s">
        <v>1804</v>
      </c>
      <c r="J516" s="8" t="s">
        <v>1804</v>
      </c>
    </row>
    <row r="517" spans="1:10" x14ac:dyDescent="0.2">
      <c r="A517" s="8" t="s">
        <v>56</v>
      </c>
      <c r="B517" s="8" t="s">
        <v>57</v>
      </c>
      <c r="C517" s="8" t="s">
        <v>1805</v>
      </c>
      <c r="D517" s="8" t="s">
        <v>1806</v>
      </c>
      <c r="E517" s="8" t="s">
        <v>1807</v>
      </c>
      <c r="F517" s="8">
        <v>-4.4269816999999998</v>
      </c>
      <c r="G517" s="8">
        <v>-1.4267742999999999</v>
      </c>
      <c r="H517" s="6" t="str">
        <f t="shared" si="8"/>
        <v>Direct</v>
      </c>
      <c r="I517" s="8" t="s">
        <v>1808</v>
      </c>
      <c r="J517" s="8" t="s">
        <v>1808</v>
      </c>
    </row>
    <row r="518" spans="1:10" x14ac:dyDescent="0.2">
      <c r="A518" s="8" t="s">
        <v>56</v>
      </c>
      <c r="B518" s="8" t="s">
        <v>57</v>
      </c>
      <c r="C518" s="8" t="s">
        <v>1809</v>
      </c>
      <c r="D518" s="8" t="s">
        <v>1810</v>
      </c>
      <c r="E518" s="8" t="s">
        <v>1811</v>
      </c>
      <c r="F518" s="8">
        <v>7.3020952399999999</v>
      </c>
      <c r="G518" s="8">
        <v>2.58759015</v>
      </c>
      <c r="H518" s="6" t="str">
        <f t="shared" si="8"/>
        <v>Direct</v>
      </c>
      <c r="I518" s="8" t="s">
        <v>1812</v>
      </c>
      <c r="J518" s="8" t="s">
        <v>1812</v>
      </c>
    </row>
    <row r="519" spans="1:10" x14ac:dyDescent="0.2">
      <c r="A519" s="8" t="s">
        <v>56</v>
      </c>
      <c r="B519" s="8" t="s">
        <v>57</v>
      </c>
      <c r="C519" s="8" t="s">
        <v>1813</v>
      </c>
      <c r="D519" s="8" t="s">
        <v>1814</v>
      </c>
      <c r="E519" s="8" t="s">
        <v>1815</v>
      </c>
      <c r="F519" s="8">
        <v>7.0985635599999997</v>
      </c>
      <c r="G519" s="8">
        <v>3.08085604</v>
      </c>
      <c r="H519" s="6" t="str">
        <f t="shared" si="8"/>
        <v>Direct</v>
      </c>
      <c r="I519" s="8" t="s">
        <v>1719</v>
      </c>
      <c r="J519" s="8" t="s">
        <v>1719</v>
      </c>
    </row>
    <row r="520" spans="1:10" x14ac:dyDescent="0.2">
      <c r="A520" s="8" t="s">
        <v>56</v>
      </c>
      <c r="B520" s="8" t="s">
        <v>57</v>
      </c>
      <c r="C520" s="8" t="s">
        <v>1816</v>
      </c>
      <c r="D520" s="8" t="s">
        <v>1817</v>
      </c>
      <c r="E520" s="8" t="s">
        <v>1818</v>
      </c>
      <c r="F520" s="8">
        <v>-2.3976111000000002</v>
      </c>
      <c r="G520" s="8">
        <v>-2.5807802</v>
      </c>
      <c r="H520" s="6" t="str">
        <f t="shared" si="8"/>
        <v>Direct</v>
      </c>
      <c r="I520" s="8" t="s">
        <v>1819</v>
      </c>
      <c r="J520" s="8" t="s">
        <v>1819</v>
      </c>
    </row>
    <row r="521" spans="1:10" x14ac:dyDescent="0.2">
      <c r="A521" s="8" t="s">
        <v>56</v>
      </c>
      <c r="B521" s="8" t="s">
        <v>57</v>
      </c>
      <c r="C521" s="8" t="s">
        <v>1820</v>
      </c>
      <c r="D521" s="8" t="s">
        <v>1821</v>
      </c>
      <c r="E521" s="8" t="s">
        <v>1822</v>
      </c>
      <c r="F521" s="8">
        <v>4.6263524900000004</v>
      </c>
      <c r="G521" s="8">
        <v>2.87379249</v>
      </c>
      <c r="H521" s="6" t="str">
        <f t="shared" si="8"/>
        <v>Direct</v>
      </c>
      <c r="I521" s="8" t="s">
        <v>1823</v>
      </c>
      <c r="J521" s="8" t="s">
        <v>1823</v>
      </c>
    </row>
    <row r="522" spans="1:10" x14ac:dyDescent="0.2">
      <c r="A522" s="8" t="s">
        <v>56</v>
      </c>
      <c r="B522" s="8" t="s">
        <v>57</v>
      </c>
      <c r="C522" s="8" t="s">
        <v>1824</v>
      </c>
      <c r="D522" s="8" t="s">
        <v>1825</v>
      </c>
      <c r="E522" s="8" t="s">
        <v>1826</v>
      </c>
      <c r="F522" s="8">
        <v>-5.3323397999999997</v>
      </c>
      <c r="G522" s="8">
        <v>-6.9613262999999996</v>
      </c>
      <c r="H522" s="6" t="str">
        <f t="shared" si="8"/>
        <v>Direct</v>
      </c>
      <c r="I522" s="8" t="s">
        <v>50</v>
      </c>
      <c r="J522" s="8" t="s">
        <v>1827</v>
      </c>
    </row>
    <row r="523" spans="1:10" x14ac:dyDescent="0.2">
      <c r="A523" s="8" t="s">
        <v>56</v>
      </c>
      <c r="B523" s="8" t="s">
        <v>57</v>
      </c>
      <c r="C523" s="8" t="s">
        <v>1828</v>
      </c>
      <c r="D523" s="8" t="s">
        <v>1829</v>
      </c>
      <c r="E523" s="8" t="s">
        <v>1830</v>
      </c>
      <c r="F523" s="8">
        <v>2.5700118700000001</v>
      </c>
      <c r="G523" s="8">
        <v>2.0636210500000001</v>
      </c>
      <c r="H523" s="6" t="str">
        <f t="shared" si="8"/>
        <v>Direct</v>
      </c>
      <c r="I523" s="8" t="s">
        <v>50</v>
      </c>
      <c r="J523" s="8" t="s">
        <v>1831</v>
      </c>
    </row>
    <row r="524" spans="1:10" x14ac:dyDescent="0.2">
      <c r="A524" s="8" t="s">
        <v>56</v>
      </c>
      <c r="B524" s="8" t="s">
        <v>57</v>
      </c>
      <c r="C524" s="8" t="s">
        <v>1832</v>
      </c>
      <c r="D524" s="8" t="s">
        <v>1833</v>
      </c>
      <c r="E524" s="8" t="s">
        <v>1834</v>
      </c>
      <c r="F524" s="8">
        <v>-1.4894000999999999</v>
      </c>
      <c r="G524" s="8">
        <v>-2.0890059999999999</v>
      </c>
      <c r="H524" s="6" t="str">
        <f t="shared" si="8"/>
        <v>Direct</v>
      </c>
      <c r="I524" s="8" t="s">
        <v>1835</v>
      </c>
      <c r="J524" s="8" t="s">
        <v>1835</v>
      </c>
    </row>
    <row r="525" spans="1:10" x14ac:dyDescent="0.2">
      <c r="A525" s="8" t="s">
        <v>56</v>
      </c>
      <c r="B525" s="8" t="s">
        <v>57</v>
      </c>
      <c r="C525" s="8" t="s">
        <v>1836</v>
      </c>
      <c r="D525" s="8" t="s">
        <v>1837</v>
      </c>
      <c r="E525" s="8" t="s">
        <v>1838</v>
      </c>
      <c r="F525" s="8">
        <v>5.4654556300000001</v>
      </c>
      <c r="G525" s="8">
        <v>4.3258736999999998</v>
      </c>
      <c r="H525" s="6" t="str">
        <f t="shared" si="8"/>
        <v>Direct</v>
      </c>
      <c r="I525" s="8" t="s">
        <v>1839</v>
      </c>
      <c r="J525" s="8" t="s">
        <v>1839</v>
      </c>
    </row>
    <row r="526" spans="1:10" x14ac:dyDescent="0.2">
      <c r="A526" s="8" t="s">
        <v>56</v>
      </c>
      <c r="B526" s="8" t="s">
        <v>57</v>
      </c>
      <c r="C526" s="8" t="s">
        <v>1840</v>
      </c>
      <c r="D526" s="8" t="s">
        <v>1841</v>
      </c>
      <c r="E526" s="8" t="s">
        <v>1842</v>
      </c>
      <c r="F526" s="8">
        <v>-4.5269816</v>
      </c>
      <c r="G526" s="8">
        <v>-1.4464604999999999</v>
      </c>
      <c r="H526" s="6" t="str">
        <f t="shared" si="8"/>
        <v>Direct</v>
      </c>
      <c r="I526" s="8" t="s">
        <v>1843</v>
      </c>
      <c r="J526" s="8" t="s">
        <v>1843</v>
      </c>
    </row>
    <row r="527" spans="1:10" x14ac:dyDescent="0.2">
      <c r="A527" s="8" t="s">
        <v>56</v>
      </c>
      <c r="B527" s="8" t="s">
        <v>57</v>
      </c>
      <c r="C527" s="8" t="s">
        <v>1844</v>
      </c>
      <c r="D527" s="8" t="s">
        <v>1845</v>
      </c>
      <c r="E527" s="8" t="s">
        <v>1846</v>
      </c>
      <c r="F527" s="8">
        <v>-11.701999000000001</v>
      </c>
      <c r="G527" s="8">
        <v>-13.837192999999999</v>
      </c>
      <c r="H527" s="6" t="str">
        <f t="shared" si="8"/>
        <v>Direct</v>
      </c>
      <c r="I527" s="8" t="s">
        <v>459</v>
      </c>
      <c r="J527" s="8" t="s">
        <v>459</v>
      </c>
    </row>
    <row r="528" spans="1:10" x14ac:dyDescent="0.2">
      <c r="A528" s="8" t="s">
        <v>56</v>
      </c>
      <c r="B528" s="8" t="s">
        <v>57</v>
      </c>
      <c r="C528" s="8" t="s">
        <v>1847</v>
      </c>
      <c r="D528" s="8" t="s">
        <v>1848</v>
      </c>
      <c r="E528" s="8" t="s">
        <v>1849</v>
      </c>
      <c r="F528" s="8">
        <v>-10.918164000000001</v>
      </c>
      <c r="G528" s="8">
        <v>-2.3189283999999999</v>
      </c>
      <c r="H528" s="6" t="str">
        <f t="shared" si="8"/>
        <v>Direct</v>
      </c>
      <c r="I528" s="8" t="s">
        <v>1850</v>
      </c>
      <c r="J528" s="8" t="s">
        <v>1850</v>
      </c>
    </row>
    <row r="529" spans="1:10" x14ac:dyDescent="0.2">
      <c r="A529" s="8" t="s">
        <v>56</v>
      </c>
      <c r="B529" s="8" t="s">
        <v>57</v>
      </c>
      <c r="C529" s="8" t="s">
        <v>1851</v>
      </c>
      <c r="D529" s="8" t="s">
        <v>1852</v>
      </c>
      <c r="E529" s="8" t="s">
        <v>1853</v>
      </c>
      <c r="F529" s="8">
        <v>3.24880075</v>
      </c>
      <c r="G529" s="8">
        <v>1.37676643</v>
      </c>
      <c r="H529" s="6" t="str">
        <f t="shared" si="8"/>
        <v>Direct</v>
      </c>
      <c r="I529" s="8" t="s">
        <v>1854</v>
      </c>
      <c r="J529" s="8" t="s">
        <v>1854</v>
      </c>
    </row>
    <row r="530" spans="1:10" x14ac:dyDescent="0.2">
      <c r="A530" s="8" t="s">
        <v>56</v>
      </c>
      <c r="B530" s="8" t="s">
        <v>57</v>
      </c>
      <c r="C530" s="8" t="s">
        <v>1855</v>
      </c>
      <c r="D530" s="8" t="s">
        <v>1856</v>
      </c>
      <c r="E530" s="8" t="s">
        <v>1857</v>
      </c>
      <c r="F530" s="8">
        <v>2.09455452</v>
      </c>
      <c r="G530" s="8">
        <v>1.8311782000000001</v>
      </c>
      <c r="H530" s="6" t="str">
        <f t="shared" si="8"/>
        <v>Direct</v>
      </c>
      <c r="I530" s="8" t="s">
        <v>1858</v>
      </c>
      <c r="J530" s="8" t="s">
        <v>1858</v>
      </c>
    </row>
    <row r="531" spans="1:10" x14ac:dyDescent="0.2">
      <c r="A531" s="8" t="s">
        <v>56</v>
      </c>
      <c r="B531" s="8" t="s">
        <v>57</v>
      </c>
      <c r="C531" s="8" t="s">
        <v>1859</v>
      </c>
      <c r="D531" s="8" t="s">
        <v>1860</v>
      </c>
      <c r="E531" s="8" t="s">
        <v>1861</v>
      </c>
      <c r="F531" s="8">
        <v>3.3320459800000002</v>
      </c>
      <c r="G531" s="8">
        <v>1.90228288</v>
      </c>
      <c r="H531" s="6" t="str">
        <f t="shared" si="8"/>
        <v>Direct</v>
      </c>
      <c r="I531" s="8" t="s">
        <v>1747</v>
      </c>
      <c r="J531" s="8" t="s">
        <v>1747</v>
      </c>
    </row>
    <row r="532" spans="1:10" x14ac:dyDescent="0.2">
      <c r="A532" s="8" t="s">
        <v>56</v>
      </c>
      <c r="B532" s="8" t="s">
        <v>57</v>
      </c>
      <c r="C532" s="8" t="s">
        <v>1862</v>
      </c>
      <c r="D532" s="8" t="s">
        <v>1863</v>
      </c>
      <c r="E532" s="8" t="s">
        <v>1864</v>
      </c>
      <c r="F532" s="8">
        <v>-3.6287216999999998</v>
      </c>
      <c r="G532" s="8">
        <v>-1.0852379999999999</v>
      </c>
      <c r="H532" s="6" t="str">
        <f t="shared" si="8"/>
        <v>Direct</v>
      </c>
      <c r="I532" s="8" t="s">
        <v>445</v>
      </c>
      <c r="J532" s="8" t="s">
        <v>445</v>
      </c>
    </row>
    <row r="533" spans="1:10" x14ac:dyDescent="0.2">
      <c r="A533" s="8" t="s">
        <v>56</v>
      </c>
      <c r="B533" s="8" t="s">
        <v>57</v>
      </c>
      <c r="C533" s="8" t="s">
        <v>1865</v>
      </c>
      <c r="D533" s="8" t="s">
        <v>1866</v>
      </c>
      <c r="E533" s="8" t="s">
        <v>1867</v>
      </c>
      <c r="F533" s="8">
        <v>1.26741679</v>
      </c>
      <c r="G533" s="8">
        <v>1.8317318</v>
      </c>
      <c r="H533" s="6" t="str">
        <f t="shared" si="8"/>
        <v>Direct</v>
      </c>
      <c r="I533" s="8" t="s">
        <v>1868</v>
      </c>
      <c r="J533" s="8" t="s">
        <v>1868</v>
      </c>
    </row>
    <row r="534" spans="1:10" x14ac:dyDescent="0.2">
      <c r="A534" s="8" t="s">
        <v>56</v>
      </c>
      <c r="B534" s="8" t="s">
        <v>57</v>
      </c>
      <c r="C534" s="8" t="s">
        <v>1869</v>
      </c>
      <c r="D534" s="8" t="s">
        <v>1870</v>
      </c>
      <c r="E534" s="8" t="s">
        <v>1871</v>
      </c>
      <c r="F534" s="8">
        <v>9.9479958699999997</v>
      </c>
      <c r="G534" s="8">
        <v>5.9759807900000004</v>
      </c>
      <c r="H534" s="6" t="str">
        <f t="shared" si="8"/>
        <v>Direct</v>
      </c>
      <c r="I534" s="8" t="s">
        <v>1872</v>
      </c>
      <c r="J534" s="8" t="s">
        <v>1872</v>
      </c>
    </row>
    <row r="535" spans="1:10" x14ac:dyDescent="0.2">
      <c r="A535" s="8" t="s">
        <v>56</v>
      </c>
      <c r="B535" s="8" t="s">
        <v>57</v>
      </c>
      <c r="C535" s="8" t="s">
        <v>1873</v>
      </c>
      <c r="D535" s="8" t="s">
        <v>1874</v>
      </c>
      <c r="E535" s="8" t="s">
        <v>1875</v>
      </c>
      <c r="F535" s="8">
        <v>1.1297164799999999</v>
      </c>
      <c r="G535" s="8">
        <v>1.49583065</v>
      </c>
      <c r="H535" s="6" t="str">
        <f t="shared" si="8"/>
        <v>Direct</v>
      </c>
      <c r="I535" s="8" t="s">
        <v>1876</v>
      </c>
      <c r="J535" s="8" t="s">
        <v>1877</v>
      </c>
    </row>
    <row r="536" spans="1:10" x14ac:dyDescent="0.2">
      <c r="A536" s="8" t="s">
        <v>56</v>
      </c>
      <c r="B536" s="8" t="s">
        <v>57</v>
      </c>
      <c r="C536" s="8" t="s">
        <v>1878</v>
      </c>
      <c r="D536" s="8" t="s">
        <v>1879</v>
      </c>
      <c r="E536" s="8" t="s">
        <v>1880</v>
      </c>
      <c r="F536" s="8">
        <v>-1.9281868</v>
      </c>
      <c r="G536" s="8">
        <v>-1.3712124000000001</v>
      </c>
      <c r="H536" s="6" t="str">
        <f t="shared" si="8"/>
        <v>Direct</v>
      </c>
      <c r="I536" s="8" t="s">
        <v>1881</v>
      </c>
      <c r="J536" s="8" t="s">
        <v>1881</v>
      </c>
    </row>
    <row r="537" spans="1:10" x14ac:dyDescent="0.2">
      <c r="A537" s="8" t="s">
        <v>56</v>
      </c>
      <c r="B537" s="8" t="s">
        <v>57</v>
      </c>
      <c r="C537" s="8" t="s">
        <v>1882</v>
      </c>
      <c r="D537" s="8" t="s">
        <v>1883</v>
      </c>
      <c r="E537" s="8" t="s">
        <v>1884</v>
      </c>
      <c r="F537" s="8">
        <v>3.35001215</v>
      </c>
      <c r="G537" s="8">
        <v>3.5651686800000002</v>
      </c>
      <c r="H537" s="6" t="str">
        <f t="shared" si="8"/>
        <v>Direct</v>
      </c>
      <c r="I537" s="8" t="s">
        <v>50</v>
      </c>
      <c r="J537" s="8" t="s">
        <v>743</v>
      </c>
    </row>
    <row r="538" spans="1:10" x14ac:dyDescent="0.2">
      <c r="A538" s="8" t="s">
        <v>56</v>
      </c>
      <c r="B538" s="8" t="s">
        <v>57</v>
      </c>
      <c r="C538" s="8" t="s">
        <v>1885</v>
      </c>
      <c r="D538" s="8" t="s">
        <v>1886</v>
      </c>
      <c r="E538" s="8" t="s">
        <v>1887</v>
      </c>
      <c r="F538" s="8">
        <v>-2.6374094000000001</v>
      </c>
      <c r="G538" s="8">
        <v>-1.4267742999999999</v>
      </c>
      <c r="H538" s="6" t="str">
        <f t="shared" si="8"/>
        <v>Direct</v>
      </c>
      <c r="I538" s="8" t="s">
        <v>1888</v>
      </c>
      <c r="J538" s="8" t="s">
        <v>1889</v>
      </c>
    </row>
    <row r="539" spans="1:10" x14ac:dyDescent="0.2">
      <c r="A539" s="8" t="s">
        <v>56</v>
      </c>
      <c r="B539" s="8" t="s">
        <v>57</v>
      </c>
      <c r="C539" s="8" t="s">
        <v>1890</v>
      </c>
      <c r="D539" s="8" t="s">
        <v>1891</v>
      </c>
      <c r="E539" s="8" t="s">
        <v>1892</v>
      </c>
      <c r="F539" s="8">
        <v>-25.408259999999999</v>
      </c>
      <c r="G539" s="8">
        <v>-2.5538983000000002</v>
      </c>
      <c r="H539" s="6" t="str">
        <f t="shared" si="8"/>
        <v>Direct</v>
      </c>
      <c r="I539" s="8" t="s">
        <v>1893</v>
      </c>
      <c r="J539" s="8" t="s">
        <v>1894</v>
      </c>
    </row>
    <row r="540" spans="1:10" x14ac:dyDescent="0.2">
      <c r="A540" s="8" t="s">
        <v>56</v>
      </c>
      <c r="B540" s="8" t="s">
        <v>57</v>
      </c>
      <c r="C540" s="8" t="s">
        <v>1895</v>
      </c>
      <c r="D540" s="8" t="s">
        <v>1896</v>
      </c>
      <c r="E540" s="8" t="s">
        <v>1897</v>
      </c>
      <c r="F540" s="8">
        <v>1.2559428800000001</v>
      </c>
      <c r="G540" s="8">
        <v>4.66305353</v>
      </c>
      <c r="H540" s="6" t="str">
        <f t="shared" si="8"/>
        <v>Direct</v>
      </c>
      <c r="I540" s="8" t="s">
        <v>1898</v>
      </c>
      <c r="J540" s="8" t="s">
        <v>1899</v>
      </c>
    </row>
    <row r="541" spans="1:10" x14ac:dyDescent="0.2">
      <c r="A541" s="8" t="s">
        <v>56</v>
      </c>
      <c r="B541" s="8" t="s">
        <v>57</v>
      </c>
      <c r="C541" s="8" t="s">
        <v>380</v>
      </c>
      <c r="D541" s="8" t="s">
        <v>381</v>
      </c>
      <c r="E541" s="8" t="s">
        <v>382</v>
      </c>
      <c r="F541" s="8">
        <v>7.8573070999999999</v>
      </c>
      <c r="G541" s="8">
        <v>-1.6968653</v>
      </c>
      <c r="H541" s="6" t="str">
        <f t="shared" si="8"/>
        <v>Inverse</v>
      </c>
      <c r="I541" s="8" t="s">
        <v>383</v>
      </c>
      <c r="J541" s="8" t="s">
        <v>384</v>
      </c>
    </row>
    <row r="542" spans="1:10" x14ac:dyDescent="0.2">
      <c r="A542" s="8" t="s">
        <v>56</v>
      </c>
      <c r="B542" s="8" t="s">
        <v>57</v>
      </c>
      <c r="C542" s="8" t="s">
        <v>1900</v>
      </c>
      <c r="D542" s="8" t="s">
        <v>1901</v>
      </c>
      <c r="E542" s="8" t="s">
        <v>1902</v>
      </c>
      <c r="F542" s="8">
        <v>-6.5201409999999997</v>
      </c>
      <c r="G542" s="8">
        <v>-3.2626759000000001</v>
      </c>
      <c r="H542" s="6" t="str">
        <f t="shared" si="8"/>
        <v>Direct</v>
      </c>
      <c r="I542" s="8" t="s">
        <v>1903</v>
      </c>
      <c r="J542" s="8" t="s">
        <v>1903</v>
      </c>
    </row>
    <row r="543" spans="1:10" x14ac:dyDescent="0.2">
      <c r="A543" s="8" t="s">
        <v>56</v>
      </c>
      <c r="B543" s="8" t="s">
        <v>57</v>
      </c>
      <c r="C543" s="8" t="s">
        <v>1904</v>
      </c>
      <c r="D543" s="8" t="s">
        <v>1905</v>
      </c>
      <c r="E543" s="8" t="s">
        <v>1906</v>
      </c>
      <c r="F543" s="8">
        <v>-4.3961722999999999</v>
      </c>
      <c r="G543" s="8">
        <v>-1.9832540000000001</v>
      </c>
      <c r="H543" s="6" t="str">
        <f t="shared" si="8"/>
        <v>Direct</v>
      </c>
      <c r="I543" s="8" t="s">
        <v>1907</v>
      </c>
      <c r="J543" s="8" t="s">
        <v>1907</v>
      </c>
    </row>
    <row r="544" spans="1:10" x14ac:dyDescent="0.2">
      <c r="A544" s="8" t="s">
        <v>56</v>
      </c>
      <c r="B544" s="8" t="s">
        <v>57</v>
      </c>
      <c r="C544" s="8" t="s">
        <v>1908</v>
      </c>
      <c r="D544" s="8" t="s">
        <v>1909</v>
      </c>
      <c r="E544" s="8" t="s">
        <v>1910</v>
      </c>
      <c r="F544" s="8">
        <v>-1.6451427000000001</v>
      </c>
      <c r="G544" s="8">
        <v>-1.0106149</v>
      </c>
      <c r="H544" s="6" t="str">
        <f t="shared" si="8"/>
        <v>Direct</v>
      </c>
      <c r="I544" s="8" t="s">
        <v>1911</v>
      </c>
      <c r="J544" s="8" t="s">
        <v>1911</v>
      </c>
    </row>
    <row r="545" spans="1:10" x14ac:dyDescent="0.2">
      <c r="A545" s="8" t="s">
        <v>56</v>
      </c>
      <c r="B545" s="8" t="s">
        <v>57</v>
      </c>
      <c r="C545" s="8" t="s">
        <v>1912</v>
      </c>
      <c r="D545" s="8" t="s">
        <v>1913</v>
      </c>
      <c r="E545" s="8" t="s">
        <v>1914</v>
      </c>
      <c r="F545" s="8">
        <v>-2.2500950999999998</v>
      </c>
      <c r="G545" s="8">
        <v>-1.0121829</v>
      </c>
      <c r="H545" s="6" t="str">
        <f t="shared" si="8"/>
        <v>Direct</v>
      </c>
      <c r="I545" s="8" t="s">
        <v>1915</v>
      </c>
      <c r="J545" s="8" t="s">
        <v>1915</v>
      </c>
    </row>
    <row r="546" spans="1:10" x14ac:dyDescent="0.2">
      <c r="A546" s="8" t="s">
        <v>56</v>
      </c>
      <c r="B546" s="8" t="s">
        <v>57</v>
      </c>
      <c r="C546" s="8" t="s">
        <v>1916</v>
      </c>
      <c r="D546" s="8" t="s">
        <v>1917</v>
      </c>
      <c r="E546" s="8" t="s">
        <v>1918</v>
      </c>
      <c r="F546" s="8">
        <v>-5.9039951000000004</v>
      </c>
      <c r="G546" s="8">
        <v>2.0742511700000001</v>
      </c>
      <c r="H546" s="6" t="str">
        <f t="shared" si="8"/>
        <v>Inverse</v>
      </c>
      <c r="I546" s="8" t="s">
        <v>50</v>
      </c>
      <c r="J546" s="8" t="s">
        <v>50</v>
      </c>
    </row>
    <row r="547" spans="1:10" x14ac:dyDescent="0.2">
      <c r="A547" s="8" t="s">
        <v>56</v>
      </c>
      <c r="B547" s="8" t="s">
        <v>57</v>
      </c>
      <c r="C547" s="8" t="s">
        <v>1919</v>
      </c>
      <c r="D547" s="8" t="s">
        <v>1920</v>
      </c>
      <c r="E547" s="8" t="s">
        <v>1921</v>
      </c>
      <c r="F547" s="8">
        <v>3.53735942</v>
      </c>
      <c r="G547" s="8">
        <v>2.51041011</v>
      </c>
      <c r="H547" s="6" t="str">
        <f t="shared" si="8"/>
        <v>Direct</v>
      </c>
      <c r="I547" s="8" t="s">
        <v>1922</v>
      </c>
      <c r="J547" s="8" t="s">
        <v>1923</v>
      </c>
    </row>
    <row r="548" spans="1:10" x14ac:dyDescent="0.2">
      <c r="A548" s="8" t="s">
        <v>56</v>
      </c>
      <c r="B548" s="8" t="s">
        <v>57</v>
      </c>
      <c r="C548" s="8" t="s">
        <v>1924</v>
      </c>
      <c r="D548" s="8" t="s">
        <v>1925</v>
      </c>
      <c r="E548" s="8" t="s">
        <v>1926</v>
      </c>
      <c r="F548" s="8">
        <v>-2.0937234</v>
      </c>
      <c r="G548" s="8">
        <v>-1.0317855</v>
      </c>
      <c r="H548" s="6" t="str">
        <f t="shared" si="8"/>
        <v>Direct</v>
      </c>
      <c r="I548" s="8" t="s">
        <v>1927</v>
      </c>
      <c r="J548" s="8" t="s">
        <v>1927</v>
      </c>
    </row>
    <row r="549" spans="1:10" x14ac:dyDescent="0.2">
      <c r="A549" s="8" t="s">
        <v>56</v>
      </c>
      <c r="B549" s="8" t="s">
        <v>57</v>
      </c>
      <c r="C549" s="8" t="s">
        <v>1928</v>
      </c>
      <c r="D549" s="8" t="s">
        <v>1929</v>
      </c>
      <c r="E549" s="8" t="s">
        <v>1930</v>
      </c>
      <c r="F549" s="8">
        <v>1.2355471099999999</v>
      </c>
      <c r="G549" s="8">
        <v>-1.8078665</v>
      </c>
      <c r="H549" s="6" t="str">
        <f t="shared" si="8"/>
        <v>Inverse</v>
      </c>
      <c r="I549" s="8" t="s">
        <v>1931</v>
      </c>
      <c r="J549" s="8" t="s">
        <v>1931</v>
      </c>
    </row>
    <row r="550" spans="1:10" x14ac:dyDescent="0.2">
      <c r="A550" s="8" t="s">
        <v>56</v>
      </c>
      <c r="B550" s="8" t="s">
        <v>57</v>
      </c>
      <c r="C550" s="8" t="s">
        <v>1932</v>
      </c>
      <c r="D550" s="8" t="s">
        <v>1933</v>
      </c>
      <c r="E550" s="8" t="s">
        <v>1934</v>
      </c>
      <c r="F550" s="8">
        <v>1.5366096600000001</v>
      </c>
      <c r="G550" s="8">
        <v>1.4453441600000001</v>
      </c>
      <c r="H550" s="6" t="str">
        <f t="shared" si="8"/>
        <v>Direct</v>
      </c>
      <c r="I550" s="8" t="s">
        <v>50</v>
      </c>
      <c r="J550" s="8" t="s">
        <v>1935</v>
      </c>
    </row>
    <row r="551" spans="1:10" x14ac:dyDescent="0.2">
      <c r="A551" s="8" t="s">
        <v>56</v>
      </c>
      <c r="B551" s="8" t="s">
        <v>57</v>
      </c>
      <c r="C551" s="8" t="s">
        <v>1936</v>
      </c>
      <c r="D551" s="8" t="s">
        <v>1937</v>
      </c>
      <c r="E551" s="8" t="s">
        <v>1938</v>
      </c>
      <c r="F551" s="8">
        <v>-2.7154289</v>
      </c>
      <c r="G551" s="8">
        <v>-2.9073858000000001</v>
      </c>
      <c r="H551" s="6" t="str">
        <f t="shared" si="8"/>
        <v>Direct</v>
      </c>
      <c r="I551" s="8" t="s">
        <v>1939</v>
      </c>
      <c r="J551" s="8" t="s">
        <v>1939</v>
      </c>
    </row>
    <row r="552" spans="1:10" x14ac:dyDescent="0.2">
      <c r="A552" s="8" t="s">
        <v>56</v>
      </c>
      <c r="B552" s="8" t="s">
        <v>57</v>
      </c>
      <c r="C552" s="8" t="s">
        <v>1940</v>
      </c>
      <c r="D552" s="8" t="s">
        <v>1941</v>
      </c>
      <c r="E552" s="8" t="s">
        <v>1942</v>
      </c>
      <c r="F552" s="8">
        <v>2.3120412099999998</v>
      </c>
      <c r="G552" s="8">
        <v>2.1414672800000001</v>
      </c>
      <c r="H552" s="6" t="str">
        <f t="shared" si="8"/>
        <v>Direct</v>
      </c>
      <c r="I552" s="8" t="s">
        <v>1943</v>
      </c>
      <c r="J552" s="8" t="s">
        <v>1943</v>
      </c>
    </row>
    <row r="553" spans="1:10" x14ac:dyDescent="0.2">
      <c r="A553" s="8" t="s">
        <v>56</v>
      </c>
      <c r="B553" s="8" t="s">
        <v>57</v>
      </c>
      <c r="C553" s="8" t="s">
        <v>1944</v>
      </c>
      <c r="D553" s="8" t="s">
        <v>1945</v>
      </c>
      <c r="E553" s="8" t="s">
        <v>1946</v>
      </c>
      <c r="F553" s="8">
        <v>-1.3357132</v>
      </c>
      <c r="G553" s="8">
        <v>-1.0199251</v>
      </c>
      <c r="H553" s="6" t="str">
        <f t="shared" si="8"/>
        <v>Direct</v>
      </c>
      <c r="I553" s="8" t="s">
        <v>1947</v>
      </c>
      <c r="J553" s="8" t="s">
        <v>1947</v>
      </c>
    </row>
    <row r="554" spans="1:10" x14ac:dyDescent="0.2">
      <c r="A554" s="8" t="s">
        <v>56</v>
      </c>
      <c r="B554" s="8" t="s">
        <v>57</v>
      </c>
      <c r="C554" s="8" t="s">
        <v>1948</v>
      </c>
      <c r="D554" s="8" t="s">
        <v>1949</v>
      </c>
      <c r="E554" s="8" t="s">
        <v>1950</v>
      </c>
      <c r="F554" s="8">
        <v>-1.1184997000000001</v>
      </c>
      <c r="G554" s="8">
        <v>-4.4029885999999996</v>
      </c>
      <c r="H554" s="6" t="str">
        <f t="shared" si="8"/>
        <v>Direct</v>
      </c>
      <c r="I554" s="8" t="s">
        <v>1951</v>
      </c>
      <c r="J554" s="8" t="s">
        <v>1951</v>
      </c>
    </row>
    <row r="555" spans="1:10" x14ac:dyDescent="0.2">
      <c r="A555" s="8" t="s">
        <v>56</v>
      </c>
      <c r="B555" s="8" t="s">
        <v>57</v>
      </c>
      <c r="C555" s="8" t="s">
        <v>1952</v>
      </c>
      <c r="D555" s="8" t="s">
        <v>1953</v>
      </c>
      <c r="E555" s="8" t="s">
        <v>1954</v>
      </c>
      <c r="F555" s="8">
        <v>3.0160592899999998</v>
      </c>
      <c r="G555" s="8">
        <v>1.25100177</v>
      </c>
      <c r="H555" s="6" t="str">
        <f t="shared" si="8"/>
        <v>Direct</v>
      </c>
      <c r="I555" s="8" t="s">
        <v>1955</v>
      </c>
      <c r="J555" s="8" t="s">
        <v>1955</v>
      </c>
    </row>
    <row r="556" spans="1:10" x14ac:dyDescent="0.2">
      <c r="A556" s="8" t="s">
        <v>56</v>
      </c>
      <c r="B556" s="8" t="s">
        <v>57</v>
      </c>
      <c r="C556" s="8" t="s">
        <v>1956</v>
      </c>
      <c r="D556" s="8" t="s">
        <v>1957</v>
      </c>
      <c r="E556" s="8" t="s">
        <v>1958</v>
      </c>
      <c r="F556" s="8">
        <v>1.28209284</v>
      </c>
      <c r="G556" s="8">
        <v>-1.9439226000000001</v>
      </c>
      <c r="H556" s="6" t="str">
        <f t="shared" si="8"/>
        <v>Inverse</v>
      </c>
      <c r="I556" s="8" t="s">
        <v>1959</v>
      </c>
      <c r="J556" s="8" t="s">
        <v>1960</v>
      </c>
    </row>
    <row r="557" spans="1:10" x14ac:dyDescent="0.2">
      <c r="A557" s="8" t="s">
        <v>56</v>
      </c>
      <c r="B557" s="8" t="s">
        <v>57</v>
      </c>
      <c r="C557" s="8" t="s">
        <v>1961</v>
      </c>
      <c r="D557" s="8" t="s">
        <v>1962</v>
      </c>
      <c r="E557" s="8" t="s">
        <v>1963</v>
      </c>
      <c r="F557" s="8">
        <v>1.86766348</v>
      </c>
      <c r="G557" s="8">
        <v>-1.0833664999999999</v>
      </c>
      <c r="H557" s="6" t="str">
        <f t="shared" si="8"/>
        <v>Inverse</v>
      </c>
      <c r="I557" s="8" t="s">
        <v>1964</v>
      </c>
      <c r="J557" s="8" t="s">
        <v>1964</v>
      </c>
    </row>
    <row r="558" spans="1:10" x14ac:dyDescent="0.2">
      <c r="A558" s="8" t="s">
        <v>56</v>
      </c>
      <c r="B558" s="8" t="s">
        <v>57</v>
      </c>
      <c r="C558" s="8" t="s">
        <v>1965</v>
      </c>
      <c r="D558" s="8" t="s">
        <v>1966</v>
      </c>
      <c r="E558" s="8" t="s">
        <v>1967</v>
      </c>
      <c r="F558" s="8">
        <v>-10.550367</v>
      </c>
      <c r="G558" s="8">
        <v>-1.9832540000000001</v>
      </c>
      <c r="H558" s="6" t="str">
        <f t="shared" si="8"/>
        <v>Direct</v>
      </c>
      <c r="I558" s="8" t="s">
        <v>1968</v>
      </c>
      <c r="J558" s="8" t="s">
        <v>1968</v>
      </c>
    </row>
    <row r="559" spans="1:10" x14ac:dyDescent="0.2">
      <c r="A559" s="8" t="s">
        <v>56</v>
      </c>
      <c r="B559" s="8" t="s">
        <v>57</v>
      </c>
      <c r="C559" s="8" t="s">
        <v>1969</v>
      </c>
      <c r="D559" s="8" t="s">
        <v>1970</v>
      </c>
      <c r="E559" s="8" t="s">
        <v>1971</v>
      </c>
      <c r="F559" s="8">
        <v>-1.1965805</v>
      </c>
      <c r="G559" s="8">
        <v>2.6892970699999998</v>
      </c>
      <c r="H559" s="6" t="str">
        <f t="shared" si="8"/>
        <v>Inverse</v>
      </c>
      <c r="I559" s="8" t="s">
        <v>1972</v>
      </c>
      <c r="J559" s="8" t="s">
        <v>1972</v>
      </c>
    </row>
    <row r="560" spans="1:10" x14ac:dyDescent="0.2">
      <c r="A560" s="8" t="s">
        <v>56</v>
      </c>
      <c r="B560" s="8" t="s">
        <v>57</v>
      </c>
      <c r="C560" s="8" t="s">
        <v>1973</v>
      </c>
      <c r="D560" s="8" t="s">
        <v>1974</v>
      </c>
      <c r="E560" s="8" t="s">
        <v>1975</v>
      </c>
      <c r="F560" s="8">
        <v>-3.6749081000000001</v>
      </c>
      <c r="G560" s="8">
        <v>2.7627841200000001</v>
      </c>
      <c r="H560" s="6" t="str">
        <f t="shared" si="8"/>
        <v>Inverse</v>
      </c>
      <c r="I560" s="8" t="s">
        <v>1976</v>
      </c>
      <c r="J560" s="8" t="s">
        <v>1976</v>
      </c>
    </row>
    <row r="561" spans="1:10" x14ac:dyDescent="0.2">
      <c r="A561" s="8" t="s">
        <v>56</v>
      </c>
      <c r="B561" s="8" t="s">
        <v>57</v>
      </c>
      <c r="C561" s="8" t="s">
        <v>1977</v>
      </c>
      <c r="D561" s="8" t="s">
        <v>1978</v>
      </c>
      <c r="E561" s="8" t="s">
        <v>1979</v>
      </c>
      <c r="F561" s="8">
        <v>-6.2531584999999996</v>
      </c>
      <c r="G561" s="8">
        <v>-1.5504560999999999</v>
      </c>
      <c r="H561" s="6" t="str">
        <f t="shared" si="8"/>
        <v>Direct</v>
      </c>
      <c r="I561" s="8" t="s">
        <v>1980</v>
      </c>
      <c r="J561" s="8" t="s">
        <v>1980</v>
      </c>
    </row>
    <row r="562" spans="1:10" x14ac:dyDescent="0.2">
      <c r="A562" s="8" t="s">
        <v>56</v>
      </c>
      <c r="B562" s="8" t="s">
        <v>57</v>
      </c>
      <c r="C562" s="8" t="s">
        <v>1981</v>
      </c>
      <c r="D562" s="8" t="s">
        <v>1982</v>
      </c>
      <c r="E562" s="8" t="s">
        <v>1983</v>
      </c>
      <c r="F562" s="8">
        <v>1.23790533</v>
      </c>
      <c r="G562" s="8">
        <v>1.79726477</v>
      </c>
      <c r="H562" s="6" t="str">
        <f t="shared" si="8"/>
        <v>Direct</v>
      </c>
      <c r="I562" s="8" t="s">
        <v>1984</v>
      </c>
      <c r="J562" s="8" t="s">
        <v>1984</v>
      </c>
    </row>
    <row r="563" spans="1:10" x14ac:dyDescent="0.2">
      <c r="A563" s="8" t="s">
        <v>56</v>
      </c>
      <c r="B563" s="8" t="s">
        <v>57</v>
      </c>
      <c r="C563" s="8" t="s">
        <v>1985</v>
      </c>
      <c r="D563" s="8" t="s">
        <v>1986</v>
      </c>
      <c r="E563" s="8" t="s">
        <v>1987</v>
      </c>
      <c r="F563" s="8">
        <v>3.27914824</v>
      </c>
      <c r="G563" s="8">
        <v>4.7548245700000003</v>
      </c>
      <c r="H563" s="6" t="str">
        <f t="shared" si="8"/>
        <v>Direct</v>
      </c>
      <c r="I563" s="8" t="s">
        <v>1500</v>
      </c>
      <c r="J563" s="8" t="s">
        <v>1500</v>
      </c>
    </row>
    <row r="564" spans="1:10" x14ac:dyDescent="0.2">
      <c r="A564" s="8" t="s">
        <v>56</v>
      </c>
      <c r="B564" s="8" t="s">
        <v>57</v>
      </c>
      <c r="C564" s="8" t="s">
        <v>1988</v>
      </c>
      <c r="D564" s="8" t="s">
        <v>1989</v>
      </c>
      <c r="E564" s="8" t="s">
        <v>1990</v>
      </c>
      <c r="F564" s="8">
        <v>-1.4441181000000001</v>
      </c>
      <c r="G564" s="8">
        <v>-1.5256613999999999</v>
      </c>
      <c r="H564" s="6" t="str">
        <f t="shared" si="8"/>
        <v>Direct</v>
      </c>
      <c r="I564" s="8" t="s">
        <v>50</v>
      </c>
      <c r="J564" s="8" t="s">
        <v>1991</v>
      </c>
    </row>
    <row r="565" spans="1:10" x14ac:dyDescent="0.2">
      <c r="A565" s="8" t="s">
        <v>56</v>
      </c>
      <c r="B565" s="8" t="s">
        <v>57</v>
      </c>
      <c r="C565" s="8" t="s">
        <v>1992</v>
      </c>
      <c r="D565" s="8" t="s">
        <v>1993</v>
      </c>
      <c r="E565" s="8" t="s">
        <v>1994</v>
      </c>
      <c r="F565" s="8">
        <v>-2.3570940999999999</v>
      </c>
      <c r="G565" s="8">
        <v>-14.298185</v>
      </c>
      <c r="H565" s="6" t="str">
        <f t="shared" si="8"/>
        <v>Direct</v>
      </c>
      <c r="I565" s="8" t="s">
        <v>1390</v>
      </c>
      <c r="J565" s="8" t="s">
        <v>1390</v>
      </c>
    </row>
    <row r="566" spans="1:10" x14ac:dyDescent="0.2">
      <c r="A566" s="8" t="s">
        <v>56</v>
      </c>
      <c r="B566" s="8" t="s">
        <v>57</v>
      </c>
      <c r="C566" s="8" t="s">
        <v>1995</v>
      </c>
      <c r="D566" s="8" t="s">
        <v>1996</v>
      </c>
      <c r="E566" s="8" t="s">
        <v>1997</v>
      </c>
      <c r="F566" s="8">
        <v>1.8899238</v>
      </c>
      <c r="G566" s="8">
        <v>1.7798646199999999</v>
      </c>
      <c r="H566" s="6" t="str">
        <f t="shared" si="8"/>
        <v>Direct</v>
      </c>
      <c r="I566" s="8" t="s">
        <v>1998</v>
      </c>
      <c r="J566" s="8" t="s">
        <v>1998</v>
      </c>
    </row>
    <row r="567" spans="1:10" x14ac:dyDescent="0.2">
      <c r="A567" s="8" t="s">
        <v>56</v>
      </c>
      <c r="B567" s="8" t="s">
        <v>57</v>
      </c>
      <c r="C567" s="8" t="s">
        <v>1999</v>
      </c>
      <c r="D567" s="8" t="s">
        <v>2000</v>
      </c>
      <c r="E567" s="8" t="s">
        <v>2001</v>
      </c>
      <c r="F567" s="8">
        <v>2.2959963700000001</v>
      </c>
      <c r="G567" s="8">
        <v>-1.4072106</v>
      </c>
      <c r="H567" s="6" t="str">
        <f t="shared" si="8"/>
        <v>Inverse</v>
      </c>
      <c r="I567" s="8" t="s">
        <v>2002</v>
      </c>
      <c r="J567" s="8" t="s">
        <v>2002</v>
      </c>
    </row>
    <row r="568" spans="1:10" x14ac:dyDescent="0.2">
      <c r="A568" s="8" t="s">
        <v>56</v>
      </c>
      <c r="B568" s="8" t="s">
        <v>57</v>
      </c>
      <c r="C568" s="8" t="s">
        <v>2003</v>
      </c>
      <c r="D568" s="8" t="s">
        <v>2004</v>
      </c>
      <c r="E568" s="8" t="s">
        <v>2005</v>
      </c>
      <c r="F568" s="8">
        <v>4.3750886500000004</v>
      </c>
      <c r="G568" s="8">
        <v>5.5727155799999997</v>
      </c>
      <c r="H568" s="6" t="str">
        <f t="shared" si="8"/>
        <v>Direct</v>
      </c>
      <c r="I568" s="8" t="s">
        <v>2006</v>
      </c>
      <c r="J568" s="8" t="s">
        <v>2006</v>
      </c>
    </row>
    <row r="569" spans="1:10" x14ac:dyDescent="0.2">
      <c r="A569" s="8" t="s">
        <v>56</v>
      </c>
      <c r="B569" s="8" t="s">
        <v>57</v>
      </c>
      <c r="C569" s="8" t="s">
        <v>2007</v>
      </c>
      <c r="D569" s="8" t="s">
        <v>2008</v>
      </c>
      <c r="E569" s="8" t="s">
        <v>2009</v>
      </c>
      <c r="F569" s="8">
        <v>-1.2824589</v>
      </c>
      <c r="G569" s="8">
        <v>1.2174552000000001</v>
      </c>
      <c r="H569" s="6" t="str">
        <f t="shared" si="8"/>
        <v>Inverse</v>
      </c>
      <c r="I569" s="8" t="s">
        <v>2010</v>
      </c>
      <c r="J569" s="8" t="s">
        <v>2010</v>
      </c>
    </row>
    <row r="570" spans="1:10" x14ac:dyDescent="0.2">
      <c r="A570" s="8" t="s">
        <v>56</v>
      </c>
      <c r="B570" s="8" t="s">
        <v>57</v>
      </c>
      <c r="C570" s="8" t="s">
        <v>2011</v>
      </c>
      <c r="D570" s="8" t="s">
        <v>2012</v>
      </c>
      <c r="E570" s="8" t="s">
        <v>2013</v>
      </c>
      <c r="F570" s="8">
        <v>-5.2314281999999999</v>
      </c>
      <c r="G570" s="8">
        <v>-1.6039669999999999</v>
      </c>
      <c r="H570" s="6" t="str">
        <f t="shared" si="8"/>
        <v>Direct</v>
      </c>
      <c r="I570" s="8" t="s">
        <v>2014</v>
      </c>
      <c r="J570" s="8" t="s">
        <v>2014</v>
      </c>
    </row>
    <row r="571" spans="1:10" x14ac:dyDescent="0.2">
      <c r="A571" s="8" t="s">
        <v>56</v>
      </c>
      <c r="B571" s="8" t="s">
        <v>57</v>
      </c>
      <c r="C571" s="8" t="s">
        <v>2015</v>
      </c>
      <c r="D571" s="8" t="s">
        <v>2016</v>
      </c>
      <c r="E571" s="8" t="s">
        <v>2017</v>
      </c>
      <c r="F571" s="8">
        <v>-1.5143542000000001</v>
      </c>
      <c r="G571" s="8">
        <v>1.5101600900000001</v>
      </c>
      <c r="H571" s="6" t="str">
        <f t="shared" si="8"/>
        <v>Inverse</v>
      </c>
      <c r="I571" s="8" t="s">
        <v>2018</v>
      </c>
      <c r="J571" s="8" t="s">
        <v>2018</v>
      </c>
    </row>
    <row r="572" spans="1:10" x14ac:dyDescent="0.2">
      <c r="A572" s="8" t="s">
        <v>56</v>
      </c>
      <c r="B572" s="8" t="s">
        <v>57</v>
      </c>
      <c r="C572" s="8" t="s">
        <v>2019</v>
      </c>
      <c r="D572" s="8" t="s">
        <v>2020</v>
      </c>
      <c r="E572" s="8" t="s">
        <v>2021</v>
      </c>
      <c r="F572" s="8">
        <v>-1.0975458</v>
      </c>
      <c r="G572" s="8">
        <v>-2.1657304000000002</v>
      </c>
      <c r="H572" s="6" t="str">
        <f t="shared" si="8"/>
        <v>Direct</v>
      </c>
      <c r="I572" s="8" t="s">
        <v>2022</v>
      </c>
      <c r="J572" s="8" t="s">
        <v>2022</v>
      </c>
    </row>
    <row r="573" spans="1:10" x14ac:dyDescent="0.2">
      <c r="A573" s="8" t="s">
        <v>56</v>
      </c>
      <c r="B573" s="8" t="s">
        <v>57</v>
      </c>
      <c r="C573" s="8" t="s">
        <v>468</v>
      </c>
      <c r="D573" s="8" t="s">
        <v>469</v>
      </c>
      <c r="E573" s="8" t="s">
        <v>470</v>
      </c>
      <c r="F573" s="8">
        <v>-6.1442953999999999</v>
      </c>
      <c r="G573" s="8">
        <v>-18.977264000000002</v>
      </c>
      <c r="H573" s="6" t="str">
        <f t="shared" si="8"/>
        <v>Direct</v>
      </c>
      <c r="I573" s="8" t="s">
        <v>471</v>
      </c>
      <c r="J573" s="8" t="s">
        <v>472</v>
      </c>
    </row>
    <row r="574" spans="1:10" x14ac:dyDescent="0.2">
      <c r="A574" s="8" t="s">
        <v>56</v>
      </c>
      <c r="B574" s="8" t="s">
        <v>57</v>
      </c>
      <c r="C574" s="8" t="s">
        <v>2023</v>
      </c>
      <c r="D574" s="8" t="s">
        <v>2024</v>
      </c>
      <c r="E574" s="8" t="s">
        <v>2025</v>
      </c>
      <c r="F574" s="8">
        <v>-1.3630002999999999</v>
      </c>
      <c r="G574" s="8">
        <v>-1.0578555999999999</v>
      </c>
      <c r="H574" s="6" t="str">
        <f t="shared" si="8"/>
        <v>Direct</v>
      </c>
      <c r="I574" s="8" t="s">
        <v>2026</v>
      </c>
      <c r="J574" s="8" t="s">
        <v>2027</v>
      </c>
    </row>
    <row r="575" spans="1:10" x14ac:dyDescent="0.2">
      <c r="A575" s="8" t="s">
        <v>56</v>
      </c>
      <c r="B575" s="8" t="s">
        <v>57</v>
      </c>
      <c r="C575" s="8" t="s">
        <v>2028</v>
      </c>
      <c r="D575" s="8" t="s">
        <v>2029</v>
      </c>
      <c r="E575" s="8" t="s">
        <v>2030</v>
      </c>
      <c r="F575" s="8">
        <v>-3.2007501</v>
      </c>
      <c r="G575" s="8">
        <v>12.362603200000001</v>
      </c>
      <c r="H575" s="6" t="str">
        <f t="shared" si="8"/>
        <v>Inverse</v>
      </c>
      <c r="I575" s="8" t="s">
        <v>2031</v>
      </c>
      <c r="J575" s="8" t="s">
        <v>2031</v>
      </c>
    </row>
    <row r="576" spans="1:10" x14ac:dyDescent="0.2">
      <c r="A576" s="8" t="s">
        <v>56</v>
      </c>
      <c r="B576" s="8" t="s">
        <v>57</v>
      </c>
      <c r="C576" s="8" t="s">
        <v>2032</v>
      </c>
      <c r="D576" s="8" t="s">
        <v>2033</v>
      </c>
      <c r="E576" s="8" t="s">
        <v>2034</v>
      </c>
      <c r="F576" s="8">
        <v>-6.7315785999999997</v>
      </c>
      <c r="G576" s="8">
        <v>-1.7318764</v>
      </c>
      <c r="H576" s="6" t="str">
        <f t="shared" si="8"/>
        <v>Direct</v>
      </c>
      <c r="I576" s="8" t="s">
        <v>2035</v>
      </c>
      <c r="J576" s="8" t="s">
        <v>2035</v>
      </c>
    </row>
    <row r="577" spans="1:10" x14ac:dyDescent="0.2">
      <c r="A577" s="8" t="s">
        <v>56</v>
      </c>
      <c r="B577" s="8" t="s">
        <v>57</v>
      </c>
      <c r="C577" s="8" t="s">
        <v>2036</v>
      </c>
      <c r="D577" s="8" t="s">
        <v>2037</v>
      </c>
      <c r="E577" s="8" t="s">
        <v>2038</v>
      </c>
      <c r="F577" s="8">
        <v>2.2118431799999998</v>
      </c>
      <c r="G577" s="8">
        <v>2.0983818300000001</v>
      </c>
      <c r="H577" s="6" t="str">
        <f t="shared" si="8"/>
        <v>Direct</v>
      </c>
      <c r="I577" s="8" t="s">
        <v>2039</v>
      </c>
      <c r="J577" s="8" t="s">
        <v>2040</v>
      </c>
    </row>
    <row r="578" spans="1:10" x14ac:dyDescent="0.2">
      <c r="A578" s="8" t="s">
        <v>56</v>
      </c>
      <c r="B578" s="8" t="s">
        <v>57</v>
      </c>
      <c r="C578" s="8" t="s">
        <v>2041</v>
      </c>
      <c r="D578" s="8" t="s">
        <v>2042</v>
      </c>
      <c r="E578" s="8" t="s">
        <v>2043</v>
      </c>
      <c r="F578" s="8">
        <v>-1.0418343999999999</v>
      </c>
      <c r="G578" s="8">
        <v>8.6213777599999997</v>
      </c>
      <c r="H578" s="6" t="str">
        <f t="shared" si="8"/>
        <v>Inverse</v>
      </c>
      <c r="I578" s="8" t="s">
        <v>315</v>
      </c>
      <c r="J578" s="8" t="s">
        <v>315</v>
      </c>
    </row>
    <row r="579" spans="1:10" x14ac:dyDescent="0.2">
      <c r="A579" s="8" t="s">
        <v>56</v>
      </c>
      <c r="B579" s="8" t="s">
        <v>57</v>
      </c>
      <c r="C579" s="8" t="s">
        <v>2044</v>
      </c>
      <c r="D579" s="8" t="s">
        <v>2045</v>
      </c>
      <c r="E579" s="8" t="s">
        <v>2046</v>
      </c>
      <c r="F579" s="8">
        <v>-2.6054941</v>
      </c>
      <c r="G579" s="8">
        <v>-1.1366874</v>
      </c>
      <c r="H579" s="6" t="str">
        <f t="shared" si="8"/>
        <v>Direct</v>
      </c>
      <c r="I579" s="8" t="s">
        <v>2047</v>
      </c>
      <c r="J579" s="8" t="s">
        <v>2047</v>
      </c>
    </row>
    <row r="580" spans="1:10" x14ac:dyDescent="0.2">
      <c r="A580" s="8" t="s">
        <v>56</v>
      </c>
      <c r="B580" s="8" t="s">
        <v>57</v>
      </c>
      <c r="C580" s="8" t="s">
        <v>2048</v>
      </c>
      <c r="D580" s="8" t="s">
        <v>2049</v>
      </c>
      <c r="E580" s="8" t="s">
        <v>2050</v>
      </c>
      <c r="F580" s="8">
        <v>-2.1956058000000001</v>
      </c>
      <c r="G580" s="8">
        <v>-1.2570691000000001</v>
      </c>
      <c r="H580" s="6" t="str">
        <f t="shared" si="8"/>
        <v>Direct</v>
      </c>
      <c r="I580" s="8" t="s">
        <v>554</v>
      </c>
      <c r="J580" s="8" t="s">
        <v>554</v>
      </c>
    </row>
    <row r="581" spans="1:10" x14ac:dyDescent="0.2">
      <c r="A581" s="8" t="s">
        <v>56</v>
      </c>
      <c r="B581" s="8" t="s">
        <v>57</v>
      </c>
      <c r="C581" s="8" t="s">
        <v>2051</v>
      </c>
      <c r="D581" s="8" t="s">
        <v>2052</v>
      </c>
      <c r="E581" s="8" t="s">
        <v>2053</v>
      </c>
      <c r="F581" s="8">
        <v>33.775493300000001</v>
      </c>
      <c r="G581" s="8">
        <v>39.724664199999999</v>
      </c>
      <c r="H581" s="6" t="str">
        <f t="shared" si="8"/>
        <v>Direct</v>
      </c>
      <c r="I581" s="8" t="s">
        <v>445</v>
      </c>
      <c r="J581" s="8" t="s">
        <v>2054</v>
      </c>
    </row>
    <row r="582" spans="1:10" x14ac:dyDescent="0.2">
      <c r="A582" s="8" t="s">
        <v>56</v>
      </c>
      <c r="B582" s="8" t="s">
        <v>57</v>
      </c>
      <c r="C582" s="8" t="s">
        <v>2055</v>
      </c>
      <c r="D582" s="8" t="s">
        <v>2056</v>
      </c>
      <c r="E582" s="8" t="s">
        <v>2057</v>
      </c>
      <c r="F582" s="8">
        <v>-2.2997895000000002</v>
      </c>
      <c r="G582" s="8">
        <v>-1.8258460000000001</v>
      </c>
      <c r="H582" s="6" t="str">
        <f t="shared" si="8"/>
        <v>Direct</v>
      </c>
      <c r="I582" s="8" t="s">
        <v>2058</v>
      </c>
      <c r="J582" s="8" t="s">
        <v>2058</v>
      </c>
    </row>
    <row r="583" spans="1:10" x14ac:dyDescent="0.2">
      <c r="A583" s="8" t="s">
        <v>56</v>
      </c>
      <c r="B583" s="8" t="s">
        <v>57</v>
      </c>
      <c r="C583" s="8" t="s">
        <v>2059</v>
      </c>
      <c r="D583" s="8" t="s">
        <v>2060</v>
      </c>
      <c r="E583" s="8" t="s">
        <v>2061</v>
      </c>
      <c r="F583" s="8">
        <v>-4.3851250999999998</v>
      </c>
      <c r="G583" s="8">
        <v>-3.0865176999999999</v>
      </c>
      <c r="H583" s="6" t="str">
        <f t="shared" si="8"/>
        <v>Direct</v>
      </c>
      <c r="I583" s="8" t="s">
        <v>2062</v>
      </c>
      <c r="J583" s="8" t="s">
        <v>2062</v>
      </c>
    </row>
    <row r="584" spans="1:10" x14ac:dyDescent="0.2">
      <c r="A584" s="8" t="s">
        <v>56</v>
      </c>
      <c r="B584" s="8" t="s">
        <v>57</v>
      </c>
      <c r="C584" s="8" t="s">
        <v>2063</v>
      </c>
      <c r="D584" s="8" t="s">
        <v>2064</v>
      </c>
      <c r="E584" s="8" t="s">
        <v>2065</v>
      </c>
      <c r="F584" s="8">
        <v>-2.0802524999999998</v>
      </c>
      <c r="G584" s="8">
        <v>-1.7842528</v>
      </c>
      <c r="H584" s="6" t="str">
        <f t="shared" si="8"/>
        <v>Direct</v>
      </c>
      <c r="I584" s="8" t="s">
        <v>2066</v>
      </c>
      <c r="J584" s="8" t="s">
        <v>2066</v>
      </c>
    </row>
    <row r="585" spans="1:10" x14ac:dyDescent="0.2">
      <c r="A585" s="8" t="s">
        <v>56</v>
      </c>
      <c r="B585" s="8" t="s">
        <v>57</v>
      </c>
      <c r="C585" s="8" t="s">
        <v>2067</v>
      </c>
      <c r="D585" s="8" t="s">
        <v>2068</v>
      </c>
      <c r="E585" s="8" t="s">
        <v>2069</v>
      </c>
      <c r="F585" s="8">
        <v>-1.5730295000000001</v>
      </c>
      <c r="G585" s="8">
        <v>-1.1341623000000001</v>
      </c>
      <c r="H585" s="6" t="str">
        <f t="shared" si="8"/>
        <v>Direct</v>
      </c>
      <c r="I585" s="8" t="s">
        <v>2070</v>
      </c>
      <c r="J585" s="8" t="s">
        <v>2070</v>
      </c>
    </row>
    <row r="586" spans="1:10" x14ac:dyDescent="0.2">
      <c r="A586" s="8" t="s">
        <v>56</v>
      </c>
      <c r="B586" s="8" t="s">
        <v>57</v>
      </c>
      <c r="C586" s="8" t="s">
        <v>485</v>
      </c>
      <c r="D586" s="8" t="s">
        <v>486</v>
      </c>
      <c r="E586" s="8" t="s">
        <v>487</v>
      </c>
      <c r="F586" s="8">
        <v>-3.0746666</v>
      </c>
      <c r="G586" s="8">
        <v>-9.8708533999999997</v>
      </c>
      <c r="H586" s="6" t="str">
        <f t="shared" si="8"/>
        <v>Direct</v>
      </c>
      <c r="I586" s="8" t="s">
        <v>50</v>
      </c>
      <c r="J586" s="8" t="s">
        <v>488</v>
      </c>
    </row>
    <row r="587" spans="1:10" x14ac:dyDescent="0.2">
      <c r="A587" s="8" t="s">
        <v>56</v>
      </c>
      <c r="B587" s="8" t="s">
        <v>57</v>
      </c>
      <c r="C587" s="8" t="s">
        <v>2071</v>
      </c>
      <c r="D587" s="8" t="s">
        <v>2072</v>
      </c>
      <c r="E587" s="8" t="s">
        <v>2073</v>
      </c>
      <c r="F587" s="8">
        <v>1.00187505</v>
      </c>
      <c r="G587" s="8">
        <v>1.4109246</v>
      </c>
      <c r="H587" s="6" t="str">
        <f t="shared" si="8"/>
        <v>Direct</v>
      </c>
      <c r="I587" s="8" t="s">
        <v>2074</v>
      </c>
      <c r="J587" s="8" t="s">
        <v>2074</v>
      </c>
    </row>
    <row r="588" spans="1:10" x14ac:dyDescent="0.2">
      <c r="A588" s="8" t="s">
        <v>56</v>
      </c>
      <c r="B588" s="8" t="s">
        <v>57</v>
      </c>
      <c r="C588" s="8" t="s">
        <v>2075</v>
      </c>
      <c r="D588" s="8" t="s">
        <v>2076</v>
      </c>
      <c r="E588" s="8" t="s">
        <v>2077</v>
      </c>
      <c r="F588" s="8">
        <v>-7.2874008000000003</v>
      </c>
      <c r="G588" s="8">
        <v>-3.2802639999999998</v>
      </c>
      <c r="H588" s="6" t="str">
        <f t="shared" si="8"/>
        <v>Direct</v>
      </c>
      <c r="I588" s="8" t="s">
        <v>2078</v>
      </c>
      <c r="J588" s="8" t="s">
        <v>2078</v>
      </c>
    </row>
    <row r="589" spans="1:10" x14ac:dyDescent="0.2">
      <c r="A589" s="8" t="s">
        <v>56</v>
      </c>
      <c r="B589" s="8" t="s">
        <v>57</v>
      </c>
      <c r="C589" s="8" t="s">
        <v>2079</v>
      </c>
      <c r="D589" s="8" t="s">
        <v>2080</v>
      </c>
      <c r="E589" s="8" t="s">
        <v>2081</v>
      </c>
      <c r="F589" s="8">
        <v>-3.8810711000000002</v>
      </c>
      <c r="G589" s="8">
        <v>-4.7145967999999998</v>
      </c>
      <c r="H589" s="6" t="str">
        <f t="shared" si="8"/>
        <v>Direct</v>
      </c>
      <c r="I589" s="8" t="s">
        <v>2082</v>
      </c>
      <c r="J589" s="8" t="s">
        <v>2082</v>
      </c>
    </row>
    <row r="590" spans="1:10" x14ac:dyDescent="0.2">
      <c r="A590" s="8" t="s">
        <v>56</v>
      </c>
      <c r="B590" s="8" t="s">
        <v>57</v>
      </c>
      <c r="C590" s="8" t="s">
        <v>2083</v>
      </c>
      <c r="D590" s="8" t="s">
        <v>2084</v>
      </c>
      <c r="E590" s="8" t="s">
        <v>2085</v>
      </c>
      <c r="F590" s="8">
        <v>2.08193713</v>
      </c>
      <c r="G590" s="8">
        <v>4.6336249199999999</v>
      </c>
      <c r="H590" s="6" t="str">
        <f t="shared" si="8"/>
        <v>Direct</v>
      </c>
      <c r="I590" s="8" t="s">
        <v>1931</v>
      </c>
      <c r="J590" s="8" t="s">
        <v>2086</v>
      </c>
    </row>
    <row r="591" spans="1:10" x14ac:dyDescent="0.2">
      <c r="A591" s="8" t="s">
        <v>56</v>
      </c>
      <c r="B591" s="8" t="s">
        <v>57</v>
      </c>
      <c r="C591" s="8" t="s">
        <v>2087</v>
      </c>
      <c r="D591" s="8" t="s">
        <v>2088</v>
      </c>
      <c r="E591" s="8" t="s">
        <v>2089</v>
      </c>
      <c r="F591" s="8">
        <v>2.0753470599999999</v>
      </c>
      <c r="G591" s="8">
        <v>2.5715584800000002</v>
      </c>
      <c r="H591" s="6" t="str">
        <f t="shared" si="8"/>
        <v>Direct</v>
      </c>
      <c r="I591" s="8" t="s">
        <v>2090</v>
      </c>
      <c r="J591" s="8" t="s">
        <v>2091</v>
      </c>
    </row>
    <row r="592" spans="1:10" x14ac:dyDescent="0.2">
      <c r="A592" s="8" t="s">
        <v>56</v>
      </c>
      <c r="B592" s="8" t="s">
        <v>57</v>
      </c>
      <c r="C592" s="8" t="s">
        <v>2092</v>
      </c>
      <c r="D592" s="8" t="s">
        <v>2093</v>
      </c>
      <c r="E592" s="8" t="s">
        <v>2094</v>
      </c>
      <c r="F592" s="8">
        <v>-1.6011226999999999</v>
      </c>
      <c r="G592" s="8">
        <v>-1.3071807</v>
      </c>
      <c r="H592" s="6" t="str">
        <f t="shared" si="8"/>
        <v>Direct</v>
      </c>
      <c r="I592" s="8" t="s">
        <v>2095</v>
      </c>
      <c r="J592" s="8" t="s">
        <v>2095</v>
      </c>
    </row>
    <row r="593" spans="1:10" x14ac:dyDescent="0.2">
      <c r="A593" s="8" t="s">
        <v>56</v>
      </c>
      <c r="B593" s="8" t="s">
        <v>57</v>
      </c>
      <c r="C593" s="8" t="s">
        <v>2096</v>
      </c>
      <c r="D593" s="8" t="s">
        <v>2097</v>
      </c>
      <c r="E593" s="8" t="s">
        <v>2098</v>
      </c>
      <c r="F593" s="8">
        <v>-2.7215410000000002</v>
      </c>
      <c r="G593" s="8">
        <v>-1.9148174</v>
      </c>
      <c r="H593" s="6" t="str">
        <f t="shared" si="8"/>
        <v>Direct</v>
      </c>
      <c r="I593" s="8" t="s">
        <v>50</v>
      </c>
      <c r="J593" s="8" t="s">
        <v>2099</v>
      </c>
    </row>
    <row r="594" spans="1:10" x14ac:dyDescent="0.2">
      <c r="A594" s="8" t="s">
        <v>56</v>
      </c>
      <c r="B594" s="8" t="s">
        <v>57</v>
      </c>
      <c r="C594" s="8" t="s">
        <v>2100</v>
      </c>
      <c r="D594" s="8" t="s">
        <v>2101</v>
      </c>
      <c r="E594" s="8" t="s">
        <v>2102</v>
      </c>
      <c r="F594" s="8">
        <v>-1.1165749</v>
      </c>
      <c r="G594" s="8">
        <v>-1.1792583999999999</v>
      </c>
      <c r="H594" s="6" t="str">
        <f t="shared" si="8"/>
        <v>Direct</v>
      </c>
      <c r="I594" s="8" t="s">
        <v>2103</v>
      </c>
      <c r="J594" s="8" t="s">
        <v>2103</v>
      </c>
    </row>
    <row r="595" spans="1:10" x14ac:dyDescent="0.2">
      <c r="A595" s="8" t="s">
        <v>56</v>
      </c>
      <c r="B595" s="8" t="s">
        <v>57</v>
      </c>
      <c r="C595" s="8" t="s">
        <v>2104</v>
      </c>
      <c r="D595" s="8" t="s">
        <v>2105</v>
      </c>
      <c r="E595" s="8" t="s">
        <v>2106</v>
      </c>
      <c r="F595" s="8">
        <v>1.9230928</v>
      </c>
      <c r="G595" s="8">
        <v>-1.4964816999999999</v>
      </c>
      <c r="H595" s="6" t="str">
        <f t="shared" si="8"/>
        <v>Inverse</v>
      </c>
      <c r="I595" s="8" t="s">
        <v>2107</v>
      </c>
      <c r="J595" s="8" t="s">
        <v>2107</v>
      </c>
    </row>
    <row r="596" spans="1:10" x14ac:dyDescent="0.2">
      <c r="A596" s="8" t="s">
        <v>56</v>
      </c>
      <c r="B596" s="8" t="s">
        <v>57</v>
      </c>
      <c r="C596" s="8" t="s">
        <v>2108</v>
      </c>
      <c r="D596" s="8" t="s">
        <v>2109</v>
      </c>
      <c r="E596" s="8" t="s">
        <v>2110</v>
      </c>
      <c r="F596" s="8">
        <v>-1.9299852</v>
      </c>
      <c r="G596" s="8">
        <v>2.8119184100000001</v>
      </c>
      <c r="H596" s="6" t="str">
        <f t="shared" si="8"/>
        <v>Inverse</v>
      </c>
      <c r="I596" s="8" t="s">
        <v>2111</v>
      </c>
      <c r="J596" s="8" t="s">
        <v>2111</v>
      </c>
    </row>
    <row r="597" spans="1:10" x14ac:dyDescent="0.2">
      <c r="A597" s="8" t="s">
        <v>56</v>
      </c>
      <c r="B597" s="8" t="s">
        <v>57</v>
      </c>
      <c r="C597" s="8" t="s">
        <v>2112</v>
      </c>
      <c r="D597" s="8" t="s">
        <v>2113</v>
      </c>
      <c r="E597" s="8" t="s">
        <v>2114</v>
      </c>
      <c r="F597" s="8">
        <v>-4.0761082000000002</v>
      </c>
      <c r="G597" s="8">
        <v>-6.6985640000000002</v>
      </c>
      <c r="H597" s="6" t="str">
        <f t="shared" si="8"/>
        <v>Direct</v>
      </c>
      <c r="I597" s="8" t="s">
        <v>2115</v>
      </c>
      <c r="J597" s="8" t="s">
        <v>2115</v>
      </c>
    </row>
    <row r="598" spans="1:10" x14ac:dyDescent="0.2">
      <c r="A598" s="8" t="s">
        <v>56</v>
      </c>
      <c r="B598" s="8" t="s">
        <v>57</v>
      </c>
      <c r="C598" s="8" t="s">
        <v>2116</v>
      </c>
      <c r="D598" s="8" t="s">
        <v>2117</v>
      </c>
      <c r="E598" s="8" t="s">
        <v>2118</v>
      </c>
      <c r="F598" s="8">
        <v>-7.7143147000000001</v>
      </c>
      <c r="G598" s="8">
        <v>-1.0005138</v>
      </c>
      <c r="H598" s="6" t="str">
        <f t="shared" si="8"/>
        <v>Direct</v>
      </c>
      <c r="I598" s="8" t="s">
        <v>2119</v>
      </c>
      <c r="J598" s="8" t="s">
        <v>2119</v>
      </c>
    </row>
    <row r="599" spans="1:10" x14ac:dyDescent="0.2">
      <c r="A599" s="8" t="s">
        <v>56</v>
      </c>
      <c r="B599" s="8" t="s">
        <v>57</v>
      </c>
      <c r="C599" s="8" t="s">
        <v>2120</v>
      </c>
      <c r="D599" s="8" t="s">
        <v>2121</v>
      </c>
      <c r="E599" s="8" t="s">
        <v>2122</v>
      </c>
      <c r="F599" s="8">
        <v>-2.5027686</v>
      </c>
      <c r="G599" s="8">
        <v>-1.7209574999999999</v>
      </c>
      <c r="H599" s="6" t="str">
        <f t="shared" si="8"/>
        <v>Direct</v>
      </c>
      <c r="I599" s="8" t="s">
        <v>2123</v>
      </c>
      <c r="J599" s="8" t="s">
        <v>2123</v>
      </c>
    </row>
    <row r="600" spans="1:10" x14ac:dyDescent="0.2">
      <c r="A600" s="8" t="s">
        <v>56</v>
      </c>
      <c r="B600" s="8" t="s">
        <v>57</v>
      </c>
      <c r="C600" s="8" t="s">
        <v>2124</v>
      </c>
      <c r="D600" s="8" t="s">
        <v>2125</v>
      </c>
      <c r="E600" s="8" t="s">
        <v>2126</v>
      </c>
      <c r="F600" s="8">
        <v>-2.6133223999999999</v>
      </c>
      <c r="G600" s="8">
        <v>-1.1101916000000001</v>
      </c>
      <c r="H600" s="6" t="str">
        <f t="shared" si="8"/>
        <v>Direct</v>
      </c>
      <c r="I600" s="8" t="s">
        <v>2127</v>
      </c>
      <c r="J600" s="8" t="s">
        <v>2127</v>
      </c>
    </row>
    <row r="601" spans="1:10" x14ac:dyDescent="0.2">
      <c r="A601" s="8" t="s">
        <v>56</v>
      </c>
      <c r="B601" s="8" t="s">
        <v>57</v>
      </c>
      <c r="C601" s="8" t="s">
        <v>2128</v>
      </c>
      <c r="D601" s="8" t="s">
        <v>2129</v>
      </c>
      <c r="E601" s="8" t="s">
        <v>2130</v>
      </c>
      <c r="F601" s="8">
        <v>-1.0460961</v>
      </c>
      <c r="G601" s="8">
        <v>1.8542974999999999</v>
      </c>
      <c r="H601" s="6" t="str">
        <f t="shared" si="8"/>
        <v>Inverse</v>
      </c>
      <c r="I601" s="8" t="s">
        <v>2131</v>
      </c>
      <c r="J601" s="8" t="s">
        <v>2132</v>
      </c>
    </row>
    <row r="602" spans="1:10" x14ac:dyDescent="0.2">
      <c r="A602" s="8" t="s">
        <v>56</v>
      </c>
      <c r="B602" s="8" t="s">
        <v>57</v>
      </c>
      <c r="C602" s="8" t="s">
        <v>2133</v>
      </c>
      <c r="D602" s="8" t="s">
        <v>2134</v>
      </c>
      <c r="E602" s="8" t="s">
        <v>2135</v>
      </c>
      <c r="F602" s="8">
        <v>-1.0559886000000001</v>
      </c>
      <c r="G602" s="8">
        <v>-2.4102993000000001</v>
      </c>
      <c r="H602" s="6" t="str">
        <f t="shared" si="8"/>
        <v>Direct</v>
      </c>
      <c r="I602" s="8" t="s">
        <v>578</v>
      </c>
      <c r="J602" s="8" t="s">
        <v>578</v>
      </c>
    </row>
    <row r="603" spans="1:10" x14ac:dyDescent="0.2">
      <c r="A603" s="8" t="s">
        <v>56</v>
      </c>
      <c r="B603" s="8" t="s">
        <v>57</v>
      </c>
      <c r="C603" s="8" t="s">
        <v>2136</v>
      </c>
      <c r="D603" s="8" t="s">
        <v>2137</v>
      </c>
      <c r="E603" s="8" t="s">
        <v>2138</v>
      </c>
      <c r="F603" s="8">
        <v>-1.9242025</v>
      </c>
      <c r="G603" s="8">
        <v>3.17828562</v>
      </c>
      <c r="H603" s="6" t="str">
        <f t="shared" si="8"/>
        <v>Inverse</v>
      </c>
      <c r="I603" s="8" t="s">
        <v>2139</v>
      </c>
      <c r="J603" s="8" t="s">
        <v>2139</v>
      </c>
    </row>
    <row r="604" spans="1:10" x14ac:dyDescent="0.2">
      <c r="A604" s="8" t="s">
        <v>56</v>
      </c>
      <c r="B604" s="8" t="s">
        <v>57</v>
      </c>
      <c r="C604" s="8" t="s">
        <v>2140</v>
      </c>
      <c r="D604" s="8" t="s">
        <v>2141</v>
      </c>
      <c r="E604" s="8" t="s">
        <v>2142</v>
      </c>
      <c r="F604" s="8">
        <v>-3.2299502000000002</v>
      </c>
      <c r="G604" s="8">
        <v>-2.6892971000000001</v>
      </c>
      <c r="H604" s="6" t="str">
        <f t="shared" si="8"/>
        <v>Direct</v>
      </c>
      <c r="I604" s="8" t="s">
        <v>2143</v>
      </c>
      <c r="J604" s="8" t="s">
        <v>2143</v>
      </c>
    </row>
    <row r="605" spans="1:10" x14ac:dyDescent="0.2">
      <c r="A605" s="8" t="s">
        <v>56</v>
      </c>
      <c r="B605" s="8" t="s">
        <v>57</v>
      </c>
      <c r="C605" s="8" t="s">
        <v>2144</v>
      </c>
      <c r="D605" s="8" t="s">
        <v>2145</v>
      </c>
      <c r="E605" s="8" t="s">
        <v>2146</v>
      </c>
      <c r="F605" s="8">
        <v>-1.2729280999999999</v>
      </c>
      <c r="G605" s="8">
        <v>4.3350114800000004</v>
      </c>
      <c r="H605" s="6" t="str">
        <f t="shared" si="8"/>
        <v>Inverse</v>
      </c>
      <c r="I605" s="8" t="s">
        <v>2147</v>
      </c>
      <c r="J605" s="8" t="s">
        <v>2147</v>
      </c>
    </row>
    <row r="606" spans="1:10" x14ac:dyDescent="0.2">
      <c r="A606" s="8" t="s">
        <v>56</v>
      </c>
      <c r="B606" s="8" t="s">
        <v>57</v>
      </c>
      <c r="C606" s="8" t="s">
        <v>2148</v>
      </c>
      <c r="D606" s="8" t="s">
        <v>2149</v>
      </c>
      <c r="E606" s="8" t="s">
        <v>2150</v>
      </c>
      <c r="F606" s="8">
        <v>-4.2140867999999996</v>
      </c>
      <c r="G606" s="8">
        <v>-1.5077224</v>
      </c>
      <c r="H606" s="6" t="str">
        <f t="shared" si="8"/>
        <v>Direct</v>
      </c>
      <c r="I606" s="8" t="s">
        <v>2151</v>
      </c>
      <c r="J606" s="8" t="s">
        <v>2151</v>
      </c>
    </row>
    <row r="607" spans="1:10" x14ac:dyDescent="0.2">
      <c r="A607" s="8" t="s">
        <v>56</v>
      </c>
      <c r="B607" s="8" t="s">
        <v>57</v>
      </c>
      <c r="C607" s="8" t="s">
        <v>2152</v>
      </c>
      <c r="D607" s="8" t="s">
        <v>2153</v>
      </c>
      <c r="E607" s="8" t="s">
        <v>2154</v>
      </c>
      <c r="F607" s="8">
        <v>-5.7105923000000001</v>
      </c>
      <c r="G607" s="8">
        <v>-3.4914907999999998</v>
      </c>
      <c r="H607" s="6" t="str">
        <f t="shared" si="8"/>
        <v>Direct</v>
      </c>
      <c r="I607" s="8" t="s">
        <v>2155</v>
      </c>
      <c r="J607" s="8" t="s">
        <v>2155</v>
      </c>
    </row>
    <row r="608" spans="1:10" x14ac:dyDescent="0.2">
      <c r="A608" s="8" t="s">
        <v>56</v>
      </c>
      <c r="B608" s="8" t="s">
        <v>57</v>
      </c>
      <c r="C608" s="8" t="s">
        <v>2156</v>
      </c>
      <c r="D608" s="8" t="s">
        <v>2157</v>
      </c>
      <c r="E608" s="8" t="s">
        <v>2158</v>
      </c>
      <c r="F608" s="8">
        <v>-10.101601</v>
      </c>
      <c r="G608" s="8">
        <v>-5.9266889999999997</v>
      </c>
      <c r="H608" s="6" t="str">
        <f t="shared" si="8"/>
        <v>Direct</v>
      </c>
      <c r="I608" s="8" t="s">
        <v>2159</v>
      </c>
      <c r="J608" s="8" t="s">
        <v>2159</v>
      </c>
    </row>
    <row r="609" spans="1:10" x14ac:dyDescent="0.2">
      <c r="A609" s="8" t="s">
        <v>56</v>
      </c>
      <c r="B609" s="8" t="s">
        <v>57</v>
      </c>
      <c r="C609" s="8" t="s">
        <v>2160</v>
      </c>
      <c r="D609" s="8" t="s">
        <v>2161</v>
      </c>
      <c r="E609" s="8" t="s">
        <v>2162</v>
      </c>
      <c r="F609" s="8">
        <v>3.5462875899999999</v>
      </c>
      <c r="G609" s="8">
        <v>2.8758537999999998</v>
      </c>
      <c r="H609" s="6" t="str">
        <f t="shared" si="8"/>
        <v>Direct</v>
      </c>
      <c r="I609" s="8" t="s">
        <v>2163</v>
      </c>
      <c r="J609" s="8" t="s">
        <v>668</v>
      </c>
    </row>
    <row r="610" spans="1:10" x14ac:dyDescent="0.2">
      <c r="A610" s="8" t="s">
        <v>56</v>
      </c>
      <c r="B610" s="8" t="s">
        <v>57</v>
      </c>
      <c r="C610" s="8" t="s">
        <v>2164</v>
      </c>
      <c r="D610" s="8" t="s">
        <v>2165</v>
      </c>
      <c r="E610" s="8" t="s">
        <v>2166</v>
      </c>
      <c r="F610" s="8">
        <v>-2.3463907000000002</v>
      </c>
      <c r="G610" s="8">
        <v>-4.0821044000000004</v>
      </c>
      <c r="H610" s="6" t="str">
        <f t="shared" si="8"/>
        <v>Direct</v>
      </c>
      <c r="I610" s="8" t="s">
        <v>2167</v>
      </c>
      <c r="J610" s="8" t="s">
        <v>2167</v>
      </c>
    </row>
    <row r="611" spans="1:10" x14ac:dyDescent="0.2">
      <c r="A611" s="8" t="s">
        <v>56</v>
      </c>
      <c r="B611" s="8" t="s">
        <v>57</v>
      </c>
      <c r="C611" s="8" t="s">
        <v>2168</v>
      </c>
      <c r="D611" s="8" t="s">
        <v>2169</v>
      </c>
      <c r="E611" s="8" t="s">
        <v>2170</v>
      </c>
      <c r="F611" s="8">
        <v>1.5151312299999999</v>
      </c>
      <c r="G611" s="8">
        <v>-1.3881854</v>
      </c>
      <c r="H611" s="6" t="str">
        <f t="shared" si="8"/>
        <v>Inverse</v>
      </c>
      <c r="I611" s="8" t="s">
        <v>2171</v>
      </c>
      <c r="J611" s="8" t="s">
        <v>2171</v>
      </c>
    </row>
    <row r="612" spans="1:10" x14ac:dyDescent="0.2">
      <c r="A612" s="8" t="s">
        <v>56</v>
      </c>
      <c r="B612" s="8" t="s">
        <v>57</v>
      </c>
      <c r="C612" s="8" t="s">
        <v>2172</v>
      </c>
      <c r="D612" s="8" t="s">
        <v>2173</v>
      </c>
      <c r="E612" s="8" t="s">
        <v>2174</v>
      </c>
      <c r="F612" s="8">
        <v>1.1616616</v>
      </c>
      <c r="G612" s="8">
        <v>2.3634828099999998</v>
      </c>
      <c r="H612" s="6" t="str">
        <f t="shared" si="8"/>
        <v>Direct</v>
      </c>
      <c r="I612" s="8" t="s">
        <v>50</v>
      </c>
      <c r="J612" s="8" t="s">
        <v>2175</v>
      </c>
    </row>
    <row r="613" spans="1:10" x14ac:dyDescent="0.2">
      <c r="A613" s="8" t="s">
        <v>56</v>
      </c>
      <c r="B613" s="8" t="s">
        <v>57</v>
      </c>
      <c r="C613" s="8" t="s">
        <v>2176</v>
      </c>
      <c r="D613" s="8" t="s">
        <v>2177</v>
      </c>
      <c r="E613" s="8" t="s">
        <v>2178</v>
      </c>
      <c r="F613" s="8">
        <v>9.7993055600000005</v>
      </c>
      <c r="G613" s="8">
        <v>2.7468694500000002</v>
      </c>
      <c r="H613" s="6" t="str">
        <f t="shared" si="8"/>
        <v>Direct</v>
      </c>
      <c r="I613" s="8" t="s">
        <v>2179</v>
      </c>
      <c r="J613" s="8" t="s">
        <v>2179</v>
      </c>
    </row>
    <row r="614" spans="1:10" x14ac:dyDescent="0.2">
      <c r="A614" s="8" t="s">
        <v>56</v>
      </c>
      <c r="B614" s="8" t="s">
        <v>57</v>
      </c>
      <c r="C614" s="8" t="s">
        <v>2180</v>
      </c>
      <c r="D614" s="8" t="s">
        <v>2181</v>
      </c>
      <c r="E614" s="8" t="s">
        <v>2182</v>
      </c>
      <c r="F614" s="8">
        <v>-3.6739025999999999</v>
      </c>
      <c r="G614" s="8">
        <v>-1.9626748999999999</v>
      </c>
      <c r="H614" s="6" t="str">
        <f t="shared" si="8"/>
        <v>Direct</v>
      </c>
      <c r="I614" s="8" t="s">
        <v>2183</v>
      </c>
      <c r="J614" s="8" t="s">
        <v>2183</v>
      </c>
    </row>
    <row r="615" spans="1:10" x14ac:dyDescent="0.2">
      <c r="A615" s="8" t="s">
        <v>56</v>
      </c>
      <c r="B615" s="8" t="s">
        <v>57</v>
      </c>
      <c r="C615" s="8" t="s">
        <v>2184</v>
      </c>
      <c r="D615" s="8" t="s">
        <v>2185</v>
      </c>
      <c r="E615" s="8" t="s">
        <v>2186</v>
      </c>
      <c r="F615" s="8">
        <v>-1.7872665999999999</v>
      </c>
      <c r="G615" s="8">
        <v>-15.113773</v>
      </c>
      <c r="H615" s="6" t="str">
        <f t="shared" si="8"/>
        <v>Direct</v>
      </c>
      <c r="I615" s="8" t="s">
        <v>1297</v>
      </c>
      <c r="J615" s="8" t="s">
        <v>1297</v>
      </c>
    </row>
    <row r="616" spans="1:10" x14ac:dyDescent="0.2">
      <c r="A616" s="8" t="s">
        <v>56</v>
      </c>
      <c r="B616" s="8" t="s">
        <v>57</v>
      </c>
      <c r="C616" s="8" t="s">
        <v>2187</v>
      </c>
      <c r="D616" s="8" t="s">
        <v>2188</v>
      </c>
      <c r="E616" s="8" t="s">
        <v>2189</v>
      </c>
      <c r="F616" s="8">
        <v>-3.7215023</v>
      </c>
      <c r="G616" s="8">
        <v>-5.1139520999999997</v>
      </c>
      <c r="H616" s="6" t="str">
        <f t="shared" si="8"/>
        <v>Direct</v>
      </c>
      <c r="I616" s="8" t="s">
        <v>1763</v>
      </c>
      <c r="J616" s="8" t="s">
        <v>1763</v>
      </c>
    </row>
    <row r="617" spans="1:10" x14ac:dyDescent="0.2">
      <c r="A617" s="8" t="s">
        <v>56</v>
      </c>
      <c r="B617" s="8" t="s">
        <v>57</v>
      </c>
      <c r="C617" s="8" t="s">
        <v>2190</v>
      </c>
      <c r="D617" s="8" t="s">
        <v>2191</v>
      </c>
      <c r="E617" s="8" t="s">
        <v>2192</v>
      </c>
      <c r="F617" s="8">
        <v>-1.8749733</v>
      </c>
      <c r="G617" s="8">
        <v>-1.2298349</v>
      </c>
      <c r="H617" s="6" t="str">
        <f t="shared" si="8"/>
        <v>Direct</v>
      </c>
      <c r="I617" s="8" t="s">
        <v>2193</v>
      </c>
      <c r="J617" s="8" t="s">
        <v>2193</v>
      </c>
    </row>
    <row r="618" spans="1:10" x14ac:dyDescent="0.2">
      <c r="A618" s="8" t="s">
        <v>56</v>
      </c>
      <c r="B618" s="8" t="s">
        <v>57</v>
      </c>
      <c r="C618" s="8" t="s">
        <v>2194</v>
      </c>
      <c r="D618" s="8" t="s">
        <v>2195</v>
      </c>
      <c r="E618" s="8" t="s">
        <v>2196</v>
      </c>
      <c r="F618" s="8">
        <v>-1.2336023</v>
      </c>
      <c r="G618" s="8">
        <v>-1.8208085000000001</v>
      </c>
      <c r="H618" s="6" t="str">
        <f t="shared" si="8"/>
        <v>Direct</v>
      </c>
      <c r="I618" s="8" t="s">
        <v>2197</v>
      </c>
      <c r="J618" s="8" t="s">
        <v>2197</v>
      </c>
    </row>
    <row r="619" spans="1:10" x14ac:dyDescent="0.2">
      <c r="A619" s="8" t="s">
        <v>56</v>
      </c>
      <c r="B619" s="8" t="s">
        <v>57</v>
      </c>
      <c r="C619" s="8" t="s">
        <v>2198</v>
      </c>
      <c r="D619" s="8" t="s">
        <v>2199</v>
      </c>
      <c r="E619" s="8" t="s">
        <v>2200</v>
      </c>
      <c r="F619" s="8">
        <v>-3.7974171000000001</v>
      </c>
      <c r="G619" s="8">
        <v>-1.7473844000000001</v>
      </c>
      <c r="H619" s="6" t="str">
        <f t="shared" si="8"/>
        <v>Direct</v>
      </c>
      <c r="I619" s="8" t="s">
        <v>1972</v>
      </c>
      <c r="J619" s="8" t="s">
        <v>1972</v>
      </c>
    </row>
    <row r="620" spans="1:10" x14ac:dyDescent="0.2">
      <c r="A620" s="8" t="s">
        <v>56</v>
      </c>
      <c r="B620" s="8" t="s">
        <v>57</v>
      </c>
      <c r="C620" s="8" t="s">
        <v>2201</v>
      </c>
      <c r="D620" s="8" t="s">
        <v>2202</v>
      </c>
      <c r="E620" s="8" t="s">
        <v>2203</v>
      </c>
      <c r="F620" s="8">
        <v>-2.9756828</v>
      </c>
      <c r="G620" s="8">
        <v>-1.2082265000000001</v>
      </c>
      <c r="H620" s="6" t="str">
        <f t="shared" si="8"/>
        <v>Direct</v>
      </c>
      <c r="I620" s="8" t="s">
        <v>2204</v>
      </c>
      <c r="J620" s="8" t="s">
        <v>2204</v>
      </c>
    </row>
    <row r="621" spans="1:10" x14ac:dyDescent="0.2">
      <c r="A621" s="8" t="s">
        <v>56</v>
      </c>
      <c r="B621" s="8" t="s">
        <v>57</v>
      </c>
      <c r="C621" s="8" t="s">
        <v>547</v>
      </c>
      <c r="D621" s="8" t="s">
        <v>548</v>
      </c>
      <c r="E621" s="8" t="s">
        <v>549</v>
      </c>
      <c r="F621" s="8">
        <v>-6.8078526000000004</v>
      </c>
      <c r="G621" s="8">
        <v>-4.2105892999999996</v>
      </c>
      <c r="H621" s="6" t="str">
        <f t="shared" si="8"/>
        <v>Direct</v>
      </c>
      <c r="I621" s="8" t="s">
        <v>550</v>
      </c>
      <c r="J621" s="8" t="s">
        <v>550</v>
      </c>
    </row>
    <row r="622" spans="1:10" x14ac:dyDescent="0.2">
      <c r="A622" s="8" t="s">
        <v>56</v>
      </c>
      <c r="B622" s="8" t="s">
        <v>57</v>
      </c>
      <c r="C622" s="8" t="s">
        <v>2205</v>
      </c>
      <c r="D622" s="8" t="s">
        <v>2206</v>
      </c>
      <c r="E622" s="8" t="s">
        <v>2207</v>
      </c>
      <c r="F622" s="8">
        <v>-6.8078526000000004</v>
      </c>
      <c r="G622" s="8">
        <v>-2.7133352999999998</v>
      </c>
      <c r="H622" s="6" t="str">
        <f t="shared" si="8"/>
        <v>Direct</v>
      </c>
      <c r="I622" s="8" t="s">
        <v>2208</v>
      </c>
      <c r="J622" s="8" t="s">
        <v>2208</v>
      </c>
    </row>
    <row r="623" spans="1:10" x14ac:dyDescent="0.2">
      <c r="A623" s="8" t="s">
        <v>56</v>
      </c>
      <c r="B623" s="8" t="s">
        <v>57</v>
      </c>
      <c r="C623" s="8" t="s">
        <v>2209</v>
      </c>
      <c r="D623" s="8" t="s">
        <v>2210</v>
      </c>
      <c r="E623" s="8" t="s">
        <v>2211</v>
      </c>
      <c r="F623" s="8">
        <v>2.4736392</v>
      </c>
      <c r="G623" s="8">
        <v>1.3278865799999999</v>
      </c>
      <c r="H623" s="6" t="str">
        <f t="shared" si="8"/>
        <v>Direct</v>
      </c>
      <c r="I623" s="8" t="s">
        <v>2212</v>
      </c>
      <c r="J623" s="8" t="s">
        <v>2212</v>
      </c>
    </row>
    <row r="624" spans="1:10" x14ac:dyDescent="0.2">
      <c r="A624" s="8" t="s">
        <v>56</v>
      </c>
      <c r="B624" s="8" t="s">
        <v>57</v>
      </c>
      <c r="C624" s="8" t="s">
        <v>2213</v>
      </c>
      <c r="D624" s="8" t="s">
        <v>2214</v>
      </c>
      <c r="E624" s="8" t="s">
        <v>2215</v>
      </c>
      <c r="F624" s="8">
        <v>-7.4202697999999998</v>
      </c>
      <c r="G624" s="8">
        <v>1.44904981</v>
      </c>
      <c r="H624" s="6" t="str">
        <f t="shared" si="8"/>
        <v>Inverse</v>
      </c>
      <c r="I624" s="8" t="s">
        <v>2216</v>
      </c>
      <c r="J624" s="8" t="s">
        <v>859</v>
      </c>
    </row>
    <row r="625" spans="1:10" x14ac:dyDescent="0.2">
      <c r="A625" s="8" t="s">
        <v>56</v>
      </c>
      <c r="B625" s="8" t="s">
        <v>57</v>
      </c>
      <c r="C625" s="8" t="s">
        <v>2217</v>
      </c>
      <c r="D625" s="8" t="s">
        <v>2218</v>
      </c>
      <c r="E625" s="8" t="s">
        <v>2219</v>
      </c>
      <c r="F625" s="8">
        <v>-7.5633414999999999</v>
      </c>
      <c r="G625" s="8">
        <v>-1.2773786</v>
      </c>
      <c r="H625" s="6" t="str">
        <f t="shared" si="8"/>
        <v>Direct</v>
      </c>
      <c r="I625" s="8" t="s">
        <v>288</v>
      </c>
      <c r="J625" s="8" t="s">
        <v>288</v>
      </c>
    </row>
    <row r="626" spans="1:10" x14ac:dyDescent="0.2">
      <c r="A626" s="8" t="s">
        <v>56</v>
      </c>
      <c r="B626" s="8" t="s">
        <v>57</v>
      </c>
      <c r="C626" s="8" t="s">
        <v>2220</v>
      </c>
      <c r="D626" s="8" t="s">
        <v>2221</v>
      </c>
      <c r="E626" s="8" t="s">
        <v>2222</v>
      </c>
      <c r="F626" s="8">
        <v>1.6533750700000001</v>
      </c>
      <c r="G626" s="8">
        <v>1.86639734</v>
      </c>
      <c r="H626" s="6" t="str">
        <f t="shared" si="8"/>
        <v>Direct</v>
      </c>
      <c r="I626" s="8" t="s">
        <v>2223</v>
      </c>
      <c r="J626" s="8" t="s">
        <v>2223</v>
      </c>
    </row>
    <row r="627" spans="1:10" x14ac:dyDescent="0.2">
      <c r="A627" s="8" t="s">
        <v>56</v>
      </c>
      <c r="B627" s="8" t="s">
        <v>57</v>
      </c>
      <c r="C627" s="8" t="s">
        <v>2224</v>
      </c>
      <c r="D627" s="8" t="s">
        <v>2225</v>
      </c>
      <c r="E627" s="8" t="s">
        <v>2226</v>
      </c>
      <c r="F627" s="8">
        <v>-1.6394074999999999</v>
      </c>
      <c r="G627" s="8">
        <v>-2.6152875999999998</v>
      </c>
      <c r="H627" s="6" t="str">
        <f t="shared" si="8"/>
        <v>Direct</v>
      </c>
      <c r="I627" s="8" t="s">
        <v>44</v>
      </c>
      <c r="J627" s="8" t="s">
        <v>185</v>
      </c>
    </row>
    <row r="628" spans="1:10" x14ac:dyDescent="0.2">
      <c r="A628" s="8" t="s">
        <v>56</v>
      </c>
      <c r="B628" s="8" t="s">
        <v>57</v>
      </c>
      <c r="C628" s="8" t="s">
        <v>2227</v>
      </c>
      <c r="D628" s="8" t="s">
        <v>2228</v>
      </c>
      <c r="E628" s="8" t="s">
        <v>2229</v>
      </c>
      <c r="F628" s="8">
        <v>12.310794599999999</v>
      </c>
      <c r="G628" s="8">
        <v>6.3690696500000001</v>
      </c>
      <c r="H628" s="6" t="str">
        <f t="shared" si="8"/>
        <v>Direct</v>
      </c>
      <c r="I628" s="8" t="s">
        <v>445</v>
      </c>
      <c r="J628" s="8" t="s">
        <v>445</v>
      </c>
    </row>
    <row r="629" spans="1:10" x14ac:dyDescent="0.2">
      <c r="A629" s="8" t="s">
        <v>56</v>
      </c>
      <c r="B629" s="8" t="s">
        <v>57</v>
      </c>
      <c r="C629" s="8" t="s">
        <v>2230</v>
      </c>
      <c r="D629" s="8" t="s">
        <v>2231</v>
      </c>
      <c r="E629" s="8" t="s">
        <v>2232</v>
      </c>
      <c r="F629" s="8">
        <v>-6.2835482999999996</v>
      </c>
      <c r="G629" s="8">
        <v>-4.8241791000000003</v>
      </c>
      <c r="H629" s="6" t="str">
        <f t="shared" si="8"/>
        <v>Direct</v>
      </c>
      <c r="I629" s="8" t="s">
        <v>2233</v>
      </c>
      <c r="J629" s="8" t="s">
        <v>2233</v>
      </c>
    </row>
    <row r="630" spans="1:10" x14ac:dyDescent="0.2">
      <c r="A630" s="8" t="s">
        <v>56</v>
      </c>
      <c r="B630" s="8" t="s">
        <v>57</v>
      </c>
      <c r="C630" s="8" t="s">
        <v>2234</v>
      </c>
      <c r="D630" s="8" t="s">
        <v>2235</v>
      </c>
      <c r="E630" s="8" t="s">
        <v>2236</v>
      </c>
      <c r="F630" s="8">
        <v>-5.8317771</v>
      </c>
      <c r="G630" s="8">
        <v>-9.9470644999999998</v>
      </c>
      <c r="H630" s="6" t="str">
        <f t="shared" si="8"/>
        <v>Direct</v>
      </c>
      <c r="I630" s="8" t="s">
        <v>2237</v>
      </c>
      <c r="J630" s="8" t="s">
        <v>2237</v>
      </c>
    </row>
    <row r="631" spans="1:10" x14ac:dyDescent="0.2">
      <c r="A631" s="8" t="s">
        <v>56</v>
      </c>
      <c r="B631" s="8" t="s">
        <v>57</v>
      </c>
      <c r="C631" s="8" t="s">
        <v>2238</v>
      </c>
      <c r="D631" s="8" t="s">
        <v>2239</v>
      </c>
      <c r="E631" s="8" t="s">
        <v>2240</v>
      </c>
      <c r="F631" s="8">
        <v>1.0198035700000001</v>
      </c>
      <c r="G631" s="8">
        <v>16.344738599999999</v>
      </c>
      <c r="H631" s="6" t="str">
        <f t="shared" si="8"/>
        <v>Direct</v>
      </c>
      <c r="I631" s="8" t="s">
        <v>2241</v>
      </c>
      <c r="J631" s="8" t="s">
        <v>2241</v>
      </c>
    </row>
    <row r="632" spans="1:10" x14ac:dyDescent="0.2">
      <c r="A632" s="8" t="s">
        <v>56</v>
      </c>
      <c r="B632" s="8" t="s">
        <v>57</v>
      </c>
      <c r="C632" s="8" t="s">
        <v>2242</v>
      </c>
      <c r="D632" s="8" t="s">
        <v>2243</v>
      </c>
      <c r="E632" s="8" t="s">
        <v>2244</v>
      </c>
      <c r="F632" s="8">
        <v>-4.0335339000000001</v>
      </c>
      <c r="G632" s="8">
        <v>-4.2914164000000001</v>
      </c>
      <c r="H632" s="6" t="str">
        <f t="shared" si="8"/>
        <v>Direct</v>
      </c>
      <c r="I632" s="8" t="s">
        <v>2245</v>
      </c>
      <c r="J632" s="8" t="s">
        <v>1246</v>
      </c>
    </row>
    <row r="633" spans="1:10" x14ac:dyDescent="0.2">
      <c r="A633" s="8" t="s">
        <v>56</v>
      </c>
      <c r="B633" s="8" t="s">
        <v>57</v>
      </c>
      <c r="C633" s="8" t="s">
        <v>2246</v>
      </c>
      <c r="D633" s="8" t="s">
        <v>2247</v>
      </c>
      <c r="E633" s="8" t="s">
        <v>2248</v>
      </c>
      <c r="F633" s="8">
        <v>-2.3336329</v>
      </c>
      <c r="G633" s="8">
        <v>-1.9623586</v>
      </c>
      <c r="H633" s="6" t="str">
        <f t="shared" si="8"/>
        <v>Direct</v>
      </c>
      <c r="I633" s="8" t="s">
        <v>2249</v>
      </c>
      <c r="J633" s="8" t="s">
        <v>2249</v>
      </c>
    </row>
    <row r="634" spans="1:10" x14ac:dyDescent="0.2">
      <c r="A634" s="8" t="s">
        <v>56</v>
      </c>
      <c r="B634" s="8" t="s">
        <v>57</v>
      </c>
      <c r="C634" s="8" t="s">
        <v>2250</v>
      </c>
      <c r="D634" s="8" t="s">
        <v>2251</v>
      </c>
      <c r="E634" s="8" t="s">
        <v>2252</v>
      </c>
      <c r="F634" s="8">
        <v>1.3122558</v>
      </c>
      <c r="G634" s="8">
        <v>1.90699054</v>
      </c>
      <c r="H634" s="6" t="str">
        <f t="shared" si="8"/>
        <v>Direct</v>
      </c>
      <c r="I634" s="8" t="s">
        <v>2253</v>
      </c>
      <c r="J634" s="8" t="s">
        <v>2253</v>
      </c>
    </row>
    <row r="635" spans="1:10" x14ac:dyDescent="0.2">
      <c r="A635" s="8" t="s">
        <v>56</v>
      </c>
      <c r="B635" s="8" t="s">
        <v>57</v>
      </c>
      <c r="C635" s="8" t="s">
        <v>2254</v>
      </c>
      <c r="D635" s="8" t="s">
        <v>2255</v>
      </c>
      <c r="E635" s="8" t="s">
        <v>2256</v>
      </c>
      <c r="F635" s="8">
        <v>1.8876858700000001</v>
      </c>
      <c r="G635" s="8">
        <v>1.41078291</v>
      </c>
      <c r="H635" s="6" t="str">
        <f t="shared" si="8"/>
        <v>Direct</v>
      </c>
      <c r="I635" s="8" t="s">
        <v>50</v>
      </c>
      <c r="J635" s="8" t="s">
        <v>50</v>
      </c>
    </row>
    <row r="636" spans="1:10" x14ac:dyDescent="0.2">
      <c r="A636" s="8" t="s">
        <v>56</v>
      </c>
      <c r="B636" s="8" t="s">
        <v>57</v>
      </c>
      <c r="C636" s="8" t="s">
        <v>2257</v>
      </c>
      <c r="D636" s="8" t="s">
        <v>2258</v>
      </c>
      <c r="E636" s="8" t="s">
        <v>2259</v>
      </c>
      <c r="F636" s="8">
        <v>6.4681963099999997</v>
      </c>
      <c r="G636" s="8">
        <v>1.4170304600000001</v>
      </c>
      <c r="H636" s="6" t="str">
        <f t="shared" si="8"/>
        <v>Direct</v>
      </c>
      <c r="I636" s="8" t="s">
        <v>2260</v>
      </c>
      <c r="J636" s="8" t="s">
        <v>2261</v>
      </c>
    </row>
    <row r="637" spans="1:10" x14ac:dyDescent="0.2">
      <c r="A637" s="8" t="s">
        <v>56</v>
      </c>
      <c r="B637" s="8" t="s">
        <v>57</v>
      </c>
      <c r="C637" s="8" t="s">
        <v>2262</v>
      </c>
      <c r="D637" s="8" t="s">
        <v>2263</v>
      </c>
      <c r="E637" s="8" t="s">
        <v>2264</v>
      </c>
      <c r="F637" s="8">
        <v>-1.8303244000000001</v>
      </c>
      <c r="G637" s="8">
        <v>-3.7433040000000002</v>
      </c>
      <c r="H637" s="6" t="str">
        <f t="shared" si="8"/>
        <v>Direct</v>
      </c>
      <c r="I637" s="8" t="s">
        <v>2265</v>
      </c>
      <c r="J637" s="8" t="s">
        <v>2265</v>
      </c>
    </row>
    <row r="638" spans="1:10" x14ac:dyDescent="0.2">
      <c r="A638" s="8" t="s">
        <v>56</v>
      </c>
      <c r="B638" s="8" t="s">
        <v>57</v>
      </c>
      <c r="C638" s="8" t="s">
        <v>2266</v>
      </c>
      <c r="D638" s="8" t="s">
        <v>2267</v>
      </c>
      <c r="E638" s="8" t="s">
        <v>2268</v>
      </c>
      <c r="F638" s="8">
        <v>-4.5580657000000002</v>
      </c>
      <c r="G638" s="8">
        <v>-1.6020224000000001</v>
      </c>
      <c r="H638" s="6" t="str">
        <f t="shared" si="8"/>
        <v>Direct</v>
      </c>
      <c r="I638" s="8" t="s">
        <v>2269</v>
      </c>
      <c r="J638" s="8" t="s">
        <v>2269</v>
      </c>
    </row>
    <row r="639" spans="1:10" x14ac:dyDescent="0.2">
      <c r="A639" s="8" t="s">
        <v>56</v>
      </c>
      <c r="B639" s="8" t="s">
        <v>57</v>
      </c>
      <c r="C639" s="8" t="s">
        <v>2270</v>
      </c>
      <c r="D639" s="8" t="s">
        <v>2271</v>
      </c>
      <c r="E639" s="8" t="s">
        <v>2272</v>
      </c>
      <c r="F639" s="8">
        <v>1.73649381</v>
      </c>
      <c r="G639" s="8">
        <v>-2.558227</v>
      </c>
      <c r="H639" s="6" t="str">
        <f t="shared" si="8"/>
        <v>Inverse</v>
      </c>
      <c r="I639" s="8" t="s">
        <v>944</v>
      </c>
      <c r="J639" s="8" t="s">
        <v>2273</v>
      </c>
    </row>
    <row r="640" spans="1:10" x14ac:dyDescent="0.2">
      <c r="A640" s="8" t="s">
        <v>56</v>
      </c>
      <c r="B640" s="8" t="s">
        <v>57</v>
      </c>
      <c r="C640" s="8" t="s">
        <v>2274</v>
      </c>
      <c r="D640" s="8" t="s">
        <v>2275</v>
      </c>
      <c r="E640" s="8" t="s">
        <v>2276</v>
      </c>
      <c r="F640" s="8">
        <v>-3.1542976999999999</v>
      </c>
      <c r="G640" s="8">
        <v>-2.406399</v>
      </c>
      <c r="H640" s="6" t="str">
        <f t="shared" si="8"/>
        <v>Direct</v>
      </c>
      <c r="I640" s="8" t="s">
        <v>2277</v>
      </c>
      <c r="J640" s="8" t="s">
        <v>2277</v>
      </c>
    </row>
    <row r="641" spans="1:10" x14ac:dyDescent="0.2">
      <c r="A641" s="8" t="s">
        <v>56</v>
      </c>
      <c r="B641" s="8" t="s">
        <v>57</v>
      </c>
      <c r="C641" s="8" t="s">
        <v>2278</v>
      </c>
      <c r="D641" s="8" t="s">
        <v>2279</v>
      </c>
      <c r="E641" s="8" t="s">
        <v>2280</v>
      </c>
      <c r="F641" s="8">
        <v>-1.4540682</v>
      </c>
      <c r="G641" s="8">
        <v>-4.1854313000000003</v>
      </c>
      <c r="H641" s="6" t="str">
        <f t="shared" si="8"/>
        <v>Direct</v>
      </c>
      <c r="I641" s="8" t="s">
        <v>2281</v>
      </c>
      <c r="J641" s="8" t="s">
        <v>2281</v>
      </c>
    </row>
    <row r="642" spans="1:10" x14ac:dyDescent="0.2">
      <c r="A642" s="8" t="s">
        <v>56</v>
      </c>
      <c r="B642" s="8" t="s">
        <v>57</v>
      </c>
      <c r="C642" s="8" t="s">
        <v>1044</v>
      </c>
      <c r="D642" s="8" t="s">
        <v>1045</v>
      </c>
      <c r="E642" s="8" t="s">
        <v>1046</v>
      </c>
      <c r="F642" s="8">
        <v>3.59253701</v>
      </c>
      <c r="G642" s="8">
        <v>7.3004946799999999</v>
      </c>
      <c r="H642" s="6" t="str">
        <f t="shared" si="8"/>
        <v>Direct</v>
      </c>
      <c r="I642" s="8" t="s">
        <v>1047</v>
      </c>
      <c r="J642" s="8" t="s">
        <v>1047</v>
      </c>
    </row>
    <row r="643" spans="1:10" x14ac:dyDescent="0.2">
      <c r="A643" s="8" t="s">
        <v>56</v>
      </c>
      <c r="B643" s="8" t="s">
        <v>57</v>
      </c>
      <c r="C643" s="8" t="s">
        <v>2282</v>
      </c>
      <c r="D643" s="8" t="s">
        <v>2283</v>
      </c>
      <c r="E643" s="8" t="s">
        <v>2284</v>
      </c>
      <c r="F643" s="8">
        <v>-1.3180149999999999</v>
      </c>
      <c r="G643" s="8">
        <v>-2.5939290000000002</v>
      </c>
      <c r="H643" s="6" t="str">
        <f t="shared" si="8"/>
        <v>Direct</v>
      </c>
      <c r="I643" s="8" t="s">
        <v>2285</v>
      </c>
      <c r="J643" s="8" t="s">
        <v>2285</v>
      </c>
    </row>
    <row r="644" spans="1:10" x14ac:dyDescent="0.2">
      <c r="A644" s="8" t="s">
        <v>56</v>
      </c>
      <c r="B644" s="8" t="s">
        <v>57</v>
      </c>
      <c r="C644" s="8" t="s">
        <v>2286</v>
      </c>
      <c r="D644" s="8" t="s">
        <v>2287</v>
      </c>
      <c r="E644" s="8" t="s">
        <v>2288</v>
      </c>
      <c r="F644" s="8">
        <v>-4.0655058999999998</v>
      </c>
      <c r="G644" s="8">
        <v>-1.3283611</v>
      </c>
      <c r="H644" s="6" t="str">
        <f t="shared" si="8"/>
        <v>Direct</v>
      </c>
      <c r="I644" s="8" t="s">
        <v>794</v>
      </c>
      <c r="J644" s="8" t="s">
        <v>794</v>
      </c>
    </row>
    <row r="645" spans="1:10" x14ac:dyDescent="0.2">
      <c r="A645" s="8" t="s">
        <v>56</v>
      </c>
      <c r="B645" s="8" t="s">
        <v>57</v>
      </c>
      <c r="C645" s="8" t="s">
        <v>2289</v>
      </c>
      <c r="D645" s="8" t="s">
        <v>2290</v>
      </c>
      <c r="E645" s="8" t="s">
        <v>2291</v>
      </c>
      <c r="F645" s="8">
        <v>-1.0289741999999999</v>
      </c>
      <c r="G645" s="8">
        <v>1.35703095</v>
      </c>
      <c r="H645" s="6" t="str">
        <f t="shared" si="8"/>
        <v>Inverse</v>
      </c>
      <c r="I645" s="8" t="s">
        <v>520</v>
      </c>
      <c r="J645" s="8" t="s">
        <v>520</v>
      </c>
    </row>
    <row r="646" spans="1:10" x14ac:dyDescent="0.2">
      <c r="A646" s="8" t="s">
        <v>56</v>
      </c>
      <c r="B646" s="8" t="s">
        <v>57</v>
      </c>
      <c r="C646" s="8" t="s">
        <v>2292</v>
      </c>
      <c r="D646" s="8" t="s">
        <v>2293</v>
      </c>
      <c r="E646" s="8" t="s">
        <v>2294</v>
      </c>
      <c r="F646" s="8">
        <v>2.9805301000000002</v>
      </c>
      <c r="G646" s="8">
        <v>-1.0386255</v>
      </c>
      <c r="H646" s="6" t="str">
        <f t="shared" si="8"/>
        <v>Inverse</v>
      </c>
      <c r="I646" s="8" t="s">
        <v>2295</v>
      </c>
      <c r="J646" s="8" t="s">
        <v>2295</v>
      </c>
    </row>
    <row r="647" spans="1:10" x14ac:dyDescent="0.2">
      <c r="A647" s="8" t="s">
        <v>56</v>
      </c>
      <c r="B647" s="8" t="s">
        <v>57</v>
      </c>
      <c r="C647" s="8" t="s">
        <v>2296</v>
      </c>
      <c r="D647" s="8" t="s">
        <v>2297</v>
      </c>
      <c r="E647" s="8" t="s">
        <v>2298</v>
      </c>
      <c r="F647" s="8">
        <v>2.5221043600000002</v>
      </c>
      <c r="G647" s="8">
        <v>-1.1045261</v>
      </c>
      <c r="H647" s="6" t="str">
        <f t="shared" si="8"/>
        <v>Inverse</v>
      </c>
      <c r="I647" s="8" t="s">
        <v>2299</v>
      </c>
      <c r="J647" s="8" t="s">
        <v>2299</v>
      </c>
    </row>
    <row r="648" spans="1:10" x14ac:dyDescent="0.2">
      <c r="A648" s="8" t="s">
        <v>56</v>
      </c>
      <c r="B648" s="8" t="s">
        <v>57</v>
      </c>
      <c r="C648" s="8" t="s">
        <v>1052</v>
      </c>
      <c r="D648" s="8" t="s">
        <v>1053</v>
      </c>
      <c r="E648" s="8" t="s">
        <v>1054</v>
      </c>
      <c r="F648" s="8">
        <v>-5.1827011000000001</v>
      </c>
      <c r="G648" s="8">
        <v>-1.6624216999999999</v>
      </c>
      <c r="H648" s="6" t="str">
        <f t="shared" si="8"/>
        <v>Direct</v>
      </c>
      <c r="I648" s="8" t="s">
        <v>1055</v>
      </c>
      <c r="J648" s="8" t="s">
        <v>1055</v>
      </c>
    </row>
    <row r="649" spans="1:10" x14ac:dyDescent="0.2">
      <c r="A649" s="8" t="s">
        <v>56</v>
      </c>
      <c r="B649" s="8" t="s">
        <v>57</v>
      </c>
      <c r="C649" s="8" t="s">
        <v>2300</v>
      </c>
      <c r="D649" s="8" t="s">
        <v>2301</v>
      </c>
      <c r="E649" s="8" t="s">
        <v>2302</v>
      </c>
      <c r="F649" s="8">
        <v>6.8226510200000003</v>
      </c>
      <c r="G649" s="8">
        <v>2.4240984000000001</v>
      </c>
      <c r="H649" s="6" t="str">
        <f t="shared" si="8"/>
        <v>Direct</v>
      </c>
      <c r="I649" s="8" t="s">
        <v>2303</v>
      </c>
      <c r="J649" s="8" t="s">
        <v>2303</v>
      </c>
    </row>
    <row r="650" spans="1:10" x14ac:dyDescent="0.2">
      <c r="A650" s="8" t="s">
        <v>56</v>
      </c>
      <c r="B650" s="8" t="s">
        <v>57</v>
      </c>
      <c r="C650" s="8" t="s">
        <v>2304</v>
      </c>
      <c r="D650" s="8" t="s">
        <v>2305</v>
      </c>
      <c r="E650" s="8" t="s">
        <v>2306</v>
      </c>
      <c r="F650" s="8">
        <v>-1.1232686999999999</v>
      </c>
      <c r="G650" s="8">
        <v>-1.0368162000000001</v>
      </c>
      <c r="H650" s="6" t="str">
        <f t="shared" si="8"/>
        <v>Direct</v>
      </c>
      <c r="I650" s="8" t="s">
        <v>2307</v>
      </c>
      <c r="J650" s="8" t="s">
        <v>2307</v>
      </c>
    </row>
    <row r="651" spans="1:10" x14ac:dyDescent="0.2">
      <c r="A651" s="8" t="s">
        <v>56</v>
      </c>
      <c r="B651" s="8" t="s">
        <v>57</v>
      </c>
      <c r="C651" s="8" t="s">
        <v>2308</v>
      </c>
      <c r="D651" s="8" t="s">
        <v>2309</v>
      </c>
      <c r="E651" s="8" t="s">
        <v>2310</v>
      </c>
      <c r="F651" s="8">
        <v>-1.8611613</v>
      </c>
      <c r="G651" s="8">
        <v>-1.3798523</v>
      </c>
      <c r="H651" s="6" t="str">
        <f t="shared" si="8"/>
        <v>Direct</v>
      </c>
      <c r="I651" s="8" t="s">
        <v>50</v>
      </c>
      <c r="J651" s="8" t="s">
        <v>2311</v>
      </c>
    </row>
    <row r="652" spans="1:10" x14ac:dyDescent="0.2">
      <c r="A652" s="8" t="s">
        <v>56</v>
      </c>
      <c r="B652" s="8" t="s">
        <v>57</v>
      </c>
      <c r="C652" s="8" t="s">
        <v>2312</v>
      </c>
      <c r="D652" s="8" t="s">
        <v>2313</v>
      </c>
      <c r="E652" s="8" t="s">
        <v>2314</v>
      </c>
      <c r="F652" s="8">
        <v>-3.5008645</v>
      </c>
      <c r="G652" s="8">
        <v>-1.0734558000000001</v>
      </c>
      <c r="H652" s="6" t="str">
        <f t="shared" si="8"/>
        <v>Direct</v>
      </c>
      <c r="I652" s="8" t="s">
        <v>2315</v>
      </c>
      <c r="J652" s="8" t="s">
        <v>2315</v>
      </c>
    </row>
    <row r="653" spans="1:10" x14ac:dyDescent="0.2">
      <c r="A653" s="8" t="s">
        <v>56</v>
      </c>
      <c r="B653" s="8" t="s">
        <v>57</v>
      </c>
      <c r="C653" s="8" t="s">
        <v>2316</v>
      </c>
      <c r="D653" s="8" t="s">
        <v>2317</v>
      </c>
      <c r="E653" s="8" t="s">
        <v>2318</v>
      </c>
      <c r="F653" s="8">
        <v>-4.4125937000000004</v>
      </c>
      <c r="G653" s="8">
        <v>-8.4175529999999998</v>
      </c>
      <c r="H653" s="6" t="str">
        <f t="shared" si="8"/>
        <v>Direct</v>
      </c>
      <c r="I653" s="8" t="s">
        <v>2319</v>
      </c>
      <c r="J653" s="8" t="s">
        <v>2319</v>
      </c>
    </row>
    <row r="654" spans="1:10" x14ac:dyDescent="0.2">
      <c r="A654" s="8" t="s">
        <v>56</v>
      </c>
      <c r="B654" s="8" t="s">
        <v>57</v>
      </c>
      <c r="C654" s="8" t="s">
        <v>2320</v>
      </c>
      <c r="D654" s="8" t="s">
        <v>2321</v>
      </c>
      <c r="E654" s="8" t="s">
        <v>2322</v>
      </c>
      <c r="F654" s="8">
        <v>4.0101033299999997</v>
      </c>
      <c r="G654" s="8">
        <v>1.8588320899999999</v>
      </c>
      <c r="H654" s="6" t="str">
        <f t="shared" si="8"/>
        <v>Direct</v>
      </c>
      <c r="I654" s="8" t="s">
        <v>2323</v>
      </c>
      <c r="J654" s="8" t="s">
        <v>2323</v>
      </c>
    </row>
    <row r="655" spans="1:10" x14ac:dyDescent="0.2">
      <c r="A655" s="8" t="s">
        <v>56</v>
      </c>
      <c r="B655" s="8" t="s">
        <v>57</v>
      </c>
      <c r="C655" s="8" t="s">
        <v>2324</v>
      </c>
      <c r="D655" s="8" t="s">
        <v>2325</v>
      </c>
      <c r="E655" s="8" t="s">
        <v>2326</v>
      </c>
      <c r="F655" s="8">
        <v>-2.3144360000000002</v>
      </c>
      <c r="G655" s="8">
        <v>-4.8454459999999999</v>
      </c>
      <c r="H655" s="6" t="str">
        <f t="shared" si="8"/>
        <v>Direct</v>
      </c>
      <c r="I655" s="8" t="s">
        <v>1572</v>
      </c>
      <c r="J655" s="8" t="s">
        <v>1572</v>
      </c>
    </row>
    <row r="656" spans="1:10" x14ac:dyDescent="0.2">
      <c r="A656" s="8" t="s">
        <v>56</v>
      </c>
      <c r="B656" s="8" t="s">
        <v>57</v>
      </c>
      <c r="C656" s="8" t="s">
        <v>2327</v>
      </c>
      <c r="D656" s="8" t="s">
        <v>2328</v>
      </c>
      <c r="E656" s="8" t="s">
        <v>2329</v>
      </c>
      <c r="F656" s="8">
        <v>-2.6271618000000001</v>
      </c>
      <c r="G656" s="8">
        <v>-1.3518794999999999</v>
      </c>
      <c r="H656" s="6" t="str">
        <f t="shared" si="8"/>
        <v>Direct</v>
      </c>
      <c r="I656" s="8" t="s">
        <v>1343</v>
      </c>
      <c r="J656" s="8" t="s">
        <v>1343</v>
      </c>
    </row>
    <row r="657" spans="1:10" x14ac:dyDescent="0.2">
      <c r="A657" s="8" t="s">
        <v>56</v>
      </c>
      <c r="B657" s="8" t="s">
        <v>57</v>
      </c>
      <c r="C657" s="8" t="s">
        <v>2330</v>
      </c>
      <c r="D657" s="8" t="s">
        <v>2331</v>
      </c>
      <c r="E657" s="8" t="s">
        <v>2332</v>
      </c>
      <c r="F657" s="8">
        <v>-12.407971999999999</v>
      </c>
      <c r="G657" s="8">
        <v>-3.2179606999999999</v>
      </c>
      <c r="H657" s="6" t="str">
        <f t="shared" si="8"/>
        <v>Direct</v>
      </c>
      <c r="I657" s="8" t="s">
        <v>2333</v>
      </c>
      <c r="J657" s="8" t="s">
        <v>2333</v>
      </c>
    </row>
    <row r="658" spans="1:10" x14ac:dyDescent="0.2">
      <c r="A658" s="8" t="s">
        <v>56</v>
      </c>
      <c r="B658" s="8" t="s">
        <v>57</v>
      </c>
      <c r="C658" s="8" t="s">
        <v>2334</v>
      </c>
      <c r="D658" s="8" t="s">
        <v>2335</v>
      </c>
      <c r="E658" s="8" t="s">
        <v>2336</v>
      </c>
      <c r="F658" s="8">
        <v>-1.0530851999999999</v>
      </c>
      <c r="G658" s="8">
        <v>-1.0018773999999999</v>
      </c>
      <c r="H658" s="6" t="str">
        <f t="shared" si="8"/>
        <v>Direct</v>
      </c>
      <c r="I658" s="8" t="s">
        <v>2337</v>
      </c>
      <c r="J658" s="8" t="s">
        <v>2337</v>
      </c>
    </row>
    <row r="659" spans="1:10" x14ac:dyDescent="0.2">
      <c r="A659" s="8" t="s">
        <v>56</v>
      </c>
      <c r="B659" s="8" t="s">
        <v>57</v>
      </c>
      <c r="C659" s="8" t="s">
        <v>2338</v>
      </c>
      <c r="D659" s="8" t="s">
        <v>2339</v>
      </c>
      <c r="E659" s="8" t="s">
        <v>2340</v>
      </c>
      <c r="F659" s="8">
        <v>-1.7703597</v>
      </c>
      <c r="G659" s="8">
        <v>1.04279828</v>
      </c>
      <c r="H659" s="6" t="str">
        <f t="shared" si="8"/>
        <v>Inverse</v>
      </c>
      <c r="I659" s="8" t="s">
        <v>818</v>
      </c>
      <c r="J659" s="8" t="s">
        <v>818</v>
      </c>
    </row>
    <row r="660" spans="1:10" x14ac:dyDescent="0.2">
      <c r="A660" s="8" t="s">
        <v>56</v>
      </c>
      <c r="B660" s="8" t="s">
        <v>57</v>
      </c>
      <c r="C660" s="8" t="s">
        <v>2341</v>
      </c>
      <c r="D660" s="8" t="s">
        <v>2342</v>
      </c>
      <c r="E660" s="8" t="s">
        <v>2343</v>
      </c>
      <c r="F660" s="8">
        <v>-7.0524708</v>
      </c>
      <c r="G660" s="8">
        <v>-8.2672343000000001</v>
      </c>
      <c r="H660" s="6" t="str">
        <f t="shared" si="8"/>
        <v>Direct</v>
      </c>
      <c r="I660" s="8" t="s">
        <v>2344</v>
      </c>
      <c r="J660" s="8" t="s">
        <v>2344</v>
      </c>
    </row>
    <row r="661" spans="1:10" x14ac:dyDescent="0.2">
      <c r="A661" s="8" t="s">
        <v>56</v>
      </c>
      <c r="B661" s="8" t="s">
        <v>57</v>
      </c>
      <c r="C661" s="8" t="s">
        <v>2345</v>
      </c>
      <c r="D661" s="8" t="s">
        <v>2346</v>
      </c>
      <c r="E661" s="8" t="s">
        <v>2347</v>
      </c>
      <c r="F661" s="8">
        <v>2.3770897999999998</v>
      </c>
      <c r="G661" s="8">
        <v>1.5639119800000001</v>
      </c>
      <c r="H661" s="6" t="str">
        <f t="shared" si="8"/>
        <v>Direct</v>
      </c>
      <c r="I661" s="8" t="s">
        <v>2348</v>
      </c>
      <c r="J661" s="8" t="s">
        <v>2348</v>
      </c>
    </row>
    <row r="662" spans="1:10" x14ac:dyDescent="0.2">
      <c r="A662" s="8" t="s">
        <v>56</v>
      </c>
      <c r="B662" s="8" t="s">
        <v>57</v>
      </c>
      <c r="C662" s="8" t="s">
        <v>2349</v>
      </c>
      <c r="D662" s="8" t="s">
        <v>2350</v>
      </c>
      <c r="E662" s="8" t="s">
        <v>2351</v>
      </c>
      <c r="F662" s="8">
        <v>5.8738959399999997</v>
      </c>
      <c r="G662" s="8">
        <v>5.4230477099999996</v>
      </c>
      <c r="H662" s="6" t="str">
        <f t="shared" si="8"/>
        <v>Direct</v>
      </c>
      <c r="I662" s="8" t="s">
        <v>2352</v>
      </c>
      <c r="J662" s="8" t="s">
        <v>2352</v>
      </c>
    </row>
    <row r="663" spans="1:10" x14ac:dyDescent="0.2">
      <c r="A663" s="8" t="s">
        <v>56</v>
      </c>
      <c r="B663" s="8" t="s">
        <v>57</v>
      </c>
      <c r="C663" s="8" t="s">
        <v>2353</v>
      </c>
      <c r="D663" s="8" t="s">
        <v>2354</v>
      </c>
      <c r="E663" s="8" t="s">
        <v>2355</v>
      </c>
      <c r="F663" s="8">
        <v>1.4360031900000001</v>
      </c>
      <c r="G663" s="8">
        <v>1.9364262999999999</v>
      </c>
      <c r="H663" s="6" t="str">
        <f t="shared" si="8"/>
        <v>Direct</v>
      </c>
      <c r="I663" s="8" t="s">
        <v>2356</v>
      </c>
      <c r="J663" s="8" t="s">
        <v>2357</v>
      </c>
    </row>
    <row r="664" spans="1:10" x14ac:dyDescent="0.2">
      <c r="A664" s="8" t="s">
        <v>56</v>
      </c>
      <c r="B664" s="8" t="s">
        <v>57</v>
      </c>
      <c r="C664" s="8" t="s">
        <v>2358</v>
      </c>
      <c r="D664" s="8" t="s">
        <v>2359</v>
      </c>
      <c r="E664" s="8" t="s">
        <v>2360</v>
      </c>
      <c r="F664" s="8">
        <v>-6.6482685999999998</v>
      </c>
      <c r="G664" s="8">
        <v>-1.0427983000000001</v>
      </c>
      <c r="H664" s="6" t="str">
        <f t="shared" si="8"/>
        <v>Direct</v>
      </c>
      <c r="I664" s="8" t="s">
        <v>2361</v>
      </c>
      <c r="J664" s="8" t="s">
        <v>2361</v>
      </c>
    </row>
    <row r="665" spans="1:10" x14ac:dyDescent="0.2">
      <c r="A665" s="8" t="s">
        <v>56</v>
      </c>
      <c r="B665" s="8" t="s">
        <v>57</v>
      </c>
      <c r="C665" s="8" t="s">
        <v>2362</v>
      </c>
      <c r="D665" s="8" t="s">
        <v>2363</v>
      </c>
      <c r="E665" s="8" t="s">
        <v>2364</v>
      </c>
      <c r="F665" s="8">
        <v>-8.2981365</v>
      </c>
      <c r="G665" s="8">
        <v>-5.4065960000000004</v>
      </c>
      <c r="H665" s="6" t="str">
        <f t="shared" si="8"/>
        <v>Direct</v>
      </c>
      <c r="I665" s="8" t="s">
        <v>2365</v>
      </c>
      <c r="J665" s="8" t="s">
        <v>2365</v>
      </c>
    </row>
    <row r="666" spans="1:10" x14ac:dyDescent="0.2">
      <c r="A666" s="8" t="s">
        <v>56</v>
      </c>
      <c r="B666" s="8" t="s">
        <v>57</v>
      </c>
      <c r="C666" s="8" t="s">
        <v>2366</v>
      </c>
      <c r="D666" s="8" t="s">
        <v>2367</v>
      </c>
      <c r="E666" s="8" t="s">
        <v>2368</v>
      </c>
      <c r="F666" s="8">
        <v>-1.6033101000000001</v>
      </c>
      <c r="G666" s="8">
        <v>-1.1003006</v>
      </c>
      <c r="H666" s="6" t="str">
        <f t="shared" si="8"/>
        <v>Direct</v>
      </c>
      <c r="I666" s="8" t="s">
        <v>2369</v>
      </c>
      <c r="J666" s="8" t="s">
        <v>2369</v>
      </c>
    </row>
    <row r="667" spans="1:10" x14ac:dyDescent="0.2">
      <c r="A667" s="8" t="s">
        <v>56</v>
      </c>
      <c r="B667" s="8" t="s">
        <v>57</v>
      </c>
      <c r="C667" s="8" t="s">
        <v>2370</v>
      </c>
      <c r="D667" s="8" t="s">
        <v>2371</v>
      </c>
      <c r="E667" s="8" t="s">
        <v>2372</v>
      </c>
      <c r="F667" s="8">
        <v>-8.2676832000000005</v>
      </c>
      <c r="G667" s="8">
        <v>-1.4638525</v>
      </c>
      <c r="H667" s="6" t="str">
        <f t="shared" si="8"/>
        <v>Direct</v>
      </c>
      <c r="I667" s="8" t="s">
        <v>50</v>
      </c>
      <c r="J667" s="8" t="s">
        <v>2373</v>
      </c>
    </row>
    <row r="668" spans="1:10" x14ac:dyDescent="0.2">
      <c r="A668" s="8" t="s">
        <v>56</v>
      </c>
      <c r="B668" s="8" t="s">
        <v>57</v>
      </c>
      <c r="C668" s="8" t="s">
        <v>2374</v>
      </c>
      <c r="D668" s="8" t="s">
        <v>2375</v>
      </c>
      <c r="E668" s="8" t="s">
        <v>2376</v>
      </c>
      <c r="F668" s="8">
        <v>-2.1542620000000001</v>
      </c>
      <c r="G668" s="8">
        <v>-1.1569566</v>
      </c>
      <c r="H668" s="6" t="str">
        <f t="shared" si="8"/>
        <v>Direct</v>
      </c>
      <c r="I668" s="8" t="s">
        <v>2193</v>
      </c>
      <c r="J668" s="8" t="s">
        <v>2193</v>
      </c>
    </row>
    <row r="669" spans="1:10" x14ac:dyDescent="0.2">
      <c r="A669" s="8" t="s">
        <v>56</v>
      </c>
      <c r="B669" s="8" t="s">
        <v>57</v>
      </c>
      <c r="C669" s="8" t="s">
        <v>2377</v>
      </c>
      <c r="D669" s="8" t="s">
        <v>2378</v>
      </c>
      <c r="E669" s="8" t="s">
        <v>2379</v>
      </c>
      <c r="F669" s="8">
        <v>2.3366361100000002</v>
      </c>
      <c r="G669" s="8">
        <v>13.439522800000001</v>
      </c>
      <c r="H669" s="6" t="str">
        <f t="shared" si="8"/>
        <v>Direct</v>
      </c>
      <c r="I669" s="8" t="s">
        <v>2380</v>
      </c>
      <c r="J669" s="8" t="s">
        <v>2380</v>
      </c>
    </row>
    <row r="670" spans="1:10" x14ac:dyDescent="0.2">
      <c r="A670" s="8" t="s">
        <v>56</v>
      </c>
      <c r="B670" s="8" t="s">
        <v>57</v>
      </c>
      <c r="C670" s="8" t="s">
        <v>2381</v>
      </c>
      <c r="D670" s="8" t="s">
        <v>2382</v>
      </c>
      <c r="E670" s="8" t="s">
        <v>2383</v>
      </c>
      <c r="F670" s="8">
        <v>-2.6374094000000001</v>
      </c>
      <c r="G670" s="8">
        <v>-1.6845220000000001</v>
      </c>
      <c r="H670" s="6" t="str">
        <f t="shared" si="8"/>
        <v>Direct</v>
      </c>
      <c r="I670" s="8" t="s">
        <v>2384</v>
      </c>
      <c r="J670" s="8" t="s">
        <v>2384</v>
      </c>
    </row>
    <row r="671" spans="1:10" x14ac:dyDescent="0.2">
      <c r="A671" s="8" t="s">
        <v>56</v>
      </c>
      <c r="B671" s="8" t="s">
        <v>57</v>
      </c>
      <c r="C671" s="8" t="s">
        <v>2385</v>
      </c>
      <c r="D671" s="8" t="s">
        <v>2386</v>
      </c>
      <c r="E671" s="8" t="s">
        <v>2387</v>
      </c>
      <c r="F671" s="8">
        <v>-1.5878071</v>
      </c>
      <c r="G671" s="8">
        <v>-3.6666664</v>
      </c>
      <c r="H671" s="6" t="str">
        <f t="shared" si="8"/>
        <v>Direct</v>
      </c>
      <c r="I671" s="8" t="s">
        <v>2388</v>
      </c>
      <c r="J671" s="8" t="s">
        <v>2389</v>
      </c>
    </row>
    <row r="672" spans="1:10" x14ac:dyDescent="0.2">
      <c r="A672" s="8" t="s">
        <v>56</v>
      </c>
      <c r="B672" s="8" t="s">
        <v>57</v>
      </c>
      <c r="C672" s="8" t="s">
        <v>2390</v>
      </c>
      <c r="D672" s="8" t="s">
        <v>2391</v>
      </c>
      <c r="E672" s="8" t="s">
        <v>2392</v>
      </c>
      <c r="F672" s="8">
        <v>1.13869215</v>
      </c>
      <c r="G672" s="8">
        <v>-2.2404286999999998</v>
      </c>
      <c r="H672" s="6" t="str">
        <f t="shared" si="8"/>
        <v>Inverse</v>
      </c>
      <c r="I672" s="8" t="s">
        <v>2393</v>
      </c>
      <c r="J672" s="8" t="s">
        <v>2394</v>
      </c>
    </row>
    <row r="673" spans="1:10" x14ac:dyDescent="0.2">
      <c r="A673" s="8" t="s">
        <v>56</v>
      </c>
      <c r="B673" s="8" t="s">
        <v>57</v>
      </c>
      <c r="C673" s="8" t="s">
        <v>2395</v>
      </c>
      <c r="D673" s="8" t="s">
        <v>2396</v>
      </c>
      <c r="E673" s="8" t="s">
        <v>2397</v>
      </c>
      <c r="F673" s="8">
        <v>-3.3971884999999999</v>
      </c>
      <c r="G673" s="8">
        <v>-1.5577802000000001</v>
      </c>
      <c r="H673" s="6" t="str">
        <f t="shared" si="8"/>
        <v>Direct</v>
      </c>
      <c r="I673" s="8" t="s">
        <v>2398</v>
      </c>
      <c r="J673" s="8" t="s">
        <v>2398</v>
      </c>
    </row>
    <row r="674" spans="1:10" x14ac:dyDescent="0.2">
      <c r="A674" s="8" t="s">
        <v>56</v>
      </c>
      <c r="B674" s="8" t="s">
        <v>57</v>
      </c>
      <c r="C674" s="8" t="s">
        <v>2399</v>
      </c>
      <c r="D674" s="8" t="s">
        <v>2400</v>
      </c>
      <c r="E674" s="8" t="s">
        <v>2401</v>
      </c>
      <c r="F674" s="8">
        <v>-1.4711064</v>
      </c>
      <c r="G674" s="8">
        <v>2.1657304499999999</v>
      </c>
      <c r="H674" s="6" t="str">
        <f t="shared" si="8"/>
        <v>Inverse</v>
      </c>
      <c r="I674" s="8" t="s">
        <v>2402</v>
      </c>
      <c r="J674" s="8" t="s">
        <v>2402</v>
      </c>
    </row>
    <row r="675" spans="1:10" x14ac:dyDescent="0.2">
      <c r="A675" s="8" t="s">
        <v>56</v>
      </c>
      <c r="B675" s="8" t="s">
        <v>57</v>
      </c>
      <c r="C675" s="8" t="s">
        <v>2403</v>
      </c>
      <c r="D675" s="8" t="s">
        <v>2404</v>
      </c>
      <c r="E675" s="8" t="s">
        <v>2405</v>
      </c>
      <c r="F675" s="8">
        <v>4.6728561900000001</v>
      </c>
      <c r="G675" s="8">
        <v>1.39891648</v>
      </c>
      <c r="H675" s="6" t="str">
        <f t="shared" si="8"/>
        <v>Direct</v>
      </c>
      <c r="I675" s="8" t="s">
        <v>937</v>
      </c>
      <c r="J675" s="8" t="s">
        <v>937</v>
      </c>
    </row>
    <row r="676" spans="1:10" x14ac:dyDescent="0.2">
      <c r="A676" s="8" t="s">
        <v>56</v>
      </c>
      <c r="B676" s="8" t="s">
        <v>57</v>
      </c>
      <c r="C676" s="8" t="s">
        <v>2406</v>
      </c>
      <c r="D676" s="8" t="s">
        <v>2407</v>
      </c>
      <c r="E676" s="8" t="s">
        <v>2408</v>
      </c>
      <c r="F676" s="8">
        <v>-4.3235393999999996</v>
      </c>
      <c r="G676" s="8">
        <v>-1.3009301</v>
      </c>
      <c r="H676" s="6" t="str">
        <f t="shared" si="8"/>
        <v>Direct</v>
      </c>
      <c r="I676" s="8" t="s">
        <v>2409</v>
      </c>
      <c r="J676" s="8" t="s">
        <v>2410</v>
      </c>
    </row>
    <row r="677" spans="1:10" x14ac:dyDescent="0.2">
      <c r="A677" s="8" t="s">
        <v>56</v>
      </c>
      <c r="B677" s="8" t="s">
        <v>57</v>
      </c>
      <c r="C677" s="8" t="s">
        <v>669</v>
      </c>
      <c r="D677" s="8" t="s">
        <v>670</v>
      </c>
      <c r="E677" s="8" t="s">
        <v>671</v>
      </c>
      <c r="F677" s="8">
        <v>1.1911020400000001</v>
      </c>
      <c r="G677" s="8">
        <v>3.8837304700000002</v>
      </c>
      <c r="H677" s="6" t="str">
        <f t="shared" si="8"/>
        <v>Direct</v>
      </c>
      <c r="I677" s="8" t="s">
        <v>672</v>
      </c>
      <c r="J677" s="8" t="s">
        <v>672</v>
      </c>
    </row>
    <row r="678" spans="1:10" x14ac:dyDescent="0.2">
      <c r="A678" s="8" t="s">
        <v>56</v>
      </c>
      <c r="B678" s="8" t="s">
        <v>57</v>
      </c>
      <c r="C678" s="8" t="s">
        <v>2411</v>
      </c>
      <c r="D678" s="8" t="s">
        <v>2412</v>
      </c>
      <c r="E678" s="8" t="s">
        <v>2413</v>
      </c>
      <c r="F678" s="8">
        <v>2.9564675</v>
      </c>
      <c r="G678" s="8">
        <v>-6.7870726000000001</v>
      </c>
      <c r="H678" s="6" t="str">
        <f t="shared" si="8"/>
        <v>Inverse</v>
      </c>
      <c r="I678" s="8" t="s">
        <v>50</v>
      </c>
      <c r="J678" s="8" t="s">
        <v>2414</v>
      </c>
    </row>
    <row r="679" spans="1:10" x14ac:dyDescent="0.2">
      <c r="A679" s="8" t="s">
        <v>56</v>
      </c>
      <c r="B679" s="8" t="s">
        <v>57</v>
      </c>
      <c r="C679" s="8" t="s">
        <v>2415</v>
      </c>
      <c r="D679" s="8" t="s">
        <v>2416</v>
      </c>
      <c r="E679" s="8" t="s">
        <v>2417</v>
      </c>
      <c r="F679" s="8">
        <v>-1.6368456</v>
      </c>
      <c r="G679" s="8">
        <v>-3.5251223</v>
      </c>
      <c r="H679" s="6" t="str">
        <f t="shared" si="8"/>
        <v>Direct</v>
      </c>
      <c r="I679" s="8" t="s">
        <v>2418</v>
      </c>
      <c r="J679" s="8" t="s">
        <v>2419</v>
      </c>
    </row>
    <row r="680" spans="1:10" x14ac:dyDescent="0.2">
      <c r="A680" s="8" t="s">
        <v>56</v>
      </c>
      <c r="B680" s="8" t="s">
        <v>57</v>
      </c>
      <c r="C680" s="8" t="s">
        <v>2420</v>
      </c>
      <c r="D680" s="8" t="s">
        <v>2421</v>
      </c>
      <c r="E680" s="8" t="s">
        <v>2422</v>
      </c>
      <c r="F680" s="8">
        <v>-1.1822322000000001</v>
      </c>
      <c r="G680" s="8">
        <v>2.0886506100000002</v>
      </c>
      <c r="H680" s="6" t="str">
        <f t="shared" si="8"/>
        <v>Inverse</v>
      </c>
      <c r="I680" s="8" t="s">
        <v>2423</v>
      </c>
      <c r="J680" s="8" t="s">
        <v>2424</v>
      </c>
    </row>
    <row r="681" spans="1:10" x14ac:dyDescent="0.2">
      <c r="A681" s="8" t="s">
        <v>56</v>
      </c>
      <c r="B681" s="8" t="s">
        <v>57</v>
      </c>
      <c r="C681" s="8" t="s">
        <v>2425</v>
      </c>
      <c r="D681" s="8" t="s">
        <v>2426</v>
      </c>
      <c r="E681" s="8" t="s">
        <v>2427</v>
      </c>
      <c r="F681" s="8">
        <v>-2.7222618999999999</v>
      </c>
      <c r="G681" s="8">
        <v>1.36207849</v>
      </c>
      <c r="H681" s="6" t="str">
        <f t="shared" si="8"/>
        <v>Inverse</v>
      </c>
      <c r="I681" s="8" t="s">
        <v>50</v>
      </c>
      <c r="J681" s="8" t="s">
        <v>50</v>
      </c>
    </row>
    <row r="682" spans="1:10" x14ac:dyDescent="0.2">
      <c r="A682" s="8" t="s">
        <v>56</v>
      </c>
      <c r="B682" s="8" t="s">
        <v>57</v>
      </c>
      <c r="C682" s="8" t="s">
        <v>2428</v>
      </c>
      <c r="D682" s="8" t="s">
        <v>2429</v>
      </c>
      <c r="E682" s="8" t="s">
        <v>2430</v>
      </c>
      <c r="F682" s="8">
        <v>1.26486896</v>
      </c>
      <c r="G682" s="8">
        <v>2.8178960100000001</v>
      </c>
      <c r="H682" s="6" t="str">
        <f t="shared" si="8"/>
        <v>Direct</v>
      </c>
      <c r="I682" s="8" t="s">
        <v>2431</v>
      </c>
      <c r="J682" s="8" t="s">
        <v>2431</v>
      </c>
    </row>
    <row r="683" spans="1:10" x14ac:dyDescent="0.2">
      <c r="A683" s="8" t="s">
        <v>56</v>
      </c>
      <c r="B683" s="8" t="s">
        <v>57</v>
      </c>
      <c r="C683" s="8" t="s">
        <v>2432</v>
      </c>
      <c r="D683" s="8" t="s">
        <v>2433</v>
      </c>
      <c r="E683" s="8" t="s">
        <v>2434</v>
      </c>
      <c r="F683" s="8">
        <v>-16.921229</v>
      </c>
      <c r="G683" s="8">
        <v>-5.0733153</v>
      </c>
      <c r="H683" s="6" t="str">
        <f t="shared" si="8"/>
        <v>Direct</v>
      </c>
      <c r="I683" s="8" t="s">
        <v>2435</v>
      </c>
      <c r="J683" s="8" t="s">
        <v>2435</v>
      </c>
    </row>
    <row r="684" spans="1:10" x14ac:dyDescent="0.2">
      <c r="A684" s="8" t="s">
        <v>56</v>
      </c>
      <c r="B684" s="8" t="s">
        <v>57</v>
      </c>
      <c r="C684" s="8" t="s">
        <v>2436</v>
      </c>
      <c r="D684" s="8" t="s">
        <v>2437</v>
      </c>
      <c r="E684" s="8" t="s">
        <v>2438</v>
      </c>
      <c r="F684" s="8">
        <v>-2.3025897999999998</v>
      </c>
      <c r="G684" s="8">
        <v>-1.6618582</v>
      </c>
      <c r="H684" s="6" t="str">
        <f t="shared" si="8"/>
        <v>Direct</v>
      </c>
      <c r="I684" s="8" t="s">
        <v>2439</v>
      </c>
      <c r="J684" s="8" t="s">
        <v>2439</v>
      </c>
    </row>
    <row r="685" spans="1:10" x14ac:dyDescent="0.2">
      <c r="A685" s="8" t="s">
        <v>56</v>
      </c>
      <c r="B685" s="8" t="s">
        <v>57</v>
      </c>
      <c r="C685" s="8" t="s">
        <v>2440</v>
      </c>
      <c r="D685" s="8" t="s">
        <v>2441</v>
      </c>
      <c r="E685" s="8" t="s">
        <v>2442</v>
      </c>
      <c r="F685" s="8">
        <v>-4.1787258999999999</v>
      </c>
      <c r="G685" s="8">
        <v>-1.3097352</v>
      </c>
      <c r="H685" s="6" t="str">
        <f t="shared" si="8"/>
        <v>Direct</v>
      </c>
      <c r="I685" s="8" t="s">
        <v>2443</v>
      </c>
      <c r="J685" s="8" t="s">
        <v>2443</v>
      </c>
    </row>
    <row r="686" spans="1:10" x14ac:dyDescent="0.2">
      <c r="A686" s="8" t="s">
        <v>56</v>
      </c>
      <c r="B686" s="8" t="s">
        <v>57</v>
      </c>
      <c r="C686" s="8" t="s">
        <v>2444</v>
      </c>
      <c r="D686" s="8" t="s">
        <v>2445</v>
      </c>
      <c r="E686" s="8" t="s">
        <v>2446</v>
      </c>
      <c r="F686" s="8">
        <v>-4.0663131000000003</v>
      </c>
      <c r="G686" s="8">
        <v>-5.5780609999999999</v>
      </c>
      <c r="H686" s="6" t="str">
        <f t="shared" si="8"/>
        <v>Direct</v>
      </c>
      <c r="I686" s="8" t="s">
        <v>2447</v>
      </c>
      <c r="J686" s="8" t="s">
        <v>2447</v>
      </c>
    </row>
    <row r="687" spans="1:10" x14ac:dyDescent="0.2">
      <c r="A687" s="8" t="s">
        <v>56</v>
      </c>
      <c r="B687" s="8" t="s">
        <v>57</v>
      </c>
      <c r="C687" s="8" t="s">
        <v>2448</v>
      </c>
      <c r="D687" s="8" t="s">
        <v>2449</v>
      </c>
      <c r="E687" s="8" t="s">
        <v>2450</v>
      </c>
      <c r="F687" s="8">
        <v>-4.9245295000000002</v>
      </c>
      <c r="G687" s="8">
        <v>-1.524888</v>
      </c>
      <c r="H687" s="6" t="str">
        <f t="shared" si="8"/>
        <v>Direct</v>
      </c>
      <c r="I687" s="8" t="s">
        <v>2451</v>
      </c>
      <c r="J687" s="8" t="s">
        <v>2452</v>
      </c>
    </row>
    <row r="688" spans="1:10" x14ac:dyDescent="0.2">
      <c r="A688" s="8" t="s">
        <v>56</v>
      </c>
      <c r="B688" s="8" t="s">
        <v>57</v>
      </c>
      <c r="C688" s="8" t="s">
        <v>2453</v>
      </c>
      <c r="D688" s="8" t="s">
        <v>2454</v>
      </c>
      <c r="E688" s="8" t="s">
        <v>2455</v>
      </c>
      <c r="F688" s="8">
        <v>-1.4994654000000001</v>
      </c>
      <c r="G688" s="8">
        <v>-2.7793469000000002</v>
      </c>
      <c r="H688" s="6" t="str">
        <f t="shared" si="8"/>
        <v>Direct</v>
      </c>
      <c r="I688" s="8" t="s">
        <v>2456</v>
      </c>
      <c r="J688" s="8" t="s">
        <v>2456</v>
      </c>
    </row>
    <row r="689" spans="1:10" x14ac:dyDescent="0.2">
      <c r="A689" s="8" t="s">
        <v>56</v>
      </c>
      <c r="B689" s="8" t="s">
        <v>57</v>
      </c>
      <c r="C689" s="8" t="s">
        <v>2457</v>
      </c>
      <c r="D689" s="8" t="s">
        <v>2458</v>
      </c>
      <c r="E689" s="8" t="s">
        <v>2459</v>
      </c>
      <c r="F689" s="8">
        <v>1.77280679</v>
      </c>
      <c r="G689" s="8">
        <v>2.0094198900000002</v>
      </c>
      <c r="H689" s="6" t="str">
        <f t="shared" si="8"/>
        <v>Direct</v>
      </c>
      <c r="I689" s="8" t="s">
        <v>2460</v>
      </c>
      <c r="J689" s="8" t="s">
        <v>2460</v>
      </c>
    </row>
    <row r="690" spans="1:10" x14ac:dyDescent="0.2">
      <c r="A690" s="8" t="s">
        <v>56</v>
      </c>
      <c r="B690" s="8" t="s">
        <v>57</v>
      </c>
      <c r="C690" s="8" t="s">
        <v>2461</v>
      </c>
      <c r="D690" s="8" t="s">
        <v>2462</v>
      </c>
      <c r="E690" s="8" t="s">
        <v>2463</v>
      </c>
      <c r="F690" s="8">
        <v>-1.1081106000000001</v>
      </c>
      <c r="G690" s="8">
        <v>-1.1270742</v>
      </c>
      <c r="H690" s="6" t="str">
        <f t="shared" si="8"/>
        <v>Direct</v>
      </c>
      <c r="I690" s="8" t="s">
        <v>2464</v>
      </c>
      <c r="J690" s="8" t="s">
        <v>2464</v>
      </c>
    </row>
    <row r="691" spans="1:10" x14ac:dyDescent="0.2">
      <c r="A691" s="8" t="s">
        <v>56</v>
      </c>
      <c r="B691" s="8" t="s">
        <v>57</v>
      </c>
      <c r="C691" s="8" t="s">
        <v>2465</v>
      </c>
      <c r="D691" s="8" t="s">
        <v>2466</v>
      </c>
      <c r="E691" s="8" t="s">
        <v>2467</v>
      </c>
      <c r="F691" s="8">
        <v>-1.6172645000000001</v>
      </c>
      <c r="G691" s="8">
        <v>-1.8841334000000001</v>
      </c>
      <c r="H691" s="6" t="str">
        <f t="shared" si="8"/>
        <v>Direct</v>
      </c>
      <c r="I691" s="8" t="s">
        <v>1449</v>
      </c>
      <c r="J691" s="8" t="s">
        <v>1449</v>
      </c>
    </row>
    <row r="692" spans="1:10" x14ac:dyDescent="0.2">
      <c r="A692" s="8" t="s">
        <v>56</v>
      </c>
      <c r="B692" s="8" t="s">
        <v>57</v>
      </c>
      <c r="C692" s="8" t="s">
        <v>689</v>
      </c>
      <c r="D692" s="8" t="s">
        <v>690</v>
      </c>
      <c r="E692" s="8" t="s">
        <v>691</v>
      </c>
      <c r="F692" s="8">
        <v>-3.3059596</v>
      </c>
      <c r="G692" s="8">
        <v>2.3695299799999998</v>
      </c>
      <c r="H692" s="6" t="str">
        <f t="shared" si="8"/>
        <v>Inverse</v>
      </c>
      <c r="I692" s="8" t="s">
        <v>692</v>
      </c>
      <c r="J692" s="8" t="s">
        <v>692</v>
      </c>
    </row>
    <row r="693" spans="1:10" x14ac:dyDescent="0.2">
      <c r="A693" s="8" t="s">
        <v>56</v>
      </c>
      <c r="B693" s="8" t="s">
        <v>57</v>
      </c>
      <c r="C693" s="8" t="s">
        <v>2468</v>
      </c>
      <c r="D693" s="8" t="s">
        <v>2469</v>
      </c>
      <c r="E693" s="8" t="s">
        <v>2470</v>
      </c>
      <c r="F693" s="8">
        <v>-1.0136045</v>
      </c>
      <c r="G693" s="8">
        <v>2.9117812500000002</v>
      </c>
      <c r="H693" s="6" t="str">
        <f t="shared" si="8"/>
        <v>Inverse</v>
      </c>
      <c r="I693" s="8" t="s">
        <v>2471</v>
      </c>
      <c r="J693" s="8" t="s">
        <v>2471</v>
      </c>
    </row>
    <row r="694" spans="1:10" x14ac:dyDescent="0.2">
      <c r="A694" s="8" t="s">
        <v>56</v>
      </c>
      <c r="B694" s="8" t="s">
        <v>57</v>
      </c>
      <c r="C694" s="8" t="s">
        <v>2472</v>
      </c>
      <c r="D694" s="8" t="s">
        <v>2473</v>
      </c>
      <c r="E694" s="8" t="s">
        <v>2474</v>
      </c>
      <c r="F694" s="8">
        <v>-2.3919776000000001</v>
      </c>
      <c r="G694" s="8">
        <v>-1.0982215</v>
      </c>
      <c r="H694" s="6" t="str">
        <f t="shared" si="8"/>
        <v>Direct</v>
      </c>
      <c r="I694" s="8" t="s">
        <v>2475</v>
      </c>
      <c r="J694" s="8" t="s">
        <v>2475</v>
      </c>
    </row>
    <row r="695" spans="1:10" x14ac:dyDescent="0.2">
      <c r="A695" s="8" t="s">
        <v>56</v>
      </c>
      <c r="B695" s="8" t="s">
        <v>57</v>
      </c>
      <c r="C695" s="8" t="s">
        <v>2476</v>
      </c>
      <c r="D695" s="8" t="s">
        <v>2477</v>
      </c>
      <c r="E695" s="8" t="s">
        <v>2478</v>
      </c>
      <c r="F695" s="8">
        <v>-1.9729973000000001</v>
      </c>
      <c r="G695" s="8">
        <v>-1.1910038000000001</v>
      </c>
      <c r="H695" s="6" t="str">
        <f t="shared" si="8"/>
        <v>Direct</v>
      </c>
      <c r="I695" s="8" t="s">
        <v>2479</v>
      </c>
      <c r="J695" s="8" t="s">
        <v>2479</v>
      </c>
    </row>
    <row r="696" spans="1:10" x14ac:dyDescent="0.2">
      <c r="A696" s="8" t="s">
        <v>56</v>
      </c>
      <c r="B696" s="8" t="s">
        <v>57</v>
      </c>
      <c r="C696" s="8" t="s">
        <v>2480</v>
      </c>
      <c r="D696" s="8" t="s">
        <v>2481</v>
      </c>
      <c r="E696" s="8" t="s">
        <v>2482</v>
      </c>
      <c r="F696" s="8">
        <v>-2.9076890999999998</v>
      </c>
      <c r="G696" s="8">
        <v>-1.3626651000000001</v>
      </c>
      <c r="H696" s="6" t="str">
        <f t="shared" si="8"/>
        <v>Direct</v>
      </c>
      <c r="I696" s="8" t="s">
        <v>2483</v>
      </c>
      <c r="J696" s="8" t="s">
        <v>2483</v>
      </c>
    </row>
    <row r="697" spans="1:10" x14ac:dyDescent="0.2">
      <c r="A697" s="8" t="s">
        <v>56</v>
      </c>
      <c r="B697" s="8" t="s">
        <v>57</v>
      </c>
      <c r="C697" s="8" t="s">
        <v>2484</v>
      </c>
      <c r="D697" s="8" t="s">
        <v>2485</v>
      </c>
      <c r="E697" s="8" t="s">
        <v>2486</v>
      </c>
      <c r="F697" s="8">
        <v>-3.0610819</v>
      </c>
      <c r="G697" s="8">
        <v>-3.1346056999999998</v>
      </c>
      <c r="H697" s="6" t="str">
        <f t="shared" si="8"/>
        <v>Direct</v>
      </c>
      <c r="I697" s="8" t="s">
        <v>2487</v>
      </c>
      <c r="J697" s="8" t="s">
        <v>2488</v>
      </c>
    </row>
    <row r="698" spans="1:10" x14ac:dyDescent="0.2">
      <c r="A698" s="8" t="s">
        <v>56</v>
      </c>
      <c r="B698" s="8" t="s">
        <v>57</v>
      </c>
      <c r="C698" s="8" t="s">
        <v>2489</v>
      </c>
      <c r="D698" s="8" t="s">
        <v>2490</v>
      </c>
      <c r="E698" s="8" t="s">
        <v>2491</v>
      </c>
      <c r="F698" s="8">
        <v>-4.0745684000000004</v>
      </c>
      <c r="G698" s="8">
        <v>1.1633621999999999</v>
      </c>
      <c r="H698" s="6" t="str">
        <f t="shared" si="8"/>
        <v>Inverse</v>
      </c>
      <c r="I698" s="8" t="s">
        <v>2492</v>
      </c>
      <c r="J698" s="8" t="s">
        <v>2492</v>
      </c>
    </row>
    <row r="699" spans="1:10" x14ac:dyDescent="0.2">
      <c r="A699" s="8" t="s">
        <v>56</v>
      </c>
      <c r="B699" s="8" t="s">
        <v>57</v>
      </c>
      <c r="C699" s="8" t="s">
        <v>2493</v>
      </c>
      <c r="D699" s="8" t="s">
        <v>2494</v>
      </c>
      <c r="E699" s="8" t="s">
        <v>2495</v>
      </c>
      <c r="F699" s="8">
        <v>-1.1830118999999999</v>
      </c>
      <c r="G699" s="8">
        <v>-5.9389633000000002</v>
      </c>
      <c r="H699" s="6" t="str">
        <f t="shared" si="8"/>
        <v>Direct</v>
      </c>
      <c r="I699" s="8" t="s">
        <v>2496</v>
      </c>
      <c r="J699" s="8" t="s">
        <v>2496</v>
      </c>
    </row>
    <row r="700" spans="1:10" x14ac:dyDescent="0.2">
      <c r="A700" s="8" t="s">
        <v>56</v>
      </c>
      <c r="B700" s="8" t="s">
        <v>57</v>
      </c>
      <c r="C700" s="8" t="s">
        <v>724</v>
      </c>
      <c r="D700" s="8" t="s">
        <v>725</v>
      </c>
      <c r="E700" s="8" t="s">
        <v>726</v>
      </c>
      <c r="F700" s="8">
        <v>3.1737582</v>
      </c>
      <c r="G700" s="8">
        <v>10.541785300000001</v>
      </c>
      <c r="H700" s="6" t="str">
        <f t="shared" si="8"/>
        <v>Direct</v>
      </c>
      <c r="I700" s="8" t="s">
        <v>727</v>
      </c>
      <c r="J700" s="8" t="s">
        <v>727</v>
      </c>
    </row>
    <row r="701" spans="1:10" x14ac:dyDescent="0.2">
      <c r="A701" s="8" t="s">
        <v>56</v>
      </c>
      <c r="B701" s="8" t="s">
        <v>57</v>
      </c>
      <c r="C701" s="8" t="s">
        <v>2497</v>
      </c>
      <c r="D701" s="8" t="s">
        <v>2498</v>
      </c>
      <c r="E701" s="8" t="s">
        <v>2499</v>
      </c>
      <c r="F701" s="8">
        <v>1.09433391</v>
      </c>
      <c r="G701" s="8">
        <v>1.06064577</v>
      </c>
      <c r="H701" s="6" t="str">
        <f t="shared" si="8"/>
        <v>Direct</v>
      </c>
      <c r="I701" s="8" t="s">
        <v>2500</v>
      </c>
      <c r="J701" s="8" t="s">
        <v>2500</v>
      </c>
    </row>
    <row r="702" spans="1:10" x14ac:dyDescent="0.2">
      <c r="A702" s="8" t="s">
        <v>56</v>
      </c>
      <c r="B702" s="8" t="s">
        <v>57</v>
      </c>
      <c r="C702" s="8" t="s">
        <v>2501</v>
      </c>
      <c r="D702" s="8" t="s">
        <v>2502</v>
      </c>
      <c r="E702" s="8" t="s">
        <v>2503</v>
      </c>
      <c r="F702" s="8">
        <v>-5.3102717999999998</v>
      </c>
      <c r="G702" s="8">
        <v>-1.0682593</v>
      </c>
      <c r="H702" s="6" t="str">
        <f t="shared" si="8"/>
        <v>Direct</v>
      </c>
      <c r="I702" s="8" t="s">
        <v>2504</v>
      </c>
      <c r="J702" s="8" t="s">
        <v>2504</v>
      </c>
    </row>
    <row r="703" spans="1:10" x14ac:dyDescent="0.2">
      <c r="A703" s="8" t="s">
        <v>56</v>
      </c>
      <c r="B703" s="8" t="s">
        <v>57</v>
      </c>
      <c r="C703" s="8" t="s">
        <v>2505</v>
      </c>
      <c r="D703" s="8" t="s">
        <v>2506</v>
      </c>
      <c r="E703" s="8" t="s">
        <v>2507</v>
      </c>
      <c r="F703" s="8">
        <v>-1.3435258000000001</v>
      </c>
      <c r="G703" s="8">
        <v>-1.1101916000000001</v>
      </c>
      <c r="H703" s="6" t="str">
        <f t="shared" si="8"/>
        <v>Direct</v>
      </c>
      <c r="I703" s="8" t="s">
        <v>2508</v>
      </c>
      <c r="J703" s="8" t="s">
        <v>2508</v>
      </c>
    </row>
    <row r="704" spans="1:10" x14ac:dyDescent="0.2">
      <c r="A704" s="8" t="s">
        <v>56</v>
      </c>
      <c r="B704" s="8" t="s">
        <v>57</v>
      </c>
      <c r="C704" s="8" t="s">
        <v>2509</v>
      </c>
      <c r="D704" s="8" t="s">
        <v>2510</v>
      </c>
      <c r="E704" s="8" t="s">
        <v>2511</v>
      </c>
      <c r="F704" s="8">
        <v>2.9955752200000001</v>
      </c>
      <c r="G704" s="8">
        <v>1.3727483199999999</v>
      </c>
      <c r="H704" s="6" t="str">
        <f t="shared" si="8"/>
        <v>Direct</v>
      </c>
      <c r="I704" s="8" t="s">
        <v>2512</v>
      </c>
      <c r="J704" s="8" t="s">
        <v>2513</v>
      </c>
    </row>
    <row r="705" spans="1:10" x14ac:dyDescent="0.2">
      <c r="A705" s="8" t="s">
        <v>56</v>
      </c>
      <c r="B705" s="8" t="s">
        <v>57</v>
      </c>
      <c r="C705" s="8" t="s">
        <v>2514</v>
      </c>
      <c r="D705" s="8" t="s">
        <v>2515</v>
      </c>
      <c r="E705" s="8" t="s">
        <v>2516</v>
      </c>
      <c r="F705" s="8">
        <v>-5.0186381000000004</v>
      </c>
      <c r="G705" s="8">
        <v>-3.4574809000000002</v>
      </c>
      <c r="H705" s="6" t="str">
        <f t="shared" si="8"/>
        <v>Direct</v>
      </c>
      <c r="I705" s="8" t="s">
        <v>2517</v>
      </c>
      <c r="J705" s="8" t="s">
        <v>2517</v>
      </c>
    </row>
    <row r="706" spans="1:10" x14ac:dyDescent="0.2">
      <c r="A706" s="8" t="s">
        <v>56</v>
      </c>
      <c r="B706" s="8" t="s">
        <v>57</v>
      </c>
      <c r="C706" s="8" t="s">
        <v>2518</v>
      </c>
      <c r="D706" s="8" t="s">
        <v>2519</v>
      </c>
      <c r="E706" s="8" t="s">
        <v>2520</v>
      </c>
      <c r="F706" s="8">
        <v>-1.6160794000000001</v>
      </c>
      <c r="G706" s="8">
        <v>-1.6231982</v>
      </c>
      <c r="H706" s="6" t="str">
        <f t="shared" si="8"/>
        <v>Direct</v>
      </c>
      <c r="I706" s="8" t="s">
        <v>2521</v>
      </c>
      <c r="J706" s="8" t="s">
        <v>2521</v>
      </c>
    </row>
    <row r="707" spans="1:10" x14ac:dyDescent="0.2">
      <c r="A707" s="8" t="s">
        <v>56</v>
      </c>
      <c r="B707" s="8" t="s">
        <v>57</v>
      </c>
      <c r="C707" s="8" t="s">
        <v>2522</v>
      </c>
      <c r="D707" s="8" t="s">
        <v>2523</v>
      </c>
      <c r="E707" s="8" t="s">
        <v>2524</v>
      </c>
      <c r="F707" s="8">
        <v>5.2304700999999998</v>
      </c>
      <c r="G707" s="8">
        <v>3.0789868</v>
      </c>
      <c r="H707" s="6" t="str">
        <f t="shared" si="8"/>
        <v>Direct</v>
      </c>
      <c r="I707" s="8" t="s">
        <v>2525</v>
      </c>
      <c r="J707" s="8" t="s">
        <v>2525</v>
      </c>
    </row>
    <row r="708" spans="1:10" x14ac:dyDescent="0.2">
      <c r="A708" s="8" t="s">
        <v>56</v>
      </c>
      <c r="B708" s="8" t="s">
        <v>57</v>
      </c>
      <c r="C708" s="8" t="s">
        <v>2526</v>
      </c>
      <c r="D708" s="8" t="s">
        <v>2527</v>
      </c>
      <c r="E708" s="8" t="s">
        <v>2528</v>
      </c>
      <c r="F708" s="8">
        <v>-7.5359973</v>
      </c>
      <c r="G708" s="8">
        <v>-1.9190305000000001</v>
      </c>
      <c r="H708" s="6" t="str">
        <f t="shared" si="8"/>
        <v>Direct</v>
      </c>
      <c r="I708" s="8" t="s">
        <v>2529</v>
      </c>
      <c r="J708" s="8" t="s">
        <v>2530</v>
      </c>
    </row>
    <row r="709" spans="1:10" x14ac:dyDescent="0.2">
      <c r="A709" s="8" t="s">
        <v>56</v>
      </c>
      <c r="B709" s="8" t="s">
        <v>57</v>
      </c>
      <c r="C709" s="8" t="s">
        <v>2531</v>
      </c>
      <c r="D709" s="8" t="s">
        <v>2532</v>
      </c>
      <c r="E709" s="8" t="s">
        <v>2533</v>
      </c>
      <c r="F709" s="8">
        <v>-1.9143204</v>
      </c>
      <c r="G709" s="8">
        <v>-2.7453082000000002</v>
      </c>
      <c r="H709" s="6" t="str">
        <f t="shared" si="8"/>
        <v>Direct</v>
      </c>
      <c r="I709" s="8" t="s">
        <v>1413</v>
      </c>
      <c r="J709" s="8" t="s">
        <v>1413</v>
      </c>
    </row>
    <row r="710" spans="1:10" x14ac:dyDescent="0.2">
      <c r="A710" s="8" t="s">
        <v>56</v>
      </c>
      <c r="B710" s="8" t="s">
        <v>57</v>
      </c>
      <c r="C710" s="8" t="s">
        <v>2534</v>
      </c>
      <c r="D710" s="8" t="s">
        <v>2535</v>
      </c>
      <c r="E710" s="8" t="s">
        <v>2536</v>
      </c>
      <c r="F710" s="8">
        <v>-5.5497816999999996</v>
      </c>
      <c r="G710" s="8">
        <v>-1.1245160999999999</v>
      </c>
      <c r="H710" s="6" t="str">
        <f t="shared" si="8"/>
        <v>Direct</v>
      </c>
      <c r="I710" s="8" t="s">
        <v>2537</v>
      </c>
      <c r="J710" s="8" t="s">
        <v>2537</v>
      </c>
    </row>
    <row r="711" spans="1:10" x14ac:dyDescent="0.2">
      <c r="A711" s="8" t="s">
        <v>56</v>
      </c>
      <c r="B711" s="8" t="s">
        <v>57</v>
      </c>
      <c r="C711" s="8" t="s">
        <v>2538</v>
      </c>
      <c r="D711" s="8" t="s">
        <v>2539</v>
      </c>
      <c r="E711" s="8" t="s">
        <v>2540</v>
      </c>
      <c r="F711" s="8">
        <v>1.9196573800000001</v>
      </c>
      <c r="G711" s="8">
        <v>-1.4736446999999999</v>
      </c>
      <c r="H711" s="6" t="str">
        <f t="shared" si="8"/>
        <v>Inverse</v>
      </c>
      <c r="I711" s="8" t="s">
        <v>2541</v>
      </c>
      <c r="J711" s="8" t="s">
        <v>2541</v>
      </c>
    </row>
    <row r="712" spans="1:10" x14ac:dyDescent="0.2">
      <c r="A712" s="8" t="s">
        <v>56</v>
      </c>
      <c r="B712" s="8" t="s">
        <v>57</v>
      </c>
      <c r="C712" s="8" t="s">
        <v>2542</v>
      </c>
      <c r="D712" s="8" t="s">
        <v>2543</v>
      </c>
      <c r="E712" s="8" t="s">
        <v>2544</v>
      </c>
      <c r="F712" s="8">
        <v>-2.8261577</v>
      </c>
      <c r="G712" s="8">
        <v>-6.5854647999999996</v>
      </c>
      <c r="H712" s="6" t="str">
        <f t="shared" si="8"/>
        <v>Direct</v>
      </c>
      <c r="I712" s="8" t="s">
        <v>2545</v>
      </c>
      <c r="J712" s="8" t="s">
        <v>2545</v>
      </c>
    </row>
    <row r="713" spans="1:10" x14ac:dyDescent="0.2">
      <c r="A713" s="8" t="s">
        <v>56</v>
      </c>
      <c r="B713" s="8" t="s">
        <v>57</v>
      </c>
      <c r="C713" s="8" t="s">
        <v>2546</v>
      </c>
      <c r="D713" s="8" t="s">
        <v>2547</v>
      </c>
      <c r="E713" s="8" t="s">
        <v>2548</v>
      </c>
      <c r="F713" s="8">
        <v>-4.1238365000000003</v>
      </c>
      <c r="G713" s="8">
        <v>-2.2118365</v>
      </c>
      <c r="H713" s="6" t="str">
        <f t="shared" si="8"/>
        <v>Direct</v>
      </c>
      <c r="I713" s="8" t="s">
        <v>2549</v>
      </c>
      <c r="J713" s="8" t="s">
        <v>2549</v>
      </c>
    </row>
    <row r="714" spans="1:10" x14ac:dyDescent="0.2">
      <c r="A714" s="8" t="s">
        <v>56</v>
      </c>
      <c r="B714" s="8" t="s">
        <v>57</v>
      </c>
      <c r="C714" s="8" t="s">
        <v>2550</v>
      </c>
      <c r="D714" s="8" t="s">
        <v>2551</v>
      </c>
      <c r="E714" s="8" t="s">
        <v>2552</v>
      </c>
      <c r="F714" s="8">
        <v>-1.3169078999999999</v>
      </c>
      <c r="G714" s="8">
        <v>1.1057485</v>
      </c>
      <c r="H714" s="6" t="str">
        <f t="shared" si="8"/>
        <v>Inverse</v>
      </c>
      <c r="I714" s="8" t="s">
        <v>2553</v>
      </c>
      <c r="J714" s="8" t="s">
        <v>2553</v>
      </c>
    </row>
    <row r="715" spans="1:10" x14ac:dyDescent="0.2">
      <c r="A715" s="8" t="s">
        <v>56</v>
      </c>
      <c r="B715" s="8" t="s">
        <v>57</v>
      </c>
      <c r="C715" s="8" t="s">
        <v>2554</v>
      </c>
      <c r="D715" s="8" t="s">
        <v>2555</v>
      </c>
      <c r="E715" s="8" t="s">
        <v>2556</v>
      </c>
      <c r="F715" s="8">
        <v>-1.5839848999999999</v>
      </c>
      <c r="G715" s="8">
        <v>-1.6845220000000001</v>
      </c>
      <c r="H715" s="6" t="str">
        <f t="shared" si="8"/>
        <v>Direct</v>
      </c>
      <c r="I715" s="8" t="s">
        <v>2557</v>
      </c>
      <c r="J715" s="8" t="s">
        <v>2557</v>
      </c>
    </row>
    <row r="716" spans="1:10" x14ac:dyDescent="0.2">
      <c r="A716" s="8" t="s">
        <v>56</v>
      </c>
      <c r="B716" s="8" t="s">
        <v>57</v>
      </c>
      <c r="C716" s="8" t="s">
        <v>2558</v>
      </c>
      <c r="D716" s="8" t="s">
        <v>2559</v>
      </c>
      <c r="E716" s="8" t="s">
        <v>2560</v>
      </c>
      <c r="F716" s="8">
        <v>-7.0034678000000001</v>
      </c>
      <c r="G716" s="8">
        <v>-4.3408965999999998</v>
      </c>
      <c r="H716" s="6" t="str">
        <f t="shared" si="8"/>
        <v>Direct</v>
      </c>
      <c r="I716" s="8" t="s">
        <v>2561</v>
      </c>
      <c r="J716" s="8" t="s">
        <v>2561</v>
      </c>
    </row>
    <row r="717" spans="1:10" x14ac:dyDescent="0.2">
      <c r="A717" s="8" t="s">
        <v>56</v>
      </c>
      <c r="B717" s="8" t="s">
        <v>57</v>
      </c>
      <c r="C717" s="8" t="s">
        <v>2562</v>
      </c>
      <c r="D717" s="8" t="s">
        <v>2563</v>
      </c>
      <c r="E717" s="8" t="s">
        <v>2564</v>
      </c>
      <c r="F717" s="8">
        <v>4.7634435599999998</v>
      </c>
      <c r="G717" s="8">
        <v>2.2461476899999999</v>
      </c>
      <c r="H717" s="6" t="str">
        <f t="shared" si="8"/>
        <v>Direct</v>
      </c>
      <c r="I717" s="8" t="s">
        <v>2565</v>
      </c>
      <c r="J717" s="8" t="s">
        <v>2565</v>
      </c>
    </row>
    <row r="718" spans="1:10" x14ac:dyDescent="0.2">
      <c r="A718" s="8" t="s">
        <v>56</v>
      </c>
      <c r="B718" s="8" t="s">
        <v>57</v>
      </c>
      <c r="C718" s="8" t="s">
        <v>2566</v>
      </c>
      <c r="D718" s="8" t="s">
        <v>2567</v>
      </c>
      <c r="E718" s="8" t="s">
        <v>2568</v>
      </c>
      <c r="F718" s="8">
        <v>-1.0839861</v>
      </c>
      <c r="G718" s="8">
        <v>1.0832545</v>
      </c>
      <c r="H718" s="6" t="str">
        <f t="shared" si="8"/>
        <v>Inverse</v>
      </c>
      <c r="I718" s="8" t="s">
        <v>2569</v>
      </c>
      <c r="J718" s="8" t="s">
        <v>2569</v>
      </c>
    </row>
    <row r="719" spans="1:10" x14ac:dyDescent="0.2">
      <c r="A719" s="8" t="s">
        <v>56</v>
      </c>
      <c r="B719" s="8" t="s">
        <v>57</v>
      </c>
      <c r="C719" s="8" t="s">
        <v>2570</v>
      </c>
      <c r="D719" s="8" t="s">
        <v>2571</v>
      </c>
      <c r="E719" s="8" t="s">
        <v>2572</v>
      </c>
      <c r="F719" s="8">
        <v>-3.6318492999999998</v>
      </c>
      <c r="G719" s="8">
        <v>-9.796735</v>
      </c>
      <c r="H719" s="6" t="str">
        <f t="shared" si="8"/>
        <v>Direct</v>
      </c>
      <c r="I719" s="8" t="s">
        <v>2573</v>
      </c>
      <c r="J719" s="8" t="s">
        <v>2573</v>
      </c>
    </row>
    <row r="720" spans="1:10" x14ac:dyDescent="0.2">
      <c r="A720" s="8" t="s">
        <v>56</v>
      </c>
      <c r="B720" s="8" t="s">
        <v>57</v>
      </c>
      <c r="C720" s="8" t="s">
        <v>2574</v>
      </c>
      <c r="D720" s="8" t="s">
        <v>2575</v>
      </c>
      <c r="E720" s="8" t="s">
        <v>2576</v>
      </c>
      <c r="F720" s="8">
        <v>-2.4066046000000001</v>
      </c>
      <c r="G720" s="8">
        <v>-1.8798196</v>
      </c>
      <c r="H720" s="6" t="str">
        <f t="shared" si="8"/>
        <v>Direct</v>
      </c>
      <c r="I720" s="8" t="s">
        <v>2577</v>
      </c>
      <c r="J720" s="8" t="s">
        <v>2577</v>
      </c>
    </row>
    <row r="721" spans="1:10" x14ac:dyDescent="0.2">
      <c r="A721" s="8" t="s">
        <v>56</v>
      </c>
      <c r="B721" s="8" t="s">
        <v>57</v>
      </c>
      <c r="C721" s="8" t="s">
        <v>2578</v>
      </c>
      <c r="D721" s="8" t="s">
        <v>2579</v>
      </c>
      <c r="E721" s="8" t="s">
        <v>2580</v>
      </c>
      <c r="F721" s="8">
        <v>-2.4021992999999999</v>
      </c>
      <c r="G721" s="8">
        <v>-1.4888713</v>
      </c>
      <c r="H721" s="6" t="str">
        <f t="shared" si="8"/>
        <v>Direct</v>
      </c>
      <c r="I721" s="8" t="s">
        <v>2581</v>
      </c>
      <c r="J721" s="8" t="s">
        <v>2581</v>
      </c>
    </row>
    <row r="722" spans="1:10" x14ac:dyDescent="0.2">
      <c r="A722" s="8" t="s">
        <v>56</v>
      </c>
      <c r="B722" s="8" t="s">
        <v>57</v>
      </c>
      <c r="C722" s="8" t="s">
        <v>2582</v>
      </c>
      <c r="D722" s="8" t="s">
        <v>2583</v>
      </c>
      <c r="E722" s="8" t="s">
        <v>2584</v>
      </c>
      <c r="F722" s="8">
        <v>-1.7810009</v>
      </c>
      <c r="G722" s="8">
        <v>-3.1598860000000002</v>
      </c>
      <c r="H722" s="6" t="str">
        <f t="shared" si="8"/>
        <v>Direct</v>
      </c>
      <c r="I722" s="8" t="s">
        <v>2585</v>
      </c>
      <c r="J722" s="8" t="s">
        <v>2585</v>
      </c>
    </row>
    <row r="723" spans="1:10" x14ac:dyDescent="0.2">
      <c r="A723" s="8" t="s">
        <v>56</v>
      </c>
      <c r="B723" s="8" t="s">
        <v>57</v>
      </c>
      <c r="C723" s="8" t="s">
        <v>2586</v>
      </c>
      <c r="D723" s="8" t="s">
        <v>2587</v>
      </c>
      <c r="E723" s="8" t="s">
        <v>2588</v>
      </c>
      <c r="F723" s="8">
        <v>-2.6791520000000002</v>
      </c>
      <c r="G723" s="8">
        <v>-1.286951</v>
      </c>
      <c r="H723" s="6" t="str">
        <f t="shared" si="8"/>
        <v>Direct</v>
      </c>
      <c r="I723" s="8" t="s">
        <v>2589</v>
      </c>
      <c r="J723" s="8" t="s">
        <v>2590</v>
      </c>
    </row>
    <row r="724" spans="1:10" x14ac:dyDescent="0.2">
      <c r="A724" s="8" t="s">
        <v>56</v>
      </c>
      <c r="B724" s="8" t="s">
        <v>57</v>
      </c>
      <c r="C724" s="8" t="s">
        <v>2591</v>
      </c>
      <c r="D724" s="8" t="s">
        <v>2592</v>
      </c>
      <c r="E724" s="8" t="s">
        <v>2593</v>
      </c>
      <c r="F724" s="8">
        <v>-2.9011898999999999</v>
      </c>
      <c r="G724" s="8">
        <v>-1.0543081000000001</v>
      </c>
      <c r="H724" s="6" t="str">
        <f t="shared" si="8"/>
        <v>Direct</v>
      </c>
      <c r="I724" s="8" t="s">
        <v>2066</v>
      </c>
      <c r="J724" s="8" t="s">
        <v>2066</v>
      </c>
    </row>
    <row r="725" spans="1:10" x14ac:dyDescent="0.2">
      <c r="A725" s="8" t="s">
        <v>56</v>
      </c>
      <c r="B725" s="8" t="s">
        <v>57</v>
      </c>
      <c r="C725" s="8" t="s">
        <v>2594</v>
      </c>
      <c r="D725" s="8" t="s">
        <v>2595</v>
      </c>
      <c r="E725" s="8" t="s">
        <v>2596</v>
      </c>
      <c r="F725" s="8">
        <v>-11.541949000000001</v>
      </c>
      <c r="G725" s="8">
        <v>-5.6539918</v>
      </c>
      <c r="H725" s="6" t="str">
        <f t="shared" si="8"/>
        <v>Direct</v>
      </c>
      <c r="I725" s="8" t="s">
        <v>2597</v>
      </c>
      <c r="J725" s="8" t="s">
        <v>2597</v>
      </c>
    </row>
    <row r="726" spans="1:10" x14ac:dyDescent="0.2">
      <c r="A726" s="8" t="s">
        <v>56</v>
      </c>
      <c r="B726" s="8" t="s">
        <v>57</v>
      </c>
      <c r="C726" s="8" t="s">
        <v>2598</v>
      </c>
      <c r="D726" s="8" t="s">
        <v>2599</v>
      </c>
      <c r="E726" s="8" t="s">
        <v>2600</v>
      </c>
      <c r="F726" s="8">
        <v>-12.890516</v>
      </c>
      <c r="G726" s="8">
        <v>-2.6309556999999999</v>
      </c>
      <c r="H726" s="6" t="str">
        <f t="shared" si="8"/>
        <v>Direct</v>
      </c>
      <c r="I726" s="8" t="s">
        <v>2601</v>
      </c>
      <c r="J726" s="8" t="s">
        <v>2601</v>
      </c>
    </row>
    <row r="727" spans="1:10" x14ac:dyDescent="0.2">
      <c r="A727" s="8" t="s">
        <v>56</v>
      </c>
      <c r="B727" s="8" t="s">
        <v>57</v>
      </c>
      <c r="C727" s="8" t="s">
        <v>2602</v>
      </c>
      <c r="D727" s="8" t="s">
        <v>2603</v>
      </c>
      <c r="E727" s="8" t="s">
        <v>2604</v>
      </c>
      <c r="F727" s="8">
        <v>-1.5908043999999999</v>
      </c>
      <c r="G727" s="8">
        <v>-2.600231</v>
      </c>
      <c r="H727" s="6" t="str">
        <f t="shared" si="8"/>
        <v>Direct</v>
      </c>
      <c r="I727" s="8" t="s">
        <v>2605</v>
      </c>
      <c r="J727" s="8" t="s">
        <v>2605</v>
      </c>
    </row>
    <row r="728" spans="1:10" x14ac:dyDescent="0.2">
      <c r="A728" s="8" t="s">
        <v>56</v>
      </c>
      <c r="B728" s="8" t="s">
        <v>57</v>
      </c>
      <c r="C728" s="8" t="s">
        <v>2606</v>
      </c>
      <c r="D728" s="8" t="s">
        <v>2607</v>
      </c>
      <c r="E728" s="8" t="s">
        <v>2608</v>
      </c>
      <c r="F728" s="8">
        <v>2.3589441799999999</v>
      </c>
      <c r="G728" s="8">
        <v>3.0024289099999999</v>
      </c>
      <c r="H728" s="6" t="str">
        <f t="shared" si="8"/>
        <v>Direct</v>
      </c>
      <c r="I728" s="8" t="s">
        <v>2609</v>
      </c>
      <c r="J728" s="8" t="s">
        <v>2610</v>
      </c>
    </row>
    <row r="729" spans="1:10" x14ac:dyDescent="0.2">
      <c r="A729" s="8" t="s">
        <v>56</v>
      </c>
      <c r="B729" s="8" t="s">
        <v>57</v>
      </c>
      <c r="C729" s="8" t="s">
        <v>2611</v>
      </c>
      <c r="D729" s="8" t="s">
        <v>2612</v>
      </c>
      <c r="E729" s="8" t="s">
        <v>2613</v>
      </c>
      <c r="F729" s="8">
        <v>-1.6543857</v>
      </c>
      <c r="G729" s="8">
        <v>-1.4888713</v>
      </c>
      <c r="H729" s="6" t="str">
        <f t="shared" si="8"/>
        <v>Direct</v>
      </c>
      <c r="I729" s="8" t="s">
        <v>2614</v>
      </c>
      <c r="J729" s="8" t="s">
        <v>2614</v>
      </c>
    </row>
    <row r="730" spans="1:10" x14ac:dyDescent="0.2">
      <c r="A730" s="8" t="s">
        <v>56</v>
      </c>
      <c r="B730" s="8" t="s">
        <v>62</v>
      </c>
      <c r="C730" s="8" t="s">
        <v>2615</v>
      </c>
      <c r="D730" s="8" t="s">
        <v>2616</v>
      </c>
      <c r="E730" s="8" t="s">
        <v>2617</v>
      </c>
      <c r="F730" s="8">
        <v>1.7777247899999999</v>
      </c>
      <c r="G730" s="8">
        <v>1.5464108000000001</v>
      </c>
      <c r="H730" s="6" t="str">
        <f t="shared" si="8"/>
        <v>Direct</v>
      </c>
      <c r="I730" s="8" t="s">
        <v>50</v>
      </c>
      <c r="J730" s="8" t="s">
        <v>1764</v>
      </c>
    </row>
    <row r="731" spans="1:10" x14ac:dyDescent="0.2">
      <c r="A731" s="8" t="s">
        <v>56</v>
      </c>
      <c r="B731" s="8" t="s">
        <v>62</v>
      </c>
      <c r="C731" s="8" t="s">
        <v>2618</v>
      </c>
      <c r="D731" s="8" t="s">
        <v>2619</v>
      </c>
      <c r="E731" s="8" t="s">
        <v>2620</v>
      </c>
      <c r="F731" s="8">
        <v>1.91472285</v>
      </c>
      <c r="G731" s="8">
        <v>-1.1004171</v>
      </c>
      <c r="H731" s="6" t="str">
        <f t="shared" si="8"/>
        <v>Inverse</v>
      </c>
      <c r="I731" s="8" t="s">
        <v>2621</v>
      </c>
      <c r="J731" s="8" t="s">
        <v>2622</v>
      </c>
    </row>
    <row r="732" spans="1:10" x14ac:dyDescent="0.2">
      <c r="A732" s="8" t="s">
        <v>56</v>
      </c>
      <c r="B732" s="8" t="s">
        <v>62</v>
      </c>
      <c r="C732" s="8" t="s">
        <v>1605</v>
      </c>
      <c r="D732" s="8" t="s">
        <v>1606</v>
      </c>
      <c r="E732" s="8" t="s">
        <v>1607</v>
      </c>
      <c r="F732" s="8">
        <v>-3.1783397</v>
      </c>
      <c r="G732" s="8">
        <v>-1.6430587000000001</v>
      </c>
      <c r="H732" s="6" t="str">
        <f t="shared" si="8"/>
        <v>Direct</v>
      </c>
      <c r="I732" s="8" t="s">
        <v>1608</v>
      </c>
      <c r="J732" s="8" t="s">
        <v>459</v>
      </c>
    </row>
    <row r="733" spans="1:10" x14ac:dyDescent="0.2">
      <c r="A733" s="8" t="s">
        <v>56</v>
      </c>
      <c r="B733" s="8" t="s">
        <v>62</v>
      </c>
      <c r="C733" s="8" t="s">
        <v>2623</v>
      </c>
      <c r="D733" s="8" t="s">
        <v>2624</v>
      </c>
      <c r="E733" s="8" t="s">
        <v>2625</v>
      </c>
      <c r="F733" s="8">
        <v>-1.0463644999999999</v>
      </c>
      <c r="G733" s="8">
        <v>1.29986431</v>
      </c>
      <c r="H733" s="6" t="str">
        <f t="shared" si="8"/>
        <v>Inverse</v>
      </c>
      <c r="I733" s="8" t="s">
        <v>2626</v>
      </c>
      <c r="J733" s="8" t="s">
        <v>2626</v>
      </c>
    </row>
    <row r="734" spans="1:10" x14ac:dyDescent="0.2">
      <c r="A734" s="8" t="s">
        <v>56</v>
      </c>
      <c r="B734" s="8" t="s">
        <v>62</v>
      </c>
      <c r="C734" s="8" t="s">
        <v>31</v>
      </c>
      <c r="D734" s="8" t="s">
        <v>32</v>
      </c>
      <c r="E734" s="8" t="s">
        <v>33</v>
      </c>
      <c r="F734" s="8">
        <v>2.9787437200000002</v>
      </c>
      <c r="G734" s="8">
        <v>-2.7471207</v>
      </c>
      <c r="H734" s="6" t="str">
        <f t="shared" si="8"/>
        <v>Inverse</v>
      </c>
      <c r="I734" s="8" t="s">
        <v>34</v>
      </c>
      <c r="J734" s="8" t="s">
        <v>34</v>
      </c>
    </row>
    <row r="735" spans="1:10" x14ac:dyDescent="0.2">
      <c r="A735" s="8" t="s">
        <v>56</v>
      </c>
      <c r="B735" s="8" t="s">
        <v>62</v>
      </c>
      <c r="C735" s="8" t="s">
        <v>2627</v>
      </c>
      <c r="D735" s="8" t="s">
        <v>2628</v>
      </c>
      <c r="E735" s="8" t="s">
        <v>2629</v>
      </c>
      <c r="F735" s="8">
        <v>2.2686517400000001</v>
      </c>
      <c r="G735" s="8">
        <v>1.8149649999999999</v>
      </c>
      <c r="H735" s="6" t="str">
        <f t="shared" si="8"/>
        <v>Direct</v>
      </c>
      <c r="I735" s="8" t="s">
        <v>2630</v>
      </c>
      <c r="J735" s="8" t="s">
        <v>2630</v>
      </c>
    </row>
    <row r="736" spans="1:10" x14ac:dyDescent="0.2">
      <c r="A736" s="8" t="s">
        <v>56</v>
      </c>
      <c r="B736" s="8" t="s">
        <v>62</v>
      </c>
      <c r="C736" s="8" t="s">
        <v>1509</v>
      </c>
      <c r="D736" s="8" t="s">
        <v>1510</v>
      </c>
      <c r="E736" s="8" t="s">
        <v>1511</v>
      </c>
      <c r="F736" s="8">
        <v>-1.8901273000000001</v>
      </c>
      <c r="G736" s="8">
        <v>-1.2807633</v>
      </c>
      <c r="H736" s="6" t="str">
        <f t="shared" si="8"/>
        <v>Direct</v>
      </c>
      <c r="I736" s="8" t="s">
        <v>50</v>
      </c>
      <c r="J736" s="8" t="s">
        <v>50</v>
      </c>
    </row>
    <row r="737" spans="1:10" x14ac:dyDescent="0.2">
      <c r="A737" s="8" t="s">
        <v>56</v>
      </c>
      <c r="B737" s="8" t="s">
        <v>62</v>
      </c>
      <c r="C737" s="8" t="s">
        <v>1512</v>
      </c>
      <c r="D737" s="8" t="s">
        <v>1513</v>
      </c>
      <c r="E737" s="8" t="s">
        <v>1514</v>
      </c>
      <c r="F737" s="8">
        <v>2.4687948</v>
      </c>
      <c r="G737" s="8">
        <v>-1.4661805000000001</v>
      </c>
      <c r="H737" s="6" t="str">
        <f t="shared" si="8"/>
        <v>Inverse</v>
      </c>
      <c r="I737" s="8" t="s">
        <v>50</v>
      </c>
      <c r="J737" s="8" t="s">
        <v>50</v>
      </c>
    </row>
    <row r="738" spans="1:10" x14ac:dyDescent="0.2">
      <c r="A738" s="8" t="s">
        <v>56</v>
      </c>
      <c r="B738" s="8" t="s">
        <v>62</v>
      </c>
      <c r="C738" s="8" t="s">
        <v>2631</v>
      </c>
      <c r="D738" s="8" t="s">
        <v>2632</v>
      </c>
      <c r="E738" s="8" t="s">
        <v>2633</v>
      </c>
      <c r="F738" s="8">
        <v>1.78186662</v>
      </c>
      <c r="G738" s="8">
        <v>-2.2418640000000001</v>
      </c>
      <c r="H738" s="6" t="str">
        <f t="shared" si="8"/>
        <v>Inverse</v>
      </c>
      <c r="I738" s="8" t="s">
        <v>2634</v>
      </c>
      <c r="J738" s="8" t="s">
        <v>2337</v>
      </c>
    </row>
    <row r="739" spans="1:10" x14ac:dyDescent="0.2">
      <c r="A739" s="8" t="s">
        <v>56</v>
      </c>
      <c r="B739" s="8" t="s">
        <v>62</v>
      </c>
      <c r="C739" s="8" t="s">
        <v>2635</v>
      </c>
      <c r="D739" s="8" t="s">
        <v>2636</v>
      </c>
      <c r="E739" s="8" t="s">
        <v>2637</v>
      </c>
      <c r="F739" s="8">
        <v>-2.2760935</v>
      </c>
      <c r="G739" s="8">
        <v>1.13329977</v>
      </c>
      <c r="H739" s="6" t="str">
        <f t="shared" si="8"/>
        <v>Inverse</v>
      </c>
      <c r="I739" s="8" t="s">
        <v>2638</v>
      </c>
      <c r="J739" s="8" t="s">
        <v>2638</v>
      </c>
    </row>
    <row r="740" spans="1:10" x14ac:dyDescent="0.2">
      <c r="A740" s="8" t="s">
        <v>56</v>
      </c>
      <c r="B740" s="8" t="s">
        <v>62</v>
      </c>
      <c r="C740" s="8" t="s">
        <v>2639</v>
      </c>
      <c r="D740" s="8" t="s">
        <v>2640</v>
      </c>
      <c r="E740" s="8" t="s">
        <v>2641</v>
      </c>
      <c r="F740" s="8">
        <v>2.07567871</v>
      </c>
      <c r="G740" s="8">
        <v>1.35989358</v>
      </c>
      <c r="H740" s="6" t="str">
        <f t="shared" si="8"/>
        <v>Direct</v>
      </c>
      <c r="I740" s="8" t="s">
        <v>223</v>
      </c>
      <c r="J740" s="8" t="s">
        <v>2642</v>
      </c>
    </row>
    <row r="741" spans="1:10" x14ac:dyDescent="0.2">
      <c r="A741" s="8" t="s">
        <v>56</v>
      </c>
      <c r="B741" s="8" t="s">
        <v>62</v>
      </c>
      <c r="C741" s="8" t="s">
        <v>2643</v>
      </c>
      <c r="D741" s="8" t="s">
        <v>2644</v>
      </c>
      <c r="E741" s="8" t="s">
        <v>2645</v>
      </c>
      <c r="F741" s="8">
        <v>1.5282041900000001</v>
      </c>
      <c r="G741" s="8">
        <v>-1.7260948</v>
      </c>
      <c r="H741" s="6" t="str">
        <f t="shared" si="8"/>
        <v>Inverse</v>
      </c>
      <c r="I741" s="8" t="s">
        <v>2646</v>
      </c>
      <c r="J741" s="8" t="s">
        <v>50</v>
      </c>
    </row>
    <row r="742" spans="1:10" x14ac:dyDescent="0.2">
      <c r="A742" s="8" t="s">
        <v>56</v>
      </c>
      <c r="B742" s="8" t="s">
        <v>62</v>
      </c>
      <c r="C742" s="8" t="s">
        <v>2647</v>
      </c>
      <c r="D742" s="8" t="s">
        <v>2648</v>
      </c>
      <c r="E742" s="8" t="s">
        <v>2649</v>
      </c>
      <c r="F742" s="8">
        <v>-1.2952235000000001</v>
      </c>
      <c r="G742" s="8">
        <v>1.9765296999999999</v>
      </c>
      <c r="H742" s="6" t="str">
        <f t="shared" si="8"/>
        <v>Inverse</v>
      </c>
      <c r="I742" s="8" t="s">
        <v>50</v>
      </c>
      <c r="J742" s="8" t="s">
        <v>2650</v>
      </c>
    </row>
    <row r="743" spans="1:10" x14ac:dyDescent="0.2">
      <c r="A743" s="8" t="s">
        <v>56</v>
      </c>
      <c r="B743" s="8" t="s">
        <v>62</v>
      </c>
      <c r="C743" s="8" t="s">
        <v>2651</v>
      </c>
      <c r="D743" s="8" t="s">
        <v>2652</v>
      </c>
      <c r="E743" s="8" t="s">
        <v>2653</v>
      </c>
      <c r="F743" s="8">
        <v>1.2290995600000001</v>
      </c>
      <c r="G743" s="8">
        <v>1.6915448799999999</v>
      </c>
      <c r="H743" s="6" t="str">
        <f t="shared" si="8"/>
        <v>Direct</v>
      </c>
      <c r="I743" s="8" t="s">
        <v>2654</v>
      </c>
      <c r="J743" s="8" t="s">
        <v>2654</v>
      </c>
    </row>
    <row r="744" spans="1:10" x14ac:dyDescent="0.2">
      <c r="A744" s="8" t="s">
        <v>56</v>
      </c>
      <c r="B744" s="8" t="s">
        <v>62</v>
      </c>
      <c r="C744" s="8" t="s">
        <v>1622</v>
      </c>
      <c r="D744" s="8" t="s">
        <v>1623</v>
      </c>
      <c r="E744" s="8" t="s">
        <v>1624</v>
      </c>
      <c r="F744" s="8">
        <v>1.6525177900000001</v>
      </c>
      <c r="G744" s="8">
        <v>2.88512558</v>
      </c>
      <c r="H744" s="6" t="str">
        <f t="shared" si="8"/>
        <v>Direct</v>
      </c>
      <c r="I744" s="8" t="s">
        <v>1625</v>
      </c>
      <c r="J744" s="8" t="s">
        <v>1626</v>
      </c>
    </row>
    <row r="745" spans="1:10" x14ac:dyDescent="0.2">
      <c r="A745" s="8" t="s">
        <v>56</v>
      </c>
      <c r="B745" s="8" t="s">
        <v>62</v>
      </c>
      <c r="C745" s="8" t="s">
        <v>103</v>
      </c>
      <c r="D745" s="8" t="s">
        <v>104</v>
      </c>
      <c r="E745" s="8" t="s">
        <v>105</v>
      </c>
      <c r="F745" s="8">
        <v>3.2603717400000001</v>
      </c>
      <c r="G745" s="8">
        <v>2.2890964299999998</v>
      </c>
      <c r="H745" s="6" t="str">
        <f t="shared" si="8"/>
        <v>Direct</v>
      </c>
      <c r="I745" s="8" t="s">
        <v>106</v>
      </c>
      <c r="J745" s="8" t="s">
        <v>107</v>
      </c>
    </row>
    <row r="746" spans="1:10" x14ac:dyDescent="0.2">
      <c r="A746" s="8" t="s">
        <v>56</v>
      </c>
      <c r="B746" s="8" t="s">
        <v>62</v>
      </c>
      <c r="C746" s="8" t="s">
        <v>1627</v>
      </c>
      <c r="D746" s="8" t="s">
        <v>1628</v>
      </c>
      <c r="E746" s="8" t="s">
        <v>1629</v>
      </c>
      <c r="F746" s="8">
        <v>-3.8945305000000001</v>
      </c>
      <c r="G746" s="8">
        <v>-3.2676886999999999</v>
      </c>
      <c r="H746" s="6" t="str">
        <f t="shared" si="8"/>
        <v>Direct</v>
      </c>
      <c r="I746" s="8" t="s">
        <v>1630</v>
      </c>
      <c r="J746" s="8" t="s">
        <v>1630</v>
      </c>
    </row>
    <row r="747" spans="1:10" x14ac:dyDescent="0.2">
      <c r="A747" s="8" t="s">
        <v>56</v>
      </c>
      <c r="B747" s="8" t="s">
        <v>62</v>
      </c>
      <c r="C747" s="8" t="s">
        <v>108</v>
      </c>
      <c r="D747" s="8" t="s">
        <v>834</v>
      </c>
      <c r="E747" s="8" t="s">
        <v>835</v>
      </c>
      <c r="F747" s="8">
        <v>-2.5536143</v>
      </c>
      <c r="G747" s="8">
        <v>-5.0277303</v>
      </c>
      <c r="H747" s="6" t="str">
        <f t="shared" si="8"/>
        <v>Direct</v>
      </c>
      <c r="I747" s="8" t="s">
        <v>112</v>
      </c>
      <c r="J747" s="8" t="s">
        <v>112</v>
      </c>
    </row>
    <row r="748" spans="1:10" x14ac:dyDescent="0.2">
      <c r="A748" s="8" t="s">
        <v>56</v>
      </c>
      <c r="B748" s="8" t="s">
        <v>62</v>
      </c>
      <c r="C748" s="8" t="s">
        <v>2655</v>
      </c>
      <c r="D748" s="8" t="s">
        <v>2656</v>
      </c>
      <c r="E748" s="8" t="s">
        <v>2657</v>
      </c>
      <c r="F748" s="8">
        <v>-2.1678416</v>
      </c>
      <c r="G748" s="8">
        <v>-2.0718964</v>
      </c>
      <c r="H748" s="6" t="str">
        <f t="shared" si="8"/>
        <v>Direct</v>
      </c>
      <c r="I748" s="8" t="s">
        <v>2078</v>
      </c>
      <c r="J748" s="8" t="s">
        <v>2078</v>
      </c>
    </row>
    <row r="749" spans="1:10" x14ac:dyDescent="0.2">
      <c r="A749" s="8" t="s">
        <v>56</v>
      </c>
      <c r="B749" s="8" t="s">
        <v>62</v>
      </c>
      <c r="C749" s="8" t="s">
        <v>1631</v>
      </c>
      <c r="D749" s="8" t="s">
        <v>1632</v>
      </c>
      <c r="E749" s="8" t="s">
        <v>1633</v>
      </c>
      <c r="F749" s="8">
        <v>-1.5517021</v>
      </c>
      <c r="G749" s="8">
        <v>-1.328063</v>
      </c>
      <c r="H749" s="6" t="str">
        <f t="shared" si="8"/>
        <v>Direct</v>
      </c>
      <c r="I749" s="8" t="s">
        <v>459</v>
      </c>
      <c r="J749" s="8" t="s">
        <v>459</v>
      </c>
    </row>
    <row r="750" spans="1:10" x14ac:dyDescent="0.2">
      <c r="A750" s="8" t="s">
        <v>56</v>
      </c>
      <c r="B750" s="8" t="s">
        <v>62</v>
      </c>
      <c r="C750" s="8" t="s">
        <v>1634</v>
      </c>
      <c r="D750" s="8" t="s">
        <v>1635</v>
      </c>
      <c r="E750" s="8" t="s">
        <v>1636</v>
      </c>
      <c r="F750" s="8">
        <v>-1.0127044000000001</v>
      </c>
      <c r="G750" s="8">
        <v>-1.855539</v>
      </c>
      <c r="H750" s="6" t="str">
        <f t="shared" si="8"/>
        <v>Direct</v>
      </c>
      <c r="I750" s="8" t="s">
        <v>1637</v>
      </c>
      <c r="J750" s="8" t="s">
        <v>1637</v>
      </c>
    </row>
    <row r="751" spans="1:10" x14ac:dyDescent="0.2">
      <c r="A751" s="8" t="s">
        <v>56</v>
      </c>
      <c r="B751" s="8" t="s">
        <v>62</v>
      </c>
      <c r="C751" s="8" t="s">
        <v>2658</v>
      </c>
      <c r="D751" s="8" t="s">
        <v>2659</v>
      </c>
      <c r="E751" s="8" t="s">
        <v>2660</v>
      </c>
      <c r="F751" s="8">
        <v>-7.9880284000000001</v>
      </c>
      <c r="G751" s="8">
        <v>4.6984073799999999</v>
      </c>
      <c r="H751" s="6" t="str">
        <f t="shared" si="8"/>
        <v>Inverse</v>
      </c>
      <c r="I751" s="8" t="s">
        <v>2661</v>
      </c>
      <c r="J751" s="8" t="s">
        <v>449</v>
      </c>
    </row>
    <row r="752" spans="1:10" x14ac:dyDescent="0.2">
      <c r="A752" s="8" t="s">
        <v>56</v>
      </c>
      <c r="B752" s="8" t="s">
        <v>62</v>
      </c>
      <c r="C752" s="8" t="s">
        <v>2662</v>
      </c>
      <c r="D752" s="8" t="s">
        <v>2663</v>
      </c>
      <c r="E752" s="8" t="s">
        <v>2664</v>
      </c>
      <c r="F752" s="8">
        <v>-1.3281015</v>
      </c>
      <c r="G752" s="8">
        <v>-1.1568973</v>
      </c>
      <c r="H752" s="6" t="str">
        <f t="shared" si="8"/>
        <v>Direct</v>
      </c>
      <c r="I752" s="8" t="s">
        <v>2665</v>
      </c>
      <c r="J752" s="8" t="s">
        <v>2665</v>
      </c>
    </row>
    <row r="753" spans="1:10" x14ac:dyDescent="0.2">
      <c r="A753" s="8" t="s">
        <v>56</v>
      </c>
      <c r="B753" s="8" t="s">
        <v>62</v>
      </c>
      <c r="C753" s="8" t="s">
        <v>2666</v>
      </c>
      <c r="D753" s="8" t="s">
        <v>2667</v>
      </c>
      <c r="E753" s="8" t="s">
        <v>2668</v>
      </c>
      <c r="F753" s="8">
        <v>4.5344895000000003</v>
      </c>
      <c r="G753" s="8">
        <v>-1.1091902</v>
      </c>
      <c r="H753" s="6" t="str">
        <f t="shared" si="8"/>
        <v>Inverse</v>
      </c>
      <c r="I753" s="8" t="s">
        <v>2669</v>
      </c>
      <c r="J753" s="8" t="s">
        <v>2669</v>
      </c>
    </row>
    <row r="754" spans="1:10" x14ac:dyDescent="0.2">
      <c r="A754" s="8" t="s">
        <v>56</v>
      </c>
      <c r="B754" s="8" t="s">
        <v>62</v>
      </c>
      <c r="C754" s="8" t="s">
        <v>2670</v>
      </c>
      <c r="D754" s="8" t="s">
        <v>2671</v>
      </c>
      <c r="E754" s="8" t="s">
        <v>2672</v>
      </c>
      <c r="F754" s="8">
        <v>-3.6991173000000002</v>
      </c>
      <c r="G754" s="8">
        <v>-1.3003343999999999</v>
      </c>
      <c r="H754" s="6" t="str">
        <f t="shared" si="8"/>
        <v>Direct</v>
      </c>
      <c r="I754" s="8" t="s">
        <v>50</v>
      </c>
      <c r="J754" s="8" t="s">
        <v>2673</v>
      </c>
    </row>
    <row r="755" spans="1:10" x14ac:dyDescent="0.2">
      <c r="A755" s="8" t="s">
        <v>56</v>
      </c>
      <c r="B755" s="8" t="s">
        <v>62</v>
      </c>
      <c r="C755" s="8" t="s">
        <v>2674</v>
      </c>
      <c r="D755" s="8" t="s">
        <v>2675</v>
      </c>
      <c r="E755" s="8" t="s">
        <v>2676</v>
      </c>
      <c r="F755" s="8">
        <v>-1.9925683000000001</v>
      </c>
      <c r="G755" s="8">
        <v>-2.955505</v>
      </c>
      <c r="H755" s="6" t="str">
        <f t="shared" si="8"/>
        <v>Direct</v>
      </c>
      <c r="I755" s="8" t="s">
        <v>50</v>
      </c>
      <c r="J755" s="8" t="s">
        <v>2677</v>
      </c>
    </row>
    <row r="756" spans="1:10" x14ac:dyDescent="0.2">
      <c r="A756" s="8" t="s">
        <v>56</v>
      </c>
      <c r="B756" s="8" t="s">
        <v>62</v>
      </c>
      <c r="C756" s="8" t="s">
        <v>1650</v>
      </c>
      <c r="D756" s="8" t="s">
        <v>1651</v>
      </c>
      <c r="E756" s="8" t="s">
        <v>1652</v>
      </c>
      <c r="F756" s="8">
        <v>12.595013700000001</v>
      </c>
      <c r="G756" s="8">
        <v>5.8288176099999998</v>
      </c>
      <c r="H756" s="6" t="str">
        <f t="shared" si="8"/>
        <v>Direct</v>
      </c>
      <c r="I756" s="8" t="s">
        <v>50</v>
      </c>
      <c r="J756" s="8" t="s">
        <v>107</v>
      </c>
    </row>
    <row r="757" spans="1:10" x14ac:dyDescent="0.2">
      <c r="A757" s="8" t="s">
        <v>56</v>
      </c>
      <c r="B757" s="8" t="s">
        <v>62</v>
      </c>
      <c r="C757" s="8" t="s">
        <v>2678</v>
      </c>
      <c r="D757" s="8" t="s">
        <v>2679</v>
      </c>
      <c r="E757" s="8" t="s">
        <v>2680</v>
      </c>
      <c r="F757" s="8">
        <v>-1.4591346999999999</v>
      </c>
      <c r="G757" s="8">
        <v>1.10604993</v>
      </c>
      <c r="H757" s="6" t="str">
        <f t="shared" si="8"/>
        <v>Inverse</v>
      </c>
      <c r="I757" s="8" t="s">
        <v>692</v>
      </c>
      <c r="J757" s="8" t="s">
        <v>692</v>
      </c>
    </row>
    <row r="758" spans="1:10" x14ac:dyDescent="0.2">
      <c r="A758" s="8" t="s">
        <v>56</v>
      </c>
      <c r="B758" s="8" t="s">
        <v>62</v>
      </c>
      <c r="C758" s="8" t="s">
        <v>2681</v>
      </c>
      <c r="D758" s="8" t="s">
        <v>2682</v>
      </c>
      <c r="E758" s="8" t="s">
        <v>2683</v>
      </c>
      <c r="F758" s="8">
        <v>-1.2470384999999999</v>
      </c>
      <c r="G758" s="8">
        <v>1.49768641</v>
      </c>
      <c r="H758" s="6" t="str">
        <f t="shared" si="8"/>
        <v>Inverse</v>
      </c>
      <c r="I758" s="8" t="s">
        <v>2684</v>
      </c>
      <c r="J758" s="8" t="s">
        <v>2684</v>
      </c>
    </row>
    <row r="759" spans="1:10" x14ac:dyDescent="0.2">
      <c r="A759" s="8" t="s">
        <v>56</v>
      </c>
      <c r="B759" s="8" t="s">
        <v>62</v>
      </c>
      <c r="C759" s="8" t="s">
        <v>2685</v>
      </c>
      <c r="D759" s="8" t="s">
        <v>2686</v>
      </c>
      <c r="E759" s="8" t="s">
        <v>2687</v>
      </c>
      <c r="F759" s="8">
        <v>-1.0610032</v>
      </c>
      <c r="G759" s="8">
        <v>1.6547814000000001</v>
      </c>
      <c r="H759" s="6" t="str">
        <f t="shared" si="8"/>
        <v>Inverse</v>
      </c>
      <c r="I759" s="8" t="s">
        <v>798</v>
      </c>
      <c r="J759" s="8" t="s">
        <v>798</v>
      </c>
    </row>
    <row r="760" spans="1:10" x14ac:dyDescent="0.2">
      <c r="A760" s="8" t="s">
        <v>56</v>
      </c>
      <c r="B760" s="8" t="s">
        <v>62</v>
      </c>
      <c r="C760" s="8" t="s">
        <v>2688</v>
      </c>
      <c r="D760" s="8" t="s">
        <v>2689</v>
      </c>
      <c r="E760" s="8" t="s">
        <v>2690</v>
      </c>
      <c r="F760" s="8">
        <v>-1.2977396000000001</v>
      </c>
      <c r="G760" s="8">
        <v>-2.2778540999999999</v>
      </c>
      <c r="H760" s="6" t="str">
        <f t="shared" si="8"/>
        <v>Direct</v>
      </c>
      <c r="I760" s="8" t="s">
        <v>2066</v>
      </c>
      <c r="J760" s="8" t="s">
        <v>2066</v>
      </c>
    </row>
    <row r="761" spans="1:10" x14ac:dyDescent="0.2">
      <c r="A761" s="8" t="s">
        <v>56</v>
      </c>
      <c r="B761" s="8" t="s">
        <v>62</v>
      </c>
      <c r="C761" s="8" t="s">
        <v>2691</v>
      </c>
      <c r="D761" s="8" t="s">
        <v>2692</v>
      </c>
      <c r="E761" s="8" t="s">
        <v>2693</v>
      </c>
      <c r="F761" s="8">
        <v>1.26394954</v>
      </c>
      <c r="G761" s="8">
        <v>1.3652218599999999</v>
      </c>
      <c r="H761" s="6" t="str">
        <f t="shared" si="8"/>
        <v>Direct</v>
      </c>
      <c r="I761" s="8" t="s">
        <v>2066</v>
      </c>
      <c r="J761" s="8" t="s">
        <v>2066</v>
      </c>
    </row>
    <row r="762" spans="1:10" x14ac:dyDescent="0.2">
      <c r="A762" s="8" t="s">
        <v>56</v>
      </c>
      <c r="B762" s="8" t="s">
        <v>62</v>
      </c>
      <c r="C762" s="8" t="s">
        <v>2694</v>
      </c>
      <c r="D762" s="8" t="s">
        <v>2695</v>
      </c>
      <c r="E762" s="8" t="s">
        <v>2696</v>
      </c>
      <c r="F762" s="8">
        <v>-1.8534059000000001</v>
      </c>
      <c r="G762" s="8">
        <v>-1.1005307</v>
      </c>
      <c r="H762" s="6" t="str">
        <f t="shared" si="8"/>
        <v>Direct</v>
      </c>
      <c r="I762" s="8" t="s">
        <v>2697</v>
      </c>
      <c r="J762" s="8" t="s">
        <v>2697</v>
      </c>
    </row>
    <row r="763" spans="1:10" x14ac:dyDescent="0.2">
      <c r="A763" s="8" t="s">
        <v>56</v>
      </c>
      <c r="B763" s="8" t="s">
        <v>62</v>
      </c>
      <c r="C763" s="8" t="s">
        <v>1661</v>
      </c>
      <c r="D763" s="8" t="s">
        <v>1662</v>
      </c>
      <c r="E763" s="8" t="s">
        <v>1663</v>
      </c>
      <c r="F763" s="8">
        <v>-3.729508</v>
      </c>
      <c r="G763" s="8">
        <v>-6.2227041999999999</v>
      </c>
      <c r="H763" s="6" t="str">
        <f t="shared" si="8"/>
        <v>Direct</v>
      </c>
      <c r="I763" s="8" t="s">
        <v>1664</v>
      </c>
      <c r="J763" s="8" t="s">
        <v>1664</v>
      </c>
    </row>
    <row r="764" spans="1:10" x14ac:dyDescent="0.2">
      <c r="A764" s="8" t="s">
        <v>56</v>
      </c>
      <c r="B764" s="8" t="s">
        <v>62</v>
      </c>
      <c r="C764" s="8" t="s">
        <v>2698</v>
      </c>
      <c r="D764" s="8" t="s">
        <v>2699</v>
      </c>
      <c r="E764" s="8" t="s">
        <v>2700</v>
      </c>
      <c r="F764" s="8">
        <v>3.3183369900000002</v>
      </c>
      <c r="G764" s="8">
        <v>-1.1943820999999999</v>
      </c>
      <c r="H764" s="6" t="str">
        <f t="shared" si="8"/>
        <v>Inverse</v>
      </c>
      <c r="I764" s="8" t="s">
        <v>2701</v>
      </c>
      <c r="J764" s="8" t="s">
        <v>871</v>
      </c>
    </row>
    <row r="765" spans="1:10" x14ac:dyDescent="0.2">
      <c r="A765" s="8" t="s">
        <v>56</v>
      </c>
      <c r="B765" s="8" t="s">
        <v>62</v>
      </c>
      <c r="C765" s="8" t="s">
        <v>2702</v>
      </c>
      <c r="D765" s="8" t="s">
        <v>2703</v>
      </c>
      <c r="E765" s="8" t="s">
        <v>2704</v>
      </c>
      <c r="F765" s="8">
        <v>-1.4102424</v>
      </c>
      <c r="G765" s="8">
        <v>1.2246136299999999</v>
      </c>
      <c r="H765" s="6" t="str">
        <f t="shared" si="8"/>
        <v>Inverse</v>
      </c>
      <c r="I765" s="8" t="s">
        <v>2705</v>
      </c>
      <c r="J765" s="8" t="s">
        <v>2705</v>
      </c>
    </row>
    <row r="766" spans="1:10" x14ac:dyDescent="0.2">
      <c r="A766" s="8" t="s">
        <v>56</v>
      </c>
      <c r="B766" s="8" t="s">
        <v>62</v>
      </c>
      <c r="C766" s="8" t="s">
        <v>2706</v>
      </c>
      <c r="D766" s="8" t="s">
        <v>2707</v>
      </c>
      <c r="E766" s="8" t="s">
        <v>2708</v>
      </c>
      <c r="F766" s="8">
        <v>3.5805387799999999</v>
      </c>
      <c r="G766" s="8">
        <v>1.3955459800000001</v>
      </c>
      <c r="H766" s="6" t="str">
        <f t="shared" si="8"/>
        <v>Direct</v>
      </c>
      <c r="I766" s="8" t="s">
        <v>445</v>
      </c>
      <c r="J766" s="8" t="s">
        <v>87</v>
      </c>
    </row>
    <row r="767" spans="1:10" x14ac:dyDescent="0.2">
      <c r="A767" s="8" t="s">
        <v>56</v>
      </c>
      <c r="B767" s="8" t="s">
        <v>62</v>
      </c>
      <c r="C767" s="8" t="s">
        <v>2709</v>
      </c>
      <c r="D767" s="8" t="s">
        <v>2710</v>
      </c>
      <c r="E767" s="8" t="s">
        <v>2711</v>
      </c>
      <c r="F767" s="8">
        <v>-1.6016128999999999</v>
      </c>
      <c r="G767" s="8">
        <v>-1.2872144999999999</v>
      </c>
      <c r="H767" s="6" t="str">
        <f t="shared" ref="H767:H1021" si="9">IF(OR(AND(F767&gt;0,G767&gt;0),AND(F767&lt;0,G767&lt;0)),"Direct","Inverse")</f>
        <v>Direct</v>
      </c>
      <c r="I767" s="8" t="s">
        <v>1621</v>
      </c>
      <c r="J767" s="8" t="s">
        <v>1621</v>
      </c>
    </row>
    <row r="768" spans="1:10" x14ac:dyDescent="0.2">
      <c r="A768" s="8" t="s">
        <v>56</v>
      </c>
      <c r="B768" s="8" t="s">
        <v>62</v>
      </c>
      <c r="C768" s="8" t="s">
        <v>1665</v>
      </c>
      <c r="D768" s="8" t="s">
        <v>1666</v>
      </c>
      <c r="E768" s="8" t="s">
        <v>1667</v>
      </c>
      <c r="F768" s="8">
        <v>1.1435521</v>
      </c>
      <c r="G768" s="8">
        <v>2.4346125600000001</v>
      </c>
      <c r="H768" s="6" t="str">
        <f t="shared" si="9"/>
        <v>Direct</v>
      </c>
      <c r="I768" s="8" t="s">
        <v>1668</v>
      </c>
      <c r="J768" s="8" t="s">
        <v>1669</v>
      </c>
    </row>
    <row r="769" spans="1:10" x14ac:dyDescent="0.2">
      <c r="A769" s="8" t="s">
        <v>56</v>
      </c>
      <c r="B769" s="8" t="s">
        <v>62</v>
      </c>
      <c r="C769" s="8" t="s">
        <v>2712</v>
      </c>
      <c r="D769" s="8" t="s">
        <v>2713</v>
      </c>
      <c r="E769" s="8" t="s">
        <v>2714</v>
      </c>
      <c r="F769" s="8">
        <v>-2.0799432000000002</v>
      </c>
      <c r="G769" s="8">
        <v>-2.1036375999999999</v>
      </c>
      <c r="H769" s="6" t="str">
        <f t="shared" si="9"/>
        <v>Direct</v>
      </c>
      <c r="I769" s="8" t="s">
        <v>2715</v>
      </c>
      <c r="J769" s="8" t="s">
        <v>2715</v>
      </c>
    </row>
    <row r="770" spans="1:10" x14ac:dyDescent="0.2">
      <c r="A770" s="8" t="s">
        <v>56</v>
      </c>
      <c r="B770" s="8" t="s">
        <v>62</v>
      </c>
      <c r="C770" s="8" t="s">
        <v>2716</v>
      </c>
      <c r="D770" s="8" t="s">
        <v>2717</v>
      </c>
      <c r="E770" s="8" t="s">
        <v>2718</v>
      </c>
      <c r="F770" s="8">
        <v>-3.3152976000000001</v>
      </c>
      <c r="G770" s="8">
        <v>1.00753128</v>
      </c>
      <c r="H770" s="6" t="str">
        <f t="shared" si="9"/>
        <v>Inverse</v>
      </c>
      <c r="I770" s="8" t="s">
        <v>2719</v>
      </c>
      <c r="J770" s="8" t="s">
        <v>2719</v>
      </c>
    </row>
    <row r="771" spans="1:10" x14ac:dyDescent="0.2">
      <c r="A771" s="8" t="s">
        <v>56</v>
      </c>
      <c r="B771" s="8" t="s">
        <v>62</v>
      </c>
      <c r="C771" s="8" t="s">
        <v>2720</v>
      </c>
      <c r="D771" s="8" t="s">
        <v>2721</v>
      </c>
      <c r="E771" s="8" t="s">
        <v>2722</v>
      </c>
      <c r="F771" s="8">
        <v>-10.526547000000001</v>
      </c>
      <c r="G771" s="8">
        <v>-1.1608704999999999</v>
      </c>
      <c r="H771" s="6" t="str">
        <f t="shared" si="9"/>
        <v>Direct</v>
      </c>
      <c r="I771" s="8" t="s">
        <v>50</v>
      </c>
      <c r="J771" s="8" t="s">
        <v>2723</v>
      </c>
    </row>
    <row r="772" spans="1:10" x14ac:dyDescent="0.2">
      <c r="A772" s="8" t="s">
        <v>56</v>
      </c>
      <c r="B772" s="8" t="s">
        <v>62</v>
      </c>
      <c r="C772" s="8" t="s">
        <v>2724</v>
      </c>
      <c r="D772" s="8" t="s">
        <v>2725</v>
      </c>
      <c r="E772" s="8" t="s">
        <v>2726</v>
      </c>
      <c r="F772" s="8">
        <v>2.77926969</v>
      </c>
      <c r="G772" s="8">
        <v>1.3368096599999999</v>
      </c>
      <c r="H772" s="6" t="str">
        <f t="shared" si="9"/>
        <v>Direct</v>
      </c>
      <c r="I772" s="8" t="s">
        <v>50</v>
      </c>
      <c r="J772" s="8" t="s">
        <v>2727</v>
      </c>
    </row>
    <row r="773" spans="1:10" x14ac:dyDescent="0.2">
      <c r="A773" s="8" t="s">
        <v>56</v>
      </c>
      <c r="B773" s="8" t="s">
        <v>62</v>
      </c>
      <c r="C773" s="8" t="s">
        <v>2728</v>
      </c>
      <c r="D773" s="8" t="s">
        <v>2729</v>
      </c>
      <c r="E773" s="8" t="s">
        <v>2730</v>
      </c>
      <c r="F773" s="8">
        <v>-3.8906366999999999</v>
      </c>
      <c r="G773" s="8">
        <v>-4.7698783999999996</v>
      </c>
      <c r="H773" s="6" t="str">
        <f t="shared" si="9"/>
        <v>Direct</v>
      </c>
      <c r="I773" s="8" t="s">
        <v>2731</v>
      </c>
      <c r="J773" s="8" t="s">
        <v>2731</v>
      </c>
    </row>
    <row r="774" spans="1:10" x14ac:dyDescent="0.2">
      <c r="A774" s="8" t="s">
        <v>56</v>
      </c>
      <c r="B774" s="8" t="s">
        <v>62</v>
      </c>
      <c r="C774" s="8" t="s">
        <v>2732</v>
      </c>
      <c r="D774" s="8" t="s">
        <v>2733</v>
      </c>
      <c r="E774" s="8" t="s">
        <v>2734</v>
      </c>
      <c r="F774" s="8">
        <v>-1.7478232</v>
      </c>
      <c r="G774" s="8">
        <v>1.34940305</v>
      </c>
      <c r="H774" s="6" t="str">
        <f t="shared" si="9"/>
        <v>Inverse</v>
      </c>
      <c r="I774" s="8" t="s">
        <v>2735</v>
      </c>
      <c r="J774" s="8" t="s">
        <v>2736</v>
      </c>
    </row>
    <row r="775" spans="1:10" x14ac:dyDescent="0.2">
      <c r="A775" s="8" t="s">
        <v>56</v>
      </c>
      <c r="B775" s="8" t="s">
        <v>62</v>
      </c>
      <c r="C775" s="8" t="s">
        <v>2737</v>
      </c>
      <c r="D775" s="8" t="s">
        <v>2738</v>
      </c>
      <c r="E775" s="8" t="s">
        <v>2739</v>
      </c>
      <c r="F775" s="8">
        <v>5.5685540199999997</v>
      </c>
      <c r="G775" s="8">
        <v>2.27147144</v>
      </c>
      <c r="H775" s="6" t="str">
        <f t="shared" si="9"/>
        <v>Direct</v>
      </c>
      <c r="I775" s="8" t="s">
        <v>2740</v>
      </c>
      <c r="J775" s="8" t="s">
        <v>2740</v>
      </c>
    </row>
    <row r="776" spans="1:10" x14ac:dyDescent="0.2">
      <c r="A776" s="8" t="s">
        <v>56</v>
      </c>
      <c r="B776" s="8" t="s">
        <v>62</v>
      </c>
      <c r="C776" s="8" t="s">
        <v>2741</v>
      </c>
      <c r="D776" s="8" t="s">
        <v>2742</v>
      </c>
      <c r="E776" s="8" t="s">
        <v>2743</v>
      </c>
      <c r="F776" s="8">
        <v>3.3788771999999998</v>
      </c>
      <c r="G776" s="8">
        <v>-2.3781221000000001</v>
      </c>
      <c r="H776" s="6" t="str">
        <f t="shared" si="9"/>
        <v>Inverse</v>
      </c>
      <c r="I776" s="8" t="s">
        <v>2744</v>
      </c>
      <c r="J776" s="8" t="s">
        <v>2745</v>
      </c>
    </row>
    <row r="777" spans="1:10" x14ac:dyDescent="0.2">
      <c r="A777" s="8" t="s">
        <v>56</v>
      </c>
      <c r="B777" s="8" t="s">
        <v>62</v>
      </c>
      <c r="C777" s="8" t="s">
        <v>1670</v>
      </c>
      <c r="D777" s="8" t="s">
        <v>1671</v>
      </c>
      <c r="E777" s="8" t="s">
        <v>1672</v>
      </c>
      <c r="F777" s="8">
        <v>1.8983995300000001</v>
      </c>
      <c r="G777" s="8">
        <v>-1.4956638</v>
      </c>
      <c r="H777" s="6" t="str">
        <f t="shared" si="9"/>
        <v>Inverse</v>
      </c>
      <c r="I777" s="8" t="s">
        <v>50</v>
      </c>
      <c r="J777" s="8" t="s">
        <v>1159</v>
      </c>
    </row>
    <row r="778" spans="1:10" x14ac:dyDescent="0.2">
      <c r="A778" s="8" t="s">
        <v>56</v>
      </c>
      <c r="B778" s="8" t="s">
        <v>62</v>
      </c>
      <c r="C778" s="8" t="s">
        <v>2746</v>
      </c>
      <c r="D778" s="8" t="s">
        <v>2747</v>
      </c>
      <c r="E778" s="8" t="s">
        <v>2748</v>
      </c>
      <c r="F778" s="8">
        <v>-1.8534059000000001</v>
      </c>
      <c r="G778" s="8">
        <v>1.1155197400000001</v>
      </c>
      <c r="H778" s="6" t="str">
        <f t="shared" si="9"/>
        <v>Inverse</v>
      </c>
      <c r="I778" s="8" t="s">
        <v>2749</v>
      </c>
      <c r="J778" s="8" t="s">
        <v>2749</v>
      </c>
    </row>
    <row r="779" spans="1:10" x14ac:dyDescent="0.2">
      <c r="A779" s="8" t="s">
        <v>56</v>
      </c>
      <c r="B779" s="8" t="s">
        <v>62</v>
      </c>
      <c r="C779" s="8" t="s">
        <v>1531</v>
      </c>
      <c r="D779" s="8" t="s">
        <v>1532</v>
      </c>
      <c r="E779" s="8" t="s">
        <v>1533</v>
      </c>
      <c r="F779" s="8">
        <v>2.4991828200000001</v>
      </c>
      <c r="G779" s="8">
        <v>3.9820457</v>
      </c>
      <c r="H779" s="6" t="str">
        <f t="shared" si="9"/>
        <v>Direct</v>
      </c>
      <c r="I779" s="8" t="s">
        <v>1534</v>
      </c>
      <c r="J779" s="8" t="s">
        <v>1534</v>
      </c>
    </row>
    <row r="780" spans="1:10" x14ac:dyDescent="0.2">
      <c r="A780" s="8" t="s">
        <v>56</v>
      </c>
      <c r="B780" s="8" t="s">
        <v>62</v>
      </c>
      <c r="C780" s="8" t="s">
        <v>1673</v>
      </c>
      <c r="D780" s="8" t="s">
        <v>1674</v>
      </c>
      <c r="E780" s="8" t="s">
        <v>1675</v>
      </c>
      <c r="F780" s="8">
        <v>-8.7090394999999994</v>
      </c>
      <c r="G780" s="8">
        <v>-3.6039653</v>
      </c>
      <c r="H780" s="6" t="str">
        <f t="shared" si="9"/>
        <v>Direct</v>
      </c>
      <c r="I780" s="8" t="s">
        <v>1676</v>
      </c>
      <c r="J780" s="8" t="s">
        <v>1676</v>
      </c>
    </row>
    <row r="781" spans="1:10" x14ac:dyDescent="0.2">
      <c r="A781" s="8" t="s">
        <v>56</v>
      </c>
      <c r="B781" s="8" t="s">
        <v>62</v>
      </c>
      <c r="C781" s="8" t="s">
        <v>2750</v>
      </c>
      <c r="D781" s="8" t="s">
        <v>2751</v>
      </c>
      <c r="E781" s="8" t="s">
        <v>2752</v>
      </c>
      <c r="F781" s="8">
        <v>3.21507209</v>
      </c>
      <c r="G781" s="8">
        <v>-1.0833409000000001</v>
      </c>
      <c r="H781" s="6" t="str">
        <f t="shared" si="9"/>
        <v>Inverse</v>
      </c>
      <c r="I781" s="8" t="s">
        <v>2753</v>
      </c>
      <c r="J781" s="8" t="s">
        <v>2753</v>
      </c>
    </row>
    <row r="782" spans="1:10" x14ac:dyDescent="0.2">
      <c r="A782" s="8" t="s">
        <v>56</v>
      </c>
      <c r="B782" s="8" t="s">
        <v>62</v>
      </c>
      <c r="C782" s="8" t="s">
        <v>1677</v>
      </c>
      <c r="D782" s="8" t="s">
        <v>1678</v>
      </c>
      <c r="E782" s="8" t="s">
        <v>1679</v>
      </c>
      <c r="F782" s="8">
        <v>3.8722783600000001</v>
      </c>
      <c r="G782" s="8">
        <v>2.55956041</v>
      </c>
      <c r="H782" s="6" t="str">
        <f t="shared" si="9"/>
        <v>Direct</v>
      </c>
      <c r="I782" s="8" t="s">
        <v>1343</v>
      </c>
      <c r="J782" s="8" t="s">
        <v>1343</v>
      </c>
    </row>
    <row r="783" spans="1:10" x14ac:dyDescent="0.2">
      <c r="A783" s="8" t="s">
        <v>56</v>
      </c>
      <c r="B783" s="8" t="s">
        <v>62</v>
      </c>
      <c r="C783" s="8" t="s">
        <v>2754</v>
      </c>
      <c r="D783" s="8" t="s">
        <v>2755</v>
      </c>
      <c r="E783" s="8" t="s">
        <v>2756</v>
      </c>
      <c r="F783" s="8">
        <v>-11.837503</v>
      </c>
      <c r="G783" s="8">
        <v>-2.8020516999999998</v>
      </c>
      <c r="H783" s="6" t="str">
        <f t="shared" si="9"/>
        <v>Direct</v>
      </c>
      <c r="I783" s="8" t="s">
        <v>1449</v>
      </c>
      <c r="J783" s="8" t="s">
        <v>1449</v>
      </c>
    </row>
    <row r="784" spans="1:10" x14ac:dyDescent="0.2">
      <c r="A784" s="8" t="s">
        <v>56</v>
      </c>
      <c r="B784" s="8" t="s">
        <v>62</v>
      </c>
      <c r="C784" s="8" t="s">
        <v>2757</v>
      </c>
      <c r="D784" s="8" t="s">
        <v>2758</v>
      </c>
      <c r="E784" s="8" t="s">
        <v>2759</v>
      </c>
      <c r="F784" s="8">
        <v>-2.2847499999999998</v>
      </c>
      <c r="G784" s="8">
        <v>4.4933238600000003</v>
      </c>
      <c r="H784" s="6" t="str">
        <f t="shared" si="9"/>
        <v>Inverse</v>
      </c>
      <c r="I784" s="8" t="s">
        <v>2760</v>
      </c>
      <c r="J784" s="8" t="s">
        <v>2760</v>
      </c>
    </row>
    <row r="785" spans="1:10" x14ac:dyDescent="0.2">
      <c r="A785" s="8" t="s">
        <v>56</v>
      </c>
      <c r="B785" s="8" t="s">
        <v>62</v>
      </c>
      <c r="C785" s="8" t="s">
        <v>1680</v>
      </c>
      <c r="D785" s="8" t="s">
        <v>1681</v>
      </c>
      <c r="E785" s="8" t="s">
        <v>1682</v>
      </c>
      <c r="F785" s="8">
        <v>1.12223162</v>
      </c>
      <c r="G785" s="8">
        <v>4.9399126300000002</v>
      </c>
      <c r="H785" s="6" t="str">
        <f t="shared" si="9"/>
        <v>Direct</v>
      </c>
      <c r="I785" s="8" t="s">
        <v>1683</v>
      </c>
      <c r="J785" s="8" t="s">
        <v>1683</v>
      </c>
    </row>
    <row r="786" spans="1:10" x14ac:dyDescent="0.2">
      <c r="A786" s="8" t="s">
        <v>56</v>
      </c>
      <c r="B786" s="8" t="s">
        <v>62</v>
      </c>
      <c r="C786" s="8" t="s">
        <v>1684</v>
      </c>
      <c r="D786" s="8" t="s">
        <v>1685</v>
      </c>
      <c r="E786" s="8" t="s">
        <v>1686</v>
      </c>
      <c r="F786" s="8">
        <v>-10.037088000000001</v>
      </c>
      <c r="G786" s="8">
        <v>-32.513151999999998</v>
      </c>
      <c r="H786" s="6" t="str">
        <f t="shared" si="9"/>
        <v>Direct</v>
      </c>
      <c r="I786" s="8" t="s">
        <v>1687</v>
      </c>
      <c r="J786" s="8" t="s">
        <v>1687</v>
      </c>
    </row>
    <row r="787" spans="1:10" x14ac:dyDescent="0.2">
      <c r="A787" s="8" t="s">
        <v>56</v>
      </c>
      <c r="B787" s="8" t="s">
        <v>62</v>
      </c>
      <c r="C787" s="8" t="s">
        <v>2761</v>
      </c>
      <c r="D787" s="8" t="s">
        <v>2762</v>
      </c>
      <c r="E787" s="8" t="s">
        <v>2763</v>
      </c>
      <c r="F787" s="8">
        <v>-1.5413718000000001</v>
      </c>
      <c r="G787" s="8">
        <v>-1.1671396000000001</v>
      </c>
      <c r="H787" s="6" t="str">
        <f t="shared" si="9"/>
        <v>Direct</v>
      </c>
      <c r="I787" s="8" t="s">
        <v>2764</v>
      </c>
      <c r="J787" s="8" t="s">
        <v>2764</v>
      </c>
    </row>
    <row r="788" spans="1:10" x14ac:dyDescent="0.2">
      <c r="A788" s="8" t="s">
        <v>56</v>
      </c>
      <c r="B788" s="8" t="s">
        <v>62</v>
      </c>
      <c r="C788" s="8" t="s">
        <v>2765</v>
      </c>
      <c r="D788" s="8" t="s">
        <v>2766</v>
      </c>
      <c r="E788" s="8" t="s">
        <v>2767</v>
      </c>
      <c r="F788" s="8">
        <v>1.5930897500000001</v>
      </c>
      <c r="G788" s="8">
        <v>1.09418824</v>
      </c>
      <c r="H788" s="6" t="str">
        <f t="shared" si="9"/>
        <v>Direct</v>
      </c>
      <c r="I788" s="8" t="s">
        <v>50</v>
      </c>
      <c r="J788" s="8" t="s">
        <v>2768</v>
      </c>
    </row>
    <row r="789" spans="1:10" x14ac:dyDescent="0.2">
      <c r="A789" s="8" t="s">
        <v>56</v>
      </c>
      <c r="B789" s="8" t="s">
        <v>62</v>
      </c>
      <c r="C789" s="8" t="s">
        <v>2769</v>
      </c>
      <c r="D789" s="8" t="s">
        <v>2770</v>
      </c>
      <c r="E789" s="8" t="s">
        <v>2771</v>
      </c>
      <c r="F789" s="8">
        <v>8.2943194200000008</v>
      </c>
      <c r="G789" s="8">
        <v>2.5395054500000001</v>
      </c>
      <c r="H789" s="6" t="str">
        <f t="shared" si="9"/>
        <v>Direct</v>
      </c>
      <c r="I789" s="8" t="s">
        <v>2772</v>
      </c>
      <c r="J789" s="8" t="s">
        <v>2772</v>
      </c>
    </row>
    <row r="790" spans="1:10" x14ac:dyDescent="0.2">
      <c r="A790" s="8" t="s">
        <v>56</v>
      </c>
      <c r="B790" s="8" t="s">
        <v>62</v>
      </c>
      <c r="C790" s="8" t="s">
        <v>2773</v>
      </c>
      <c r="D790" s="8" t="s">
        <v>2774</v>
      </c>
      <c r="E790" s="8" t="s">
        <v>2775</v>
      </c>
      <c r="F790" s="8">
        <v>-1.1181528000000001</v>
      </c>
      <c r="G790" s="8">
        <v>-3.4147015000000001</v>
      </c>
      <c r="H790" s="6" t="str">
        <f t="shared" si="9"/>
        <v>Direct</v>
      </c>
      <c r="I790" s="8" t="s">
        <v>2776</v>
      </c>
      <c r="J790" s="8" t="s">
        <v>2776</v>
      </c>
    </row>
    <row r="791" spans="1:10" x14ac:dyDescent="0.2">
      <c r="A791" s="8" t="s">
        <v>56</v>
      </c>
      <c r="B791" s="8" t="s">
        <v>62</v>
      </c>
      <c r="C791" s="8" t="s">
        <v>2777</v>
      </c>
      <c r="D791" s="8" t="s">
        <v>2778</v>
      </c>
      <c r="E791" s="8" t="s">
        <v>2779</v>
      </c>
      <c r="F791" s="8">
        <v>2.5547095</v>
      </c>
      <c r="G791" s="8">
        <v>1.42750223</v>
      </c>
      <c r="H791" s="6" t="str">
        <f t="shared" si="9"/>
        <v>Direct</v>
      </c>
      <c r="I791" s="8" t="s">
        <v>50</v>
      </c>
      <c r="J791" s="8" t="s">
        <v>2500</v>
      </c>
    </row>
    <row r="792" spans="1:10" x14ac:dyDescent="0.2">
      <c r="A792" s="8" t="s">
        <v>56</v>
      </c>
      <c r="B792" s="8" t="s">
        <v>62</v>
      </c>
      <c r="C792" s="8" t="s">
        <v>236</v>
      </c>
      <c r="D792" s="8" t="s">
        <v>237</v>
      </c>
      <c r="E792" s="8" t="s">
        <v>238</v>
      </c>
      <c r="F792" s="8">
        <v>1.0807378400000001</v>
      </c>
      <c r="G792" s="8">
        <v>-1.8370675999999999</v>
      </c>
      <c r="H792" s="6" t="str">
        <f t="shared" si="9"/>
        <v>Inverse</v>
      </c>
      <c r="I792" s="8" t="s">
        <v>34</v>
      </c>
      <c r="J792" s="8" t="s">
        <v>34</v>
      </c>
    </row>
    <row r="793" spans="1:10" x14ac:dyDescent="0.2">
      <c r="A793" s="8" t="s">
        <v>56</v>
      </c>
      <c r="B793" s="8" t="s">
        <v>62</v>
      </c>
      <c r="C793" s="8" t="s">
        <v>2780</v>
      </c>
      <c r="D793" s="8" t="s">
        <v>2781</v>
      </c>
      <c r="E793" s="8" t="s">
        <v>2782</v>
      </c>
      <c r="F793" s="8">
        <v>-2.6822365000000001</v>
      </c>
      <c r="G793" s="8">
        <v>-1.7485554000000001</v>
      </c>
      <c r="H793" s="6" t="str">
        <f t="shared" si="9"/>
        <v>Direct</v>
      </c>
      <c r="I793" s="8" t="s">
        <v>50</v>
      </c>
      <c r="J793" s="8" t="s">
        <v>50</v>
      </c>
    </row>
    <row r="794" spans="1:10" x14ac:dyDescent="0.2">
      <c r="A794" s="8" t="s">
        <v>56</v>
      </c>
      <c r="B794" s="8" t="s">
        <v>62</v>
      </c>
      <c r="C794" s="8" t="s">
        <v>2783</v>
      </c>
      <c r="D794" s="8" t="s">
        <v>2784</v>
      </c>
      <c r="E794" s="8" t="s">
        <v>2785</v>
      </c>
      <c r="F794" s="8">
        <v>-7.1083521999999997</v>
      </c>
      <c r="G794" s="8">
        <v>1.7309617500000001</v>
      </c>
      <c r="H794" s="6" t="str">
        <f t="shared" si="9"/>
        <v>Inverse</v>
      </c>
      <c r="I794" s="8" t="s">
        <v>859</v>
      </c>
      <c r="J794" s="8" t="s">
        <v>859</v>
      </c>
    </row>
    <row r="795" spans="1:10" x14ac:dyDescent="0.2">
      <c r="A795" s="8" t="s">
        <v>56</v>
      </c>
      <c r="B795" s="8" t="s">
        <v>62</v>
      </c>
      <c r="C795" s="8" t="s">
        <v>2786</v>
      </c>
      <c r="D795" s="8" t="s">
        <v>2787</v>
      </c>
      <c r="E795" s="8" t="s">
        <v>2788</v>
      </c>
      <c r="F795" s="8">
        <v>-1.5583286999999999</v>
      </c>
      <c r="G795" s="8">
        <v>-2.6582347</v>
      </c>
      <c r="H795" s="6" t="str">
        <f t="shared" si="9"/>
        <v>Direct</v>
      </c>
      <c r="I795" s="8" t="s">
        <v>2789</v>
      </c>
      <c r="J795" s="8" t="s">
        <v>2789</v>
      </c>
    </row>
    <row r="796" spans="1:10" x14ac:dyDescent="0.2">
      <c r="A796" s="8" t="s">
        <v>56</v>
      </c>
      <c r="B796" s="8" t="s">
        <v>62</v>
      </c>
      <c r="C796" s="8" t="s">
        <v>1704</v>
      </c>
      <c r="D796" s="8" t="s">
        <v>1705</v>
      </c>
      <c r="E796" s="8" t="s">
        <v>1706</v>
      </c>
      <c r="F796" s="8">
        <v>-6.1127656000000004</v>
      </c>
      <c r="G796" s="8">
        <v>1.5615797300000001</v>
      </c>
      <c r="H796" s="6" t="str">
        <f t="shared" si="9"/>
        <v>Inverse</v>
      </c>
      <c r="I796" s="8" t="s">
        <v>1707</v>
      </c>
      <c r="J796" s="8" t="s">
        <v>1449</v>
      </c>
    </row>
    <row r="797" spans="1:10" x14ac:dyDescent="0.2">
      <c r="A797" s="8" t="s">
        <v>56</v>
      </c>
      <c r="B797" s="8" t="s">
        <v>62</v>
      </c>
      <c r="C797" s="8" t="s">
        <v>2790</v>
      </c>
      <c r="D797" s="8" t="s">
        <v>2791</v>
      </c>
      <c r="E797" s="8" t="s">
        <v>2792</v>
      </c>
      <c r="F797" s="8">
        <v>-7.9714429999999998</v>
      </c>
      <c r="G797" s="8">
        <v>-1.3131170999999999</v>
      </c>
      <c r="H797" s="6" t="str">
        <f t="shared" si="9"/>
        <v>Direct</v>
      </c>
      <c r="I797" s="8" t="s">
        <v>379</v>
      </c>
      <c r="J797" s="8" t="s">
        <v>2793</v>
      </c>
    </row>
    <row r="798" spans="1:10" x14ac:dyDescent="0.2">
      <c r="A798" s="8" t="s">
        <v>56</v>
      </c>
      <c r="B798" s="8" t="s">
        <v>62</v>
      </c>
      <c r="C798" s="8" t="s">
        <v>1712</v>
      </c>
      <c r="D798" s="8" t="s">
        <v>1713</v>
      </c>
      <c r="E798" s="8" t="s">
        <v>1714</v>
      </c>
      <c r="F798" s="8">
        <v>10.195027700000001</v>
      </c>
      <c r="G798" s="8">
        <v>1.3304499400000001</v>
      </c>
      <c r="H798" s="6" t="str">
        <f t="shared" si="9"/>
        <v>Direct</v>
      </c>
      <c r="I798" s="8" t="s">
        <v>1715</v>
      </c>
      <c r="J798" s="8" t="s">
        <v>1715</v>
      </c>
    </row>
    <row r="799" spans="1:10" x14ac:dyDescent="0.2">
      <c r="A799" s="8" t="s">
        <v>56</v>
      </c>
      <c r="B799" s="8" t="s">
        <v>62</v>
      </c>
      <c r="C799" s="8" t="s">
        <v>1716</v>
      </c>
      <c r="D799" s="8" t="s">
        <v>1717</v>
      </c>
      <c r="E799" s="8" t="s">
        <v>1718</v>
      </c>
      <c r="F799" s="8">
        <v>2.8648571999999999</v>
      </c>
      <c r="G799" s="8">
        <v>12.1327359</v>
      </c>
      <c r="H799" s="6" t="str">
        <f t="shared" si="9"/>
        <v>Direct</v>
      </c>
      <c r="I799" s="8" t="s">
        <v>1719</v>
      </c>
      <c r="J799" s="8" t="s">
        <v>1719</v>
      </c>
    </row>
    <row r="800" spans="1:10" x14ac:dyDescent="0.2">
      <c r="A800" s="8" t="s">
        <v>56</v>
      </c>
      <c r="B800" s="8" t="s">
        <v>62</v>
      </c>
      <c r="C800" s="8" t="s">
        <v>1724</v>
      </c>
      <c r="D800" s="8" t="s">
        <v>1725</v>
      </c>
      <c r="E800" s="8" t="s">
        <v>1726</v>
      </c>
      <c r="F800" s="8">
        <v>19.639681</v>
      </c>
      <c r="G800" s="8">
        <v>2.4903128200000002</v>
      </c>
      <c r="H800" s="6" t="str">
        <f t="shared" si="9"/>
        <v>Direct</v>
      </c>
      <c r="I800" s="8" t="s">
        <v>1422</v>
      </c>
      <c r="J800" s="8" t="s">
        <v>1727</v>
      </c>
    </row>
    <row r="801" spans="1:10" x14ac:dyDescent="0.2">
      <c r="A801" s="8" t="s">
        <v>56</v>
      </c>
      <c r="B801" s="8" t="s">
        <v>62</v>
      </c>
      <c r="C801" s="8" t="s">
        <v>2794</v>
      </c>
      <c r="D801" s="8" t="s">
        <v>2795</v>
      </c>
      <c r="E801" s="8" t="s">
        <v>2796</v>
      </c>
      <c r="F801" s="8">
        <v>2.0994586000000002</v>
      </c>
      <c r="G801" s="8">
        <v>-1.3135131</v>
      </c>
      <c r="H801" s="6" t="str">
        <f t="shared" si="9"/>
        <v>Inverse</v>
      </c>
      <c r="I801" s="8" t="s">
        <v>2797</v>
      </c>
      <c r="J801" s="8" t="s">
        <v>1163</v>
      </c>
    </row>
    <row r="802" spans="1:10" x14ac:dyDescent="0.2">
      <c r="A802" s="8" t="s">
        <v>56</v>
      </c>
      <c r="B802" s="8" t="s">
        <v>62</v>
      </c>
      <c r="C802" s="8" t="s">
        <v>2798</v>
      </c>
      <c r="D802" s="8" t="s">
        <v>2799</v>
      </c>
      <c r="E802" s="8" t="s">
        <v>2800</v>
      </c>
      <c r="F802" s="8">
        <v>-2.4745382</v>
      </c>
      <c r="G802" s="8">
        <v>-2.539717</v>
      </c>
      <c r="H802" s="6" t="str">
        <f t="shared" si="9"/>
        <v>Direct</v>
      </c>
      <c r="I802" s="8" t="s">
        <v>2801</v>
      </c>
      <c r="J802" s="8" t="s">
        <v>2802</v>
      </c>
    </row>
    <row r="803" spans="1:10" x14ac:dyDescent="0.2">
      <c r="A803" s="8" t="s">
        <v>56</v>
      </c>
      <c r="B803" s="8" t="s">
        <v>62</v>
      </c>
      <c r="C803" s="8" t="s">
        <v>2803</v>
      </c>
      <c r="D803" s="8" t="s">
        <v>2804</v>
      </c>
      <c r="E803" s="8" t="s">
        <v>2805</v>
      </c>
      <c r="F803" s="8">
        <v>-28.351634000000001</v>
      </c>
      <c r="G803" s="8">
        <v>-1.6553241000000001</v>
      </c>
      <c r="H803" s="6" t="str">
        <f t="shared" si="9"/>
        <v>Direct</v>
      </c>
      <c r="I803" s="8" t="s">
        <v>2806</v>
      </c>
      <c r="J803" s="8" t="s">
        <v>2806</v>
      </c>
    </row>
    <row r="804" spans="1:10" x14ac:dyDescent="0.2">
      <c r="A804" s="8" t="s">
        <v>56</v>
      </c>
      <c r="B804" s="8" t="s">
        <v>62</v>
      </c>
      <c r="C804" s="8" t="s">
        <v>2807</v>
      </c>
      <c r="D804" s="8" t="s">
        <v>2808</v>
      </c>
      <c r="E804" s="8" t="s">
        <v>2809</v>
      </c>
      <c r="F804" s="8">
        <v>-1.0512079999999999</v>
      </c>
      <c r="G804" s="8">
        <v>-1.4607821000000001</v>
      </c>
      <c r="H804" s="6" t="str">
        <f t="shared" si="9"/>
        <v>Direct</v>
      </c>
      <c r="I804" s="8" t="s">
        <v>2810</v>
      </c>
      <c r="J804" s="8" t="s">
        <v>2810</v>
      </c>
    </row>
    <row r="805" spans="1:10" x14ac:dyDescent="0.2">
      <c r="A805" s="8" t="s">
        <v>56</v>
      </c>
      <c r="B805" s="8" t="s">
        <v>62</v>
      </c>
      <c r="C805" s="8" t="s">
        <v>2811</v>
      </c>
      <c r="D805" s="8" t="s">
        <v>2812</v>
      </c>
      <c r="E805" s="8" t="s">
        <v>2813</v>
      </c>
      <c r="F805" s="8">
        <v>-5.4572409999999998</v>
      </c>
      <c r="G805" s="8">
        <v>1.63488236</v>
      </c>
      <c r="H805" s="6" t="str">
        <f t="shared" si="9"/>
        <v>Inverse</v>
      </c>
      <c r="I805" s="8" t="s">
        <v>112</v>
      </c>
      <c r="J805" s="8" t="s">
        <v>112</v>
      </c>
    </row>
    <row r="806" spans="1:10" x14ac:dyDescent="0.2">
      <c r="A806" s="8" t="s">
        <v>56</v>
      </c>
      <c r="B806" s="8" t="s">
        <v>62</v>
      </c>
      <c r="C806" s="8" t="s">
        <v>2814</v>
      </c>
      <c r="D806" s="8" t="s">
        <v>2815</v>
      </c>
      <c r="E806" s="8" t="s">
        <v>2816</v>
      </c>
      <c r="F806" s="8">
        <v>-9.7793244999999995</v>
      </c>
      <c r="G806" s="8">
        <v>-1.7170011000000001</v>
      </c>
      <c r="H806" s="6" t="str">
        <f t="shared" si="9"/>
        <v>Direct</v>
      </c>
      <c r="I806" s="8" t="s">
        <v>2817</v>
      </c>
      <c r="J806" s="8" t="s">
        <v>2817</v>
      </c>
    </row>
    <row r="807" spans="1:10" x14ac:dyDescent="0.2">
      <c r="A807" s="8" t="s">
        <v>56</v>
      </c>
      <c r="B807" s="8" t="s">
        <v>62</v>
      </c>
      <c r="C807" s="8" t="s">
        <v>2818</v>
      </c>
      <c r="D807" s="8" t="s">
        <v>2819</v>
      </c>
      <c r="E807" s="8" t="s">
        <v>2820</v>
      </c>
      <c r="F807" s="8">
        <v>1.3277729899999999</v>
      </c>
      <c r="G807" s="8">
        <v>1.0329216999999999</v>
      </c>
      <c r="H807" s="6" t="str">
        <f t="shared" si="9"/>
        <v>Direct</v>
      </c>
      <c r="I807" s="8" t="s">
        <v>2821</v>
      </c>
      <c r="J807" s="8" t="s">
        <v>2821</v>
      </c>
    </row>
    <row r="808" spans="1:10" x14ac:dyDescent="0.2">
      <c r="A808" s="8" t="s">
        <v>56</v>
      </c>
      <c r="B808" s="8" t="s">
        <v>62</v>
      </c>
      <c r="C808" s="8" t="s">
        <v>2822</v>
      </c>
      <c r="D808" s="8" t="s">
        <v>2823</v>
      </c>
      <c r="E808" s="8" t="s">
        <v>2824</v>
      </c>
      <c r="F808" s="8">
        <v>1.8911528500000001</v>
      </c>
      <c r="G808" s="8">
        <v>1.03158974</v>
      </c>
      <c r="H808" s="6" t="str">
        <f t="shared" si="9"/>
        <v>Direct</v>
      </c>
      <c r="I808" s="8" t="s">
        <v>1518</v>
      </c>
      <c r="J808" s="8" t="s">
        <v>1518</v>
      </c>
    </row>
    <row r="809" spans="1:10" x14ac:dyDescent="0.2">
      <c r="A809" s="8" t="s">
        <v>56</v>
      </c>
      <c r="B809" s="8" t="s">
        <v>62</v>
      </c>
      <c r="C809" s="8" t="s">
        <v>2825</v>
      </c>
      <c r="D809" s="8" t="s">
        <v>2826</v>
      </c>
      <c r="E809" s="8" t="s">
        <v>2827</v>
      </c>
      <c r="F809" s="8">
        <v>2.28076591</v>
      </c>
      <c r="G809" s="8">
        <v>1.42770164</v>
      </c>
      <c r="H809" s="6" t="str">
        <f t="shared" si="9"/>
        <v>Direct</v>
      </c>
      <c r="I809" s="8" t="s">
        <v>2828</v>
      </c>
      <c r="J809" s="8" t="s">
        <v>2828</v>
      </c>
    </row>
    <row r="810" spans="1:10" x14ac:dyDescent="0.2">
      <c r="A810" s="8" t="s">
        <v>56</v>
      </c>
      <c r="B810" s="8" t="s">
        <v>62</v>
      </c>
      <c r="C810" s="8" t="s">
        <v>2829</v>
      </c>
      <c r="D810" s="8" t="s">
        <v>2830</v>
      </c>
      <c r="E810" s="8" t="s">
        <v>2831</v>
      </c>
      <c r="F810" s="8">
        <v>3.41419826</v>
      </c>
      <c r="G810" s="8">
        <v>2.3562381499999998</v>
      </c>
      <c r="H810" s="6" t="str">
        <f t="shared" si="9"/>
        <v>Direct</v>
      </c>
      <c r="I810" s="8" t="s">
        <v>2832</v>
      </c>
      <c r="J810" s="8" t="s">
        <v>2832</v>
      </c>
    </row>
    <row r="811" spans="1:10" x14ac:dyDescent="0.2">
      <c r="A811" s="8" t="s">
        <v>56</v>
      </c>
      <c r="B811" s="8" t="s">
        <v>62</v>
      </c>
      <c r="C811" s="8" t="s">
        <v>1728</v>
      </c>
      <c r="D811" s="8" t="s">
        <v>1729</v>
      </c>
      <c r="E811" s="8" t="s">
        <v>1730</v>
      </c>
      <c r="F811" s="8">
        <v>-1.0141222999999999</v>
      </c>
      <c r="G811" s="8">
        <v>-10.052771</v>
      </c>
      <c r="H811" s="6" t="str">
        <f t="shared" si="9"/>
        <v>Direct</v>
      </c>
      <c r="I811" s="8" t="s">
        <v>1731</v>
      </c>
      <c r="J811" s="8" t="s">
        <v>1731</v>
      </c>
    </row>
    <row r="812" spans="1:10" x14ac:dyDescent="0.2">
      <c r="A812" s="8" t="s">
        <v>56</v>
      </c>
      <c r="B812" s="8" t="s">
        <v>62</v>
      </c>
      <c r="C812" s="8" t="s">
        <v>1744</v>
      </c>
      <c r="D812" s="8" t="s">
        <v>1745</v>
      </c>
      <c r="E812" s="8" t="s">
        <v>1746</v>
      </c>
      <c r="F812" s="8">
        <v>4.3450116100000002</v>
      </c>
      <c r="G812" s="8">
        <v>1.0947692</v>
      </c>
      <c r="H812" s="6" t="str">
        <f t="shared" si="9"/>
        <v>Direct</v>
      </c>
      <c r="I812" s="8" t="s">
        <v>1747</v>
      </c>
      <c r="J812" s="8" t="s">
        <v>1747</v>
      </c>
    </row>
    <row r="813" spans="1:10" x14ac:dyDescent="0.2">
      <c r="A813" s="8" t="s">
        <v>56</v>
      </c>
      <c r="B813" s="8" t="s">
        <v>62</v>
      </c>
      <c r="C813" s="8" t="s">
        <v>2833</v>
      </c>
      <c r="D813" s="8" t="s">
        <v>2834</v>
      </c>
      <c r="E813" s="8" t="s">
        <v>2835</v>
      </c>
      <c r="F813" s="8">
        <v>1.30974938</v>
      </c>
      <c r="G813" s="8">
        <v>1.3159241500000001</v>
      </c>
      <c r="H813" s="6" t="str">
        <f t="shared" si="9"/>
        <v>Direct</v>
      </c>
      <c r="I813" s="8" t="s">
        <v>2836</v>
      </c>
      <c r="J813" s="8" t="s">
        <v>2837</v>
      </c>
    </row>
    <row r="814" spans="1:10" x14ac:dyDescent="0.2">
      <c r="A814" s="8" t="s">
        <v>56</v>
      </c>
      <c r="B814" s="8" t="s">
        <v>62</v>
      </c>
      <c r="C814" s="8" t="s">
        <v>312</v>
      </c>
      <c r="D814" s="8" t="s">
        <v>313</v>
      </c>
      <c r="E814" s="8" t="s">
        <v>314</v>
      </c>
      <c r="F814" s="8">
        <v>-2.3891011</v>
      </c>
      <c r="G814" s="8">
        <v>-11.24295</v>
      </c>
      <c r="H814" s="6" t="str">
        <f t="shared" si="9"/>
        <v>Direct</v>
      </c>
      <c r="I814" s="8" t="s">
        <v>315</v>
      </c>
      <c r="J814" s="8" t="s">
        <v>315</v>
      </c>
    </row>
    <row r="815" spans="1:10" x14ac:dyDescent="0.2">
      <c r="A815" s="8" t="s">
        <v>56</v>
      </c>
      <c r="B815" s="8" t="s">
        <v>62</v>
      </c>
      <c r="C815" s="8" t="s">
        <v>2838</v>
      </c>
      <c r="D815" s="8" t="s">
        <v>2839</v>
      </c>
      <c r="E815" s="8" t="s">
        <v>2840</v>
      </c>
      <c r="F815" s="8">
        <v>-2.6248895999999999</v>
      </c>
      <c r="G815" s="8">
        <v>-1.9030362000000001</v>
      </c>
      <c r="H815" s="6" t="str">
        <f t="shared" si="9"/>
        <v>Direct</v>
      </c>
      <c r="I815" s="8" t="s">
        <v>2841</v>
      </c>
      <c r="J815" s="8" t="s">
        <v>2841</v>
      </c>
    </row>
    <row r="816" spans="1:10" x14ac:dyDescent="0.2">
      <c r="A816" s="8" t="s">
        <v>56</v>
      </c>
      <c r="B816" s="8" t="s">
        <v>62</v>
      </c>
      <c r="C816" s="8" t="s">
        <v>2842</v>
      </c>
      <c r="D816" s="8" t="s">
        <v>2843</v>
      </c>
      <c r="E816" s="8" t="s">
        <v>2844</v>
      </c>
      <c r="F816" s="8">
        <v>-21.905552</v>
      </c>
      <c r="G816" s="8">
        <v>-1.29372</v>
      </c>
      <c r="H816" s="6" t="str">
        <f t="shared" si="9"/>
        <v>Direct</v>
      </c>
      <c r="I816" s="8" t="s">
        <v>2845</v>
      </c>
      <c r="J816" s="8" t="s">
        <v>2845</v>
      </c>
    </row>
    <row r="817" spans="1:10" x14ac:dyDescent="0.2">
      <c r="A817" s="8" t="s">
        <v>56</v>
      </c>
      <c r="B817" s="8" t="s">
        <v>62</v>
      </c>
      <c r="C817" s="8" t="s">
        <v>1748</v>
      </c>
      <c r="D817" s="8" t="s">
        <v>1749</v>
      </c>
      <c r="E817" s="8" t="s">
        <v>1750</v>
      </c>
      <c r="F817" s="8">
        <v>-2.8994241999999999</v>
      </c>
      <c r="G817" s="8">
        <v>-3.4199635000000002</v>
      </c>
      <c r="H817" s="6" t="str">
        <f t="shared" si="9"/>
        <v>Direct</v>
      </c>
      <c r="I817" s="8" t="s">
        <v>1751</v>
      </c>
      <c r="J817" s="8" t="s">
        <v>1751</v>
      </c>
    </row>
    <row r="818" spans="1:10" x14ac:dyDescent="0.2">
      <c r="A818" s="8" t="s">
        <v>56</v>
      </c>
      <c r="B818" s="8" t="s">
        <v>62</v>
      </c>
      <c r="C818" s="8" t="s">
        <v>2846</v>
      </c>
      <c r="D818" s="8" t="s">
        <v>2847</v>
      </c>
      <c r="E818" s="8" t="s">
        <v>2848</v>
      </c>
      <c r="F818" s="8">
        <v>6.3977542500000002</v>
      </c>
      <c r="G818" s="8">
        <v>1.25257269</v>
      </c>
      <c r="H818" s="6" t="str">
        <f t="shared" si="9"/>
        <v>Direct</v>
      </c>
      <c r="I818" s="8" t="s">
        <v>2849</v>
      </c>
      <c r="J818" s="8" t="s">
        <v>2849</v>
      </c>
    </row>
    <row r="819" spans="1:10" x14ac:dyDescent="0.2">
      <c r="A819" s="8" t="s">
        <v>56</v>
      </c>
      <c r="B819" s="8" t="s">
        <v>62</v>
      </c>
      <c r="C819" s="8" t="s">
        <v>1752</v>
      </c>
      <c r="D819" s="8" t="s">
        <v>1753</v>
      </c>
      <c r="E819" s="8" t="s">
        <v>1754</v>
      </c>
      <c r="F819" s="8">
        <v>-3.7448918999999998</v>
      </c>
      <c r="G819" s="8">
        <v>-2.3542089000000002</v>
      </c>
      <c r="H819" s="6" t="str">
        <f t="shared" si="9"/>
        <v>Direct</v>
      </c>
      <c r="I819" s="8" t="s">
        <v>1755</v>
      </c>
      <c r="J819" s="8" t="s">
        <v>1755</v>
      </c>
    </row>
    <row r="820" spans="1:10" x14ac:dyDescent="0.2">
      <c r="A820" s="8" t="s">
        <v>56</v>
      </c>
      <c r="B820" s="8" t="s">
        <v>62</v>
      </c>
      <c r="C820" s="8" t="s">
        <v>1756</v>
      </c>
      <c r="D820" s="8" t="s">
        <v>1757</v>
      </c>
      <c r="E820" s="8" t="s">
        <v>1758</v>
      </c>
      <c r="F820" s="8">
        <v>1.50395279</v>
      </c>
      <c r="G820" s="8">
        <v>2.7654665399999998</v>
      </c>
      <c r="H820" s="6" t="str">
        <f t="shared" si="9"/>
        <v>Direct</v>
      </c>
      <c r="I820" s="8" t="s">
        <v>1759</v>
      </c>
      <c r="J820" s="8" t="s">
        <v>1759</v>
      </c>
    </row>
    <row r="821" spans="1:10" x14ac:dyDescent="0.2">
      <c r="A821" s="8" t="s">
        <v>56</v>
      </c>
      <c r="B821" s="8" t="s">
        <v>62</v>
      </c>
      <c r="C821" s="8" t="s">
        <v>2850</v>
      </c>
      <c r="D821" s="8" t="s">
        <v>2851</v>
      </c>
      <c r="E821" s="8" t="s">
        <v>2852</v>
      </c>
      <c r="F821" s="8">
        <v>-1.1426212</v>
      </c>
      <c r="G821" s="8">
        <v>-2.5736572999999998</v>
      </c>
      <c r="H821" s="6" t="str">
        <f t="shared" si="9"/>
        <v>Direct</v>
      </c>
      <c r="I821" s="8" t="s">
        <v>2853</v>
      </c>
      <c r="J821" s="8" t="s">
        <v>2853</v>
      </c>
    </row>
    <row r="822" spans="1:10" x14ac:dyDescent="0.2">
      <c r="A822" s="8" t="s">
        <v>56</v>
      </c>
      <c r="B822" s="8" t="s">
        <v>62</v>
      </c>
      <c r="C822" s="8" t="s">
        <v>2854</v>
      </c>
      <c r="D822" s="8" t="s">
        <v>2855</v>
      </c>
      <c r="E822" s="8" t="s">
        <v>2856</v>
      </c>
      <c r="F822" s="8">
        <v>-1.3686765000000001</v>
      </c>
      <c r="G822" s="8">
        <v>-4.0585057000000004</v>
      </c>
      <c r="H822" s="6" t="str">
        <f t="shared" si="9"/>
        <v>Direct</v>
      </c>
      <c r="I822" s="8" t="s">
        <v>2857</v>
      </c>
      <c r="J822" s="8" t="s">
        <v>2857</v>
      </c>
    </row>
    <row r="823" spans="1:10" x14ac:dyDescent="0.2">
      <c r="A823" s="8" t="s">
        <v>56</v>
      </c>
      <c r="B823" s="8" t="s">
        <v>62</v>
      </c>
      <c r="C823" s="8" t="s">
        <v>2858</v>
      </c>
      <c r="D823" s="8" t="s">
        <v>2859</v>
      </c>
      <c r="E823" s="8" t="s">
        <v>2860</v>
      </c>
      <c r="F823" s="8">
        <v>-3.5314168000000001</v>
      </c>
      <c r="G823" s="8">
        <v>1.0604299399999999</v>
      </c>
      <c r="H823" s="6" t="str">
        <f t="shared" si="9"/>
        <v>Inverse</v>
      </c>
      <c r="I823" s="8" t="s">
        <v>2861</v>
      </c>
      <c r="J823" s="8" t="s">
        <v>2861</v>
      </c>
    </row>
    <row r="824" spans="1:10" x14ac:dyDescent="0.2">
      <c r="A824" s="8" t="s">
        <v>56</v>
      </c>
      <c r="B824" s="8" t="s">
        <v>62</v>
      </c>
      <c r="C824" s="8" t="s">
        <v>1760</v>
      </c>
      <c r="D824" s="8" t="s">
        <v>1761</v>
      </c>
      <c r="E824" s="8" t="s">
        <v>1762</v>
      </c>
      <c r="F824" s="8">
        <v>1.81910539</v>
      </c>
      <c r="G824" s="8">
        <v>3.8750926799999998</v>
      </c>
      <c r="H824" s="6" t="str">
        <f t="shared" si="9"/>
        <v>Direct</v>
      </c>
      <c r="I824" s="8" t="s">
        <v>1763</v>
      </c>
      <c r="J824" s="8" t="s">
        <v>1764</v>
      </c>
    </row>
    <row r="825" spans="1:10" x14ac:dyDescent="0.2">
      <c r="A825" s="8" t="s">
        <v>56</v>
      </c>
      <c r="B825" s="8" t="s">
        <v>62</v>
      </c>
      <c r="C825" s="8" t="s">
        <v>1765</v>
      </c>
      <c r="D825" s="8" t="s">
        <v>1766</v>
      </c>
      <c r="E825" s="8" t="s">
        <v>1767</v>
      </c>
      <c r="F825" s="8">
        <v>-1.5801263999999999</v>
      </c>
      <c r="G825" s="8">
        <v>-2.0689253999999999</v>
      </c>
      <c r="H825" s="6" t="str">
        <f t="shared" si="9"/>
        <v>Direct</v>
      </c>
      <c r="I825" s="8" t="s">
        <v>1768</v>
      </c>
      <c r="J825" s="8" t="s">
        <v>1768</v>
      </c>
    </row>
    <row r="826" spans="1:10" x14ac:dyDescent="0.2">
      <c r="A826" s="8" t="s">
        <v>56</v>
      </c>
      <c r="B826" s="8" t="s">
        <v>62</v>
      </c>
      <c r="C826" s="8" t="s">
        <v>2862</v>
      </c>
      <c r="D826" s="8" t="s">
        <v>2863</v>
      </c>
      <c r="E826" s="8" t="s">
        <v>2864</v>
      </c>
      <c r="F826" s="8">
        <v>-2.7324248</v>
      </c>
      <c r="G826" s="8">
        <v>1.9875044500000001</v>
      </c>
      <c r="H826" s="6" t="str">
        <f t="shared" si="9"/>
        <v>Inverse</v>
      </c>
      <c r="I826" s="8" t="s">
        <v>2865</v>
      </c>
      <c r="J826" s="8" t="s">
        <v>2866</v>
      </c>
    </row>
    <row r="827" spans="1:10" x14ac:dyDescent="0.2">
      <c r="A827" s="8" t="s">
        <v>56</v>
      </c>
      <c r="B827" s="8" t="s">
        <v>62</v>
      </c>
      <c r="C827" s="8" t="s">
        <v>2867</v>
      </c>
      <c r="D827" s="8" t="s">
        <v>2868</v>
      </c>
      <c r="E827" s="8" t="s">
        <v>2869</v>
      </c>
      <c r="F827" s="8">
        <v>-1.0816543999999999</v>
      </c>
      <c r="G827" s="8">
        <v>-1.3972807</v>
      </c>
      <c r="H827" s="6" t="str">
        <f t="shared" si="9"/>
        <v>Direct</v>
      </c>
      <c r="I827" s="8" t="s">
        <v>2870</v>
      </c>
      <c r="J827" s="8" t="s">
        <v>34</v>
      </c>
    </row>
    <row r="828" spans="1:10" x14ac:dyDescent="0.2">
      <c r="A828" s="8" t="s">
        <v>56</v>
      </c>
      <c r="B828" s="8" t="s">
        <v>62</v>
      </c>
      <c r="C828" s="8" t="s">
        <v>2871</v>
      </c>
      <c r="D828" s="8" t="s">
        <v>2872</v>
      </c>
      <c r="E828" s="8" t="s">
        <v>2873</v>
      </c>
      <c r="F828" s="8">
        <v>-1.1362757000000001</v>
      </c>
      <c r="G828" s="8">
        <v>2.3573519699999999</v>
      </c>
      <c r="H828" s="6" t="str">
        <f t="shared" si="9"/>
        <v>Inverse</v>
      </c>
      <c r="I828" s="8" t="s">
        <v>2874</v>
      </c>
      <c r="J828" s="8" t="s">
        <v>2874</v>
      </c>
    </row>
    <row r="829" spans="1:10" x14ac:dyDescent="0.2">
      <c r="A829" s="8" t="s">
        <v>56</v>
      </c>
      <c r="B829" s="8" t="s">
        <v>62</v>
      </c>
      <c r="C829" s="8" t="s">
        <v>2875</v>
      </c>
      <c r="D829" s="8" t="s">
        <v>2876</v>
      </c>
      <c r="E829" s="8" t="s">
        <v>2877</v>
      </c>
      <c r="F829" s="8">
        <v>1.41020375</v>
      </c>
      <c r="G829" s="8">
        <v>1.0898088100000001</v>
      </c>
      <c r="H829" s="6" t="str">
        <f t="shared" si="9"/>
        <v>Direct</v>
      </c>
      <c r="I829" s="8" t="s">
        <v>50</v>
      </c>
      <c r="J829" s="8" t="s">
        <v>2878</v>
      </c>
    </row>
    <row r="830" spans="1:10" x14ac:dyDescent="0.2">
      <c r="A830" s="8" t="s">
        <v>56</v>
      </c>
      <c r="B830" s="8" t="s">
        <v>62</v>
      </c>
      <c r="C830" s="8" t="s">
        <v>1773</v>
      </c>
      <c r="D830" s="8" t="s">
        <v>1774</v>
      </c>
      <c r="E830" s="8" t="s">
        <v>1775</v>
      </c>
      <c r="F830" s="8">
        <v>-5.3106248999999996</v>
      </c>
      <c r="G830" s="8">
        <v>-2.5277715000000001</v>
      </c>
      <c r="H830" s="6" t="str">
        <f t="shared" si="9"/>
        <v>Direct</v>
      </c>
      <c r="I830" s="8" t="s">
        <v>1776</v>
      </c>
      <c r="J830" s="8" t="s">
        <v>1776</v>
      </c>
    </row>
    <row r="831" spans="1:10" x14ac:dyDescent="0.2">
      <c r="A831" s="8" t="s">
        <v>56</v>
      </c>
      <c r="B831" s="8" t="s">
        <v>62</v>
      </c>
      <c r="C831" s="8" t="s">
        <v>1777</v>
      </c>
      <c r="D831" s="8" t="s">
        <v>1778</v>
      </c>
      <c r="E831" s="8" t="s">
        <v>1779</v>
      </c>
      <c r="F831" s="8">
        <v>1.79634345</v>
      </c>
      <c r="G831" s="8">
        <v>2.4185861900000001</v>
      </c>
      <c r="H831" s="6" t="str">
        <f t="shared" si="9"/>
        <v>Direct</v>
      </c>
      <c r="I831" s="8" t="s">
        <v>1780</v>
      </c>
      <c r="J831" s="8" t="s">
        <v>1780</v>
      </c>
    </row>
    <row r="832" spans="1:10" x14ac:dyDescent="0.2">
      <c r="A832" s="8" t="s">
        <v>56</v>
      </c>
      <c r="B832" s="8" t="s">
        <v>62</v>
      </c>
      <c r="C832" s="8" t="s">
        <v>2879</v>
      </c>
      <c r="D832" s="8" t="s">
        <v>2880</v>
      </c>
      <c r="E832" s="8" t="s">
        <v>2881</v>
      </c>
      <c r="F832" s="8">
        <v>1.2661311799999999</v>
      </c>
      <c r="G832" s="8">
        <v>-1.3270423</v>
      </c>
      <c r="H832" s="6" t="str">
        <f t="shared" si="9"/>
        <v>Inverse</v>
      </c>
      <c r="I832" s="8" t="s">
        <v>2882</v>
      </c>
      <c r="J832" s="8" t="s">
        <v>2883</v>
      </c>
    </row>
    <row r="833" spans="1:10" x14ac:dyDescent="0.2">
      <c r="A833" s="8" t="s">
        <v>56</v>
      </c>
      <c r="B833" s="8" t="s">
        <v>62</v>
      </c>
      <c r="C833" s="8" t="s">
        <v>2884</v>
      </c>
      <c r="D833" s="8" t="s">
        <v>2885</v>
      </c>
      <c r="E833" s="8" t="s">
        <v>2886</v>
      </c>
      <c r="F833" s="8">
        <v>-2.2362261999999999</v>
      </c>
      <c r="G833" s="8">
        <v>-3.3474653999999999</v>
      </c>
      <c r="H833" s="6" t="str">
        <f t="shared" si="9"/>
        <v>Direct</v>
      </c>
      <c r="I833" s="8" t="s">
        <v>2887</v>
      </c>
      <c r="J833" s="8" t="s">
        <v>2887</v>
      </c>
    </row>
    <row r="834" spans="1:10" x14ac:dyDescent="0.2">
      <c r="A834" s="8" t="s">
        <v>56</v>
      </c>
      <c r="B834" s="8" t="s">
        <v>62</v>
      </c>
      <c r="C834" s="8" t="s">
        <v>2888</v>
      </c>
      <c r="D834" s="8" t="s">
        <v>2889</v>
      </c>
      <c r="E834" s="8" t="s">
        <v>2890</v>
      </c>
      <c r="F834" s="8">
        <v>-2.8225050999999999</v>
      </c>
      <c r="G834" s="8">
        <v>-2.4366992000000001</v>
      </c>
      <c r="H834" s="6" t="str">
        <f t="shared" si="9"/>
        <v>Direct</v>
      </c>
      <c r="I834" s="8" t="s">
        <v>714</v>
      </c>
      <c r="J834" s="8" t="s">
        <v>714</v>
      </c>
    </row>
    <row r="835" spans="1:10" x14ac:dyDescent="0.2">
      <c r="A835" s="8" t="s">
        <v>56</v>
      </c>
      <c r="B835" s="8" t="s">
        <v>62</v>
      </c>
      <c r="C835" s="8" t="s">
        <v>1789</v>
      </c>
      <c r="D835" s="8" t="s">
        <v>1790</v>
      </c>
      <c r="E835" s="8" t="s">
        <v>1791</v>
      </c>
      <c r="F835" s="8">
        <v>-5.2118715</v>
      </c>
      <c r="G835" s="8">
        <v>-2.3049618999999999</v>
      </c>
      <c r="H835" s="6" t="str">
        <f t="shared" si="9"/>
        <v>Direct</v>
      </c>
      <c r="I835" s="8" t="s">
        <v>1792</v>
      </c>
      <c r="J835" s="8" t="s">
        <v>1792</v>
      </c>
    </row>
    <row r="836" spans="1:10" x14ac:dyDescent="0.2">
      <c r="A836" s="8" t="s">
        <v>56</v>
      </c>
      <c r="B836" s="8" t="s">
        <v>62</v>
      </c>
      <c r="C836" s="8" t="s">
        <v>2891</v>
      </c>
      <c r="D836" s="8" t="s">
        <v>2892</v>
      </c>
      <c r="E836" s="8" t="s">
        <v>2893</v>
      </c>
      <c r="F836" s="8">
        <v>-27.011185999999999</v>
      </c>
      <c r="G836" s="8">
        <v>-1.4726583</v>
      </c>
      <c r="H836" s="6" t="str">
        <f t="shared" si="9"/>
        <v>Direct</v>
      </c>
      <c r="I836" s="8" t="s">
        <v>50</v>
      </c>
      <c r="J836" s="8" t="s">
        <v>50</v>
      </c>
    </row>
    <row r="837" spans="1:10" x14ac:dyDescent="0.2">
      <c r="A837" s="8" t="s">
        <v>56</v>
      </c>
      <c r="B837" s="8" t="s">
        <v>62</v>
      </c>
      <c r="C837" s="8" t="s">
        <v>2894</v>
      </c>
      <c r="D837" s="8" t="s">
        <v>2895</v>
      </c>
      <c r="E837" s="8" t="s">
        <v>2896</v>
      </c>
      <c r="F837" s="8">
        <v>-2.0658856000000001</v>
      </c>
      <c r="G837" s="8">
        <v>-1.7656189</v>
      </c>
      <c r="H837" s="6" t="str">
        <f t="shared" si="9"/>
        <v>Direct</v>
      </c>
      <c r="I837" s="8" t="s">
        <v>2897</v>
      </c>
      <c r="J837" s="8" t="s">
        <v>2897</v>
      </c>
    </row>
    <row r="838" spans="1:10" x14ac:dyDescent="0.2">
      <c r="A838" s="8" t="s">
        <v>56</v>
      </c>
      <c r="B838" s="8" t="s">
        <v>62</v>
      </c>
      <c r="C838" s="8" t="s">
        <v>2898</v>
      </c>
      <c r="D838" s="8" t="s">
        <v>2899</v>
      </c>
      <c r="E838" s="8" t="s">
        <v>2900</v>
      </c>
      <c r="F838" s="8">
        <v>-3.3346412000000001</v>
      </c>
      <c r="G838" s="8">
        <v>-3.4278767000000001</v>
      </c>
      <c r="H838" s="6" t="str">
        <f t="shared" si="9"/>
        <v>Direct</v>
      </c>
      <c r="I838" s="8" t="s">
        <v>2901</v>
      </c>
      <c r="J838" s="8" t="s">
        <v>2901</v>
      </c>
    </row>
    <row r="839" spans="1:10" x14ac:dyDescent="0.2">
      <c r="A839" s="8" t="s">
        <v>56</v>
      </c>
      <c r="B839" s="8" t="s">
        <v>62</v>
      </c>
      <c r="C839" s="8" t="s">
        <v>2902</v>
      </c>
      <c r="D839" s="8" t="s">
        <v>2903</v>
      </c>
      <c r="E839" s="8" t="s">
        <v>2904</v>
      </c>
      <c r="F839" s="8">
        <v>-5.1303121000000003</v>
      </c>
      <c r="G839" s="8">
        <v>-1.7284166000000001</v>
      </c>
      <c r="H839" s="6" t="str">
        <f t="shared" si="9"/>
        <v>Direct</v>
      </c>
      <c r="I839" s="8" t="s">
        <v>2905</v>
      </c>
      <c r="J839" s="8" t="s">
        <v>2906</v>
      </c>
    </row>
    <row r="840" spans="1:10" x14ac:dyDescent="0.2">
      <c r="A840" s="8" t="s">
        <v>56</v>
      </c>
      <c r="B840" s="8" t="s">
        <v>62</v>
      </c>
      <c r="C840" s="8" t="s">
        <v>2907</v>
      </c>
      <c r="D840" s="8" t="s">
        <v>2908</v>
      </c>
      <c r="E840" s="8" t="s">
        <v>2909</v>
      </c>
      <c r="F840" s="8">
        <v>1.2473380300000001</v>
      </c>
      <c r="G840" s="8">
        <v>-1.5488929</v>
      </c>
      <c r="H840" s="6" t="str">
        <f t="shared" si="9"/>
        <v>Inverse</v>
      </c>
      <c r="I840" s="8" t="s">
        <v>2910</v>
      </c>
      <c r="J840" s="8" t="s">
        <v>2910</v>
      </c>
    </row>
    <row r="841" spans="1:10" x14ac:dyDescent="0.2">
      <c r="A841" s="8" t="s">
        <v>56</v>
      </c>
      <c r="B841" s="8" t="s">
        <v>62</v>
      </c>
      <c r="C841" s="8" t="s">
        <v>2911</v>
      </c>
      <c r="D841" s="8" t="s">
        <v>2912</v>
      </c>
      <c r="E841" s="8" t="s">
        <v>2913</v>
      </c>
      <c r="F841" s="8">
        <v>-1.2677011</v>
      </c>
      <c r="G841" s="8">
        <v>1.02781254</v>
      </c>
      <c r="H841" s="6" t="str">
        <f t="shared" si="9"/>
        <v>Inverse</v>
      </c>
      <c r="I841" s="8" t="s">
        <v>2914</v>
      </c>
      <c r="J841" s="8" t="s">
        <v>2915</v>
      </c>
    </row>
    <row r="842" spans="1:10" x14ac:dyDescent="0.2">
      <c r="A842" s="8" t="s">
        <v>56</v>
      </c>
      <c r="B842" s="8" t="s">
        <v>62</v>
      </c>
      <c r="C842" s="8" t="s">
        <v>2916</v>
      </c>
      <c r="D842" s="8" t="s">
        <v>2917</v>
      </c>
      <c r="E842" s="8" t="s">
        <v>2918</v>
      </c>
      <c r="F842" s="8">
        <v>-3.5255885</v>
      </c>
      <c r="G842" s="8">
        <v>-1.3049241</v>
      </c>
      <c r="H842" s="6" t="str">
        <f t="shared" si="9"/>
        <v>Direct</v>
      </c>
      <c r="I842" s="8" t="s">
        <v>50</v>
      </c>
      <c r="J842" s="8" t="s">
        <v>55</v>
      </c>
    </row>
    <row r="843" spans="1:10" x14ac:dyDescent="0.2">
      <c r="A843" s="8" t="s">
        <v>56</v>
      </c>
      <c r="B843" s="8" t="s">
        <v>62</v>
      </c>
      <c r="C843" s="8" t="s">
        <v>1801</v>
      </c>
      <c r="D843" s="8" t="s">
        <v>1802</v>
      </c>
      <c r="E843" s="8" t="s">
        <v>1803</v>
      </c>
      <c r="F843" s="8">
        <v>-3.3460990000000002</v>
      </c>
      <c r="G843" s="8">
        <v>-13.437346</v>
      </c>
      <c r="H843" s="6" t="str">
        <f t="shared" si="9"/>
        <v>Direct</v>
      </c>
      <c r="I843" s="8" t="s">
        <v>1804</v>
      </c>
      <c r="J843" s="8" t="s">
        <v>1804</v>
      </c>
    </row>
    <row r="844" spans="1:10" x14ac:dyDescent="0.2">
      <c r="A844" s="8" t="s">
        <v>56</v>
      </c>
      <c r="B844" s="8" t="s">
        <v>62</v>
      </c>
      <c r="C844" s="8" t="s">
        <v>2919</v>
      </c>
      <c r="D844" s="8" t="s">
        <v>2920</v>
      </c>
      <c r="E844" s="8" t="s">
        <v>2921</v>
      </c>
      <c r="F844" s="8">
        <v>2.8319121300000001</v>
      </c>
      <c r="G844" s="8">
        <v>-1.0849773</v>
      </c>
      <c r="H844" s="6" t="str">
        <f t="shared" si="9"/>
        <v>Inverse</v>
      </c>
      <c r="I844" s="8" t="s">
        <v>2922</v>
      </c>
      <c r="J844" s="8" t="s">
        <v>2922</v>
      </c>
    </row>
    <row r="845" spans="1:10" x14ac:dyDescent="0.2">
      <c r="A845" s="8" t="s">
        <v>56</v>
      </c>
      <c r="B845" s="8" t="s">
        <v>62</v>
      </c>
      <c r="C845" s="8" t="s">
        <v>2923</v>
      </c>
      <c r="D845" s="8" t="s">
        <v>2924</v>
      </c>
      <c r="E845" s="8" t="s">
        <v>2925</v>
      </c>
      <c r="F845" s="8">
        <v>-2.3129263</v>
      </c>
      <c r="G845" s="8">
        <v>-1.7164565000000001</v>
      </c>
      <c r="H845" s="6" t="str">
        <f t="shared" si="9"/>
        <v>Direct</v>
      </c>
      <c r="I845" s="8" t="s">
        <v>2926</v>
      </c>
      <c r="J845" s="8" t="s">
        <v>2926</v>
      </c>
    </row>
    <row r="846" spans="1:10" x14ac:dyDescent="0.2">
      <c r="A846" s="8" t="s">
        <v>56</v>
      </c>
      <c r="B846" s="8" t="s">
        <v>62</v>
      </c>
      <c r="C846" s="8" t="s">
        <v>1805</v>
      </c>
      <c r="D846" s="8" t="s">
        <v>1806</v>
      </c>
      <c r="E846" s="8" t="s">
        <v>1807</v>
      </c>
      <c r="F846" s="8">
        <v>-3.5426302999999999</v>
      </c>
      <c r="G846" s="8">
        <v>-1.6456527000000001</v>
      </c>
      <c r="H846" s="6" t="str">
        <f t="shared" si="9"/>
        <v>Direct</v>
      </c>
      <c r="I846" s="8" t="s">
        <v>1808</v>
      </c>
      <c r="J846" s="8" t="s">
        <v>1808</v>
      </c>
    </row>
    <row r="847" spans="1:10" x14ac:dyDescent="0.2">
      <c r="A847" s="8" t="s">
        <v>56</v>
      </c>
      <c r="B847" s="8" t="s">
        <v>62</v>
      </c>
      <c r="C847" s="8" t="s">
        <v>2927</v>
      </c>
      <c r="D847" s="8" t="s">
        <v>2928</v>
      </c>
      <c r="E847" s="8" t="s">
        <v>2929</v>
      </c>
      <c r="F847" s="8">
        <v>-3.2119219000000001</v>
      </c>
      <c r="G847" s="8">
        <v>-1.7881374000000001</v>
      </c>
      <c r="H847" s="6" t="str">
        <f t="shared" si="9"/>
        <v>Direct</v>
      </c>
      <c r="I847" s="8" t="s">
        <v>2930</v>
      </c>
      <c r="J847" s="8" t="s">
        <v>2930</v>
      </c>
    </row>
    <row r="848" spans="1:10" x14ac:dyDescent="0.2">
      <c r="A848" s="8" t="s">
        <v>56</v>
      </c>
      <c r="B848" s="8" t="s">
        <v>62</v>
      </c>
      <c r="C848" s="8" t="s">
        <v>2931</v>
      </c>
      <c r="D848" s="8" t="s">
        <v>2932</v>
      </c>
      <c r="E848" s="8" t="s">
        <v>2933</v>
      </c>
      <c r="F848" s="8">
        <v>-7.2602684000000002</v>
      </c>
      <c r="G848" s="8">
        <v>-2.4703461999999998</v>
      </c>
      <c r="H848" s="6" t="str">
        <f t="shared" si="9"/>
        <v>Direct</v>
      </c>
      <c r="I848" s="8" t="s">
        <v>50</v>
      </c>
      <c r="J848" s="8" t="s">
        <v>2934</v>
      </c>
    </row>
    <row r="849" spans="1:10" x14ac:dyDescent="0.2">
      <c r="A849" s="8" t="s">
        <v>56</v>
      </c>
      <c r="B849" s="8" t="s">
        <v>62</v>
      </c>
      <c r="C849" s="8" t="s">
        <v>2935</v>
      </c>
      <c r="D849" s="8" t="s">
        <v>2936</v>
      </c>
      <c r="E849" s="8" t="s">
        <v>2937</v>
      </c>
      <c r="F849" s="8">
        <v>3.0033096100000001</v>
      </c>
      <c r="G849" s="8">
        <v>2.8327009799999998</v>
      </c>
      <c r="H849" s="6" t="str">
        <f t="shared" si="9"/>
        <v>Direct</v>
      </c>
      <c r="I849" s="8" t="s">
        <v>2938</v>
      </c>
      <c r="J849" s="8" t="s">
        <v>2939</v>
      </c>
    </row>
    <row r="850" spans="1:10" x14ac:dyDescent="0.2">
      <c r="A850" s="8" t="s">
        <v>56</v>
      </c>
      <c r="B850" s="8" t="s">
        <v>62</v>
      </c>
      <c r="C850" s="8" t="s">
        <v>2940</v>
      </c>
      <c r="D850" s="8" t="s">
        <v>2941</v>
      </c>
      <c r="E850" s="8" t="s">
        <v>2942</v>
      </c>
      <c r="F850" s="8">
        <v>-20.767533</v>
      </c>
      <c r="G850" s="8">
        <v>-2.1713212999999998</v>
      </c>
      <c r="H850" s="6" t="str">
        <f t="shared" si="9"/>
        <v>Direct</v>
      </c>
      <c r="I850" s="8" t="s">
        <v>2943</v>
      </c>
      <c r="J850" s="8" t="s">
        <v>2943</v>
      </c>
    </row>
    <row r="851" spans="1:10" x14ac:dyDescent="0.2">
      <c r="A851" s="8" t="s">
        <v>56</v>
      </c>
      <c r="B851" s="8" t="s">
        <v>62</v>
      </c>
      <c r="C851" s="8" t="s">
        <v>1813</v>
      </c>
      <c r="D851" s="8" t="s">
        <v>1814</v>
      </c>
      <c r="E851" s="8" t="s">
        <v>1815</v>
      </c>
      <c r="F851" s="8">
        <v>13.085755799999999</v>
      </c>
      <c r="G851" s="8">
        <v>4.43083896</v>
      </c>
      <c r="H851" s="6" t="str">
        <f t="shared" si="9"/>
        <v>Direct</v>
      </c>
      <c r="I851" s="8" t="s">
        <v>1719</v>
      </c>
      <c r="J851" s="8" t="s">
        <v>1719</v>
      </c>
    </row>
    <row r="852" spans="1:10" x14ac:dyDescent="0.2">
      <c r="A852" s="8" t="s">
        <v>56</v>
      </c>
      <c r="B852" s="8" t="s">
        <v>62</v>
      </c>
      <c r="C852" s="8" t="s">
        <v>1816</v>
      </c>
      <c r="D852" s="8" t="s">
        <v>1817</v>
      </c>
      <c r="E852" s="8" t="s">
        <v>1818</v>
      </c>
      <c r="F852" s="8">
        <v>-2.8151166000000001</v>
      </c>
      <c r="G852" s="8">
        <v>-2.4573358999999999</v>
      </c>
      <c r="H852" s="6" t="str">
        <f t="shared" si="9"/>
        <v>Direct</v>
      </c>
      <c r="I852" s="8" t="s">
        <v>1819</v>
      </c>
      <c r="J852" s="8" t="s">
        <v>1819</v>
      </c>
    </row>
    <row r="853" spans="1:10" x14ac:dyDescent="0.2">
      <c r="A853" s="8" t="s">
        <v>56</v>
      </c>
      <c r="B853" s="8" t="s">
        <v>62</v>
      </c>
      <c r="C853" s="8" t="s">
        <v>1820</v>
      </c>
      <c r="D853" s="8" t="s">
        <v>1821</v>
      </c>
      <c r="E853" s="8" t="s">
        <v>1822</v>
      </c>
      <c r="F853" s="8">
        <v>1.6112867</v>
      </c>
      <c r="G853" s="8">
        <v>1.5563360900000001</v>
      </c>
      <c r="H853" s="6" t="str">
        <f t="shared" si="9"/>
        <v>Direct</v>
      </c>
      <c r="I853" s="8" t="s">
        <v>1823</v>
      </c>
      <c r="J853" s="8" t="s">
        <v>1823</v>
      </c>
    </row>
    <row r="854" spans="1:10" x14ac:dyDescent="0.2">
      <c r="A854" s="8" t="s">
        <v>56</v>
      </c>
      <c r="B854" s="8" t="s">
        <v>62</v>
      </c>
      <c r="C854" s="8" t="s">
        <v>2944</v>
      </c>
      <c r="D854" s="8" t="s">
        <v>2945</v>
      </c>
      <c r="E854" s="8" t="s">
        <v>2946</v>
      </c>
      <c r="F854" s="8">
        <v>-1.1995226999999999</v>
      </c>
      <c r="G854" s="8">
        <v>1.8986291200000001</v>
      </c>
      <c r="H854" s="6" t="str">
        <f t="shared" si="9"/>
        <v>Inverse</v>
      </c>
      <c r="I854" s="8" t="s">
        <v>50</v>
      </c>
      <c r="J854" s="8" t="s">
        <v>2947</v>
      </c>
    </row>
    <row r="855" spans="1:10" x14ac:dyDescent="0.2">
      <c r="A855" s="8" t="s">
        <v>56</v>
      </c>
      <c r="B855" s="8" t="s">
        <v>62</v>
      </c>
      <c r="C855" s="8" t="s">
        <v>1824</v>
      </c>
      <c r="D855" s="8" t="s">
        <v>1825</v>
      </c>
      <c r="E855" s="8" t="s">
        <v>1826</v>
      </c>
      <c r="F855" s="8">
        <v>-7.0409642000000003</v>
      </c>
      <c r="G855" s="8">
        <v>-3.6882606</v>
      </c>
      <c r="H855" s="6" t="str">
        <f t="shared" si="9"/>
        <v>Direct</v>
      </c>
      <c r="I855" s="8" t="s">
        <v>50</v>
      </c>
      <c r="J855" s="8" t="s">
        <v>1827</v>
      </c>
    </row>
    <row r="856" spans="1:10" x14ac:dyDescent="0.2">
      <c r="A856" s="8" t="s">
        <v>56</v>
      </c>
      <c r="B856" s="8" t="s">
        <v>62</v>
      </c>
      <c r="C856" s="8" t="s">
        <v>1828</v>
      </c>
      <c r="D856" s="8" t="s">
        <v>1829</v>
      </c>
      <c r="E856" s="8" t="s">
        <v>1830</v>
      </c>
      <c r="F856" s="8">
        <v>2.1143271800000001</v>
      </c>
      <c r="G856" s="8">
        <v>3.6666444500000002</v>
      </c>
      <c r="H856" s="6" t="str">
        <f t="shared" si="9"/>
        <v>Direct</v>
      </c>
      <c r="I856" s="8" t="s">
        <v>50</v>
      </c>
      <c r="J856" s="8" t="s">
        <v>1831</v>
      </c>
    </row>
    <row r="857" spans="1:10" x14ac:dyDescent="0.2">
      <c r="A857" s="8" t="s">
        <v>56</v>
      </c>
      <c r="B857" s="8" t="s">
        <v>62</v>
      </c>
      <c r="C857" s="8" t="s">
        <v>2948</v>
      </c>
      <c r="D857" s="8" t="s">
        <v>2949</v>
      </c>
      <c r="E857" s="8" t="s">
        <v>2950</v>
      </c>
      <c r="F857" s="8">
        <v>-4.5568996000000004</v>
      </c>
      <c r="G857" s="8">
        <v>-1.2818448</v>
      </c>
      <c r="H857" s="6" t="str">
        <f t="shared" si="9"/>
        <v>Direct</v>
      </c>
      <c r="I857" s="8" t="s">
        <v>50</v>
      </c>
      <c r="J857" s="8" t="s">
        <v>2951</v>
      </c>
    </row>
    <row r="858" spans="1:10" x14ac:dyDescent="0.2">
      <c r="A858" s="8" t="s">
        <v>56</v>
      </c>
      <c r="B858" s="8" t="s">
        <v>62</v>
      </c>
      <c r="C858" s="8" t="s">
        <v>2952</v>
      </c>
      <c r="D858" s="8" t="s">
        <v>2953</v>
      </c>
      <c r="E858" s="8" t="s">
        <v>2954</v>
      </c>
      <c r="F858" s="8">
        <v>-3.2760362000000001</v>
      </c>
      <c r="G858" s="8">
        <v>-3.3467563</v>
      </c>
      <c r="H858" s="6" t="str">
        <f t="shared" si="9"/>
        <v>Direct</v>
      </c>
      <c r="I858" s="8" t="s">
        <v>2955</v>
      </c>
      <c r="J858" s="8" t="s">
        <v>2956</v>
      </c>
    </row>
    <row r="859" spans="1:10" x14ac:dyDescent="0.2">
      <c r="A859" s="8" t="s">
        <v>56</v>
      </c>
      <c r="B859" s="8" t="s">
        <v>62</v>
      </c>
      <c r="C859" s="8" t="s">
        <v>1840</v>
      </c>
      <c r="D859" s="8" t="s">
        <v>1841</v>
      </c>
      <c r="E859" s="8" t="s">
        <v>1842</v>
      </c>
      <c r="F859" s="8">
        <v>-1.0413139</v>
      </c>
      <c r="G859" s="8">
        <v>-3.1148243</v>
      </c>
      <c r="H859" s="6" t="str">
        <f t="shared" si="9"/>
        <v>Direct</v>
      </c>
      <c r="I859" s="8" t="s">
        <v>1843</v>
      </c>
      <c r="J859" s="8" t="s">
        <v>1843</v>
      </c>
    </row>
    <row r="860" spans="1:10" x14ac:dyDescent="0.2">
      <c r="A860" s="8" t="s">
        <v>56</v>
      </c>
      <c r="B860" s="8" t="s">
        <v>62</v>
      </c>
      <c r="C860" s="8" t="s">
        <v>1844</v>
      </c>
      <c r="D860" s="8" t="s">
        <v>1845</v>
      </c>
      <c r="E860" s="8" t="s">
        <v>1846</v>
      </c>
      <c r="F860" s="8">
        <v>-5.9174325000000003</v>
      </c>
      <c r="G860" s="8">
        <v>-13.497221</v>
      </c>
      <c r="H860" s="6" t="str">
        <f t="shared" si="9"/>
        <v>Direct</v>
      </c>
      <c r="I860" s="8" t="s">
        <v>459</v>
      </c>
      <c r="J860" s="8" t="s">
        <v>459</v>
      </c>
    </row>
    <row r="861" spans="1:10" x14ac:dyDescent="0.2">
      <c r="A861" s="8" t="s">
        <v>56</v>
      </c>
      <c r="B861" s="8" t="s">
        <v>62</v>
      </c>
      <c r="C861" s="8" t="s">
        <v>1847</v>
      </c>
      <c r="D861" s="8" t="s">
        <v>1848</v>
      </c>
      <c r="E861" s="8" t="s">
        <v>1849</v>
      </c>
      <c r="F861" s="8">
        <v>-4.8381284000000004</v>
      </c>
      <c r="G861" s="8">
        <v>-4.2539828000000002</v>
      </c>
      <c r="H861" s="6" t="str">
        <f t="shared" si="9"/>
        <v>Direct</v>
      </c>
      <c r="I861" s="8" t="s">
        <v>1850</v>
      </c>
      <c r="J861" s="8" t="s">
        <v>1850</v>
      </c>
    </row>
    <row r="862" spans="1:10" x14ac:dyDescent="0.2">
      <c r="A862" s="8" t="s">
        <v>56</v>
      </c>
      <c r="B862" s="8" t="s">
        <v>62</v>
      </c>
      <c r="C862" s="8" t="s">
        <v>2957</v>
      </c>
      <c r="D862" s="8" t="s">
        <v>2958</v>
      </c>
      <c r="E862" s="8" t="s">
        <v>2959</v>
      </c>
      <c r="F862" s="8">
        <v>2.55462882</v>
      </c>
      <c r="G862" s="8">
        <v>-1.3270423</v>
      </c>
      <c r="H862" s="6" t="str">
        <f t="shared" si="9"/>
        <v>Inverse</v>
      </c>
      <c r="I862" s="8" t="s">
        <v>2960</v>
      </c>
      <c r="J862" s="8" t="s">
        <v>2960</v>
      </c>
    </row>
    <row r="863" spans="1:10" x14ac:dyDescent="0.2">
      <c r="A863" s="8" t="s">
        <v>56</v>
      </c>
      <c r="B863" s="8" t="s">
        <v>62</v>
      </c>
      <c r="C863" s="8" t="s">
        <v>1855</v>
      </c>
      <c r="D863" s="8" t="s">
        <v>1856</v>
      </c>
      <c r="E863" s="8" t="s">
        <v>1857</v>
      </c>
      <c r="F863" s="8">
        <v>1.0535938899999999</v>
      </c>
      <c r="G863" s="8">
        <v>1.8038557099999999</v>
      </c>
      <c r="H863" s="6" t="str">
        <f t="shared" si="9"/>
        <v>Direct</v>
      </c>
      <c r="I863" s="8" t="s">
        <v>1858</v>
      </c>
      <c r="J863" s="8" t="s">
        <v>1858</v>
      </c>
    </row>
    <row r="864" spans="1:10" x14ac:dyDescent="0.2">
      <c r="A864" s="8" t="s">
        <v>56</v>
      </c>
      <c r="B864" s="8" t="s">
        <v>62</v>
      </c>
      <c r="C864" s="8" t="s">
        <v>2961</v>
      </c>
      <c r="D864" s="8" t="s">
        <v>2962</v>
      </c>
      <c r="E864" s="8" t="s">
        <v>2963</v>
      </c>
      <c r="F864" s="8">
        <v>-3.9681508999999999</v>
      </c>
      <c r="G864" s="8">
        <v>-1.9942534000000001</v>
      </c>
      <c r="H864" s="6" t="str">
        <f t="shared" si="9"/>
        <v>Direct</v>
      </c>
      <c r="I864" s="8" t="s">
        <v>2964</v>
      </c>
      <c r="J864" s="8" t="s">
        <v>2964</v>
      </c>
    </row>
    <row r="865" spans="1:10" x14ac:dyDescent="0.2">
      <c r="A865" s="8" t="s">
        <v>56</v>
      </c>
      <c r="B865" s="8" t="s">
        <v>62</v>
      </c>
      <c r="C865" s="8" t="s">
        <v>2965</v>
      </c>
      <c r="D865" s="8" t="s">
        <v>2966</v>
      </c>
      <c r="E865" s="8" t="s">
        <v>2967</v>
      </c>
      <c r="F865" s="8">
        <v>2.2716951399999998</v>
      </c>
      <c r="G865" s="8">
        <v>-1.3004643</v>
      </c>
      <c r="H865" s="6" t="str">
        <f t="shared" si="9"/>
        <v>Inverse</v>
      </c>
      <c r="I865" s="8" t="s">
        <v>2968</v>
      </c>
      <c r="J865" s="8" t="s">
        <v>2969</v>
      </c>
    </row>
    <row r="866" spans="1:10" x14ac:dyDescent="0.2">
      <c r="A866" s="8" t="s">
        <v>56</v>
      </c>
      <c r="B866" s="8" t="s">
        <v>62</v>
      </c>
      <c r="C866" s="8" t="s">
        <v>1862</v>
      </c>
      <c r="D866" s="8" t="s">
        <v>1863</v>
      </c>
      <c r="E866" s="8" t="s">
        <v>1864</v>
      </c>
      <c r="F866" s="8">
        <v>-6.2858444000000002</v>
      </c>
      <c r="G866" s="8">
        <v>-3.7023362999999998</v>
      </c>
      <c r="H866" s="6" t="str">
        <f t="shared" si="9"/>
        <v>Direct</v>
      </c>
      <c r="I866" s="8" t="s">
        <v>445</v>
      </c>
      <c r="J866" s="8" t="s">
        <v>445</v>
      </c>
    </row>
    <row r="867" spans="1:10" x14ac:dyDescent="0.2">
      <c r="A867" s="8" t="s">
        <v>56</v>
      </c>
      <c r="B867" s="8" t="s">
        <v>62</v>
      </c>
      <c r="C867" s="8" t="s">
        <v>2970</v>
      </c>
      <c r="D867" s="8" t="s">
        <v>2971</v>
      </c>
      <c r="E867" s="8" t="s">
        <v>2972</v>
      </c>
      <c r="F867" s="8">
        <v>-1.7982514999999999</v>
      </c>
      <c r="G867" s="8">
        <v>-1.0195506000000001</v>
      </c>
      <c r="H867" s="6" t="str">
        <f t="shared" si="9"/>
        <v>Direct</v>
      </c>
      <c r="I867" s="8" t="s">
        <v>2973</v>
      </c>
      <c r="J867" s="8" t="s">
        <v>2973</v>
      </c>
    </row>
    <row r="868" spans="1:10" x14ac:dyDescent="0.2">
      <c r="A868" s="8" t="s">
        <v>56</v>
      </c>
      <c r="B868" s="8" t="s">
        <v>62</v>
      </c>
      <c r="C868" s="8" t="s">
        <v>2974</v>
      </c>
      <c r="D868" s="8" t="s">
        <v>2975</v>
      </c>
      <c r="E868" s="8" t="s">
        <v>2976</v>
      </c>
      <c r="F868" s="8">
        <v>3.3736989799999999</v>
      </c>
      <c r="G868" s="8">
        <v>-3.0713784</v>
      </c>
      <c r="H868" s="6" t="str">
        <f t="shared" si="9"/>
        <v>Inverse</v>
      </c>
      <c r="I868" s="8" t="s">
        <v>2977</v>
      </c>
      <c r="J868" s="8" t="s">
        <v>2977</v>
      </c>
    </row>
    <row r="869" spans="1:10" x14ac:dyDescent="0.2">
      <c r="A869" s="8" t="s">
        <v>56</v>
      </c>
      <c r="B869" s="8" t="s">
        <v>62</v>
      </c>
      <c r="C869" s="8" t="s">
        <v>2978</v>
      </c>
      <c r="D869" s="8" t="s">
        <v>2979</v>
      </c>
      <c r="E869" s="8" t="s">
        <v>2980</v>
      </c>
      <c r="F869" s="8">
        <v>-1.2532361999999999</v>
      </c>
      <c r="G869" s="8">
        <v>-2.3218776000000001</v>
      </c>
      <c r="H869" s="6" t="str">
        <f t="shared" si="9"/>
        <v>Direct</v>
      </c>
      <c r="I869" s="8" t="s">
        <v>1347</v>
      </c>
      <c r="J869" s="8" t="s">
        <v>1347</v>
      </c>
    </row>
    <row r="870" spans="1:10" x14ac:dyDescent="0.2">
      <c r="A870" s="8" t="s">
        <v>56</v>
      </c>
      <c r="B870" s="8" t="s">
        <v>62</v>
      </c>
      <c r="C870" s="8" t="s">
        <v>2981</v>
      </c>
      <c r="D870" s="8" t="s">
        <v>2982</v>
      </c>
      <c r="E870" s="8" t="s">
        <v>2983</v>
      </c>
      <c r="F870" s="8">
        <v>-1.9428886000000001</v>
      </c>
      <c r="G870" s="8">
        <v>-1.4528433000000001</v>
      </c>
      <c r="H870" s="6" t="str">
        <f t="shared" si="9"/>
        <v>Direct</v>
      </c>
      <c r="I870" s="8" t="s">
        <v>2984</v>
      </c>
      <c r="J870" s="8" t="s">
        <v>2984</v>
      </c>
    </row>
    <row r="871" spans="1:10" x14ac:dyDescent="0.2">
      <c r="A871" s="8" t="s">
        <v>56</v>
      </c>
      <c r="B871" s="8" t="s">
        <v>62</v>
      </c>
      <c r="C871" s="8" t="s">
        <v>2985</v>
      </c>
      <c r="D871" s="8" t="s">
        <v>2986</v>
      </c>
      <c r="E871" s="8" t="s">
        <v>2987</v>
      </c>
      <c r="F871" s="8">
        <v>-1.1465110999999999</v>
      </c>
      <c r="G871" s="8">
        <v>-1.3171214</v>
      </c>
      <c r="H871" s="6" t="str">
        <f t="shared" si="9"/>
        <v>Direct</v>
      </c>
      <c r="I871" s="8" t="s">
        <v>2988</v>
      </c>
      <c r="J871" s="8" t="s">
        <v>2988</v>
      </c>
    </row>
    <row r="872" spans="1:10" x14ac:dyDescent="0.2">
      <c r="A872" s="8" t="s">
        <v>56</v>
      </c>
      <c r="B872" s="8" t="s">
        <v>62</v>
      </c>
      <c r="C872" s="8" t="s">
        <v>2989</v>
      </c>
      <c r="D872" s="8" t="s">
        <v>2990</v>
      </c>
      <c r="E872" s="8" t="s">
        <v>2991</v>
      </c>
      <c r="F872" s="8">
        <v>-1.6077117000000001</v>
      </c>
      <c r="G872" s="8">
        <v>-1.2786124999999999</v>
      </c>
      <c r="H872" s="6" t="str">
        <f t="shared" si="9"/>
        <v>Direct</v>
      </c>
      <c r="I872" s="8" t="s">
        <v>50</v>
      </c>
      <c r="J872" s="8" t="s">
        <v>1163</v>
      </c>
    </row>
    <row r="873" spans="1:10" x14ac:dyDescent="0.2">
      <c r="A873" s="8" t="s">
        <v>56</v>
      </c>
      <c r="B873" s="8" t="s">
        <v>62</v>
      </c>
      <c r="C873" s="8" t="s">
        <v>2992</v>
      </c>
      <c r="D873" s="8" t="s">
        <v>2993</v>
      </c>
      <c r="E873" s="8" t="s">
        <v>2994</v>
      </c>
      <c r="F873" s="8">
        <v>-3.0293752999999999</v>
      </c>
      <c r="G873" s="8">
        <v>-2.2572825999999999</v>
      </c>
      <c r="H873" s="6" t="str">
        <f t="shared" si="9"/>
        <v>Direct</v>
      </c>
      <c r="I873" s="8" t="s">
        <v>2995</v>
      </c>
      <c r="J873" s="8" t="s">
        <v>2995</v>
      </c>
    </row>
    <row r="874" spans="1:10" x14ac:dyDescent="0.2">
      <c r="A874" s="8" t="s">
        <v>56</v>
      </c>
      <c r="B874" s="8" t="s">
        <v>62</v>
      </c>
      <c r="C874" s="8" t="s">
        <v>2996</v>
      </c>
      <c r="D874" s="8" t="s">
        <v>2997</v>
      </c>
      <c r="E874" s="8" t="s">
        <v>2998</v>
      </c>
      <c r="F874" s="8">
        <v>-2.4107297000000001</v>
      </c>
      <c r="G874" s="8">
        <v>-4.1660693000000002</v>
      </c>
      <c r="H874" s="6" t="str">
        <f t="shared" si="9"/>
        <v>Direct</v>
      </c>
      <c r="I874" s="8" t="s">
        <v>822</v>
      </c>
      <c r="J874" s="8" t="s">
        <v>822</v>
      </c>
    </row>
    <row r="875" spans="1:10" x14ac:dyDescent="0.2">
      <c r="A875" s="8" t="s">
        <v>56</v>
      </c>
      <c r="B875" s="8" t="s">
        <v>62</v>
      </c>
      <c r="C875" s="8" t="s">
        <v>2999</v>
      </c>
      <c r="D875" s="8" t="s">
        <v>3000</v>
      </c>
      <c r="E875" s="8" t="s">
        <v>3001</v>
      </c>
      <c r="F875" s="8">
        <v>1.5285376399999999</v>
      </c>
      <c r="G875" s="8">
        <v>-1.9251133</v>
      </c>
      <c r="H875" s="6" t="str">
        <f t="shared" si="9"/>
        <v>Inverse</v>
      </c>
      <c r="I875" s="8" t="s">
        <v>3002</v>
      </c>
      <c r="J875" s="8" t="s">
        <v>3002</v>
      </c>
    </row>
    <row r="876" spans="1:10" x14ac:dyDescent="0.2">
      <c r="A876" s="8" t="s">
        <v>56</v>
      </c>
      <c r="B876" s="8" t="s">
        <v>62</v>
      </c>
      <c r="C876" s="8" t="s">
        <v>3003</v>
      </c>
      <c r="D876" s="8" t="s">
        <v>3004</v>
      </c>
      <c r="E876" s="8" t="s">
        <v>3005</v>
      </c>
      <c r="F876" s="8">
        <v>-3.4837636000000001</v>
      </c>
      <c r="G876" s="8">
        <v>-2.5724543999999998</v>
      </c>
      <c r="H876" s="6" t="str">
        <f t="shared" si="9"/>
        <v>Direct</v>
      </c>
      <c r="I876" s="8" t="s">
        <v>3006</v>
      </c>
      <c r="J876" s="8" t="s">
        <v>3006</v>
      </c>
    </row>
    <row r="877" spans="1:10" x14ac:dyDescent="0.2">
      <c r="A877" s="8" t="s">
        <v>56</v>
      </c>
      <c r="B877" s="8" t="s">
        <v>62</v>
      </c>
      <c r="C877" s="8" t="s">
        <v>3007</v>
      </c>
      <c r="D877" s="8" t="s">
        <v>3008</v>
      </c>
      <c r="E877" s="8" t="s">
        <v>3009</v>
      </c>
      <c r="F877" s="8">
        <v>1.0608213099999999</v>
      </c>
      <c r="G877" s="8">
        <v>2.4799916899999999</v>
      </c>
      <c r="H877" s="6" t="str">
        <f t="shared" si="9"/>
        <v>Direct</v>
      </c>
      <c r="I877" s="8" t="s">
        <v>3010</v>
      </c>
      <c r="J877" s="8" t="s">
        <v>3011</v>
      </c>
    </row>
    <row r="878" spans="1:10" x14ac:dyDescent="0.2">
      <c r="A878" s="8" t="s">
        <v>56</v>
      </c>
      <c r="B878" s="8" t="s">
        <v>62</v>
      </c>
      <c r="C878" s="8" t="s">
        <v>1869</v>
      </c>
      <c r="D878" s="8" t="s">
        <v>1870</v>
      </c>
      <c r="E878" s="8" t="s">
        <v>1871</v>
      </c>
      <c r="F878" s="8">
        <v>6.4552405300000002</v>
      </c>
      <c r="G878" s="8">
        <v>5.4795013800000003</v>
      </c>
      <c r="H878" s="6" t="str">
        <f t="shared" si="9"/>
        <v>Direct</v>
      </c>
      <c r="I878" s="8" t="s">
        <v>1872</v>
      </c>
      <c r="J878" s="8" t="s">
        <v>1872</v>
      </c>
    </row>
    <row r="879" spans="1:10" x14ac:dyDescent="0.2">
      <c r="A879" s="8" t="s">
        <v>56</v>
      </c>
      <c r="B879" s="8" t="s">
        <v>62</v>
      </c>
      <c r="C879" s="8" t="s">
        <v>3012</v>
      </c>
      <c r="D879" s="8" t="s">
        <v>3013</v>
      </c>
      <c r="E879" s="8" t="s">
        <v>3014</v>
      </c>
      <c r="F879" s="8">
        <v>-1.0501818000000001</v>
      </c>
      <c r="G879" s="8">
        <v>-1.5549113999999999</v>
      </c>
      <c r="H879" s="6" t="str">
        <f t="shared" si="9"/>
        <v>Direct</v>
      </c>
      <c r="I879" s="8" t="s">
        <v>2155</v>
      </c>
      <c r="J879" s="8" t="s">
        <v>2155</v>
      </c>
    </row>
    <row r="880" spans="1:10" x14ac:dyDescent="0.2">
      <c r="A880" s="8" t="s">
        <v>56</v>
      </c>
      <c r="B880" s="8" t="s">
        <v>62</v>
      </c>
      <c r="C880" s="8" t="s">
        <v>1873</v>
      </c>
      <c r="D880" s="8" t="s">
        <v>1874</v>
      </c>
      <c r="E880" s="8" t="s">
        <v>1875</v>
      </c>
      <c r="F880" s="8">
        <v>2.7084203599999999</v>
      </c>
      <c r="G880" s="8">
        <v>1.2656635000000001</v>
      </c>
      <c r="H880" s="6" t="str">
        <f t="shared" si="9"/>
        <v>Direct</v>
      </c>
      <c r="I880" s="8" t="s">
        <v>1876</v>
      </c>
      <c r="J880" s="8" t="s">
        <v>1877</v>
      </c>
    </row>
    <row r="881" spans="1:10" x14ac:dyDescent="0.2">
      <c r="A881" s="8" t="s">
        <v>56</v>
      </c>
      <c r="B881" s="8" t="s">
        <v>62</v>
      </c>
      <c r="C881" s="8" t="s">
        <v>1882</v>
      </c>
      <c r="D881" s="8" t="s">
        <v>1883</v>
      </c>
      <c r="E881" s="8" t="s">
        <v>1884</v>
      </c>
      <c r="F881" s="8">
        <v>7.3936257799999998</v>
      </c>
      <c r="G881" s="8">
        <v>2.8015412999999998</v>
      </c>
      <c r="H881" s="6" t="str">
        <f t="shared" si="9"/>
        <v>Direct</v>
      </c>
      <c r="I881" s="8" t="s">
        <v>50</v>
      </c>
      <c r="J881" s="8" t="s">
        <v>743</v>
      </c>
    </row>
    <row r="882" spans="1:10" x14ac:dyDescent="0.2">
      <c r="A882" s="8" t="s">
        <v>56</v>
      </c>
      <c r="B882" s="8" t="s">
        <v>62</v>
      </c>
      <c r="C882" s="8" t="s">
        <v>3015</v>
      </c>
      <c r="D882" s="8" t="s">
        <v>3016</v>
      </c>
      <c r="E882" s="8" t="s">
        <v>3017</v>
      </c>
      <c r="F882" s="8">
        <v>1.5555180099999999</v>
      </c>
      <c r="G882" s="8">
        <v>-1.3344568000000001</v>
      </c>
      <c r="H882" s="6" t="str">
        <f t="shared" si="9"/>
        <v>Inverse</v>
      </c>
      <c r="I882" s="8" t="s">
        <v>3018</v>
      </c>
      <c r="J882" s="8" t="s">
        <v>3018</v>
      </c>
    </row>
    <row r="883" spans="1:10" x14ac:dyDescent="0.2">
      <c r="A883" s="8" t="s">
        <v>56</v>
      </c>
      <c r="B883" s="8" t="s">
        <v>62</v>
      </c>
      <c r="C883" s="8" t="s">
        <v>3019</v>
      </c>
      <c r="D883" s="8" t="s">
        <v>3020</v>
      </c>
      <c r="E883" s="8" t="s">
        <v>3021</v>
      </c>
      <c r="F883" s="8">
        <v>-2.1807652000000002</v>
      </c>
      <c r="G883" s="8">
        <v>-1.5623453</v>
      </c>
      <c r="H883" s="6" t="str">
        <f t="shared" si="9"/>
        <v>Direct</v>
      </c>
      <c r="I883" s="8" t="s">
        <v>3022</v>
      </c>
      <c r="J883" s="8" t="s">
        <v>3022</v>
      </c>
    </row>
    <row r="884" spans="1:10" x14ac:dyDescent="0.2">
      <c r="A884" s="8" t="s">
        <v>56</v>
      </c>
      <c r="B884" s="8" t="s">
        <v>62</v>
      </c>
      <c r="C884" s="8" t="s">
        <v>3023</v>
      </c>
      <c r="D884" s="8" t="s">
        <v>3024</v>
      </c>
      <c r="E884" s="8" t="s">
        <v>3025</v>
      </c>
      <c r="F884" s="8">
        <v>-2.3041084000000001</v>
      </c>
      <c r="G884" s="8">
        <v>-1.3912001000000001</v>
      </c>
      <c r="H884" s="6" t="str">
        <f t="shared" si="9"/>
        <v>Direct</v>
      </c>
      <c r="I884" s="8" t="s">
        <v>288</v>
      </c>
      <c r="J884" s="8" t="s">
        <v>288</v>
      </c>
    </row>
    <row r="885" spans="1:10" x14ac:dyDescent="0.2">
      <c r="A885" s="8" t="s">
        <v>56</v>
      </c>
      <c r="B885" s="8" t="s">
        <v>62</v>
      </c>
      <c r="C885" s="8" t="s">
        <v>1890</v>
      </c>
      <c r="D885" s="8" t="s">
        <v>1891</v>
      </c>
      <c r="E885" s="8" t="s">
        <v>1892</v>
      </c>
      <c r="F885" s="8">
        <v>-17.139182000000002</v>
      </c>
      <c r="G885" s="8">
        <v>-3.0735108000000002</v>
      </c>
      <c r="H885" s="6" t="str">
        <f t="shared" si="9"/>
        <v>Direct</v>
      </c>
      <c r="I885" s="8" t="s">
        <v>1893</v>
      </c>
      <c r="J885" s="8" t="s">
        <v>1894</v>
      </c>
    </row>
    <row r="886" spans="1:10" x14ac:dyDescent="0.2">
      <c r="A886" s="8" t="s">
        <v>56</v>
      </c>
      <c r="B886" s="8" t="s">
        <v>62</v>
      </c>
      <c r="C886" s="8" t="s">
        <v>3026</v>
      </c>
      <c r="D886" s="8" t="s">
        <v>3027</v>
      </c>
      <c r="E886" s="8" t="s">
        <v>3028</v>
      </c>
      <c r="F886" s="8">
        <v>-3.3646805999999998</v>
      </c>
      <c r="G886" s="8">
        <v>1.05192891</v>
      </c>
      <c r="H886" s="6" t="str">
        <f t="shared" si="9"/>
        <v>Inverse</v>
      </c>
      <c r="I886" s="8" t="s">
        <v>50</v>
      </c>
      <c r="J886" s="8" t="s">
        <v>3029</v>
      </c>
    </row>
    <row r="887" spans="1:10" x14ac:dyDescent="0.2">
      <c r="A887" s="8" t="s">
        <v>56</v>
      </c>
      <c r="B887" s="8" t="s">
        <v>62</v>
      </c>
      <c r="C887" s="8" t="s">
        <v>3030</v>
      </c>
      <c r="D887" s="8" t="s">
        <v>3031</v>
      </c>
      <c r="E887" s="8" t="s">
        <v>3032</v>
      </c>
      <c r="F887" s="8">
        <v>-1.1402023999999999</v>
      </c>
      <c r="G887" s="8">
        <v>-2.1422832999999999</v>
      </c>
      <c r="H887" s="6" t="str">
        <f t="shared" si="9"/>
        <v>Direct</v>
      </c>
      <c r="I887" s="8" t="s">
        <v>2086</v>
      </c>
      <c r="J887" s="8" t="s">
        <v>2086</v>
      </c>
    </row>
    <row r="888" spans="1:10" x14ac:dyDescent="0.2">
      <c r="A888" s="8" t="s">
        <v>56</v>
      </c>
      <c r="B888" s="8" t="s">
        <v>62</v>
      </c>
      <c r="C888" s="8" t="s">
        <v>3033</v>
      </c>
      <c r="D888" s="8" t="s">
        <v>3034</v>
      </c>
      <c r="E888" s="8" t="s">
        <v>3035</v>
      </c>
      <c r="F888" s="8">
        <v>-1.3432999000000001</v>
      </c>
      <c r="G888" s="8">
        <v>1.4373829499999999</v>
      </c>
      <c r="H888" s="6" t="str">
        <f t="shared" si="9"/>
        <v>Inverse</v>
      </c>
      <c r="I888" s="8" t="s">
        <v>3036</v>
      </c>
      <c r="J888" s="8" t="s">
        <v>3036</v>
      </c>
    </row>
    <row r="889" spans="1:10" x14ac:dyDescent="0.2">
      <c r="A889" s="8" t="s">
        <v>56</v>
      </c>
      <c r="B889" s="8" t="s">
        <v>62</v>
      </c>
      <c r="C889" s="8" t="s">
        <v>3037</v>
      </c>
      <c r="D889" s="8" t="s">
        <v>3038</v>
      </c>
      <c r="E889" s="8" t="s">
        <v>3039</v>
      </c>
      <c r="F889" s="8">
        <v>-3.2929580999999999</v>
      </c>
      <c r="G889" s="8">
        <v>1.4783069499999999</v>
      </c>
      <c r="H889" s="6" t="str">
        <f t="shared" si="9"/>
        <v>Inverse</v>
      </c>
      <c r="I889" s="8" t="s">
        <v>2356</v>
      </c>
      <c r="J889" s="8" t="s">
        <v>2356</v>
      </c>
    </row>
    <row r="890" spans="1:10" x14ac:dyDescent="0.2">
      <c r="A890" s="8" t="s">
        <v>56</v>
      </c>
      <c r="B890" s="8" t="s">
        <v>62</v>
      </c>
      <c r="C890" s="8" t="s">
        <v>3040</v>
      </c>
      <c r="D890" s="8" t="s">
        <v>3041</v>
      </c>
      <c r="E890" s="8" t="s">
        <v>3042</v>
      </c>
      <c r="F890" s="8">
        <v>-2.6461318999999999</v>
      </c>
      <c r="G890" s="8">
        <v>-3.1235745000000001</v>
      </c>
      <c r="H890" s="6" t="str">
        <f t="shared" si="9"/>
        <v>Direct</v>
      </c>
      <c r="I890" s="8" t="s">
        <v>227</v>
      </c>
      <c r="J890" s="8" t="s">
        <v>227</v>
      </c>
    </row>
    <row r="891" spans="1:10" x14ac:dyDescent="0.2">
      <c r="A891" s="8" t="s">
        <v>56</v>
      </c>
      <c r="B891" s="8" t="s">
        <v>62</v>
      </c>
      <c r="C891" s="8" t="s">
        <v>3043</v>
      </c>
      <c r="D891" s="8" t="s">
        <v>3044</v>
      </c>
      <c r="E891" s="8" t="s">
        <v>3045</v>
      </c>
      <c r="F891" s="8">
        <v>-3.9572782000000002</v>
      </c>
      <c r="G891" s="8">
        <v>-9.1943856999999998</v>
      </c>
      <c r="H891" s="6" t="str">
        <f t="shared" si="9"/>
        <v>Direct</v>
      </c>
      <c r="I891" s="8" t="s">
        <v>3046</v>
      </c>
      <c r="J891" s="8" t="s">
        <v>3046</v>
      </c>
    </row>
    <row r="892" spans="1:10" x14ac:dyDescent="0.2">
      <c r="A892" s="8" t="s">
        <v>56</v>
      </c>
      <c r="B892" s="8" t="s">
        <v>62</v>
      </c>
      <c r="C892" s="8" t="s">
        <v>3047</v>
      </c>
      <c r="D892" s="8" t="s">
        <v>3048</v>
      </c>
      <c r="E892" s="8" t="s">
        <v>3049</v>
      </c>
      <c r="F892" s="8">
        <v>-2.8358048</v>
      </c>
      <c r="G892" s="8">
        <v>-2.9958735999999999</v>
      </c>
      <c r="H892" s="6" t="str">
        <f t="shared" si="9"/>
        <v>Direct</v>
      </c>
      <c r="I892" s="8" t="s">
        <v>3050</v>
      </c>
      <c r="J892" s="8" t="s">
        <v>3050</v>
      </c>
    </row>
    <row r="893" spans="1:10" x14ac:dyDescent="0.2">
      <c r="A893" s="8" t="s">
        <v>56</v>
      </c>
      <c r="B893" s="8" t="s">
        <v>62</v>
      </c>
      <c r="C893" s="8" t="s">
        <v>1900</v>
      </c>
      <c r="D893" s="8" t="s">
        <v>1901</v>
      </c>
      <c r="E893" s="8" t="s">
        <v>1902</v>
      </c>
      <c r="F893" s="8">
        <v>-4.2195840999999996</v>
      </c>
      <c r="G893" s="8">
        <v>-4.0116288000000004</v>
      </c>
      <c r="H893" s="6" t="str">
        <f t="shared" si="9"/>
        <v>Direct</v>
      </c>
      <c r="I893" s="8" t="s">
        <v>1903</v>
      </c>
      <c r="J893" s="8" t="s">
        <v>1903</v>
      </c>
    </row>
    <row r="894" spans="1:10" x14ac:dyDescent="0.2">
      <c r="A894" s="8" t="s">
        <v>56</v>
      </c>
      <c r="B894" s="8" t="s">
        <v>62</v>
      </c>
      <c r="C894" s="8" t="s">
        <v>1904</v>
      </c>
      <c r="D894" s="8" t="s">
        <v>1905</v>
      </c>
      <c r="E894" s="8" t="s">
        <v>1906</v>
      </c>
      <c r="F894" s="8">
        <v>-3.9897171999999999</v>
      </c>
      <c r="G894" s="8">
        <v>-1.6891601999999999</v>
      </c>
      <c r="H894" s="6" t="str">
        <f t="shared" si="9"/>
        <v>Direct</v>
      </c>
      <c r="I894" s="8" t="s">
        <v>1907</v>
      </c>
      <c r="J894" s="8" t="s">
        <v>1907</v>
      </c>
    </row>
    <row r="895" spans="1:10" x14ac:dyDescent="0.2">
      <c r="A895" s="8" t="s">
        <v>56</v>
      </c>
      <c r="B895" s="8" t="s">
        <v>62</v>
      </c>
      <c r="C895" s="8" t="s">
        <v>3051</v>
      </c>
      <c r="D895" s="8" t="s">
        <v>3052</v>
      </c>
      <c r="E895" s="8" t="s">
        <v>3053</v>
      </c>
      <c r="F895" s="8">
        <v>3.0390354400000001</v>
      </c>
      <c r="G895" s="8">
        <v>-1.0050195</v>
      </c>
      <c r="H895" s="6" t="str">
        <f t="shared" si="9"/>
        <v>Inverse</v>
      </c>
      <c r="I895" s="8" t="s">
        <v>2922</v>
      </c>
      <c r="J895" s="8" t="s">
        <v>2922</v>
      </c>
    </row>
    <row r="896" spans="1:10" x14ac:dyDescent="0.2">
      <c r="A896" s="8" t="s">
        <v>56</v>
      </c>
      <c r="B896" s="8" t="s">
        <v>62</v>
      </c>
      <c r="C896" s="8" t="s">
        <v>3054</v>
      </c>
      <c r="D896" s="8" t="s">
        <v>3055</v>
      </c>
      <c r="E896" s="8" t="s">
        <v>3056</v>
      </c>
      <c r="F896" s="8">
        <v>-6.1637909999999998</v>
      </c>
      <c r="G896" s="8">
        <v>-1.1805082</v>
      </c>
      <c r="H896" s="6" t="str">
        <f t="shared" si="9"/>
        <v>Direct</v>
      </c>
      <c r="I896" s="8" t="s">
        <v>3057</v>
      </c>
      <c r="J896" s="8" t="s">
        <v>3057</v>
      </c>
    </row>
    <row r="897" spans="1:10" x14ac:dyDescent="0.2">
      <c r="A897" s="8" t="s">
        <v>56</v>
      </c>
      <c r="B897" s="8" t="s">
        <v>62</v>
      </c>
      <c r="C897" s="8" t="s">
        <v>3058</v>
      </c>
      <c r="D897" s="8" t="s">
        <v>3059</v>
      </c>
      <c r="E897" s="8" t="s">
        <v>3060</v>
      </c>
      <c r="F897" s="8">
        <v>-1.0704408000000001</v>
      </c>
      <c r="G897" s="8">
        <v>-1.5232262999999999</v>
      </c>
      <c r="H897" s="6" t="str">
        <f t="shared" si="9"/>
        <v>Direct</v>
      </c>
      <c r="I897" s="8" t="s">
        <v>3061</v>
      </c>
      <c r="J897" s="8" t="s">
        <v>3061</v>
      </c>
    </row>
    <row r="898" spans="1:10" x14ac:dyDescent="0.2">
      <c r="A898" s="8" t="s">
        <v>56</v>
      </c>
      <c r="B898" s="8" t="s">
        <v>62</v>
      </c>
      <c r="C898" s="8" t="s">
        <v>3062</v>
      </c>
      <c r="D898" s="8" t="s">
        <v>3063</v>
      </c>
      <c r="E898" s="8" t="s">
        <v>3064</v>
      </c>
      <c r="F898" s="8">
        <v>2.2575492800000001</v>
      </c>
      <c r="G898" s="8">
        <v>-1.0568993</v>
      </c>
      <c r="H898" s="6" t="str">
        <f t="shared" si="9"/>
        <v>Inverse</v>
      </c>
      <c r="I898" s="8" t="s">
        <v>50</v>
      </c>
      <c r="J898" s="8" t="s">
        <v>50</v>
      </c>
    </row>
    <row r="899" spans="1:10" x14ac:dyDescent="0.2">
      <c r="A899" s="8" t="s">
        <v>56</v>
      </c>
      <c r="B899" s="8" t="s">
        <v>62</v>
      </c>
      <c r="C899" s="8" t="s">
        <v>3065</v>
      </c>
      <c r="D899" s="8" t="s">
        <v>3066</v>
      </c>
      <c r="E899" s="8" t="s">
        <v>3067</v>
      </c>
      <c r="F899" s="8">
        <v>3.71102248</v>
      </c>
      <c r="G899" s="8">
        <v>2.5302659599999999</v>
      </c>
      <c r="H899" s="6" t="str">
        <f t="shared" si="9"/>
        <v>Direct</v>
      </c>
      <c r="I899" s="8" t="s">
        <v>3068</v>
      </c>
      <c r="J899" s="8" t="s">
        <v>3068</v>
      </c>
    </row>
    <row r="900" spans="1:10" x14ac:dyDescent="0.2">
      <c r="A900" s="8" t="s">
        <v>56</v>
      </c>
      <c r="B900" s="8" t="s">
        <v>62</v>
      </c>
      <c r="C900" s="8" t="s">
        <v>3069</v>
      </c>
      <c r="D900" s="8" t="s">
        <v>3070</v>
      </c>
      <c r="E900" s="8" t="s">
        <v>3071</v>
      </c>
      <c r="F900" s="8">
        <v>-9.0341246000000002</v>
      </c>
      <c r="G900" s="8">
        <v>-3.6719048000000001</v>
      </c>
      <c r="H900" s="6" t="str">
        <f t="shared" si="9"/>
        <v>Direct</v>
      </c>
      <c r="I900" s="8" t="s">
        <v>3072</v>
      </c>
      <c r="J900" s="8" t="s">
        <v>3073</v>
      </c>
    </row>
    <row r="901" spans="1:10" x14ac:dyDescent="0.2">
      <c r="A901" s="8" t="s">
        <v>56</v>
      </c>
      <c r="B901" s="8" t="s">
        <v>62</v>
      </c>
      <c r="C901" s="8" t="s">
        <v>3074</v>
      </c>
      <c r="D901" s="8" t="s">
        <v>3075</v>
      </c>
      <c r="E901" s="8" t="s">
        <v>3076</v>
      </c>
      <c r="F901" s="8">
        <v>-2.144898</v>
      </c>
      <c r="G901" s="8">
        <v>-1.2241852</v>
      </c>
      <c r="H901" s="6" t="str">
        <f t="shared" si="9"/>
        <v>Direct</v>
      </c>
      <c r="I901" s="8" t="s">
        <v>3077</v>
      </c>
      <c r="J901" s="8" t="s">
        <v>3077</v>
      </c>
    </row>
    <row r="902" spans="1:10" x14ac:dyDescent="0.2">
      <c r="A902" s="8" t="s">
        <v>56</v>
      </c>
      <c r="B902" s="8" t="s">
        <v>62</v>
      </c>
      <c r="C902" s="8" t="s">
        <v>3078</v>
      </c>
      <c r="D902" s="8" t="s">
        <v>3079</v>
      </c>
      <c r="E902" s="8" t="s">
        <v>3080</v>
      </c>
      <c r="F902" s="8">
        <v>-32.956417000000002</v>
      </c>
      <c r="G902" s="8">
        <v>-1.7052598999999999</v>
      </c>
      <c r="H902" s="6" t="str">
        <f t="shared" si="9"/>
        <v>Direct</v>
      </c>
      <c r="I902" s="8" t="s">
        <v>55</v>
      </c>
      <c r="J902" s="8" t="s">
        <v>55</v>
      </c>
    </row>
    <row r="903" spans="1:10" x14ac:dyDescent="0.2">
      <c r="A903" s="8" t="s">
        <v>56</v>
      </c>
      <c r="B903" s="8" t="s">
        <v>62</v>
      </c>
      <c r="C903" s="8" t="s">
        <v>1932</v>
      </c>
      <c r="D903" s="8" t="s">
        <v>1933</v>
      </c>
      <c r="E903" s="8" t="s">
        <v>1934</v>
      </c>
      <c r="F903" s="8">
        <v>3.06249102</v>
      </c>
      <c r="G903" s="8">
        <v>2.3376632499999999</v>
      </c>
      <c r="H903" s="6" t="str">
        <f t="shared" si="9"/>
        <v>Direct</v>
      </c>
      <c r="I903" s="8" t="s">
        <v>50</v>
      </c>
      <c r="J903" s="8" t="s">
        <v>1935</v>
      </c>
    </row>
    <row r="904" spans="1:10" x14ac:dyDescent="0.2">
      <c r="A904" s="8" t="s">
        <v>56</v>
      </c>
      <c r="B904" s="8" t="s">
        <v>62</v>
      </c>
      <c r="C904" s="8" t="s">
        <v>3081</v>
      </c>
      <c r="D904" s="8" t="s">
        <v>3082</v>
      </c>
      <c r="E904" s="8" t="s">
        <v>3083</v>
      </c>
      <c r="F904" s="8">
        <v>-1.1469240999999999</v>
      </c>
      <c r="G904" s="8">
        <v>-1.6204618</v>
      </c>
      <c r="H904" s="6" t="str">
        <f t="shared" si="9"/>
        <v>Direct</v>
      </c>
      <c r="I904" s="8" t="s">
        <v>116</v>
      </c>
      <c r="J904" s="8" t="s">
        <v>1449</v>
      </c>
    </row>
    <row r="905" spans="1:10" x14ac:dyDescent="0.2">
      <c r="A905" s="8" t="s">
        <v>56</v>
      </c>
      <c r="B905" s="8" t="s">
        <v>62</v>
      </c>
      <c r="C905" s="8" t="s">
        <v>3084</v>
      </c>
      <c r="D905" s="8" t="s">
        <v>3085</v>
      </c>
      <c r="E905" s="8" t="s">
        <v>3086</v>
      </c>
      <c r="F905" s="8">
        <v>-1.3974888000000001</v>
      </c>
      <c r="G905" s="8">
        <v>-1.4803331</v>
      </c>
      <c r="H905" s="6" t="str">
        <f t="shared" si="9"/>
        <v>Direct</v>
      </c>
      <c r="I905" s="8" t="s">
        <v>488</v>
      </c>
      <c r="J905" s="8" t="s">
        <v>488</v>
      </c>
    </row>
    <row r="906" spans="1:10" x14ac:dyDescent="0.2">
      <c r="A906" s="8" t="s">
        <v>56</v>
      </c>
      <c r="B906" s="8" t="s">
        <v>62</v>
      </c>
      <c r="C906" s="8" t="s">
        <v>1936</v>
      </c>
      <c r="D906" s="8" t="s">
        <v>1937</v>
      </c>
      <c r="E906" s="8" t="s">
        <v>1938</v>
      </c>
      <c r="F906" s="8">
        <v>-1.9928132999999999</v>
      </c>
      <c r="G906" s="8">
        <v>-4.4871444</v>
      </c>
      <c r="H906" s="6" t="str">
        <f t="shared" si="9"/>
        <v>Direct</v>
      </c>
      <c r="I906" s="8" t="s">
        <v>1939</v>
      </c>
      <c r="J906" s="8" t="s">
        <v>1939</v>
      </c>
    </row>
    <row r="907" spans="1:10" x14ac:dyDescent="0.2">
      <c r="A907" s="8" t="s">
        <v>56</v>
      </c>
      <c r="B907" s="8" t="s">
        <v>62</v>
      </c>
      <c r="C907" s="8" t="s">
        <v>1940</v>
      </c>
      <c r="D907" s="8" t="s">
        <v>1941</v>
      </c>
      <c r="E907" s="8" t="s">
        <v>1942</v>
      </c>
      <c r="F907" s="8">
        <v>7.3283934500000001</v>
      </c>
      <c r="G907" s="8">
        <v>1.1903265599999999</v>
      </c>
      <c r="H907" s="6" t="str">
        <f t="shared" si="9"/>
        <v>Direct</v>
      </c>
      <c r="I907" s="8" t="s">
        <v>1943</v>
      </c>
      <c r="J907" s="8" t="s">
        <v>1943</v>
      </c>
    </row>
    <row r="908" spans="1:10" x14ac:dyDescent="0.2">
      <c r="A908" s="8" t="s">
        <v>56</v>
      </c>
      <c r="B908" s="8" t="s">
        <v>62</v>
      </c>
      <c r="C908" s="8" t="s">
        <v>1948</v>
      </c>
      <c r="D908" s="8" t="s">
        <v>1949</v>
      </c>
      <c r="E908" s="8" t="s">
        <v>1950</v>
      </c>
      <c r="F908" s="8">
        <v>-1.0675899</v>
      </c>
      <c r="G908" s="8">
        <v>-3.5383182999999998</v>
      </c>
      <c r="H908" s="6" t="str">
        <f t="shared" si="9"/>
        <v>Direct</v>
      </c>
      <c r="I908" s="8" t="s">
        <v>1951</v>
      </c>
      <c r="J908" s="8" t="s">
        <v>1951</v>
      </c>
    </row>
    <row r="909" spans="1:10" x14ac:dyDescent="0.2">
      <c r="A909" s="8" t="s">
        <v>56</v>
      </c>
      <c r="B909" s="8" t="s">
        <v>62</v>
      </c>
      <c r="C909" s="8" t="s">
        <v>3087</v>
      </c>
      <c r="D909" s="8" t="s">
        <v>3088</v>
      </c>
      <c r="E909" s="8" t="s">
        <v>3089</v>
      </c>
      <c r="F909" s="8">
        <v>-1.7026435</v>
      </c>
      <c r="G909" s="8">
        <v>-2.3525494</v>
      </c>
      <c r="H909" s="6" t="str">
        <f t="shared" si="9"/>
        <v>Direct</v>
      </c>
      <c r="I909" s="8" t="s">
        <v>3090</v>
      </c>
      <c r="J909" s="8" t="s">
        <v>3091</v>
      </c>
    </row>
    <row r="910" spans="1:10" x14ac:dyDescent="0.2">
      <c r="A910" s="8" t="s">
        <v>56</v>
      </c>
      <c r="B910" s="8" t="s">
        <v>62</v>
      </c>
      <c r="C910" s="8" t="s">
        <v>3092</v>
      </c>
      <c r="D910" s="8" t="s">
        <v>3093</v>
      </c>
      <c r="E910" s="8" t="s">
        <v>3094</v>
      </c>
      <c r="F910" s="8">
        <v>1.0302303500000001</v>
      </c>
      <c r="G910" s="8">
        <v>-7.9825096999999996</v>
      </c>
      <c r="H910" s="6" t="str">
        <f t="shared" si="9"/>
        <v>Inverse</v>
      </c>
      <c r="I910" s="8" t="s">
        <v>3095</v>
      </c>
      <c r="J910" s="8" t="s">
        <v>3095</v>
      </c>
    </row>
    <row r="911" spans="1:10" x14ac:dyDescent="0.2">
      <c r="A911" s="8" t="s">
        <v>56</v>
      </c>
      <c r="B911" s="8" t="s">
        <v>62</v>
      </c>
      <c r="C911" s="8" t="s">
        <v>1952</v>
      </c>
      <c r="D911" s="8" t="s">
        <v>1953</v>
      </c>
      <c r="E911" s="8" t="s">
        <v>1954</v>
      </c>
      <c r="F911" s="8">
        <v>1.0951582</v>
      </c>
      <c r="G911" s="8">
        <v>1.25687204</v>
      </c>
      <c r="H911" s="6" t="str">
        <f t="shared" si="9"/>
        <v>Direct</v>
      </c>
      <c r="I911" s="8" t="s">
        <v>1955</v>
      </c>
      <c r="J911" s="8" t="s">
        <v>1955</v>
      </c>
    </row>
    <row r="912" spans="1:10" x14ac:dyDescent="0.2">
      <c r="A912" s="8" t="s">
        <v>56</v>
      </c>
      <c r="B912" s="8" t="s">
        <v>62</v>
      </c>
      <c r="C912" s="8" t="s">
        <v>3096</v>
      </c>
      <c r="D912" s="8" t="s">
        <v>3097</v>
      </c>
      <c r="E912" s="8" t="s">
        <v>3098</v>
      </c>
      <c r="F912" s="8">
        <v>-11.331286</v>
      </c>
      <c r="G912" s="8">
        <v>-1.5329689</v>
      </c>
      <c r="H912" s="6" t="str">
        <f t="shared" si="9"/>
        <v>Direct</v>
      </c>
      <c r="I912" s="8" t="s">
        <v>445</v>
      </c>
      <c r="J912" s="8" t="s">
        <v>445</v>
      </c>
    </row>
    <row r="913" spans="1:10" x14ac:dyDescent="0.2">
      <c r="A913" s="8" t="s">
        <v>56</v>
      </c>
      <c r="B913" s="8" t="s">
        <v>62</v>
      </c>
      <c r="C913" s="8" t="s">
        <v>3099</v>
      </c>
      <c r="D913" s="8" t="s">
        <v>3100</v>
      </c>
      <c r="E913" s="8" t="s">
        <v>3101</v>
      </c>
      <c r="F913" s="8">
        <v>-2.7005921000000002</v>
      </c>
      <c r="G913" s="8">
        <v>-2.0420942000000002</v>
      </c>
      <c r="H913" s="6" t="str">
        <f t="shared" si="9"/>
        <v>Direct</v>
      </c>
      <c r="I913" s="8" t="s">
        <v>3102</v>
      </c>
      <c r="J913" s="8" t="s">
        <v>3102</v>
      </c>
    </row>
    <row r="914" spans="1:10" x14ac:dyDescent="0.2">
      <c r="A914" s="8" t="s">
        <v>56</v>
      </c>
      <c r="B914" s="8" t="s">
        <v>62</v>
      </c>
      <c r="C914" s="8" t="s">
        <v>3103</v>
      </c>
      <c r="D914" s="8" t="s">
        <v>3104</v>
      </c>
      <c r="E914" s="8" t="s">
        <v>3105</v>
      </c>
      <c r="F914" s="8">
        <v>-1.3564536</v>
      </c>
      <c r="G914" s="8">
        <v>-1.0590329999999999</v>
      </c>
      <c r="H914" s="6" t="str">
        <f t="shared" si="9"/>
        <v>Direct</v>
      </c>
      <c r="I914" s="8" t="s">
        <v>3106</v>
      </c>
      <c r="J914" s="8" t="s">
        <v>3106</v>
      </c>
    </row>
    <row r="915" spans="1:10" x14ac:dyDescent="0.2">
      <c r="A915" s="8" t="s">
        <v>56</v>
      </c>
      <c r="B915" s="8" t="s">
        <v>62</v>
      </c>
      <c r="C915" s="8" t="s">
        <v>3107</v>
      </c>
      <c r="D915" s="8" t="s">
        <v>3108</v>
      </c>
      <c r="E915" s="8" t="s">
        <v>3109</v>
      </c>
      <c r="F915" s="8">
        <v>7.45812016</v>
      </c>
      <c r="G915" s="8">
        <v>-1.0657369000000001</v>
      </c>
      <c r="H915" s="6" t="str">
        <f t="shared" si="9"/>
        <v>Inverse</v>
      </c>
      <c r="I915" s="8" t="s">
        <v>3110</v>
      </c>
      <c r="J915" s="8" t="s">
        <v>3110</v>
      </c>
    </row>
    <row r="916" spans="1:10" x14ac:dyDescent="0.2">
      <c r="A916" s="8" t="s">
        <v>56</v>
      </c>
      <c r="B916" s="8" t="s">
        <v>62</v>
      </c>
      <c r="C916" s="8" t="s">
        <v>3111</v>
      </c>
      <c r="D916" s="8" t="s">
        <v>3112</v>
      </c>
      <c r="E916" s="8" t="s">
        <v>3113</v>
      </c>
      <c r="F916" s="8">
        <v>3.7108188100000001</v>
      </c>
      <c r="G916" s="8">
        <v>1.5676089499999999</v>
      </c>
      <c r="H916" s="6" t="str">
        <f t="shared" si="9"/>
        <v>Direct</v>
      </c>
      <c r="I916" s="8" t="s">
        <v>794</v>
      </c>
      <c r="J916" s="8" t="s">
        <v>794</v>
      </c>
    </row>
    <row r="917" spans="1:10" x14ac:dyDescent="0.2">
      <c r="A917" s="8" t="s">
        <v>56</v>
      </c>
      <c r="B917" s="8" t="s">
        <v>62</v>
      </c>
      <c r="C917" s="8" t="s">
        <v>3114</v>
      </c>
      <c r="D917" s="8" t="s">
        <v>3115</v>
      </c>
      <c r="E917" s="8" t="s">
        <v>3116</v>
      </c>
      <c r="F917" s="8">
        <v>-15.061629</v>
      </c>
      <c r="G917" s="8">
        <v>-1.478307</v>
      </c>
      <c r="H917" s="6" t="str">
        <f t="shared" si="9"/>
        <v>Direct</v>
      </c>
      <c r="I917" s="8" t="s">
        <v>3117</v>
      </c>
      <c r="J917" s="8" t="s">
        <v>3117</v>
      </c>
    </row>
    <row r="918" spans="1:10" x14ac:dyDescent="0.2">
      <c r="A918" s="8" t="s">
        <v>56</v>
      </c>
      <c r="B918" s="8" t="s">
        <v>62</v>
      </c>
      <c r="C918" s="8" t="s">
        <v>3118</v>
      </c>
      <c r="D918" s="8" t="s">
        <v>3119</v>
      </c>
      <c r="E918" s="8" t="s">
        <v>3120</v>
      </c>
      <c r="F918" s="8">
        <v>-48.786115000000002</v>
      </c>
      <c r="G918" s="8">
        <v>-3.972556</v>
      </c>
      <c r="H918" s="6" t="str">
        <f t="shared" si="9"/>
        <v>Direct</v>
      </c>
      <c r="I918" s="8" t="s">
        <v>3121</v>
      </c>
      <c r="J918" s="8" t="s">
        <v>3121</v>
      </c>
    </row>
    <row r="919" spans="1:10" x14ac:dyDescent="0.2">
      <c r="A919" s="8" t="s">
        <v>56</v>
      </c>
      <c r="B919" s="8" t="s">
        <v>62</v>
      </c>
      <c r="C919" s="8" t="s">
        <v>3122</v>
      </c>
      <c r="D919" s="8" t="s">
        <v>3123</v>
      </c>
      <c r="E919" s="8" t="s">
        <v>3124</v>
      </c>
      <c r="F919" s="8">
        <v>-1.4364115</v>
      </c>
      <c r="G919" s="8">
        <v>-1.8920303999999999</v>
      </c>
      <c r="H919" s="6" t="str">
        <f t="shared" si="9"/>
        <v>Direct</v>
      </c>
      <c r="I919" s="8" t="s">
        <v>3125</v>
      </c>
      <c r="J919" s="8" t="s">
        <v>3125</v>
      </c>
    </row>
    <row r="920" spans="1:10" x14ac:dyDescent="0.2">
      <c r="A920" s="8" t="s">
        <v>56</v>
      </c>
      <c r="B920" s="8" t="s">
        <v>62</v>
      </c>
      <c r="C920" s="8" t="s">
        <v>1965</v>
      </c>
      <c r="D920" s="8" t="s">
        <v>1966</v>
      </c>
      <c r="E920" s="8" t="s">
        <v>1967</v>
      </c>
      <c r="F920" s="8">
        <v>-10.955558</v>
      </c>
      <c r="G920" s="8">
        <v>-3.6572441000000002</v>
      </c>
      <c r="H920" s="6" t="str">
        <f t="shared" si="9"/>
        <v>Direct</v>
      </c>
      <c r="I920" s="8" t="s">
        <v>1968</v>
      </c>
      <c r="J920" s="8" t="s">
        <v>1968</v>
      </c>
    </row>
    <row r="921" spans="1:10" x14ac:dyDescent="0.2">
      <c r="A921" s="8" t="s">
        <v>56</v>
      </c>
      <c r="B921" s="8" t="s">
        <v>62</v>
      </c>
      <c r="C921" s="8" t="s">
        <v>3126</v>
      </c>
      <c r="D921" s="8" t="s">
        <v>3127</v>
      </c>
      <c r="E921" s="8" t="s">
        <v>3128</v>
      </c>
      <c r="F921" s="8">
        <v>1.1432500299999999</v>
      </c>
      <c r="G921" s="8">
        <v>-1.2832692999999999</v>
      </c>
      <c r="H921" s="6" t="str">
        <f t="shared" si="9"/>
        <v>Inverse</v>
      </c>
      <c r="I921" s="8" t="s">
        <v>3129</v>
      </c>
      <c r="J921" s="8" t="s">
        <v>3129</v>
      </c>
    </row>
    <row r="922" spans="1:10" x14ac:dyDescent="0.2">
      <c r="A922" s="8" t="s">
        <v>56</v>
      </c>
      <c r="B922" s="8" t="s">
        <v>62</v>
      </c>
      <c r="C922" s="8" t="s">
        <v>3130</v>
      </c>
      <c r="D922" s="8" t="s">
        <v>3131</v>
      </c>
      <c r="E922" s="8" t="s">
        <v>3132</v>
      </c>
      <c r="F922" s="8">
        <v>-1.2917444</v>
      </c>
      <c r="G922" s="8">
        <v>-3.8258757999999999</v>
      </c>
      <c r="H922" s="6" t="str">
        <f t="shared" si="9"/>
        <v>Direct</v>
      </c>
      <c r="I922" s="8" t="s">
        <v>3133</v>
      </c>
      <c r="J922" s="8" t="s">
        <v>3133</v>
      </c>
    </row>
    <row r="923" spans="1:10" x14ac:dyDescent="0.2">
      <c r="A923" s="8" t="s">
        <v>56</v>
      </c>
      <c r="B923" s="8" t="s">
        <v>62</v>
      </c>
      <c r="C923" s="8" t="s">
        <v>3134</v>
      </c>
      <c r="D923" s="8" t="s">
        <v>3135</v>
      </c>
      <c r="E923" s="8" t="s">
        <v>3136</v>
      </c>
      <c r="F923" s="8">
        <v>-1.5182111</v>
      </c>
      <c r="G923" s="8">
        <v>-1.3066963</v>
      </c>
      <c r="H923" s="6" t="str">
        <f t="shared" si="9"/>
        <v>Direct</v>
      </c>
      <c r="I923" s="8" t="s">
        <v>3137</v>
      </c>
      <c r="J923" s="8" t="s">
        <v>3137</v>
      </c>
    </row>
    <row r="924" spans="1:10" x14ac:dyDescent="0.2">
      <c r="A924" s="8" t="s">
        <v>56</v>
      </c>
      <c r="B924" s="8" t="s">
        <v>62</v>
      </c>
      <c r="C924" s="8" t="s">
        <v>3138</v>
      </c>
      <c r="D924" s="8" t="s">
        <v>3139</v>
      </c>
      <c r="E924" s="8" t="s">
        <v>3140</v>
      </c>
      <c r="F924" s="8">
        <v>1.1104082</v>
      </c>
      <c r="G924" s="8">
        <v>3.0612149099999999</v>
      </c>
      <c r="H924" s="6" t="str">
        <f t="shared" si="9"/>
        <v>Direct</v>
      </c>
      <c r="I924" s="8" t="s">
        <v>3141</v>
      </c>
      <c r="J924" s="8" t="s">
        <v>3141</v>
      </c>
    </row>
    <row r="925" spans="1:10" x14ac:dyDescent="0.2">
      <c r="A925" s="8" t="s">
        <v>56</v>
      </c>
      <c r="B925" s="8" t="s">
        <v>62</v>
      </c>
      <c r="C925" s="8" t="s">
        <v>1999</v>
      </c>
      <c r="D925" s="8" t="s">
        <v>2000</v>
      </c>
      <c r="E925" s="8" t="s">
        <v>2001</v>
      </c>
      <c r="F925" s="8">
        <v>1.01257029</v>
      </c>
      <c r="G925" s="8">
        <v>-1.7186436</v>
      </c>
      <c r="H925" s="6" t="str">
        <f t="shared" si="9"/>
        <v>Inverse</v>
      </c>
      <c r="I925" s="8" t="s">
        <v>2002</v>
      </c>
      <c r="J925" s="8" t="s">
        <v>2002</v>
      </c>
    </row>
    <row r="926" spans="1:10" x14ac:dyDescent="0.2">
      <c r="A926" s="8" t="s">
        <v>56</v>
      </c>
      <c r="B926" s="8" t="s">
        <v>62</v>
      </c>
      <c r="C926" s="8" t="s">
        <v>3142</v>
      </c>
      <c r="D926" s="8" t="s">
        <v>3143</v>
      </c>
      <c r="E926" s="8" t="s">
        <v>3144</v>
      </c>
      <c r="F926" s="8">
        <v>5.1067225699999996</v>
      </c>
      <c r="G926" s="8">
        <v>2.2970774399999998</v>
      </c>
      <c r="H926" s="6" t="str">
        <f t="shared" si="9"/>
        <v>Direct</v>
      </c>
      <c r="I926" s="8" t="s">
        <v>3145</v>
      </c>
      <c r="J926" s="8" t="s">
        <v>3145</v>
      </c>
    </row>
    <row r="927" spans="1:10" x14ac:dyDescent="0.2">
      <c r="A927" s="8" t="s">
        <v>56</v>
      </c>
      <c r="B927" s="8" t="s">
        <v>62</v>
      </c>
      <c r="C927" s="8" t="s">
        <v>3146</v>
      </c>
      <c r="D927" s="8" t="s">
        <v>3147</v>
      </c>
      <c r="E927" s="8" t="s">
        <v>3148</v>
      </c>
      <c r="F927" s="8">
        <v>-1.0413139</v>
      </c>
      <c r="G927" s="8">
        <v>-2.4323218</v>
      </c>
      <c r="H927" s="6" t="str">
        <f t="shared" si="9"/>
        <v>Direct</v>
      </c>
      <c r="I927" s="8" t="s">
        <v>3149</v>
      </c>
      <c r="J927" s="8" t="s">
        <v>3149</v>
      </c>
    </row>
    <row r="928" spans="1:10" x14ac:dyDescent="0.2">
      <c r="A928" s="8" t="s">
        <v>56</v>
      </c>
      <c r="B928" s="8" t="s">
        <v>62</v>
      </c>
      <c r="C928" s="8" t="s">
        <v>3150</v>
      </c>
      <c r="D928" s="8" t="s">
        <v>3151</v>
      </c>
      <c r="E928" s="8" t="s">
        <v>3152</v>
      </c>
      <c r="F928" s="8">
        <v>-34.702724000000003</v>
      </c>
      <c r="G928" s="8">
        <v>-2.8525695999999998</v>
      </c>
      <c r="H928" s="6" t="str">
        <f t="shared" si="9"/>
        <v>Direct</v>
      </c>
      <c r="I928" s="8" t="s">
        <v>723</v>
      </c>
      <c r="J928" s="8" t="s">
        <v>3153</v>
      </c>
    </row>
    <row r="929" spans="1:10" x14ac:dyDescent="0.2">
      <c r="A929" s="8" t="s">
        <v>56</v>
      </c>
      <c r="B929" s="8" t="s">
        <v>62</v>
      </c>
      <c r="C929" s="8" t="s">
        <v>3154</v>
      </c>
      <c r="D929" s="8" t="s">
        <v>3155</v>
      </c>
      <c r="E929" s="8" t="s">
        <v>3156</v>
      </c>
      <c r="F929" s="8">
        <v>-1.0692529</v>
      </c>
      <c r="G929" s="8">
        <v>-4.2639589999999998</v>
      </c>
      <c r="H929" s="6" t="str">
        <f t="shared" si="9"/>
        <v>Direct</v>
      </c>
      <c r="I929" s="8" t="s">
        <v>3157</v>
      </c>
      <c r="J929" s="8" t="s">
        <v>3157</v>
      </c>
    </row>
    <row r="930" spans="1:10" x14ac:dyDescent="0.2">
      <c r="A930" s="8" t="s">
        <v>56</v>
      </c>
      <c r="B930" s="8" t="s">
        <v>62</v>
      </c>
      <c r="C930" s="8" t="s">
        <v>3158</v>
      </c>
      <c r="D930" s="8" t="s">
        <v>3159</v>
      </c>
      <c r="E930" s="8" t="s">
        <v>3160</v>
      </c>
      <c r="F930" s="8">
        <v>4.5234015000000003</v>
      </c>
      <c r="G930" s="8">
        <v>-1.0294873</v>
      </c>
      <c r="H930" s="6" t="str">
        <f t="shared" si="9"/>
        <v>Inverse</v>
      </c>
      <c r="I930" s="8" t="s">
        <v>3161</v>
      </c>
      <c r="J930" s="8" t="s">
        <v>3162</v>
      </c>
    </row>
    <row r="931" spans="1:10" x14ac:dyDescent="0.2">
      <c r="A931" s="8" t="s">
        <v>56</v>
      </c>
      <c r="B931" s="8" t="s">
        <v>62</v>
      </c>
      <c r="C931" s="8" t="s">
        <v>2003</v>
      </c>
      <c r="D931" s="8" t="s">
        <v>2004</v>
      </c>
      <c r="E931" s="8" t="s">
        <v>2005</v>
      </c>
      <c r="F931" s="8">
        <v>8.21243385</v>
      </c>
      <c r="G931" s="8">
        <v>3.8759213899999998</v>
      </c>
      <c r="H931" s="6" t="str">
        <f t="shared" si="9"/>
        <v>Direct</v>
      </c>
      <c r="I931" s="8" t="s">
        <v>2006</v>
      </c>
      <c r="J931" s="8" t="s">
        <v>2006</v>
      </c>
    </row>
    <row r="932" spans="1:10" x14ac:dyDescent="0.2">
      <c r="A932" s="8" t="s">
        <v>56</v>
      </c>
      <c r="B932" s="8" t="s">
        <v>62</v>
      </c>
      <c r="C932" s="8" t="s">
        <v>3163</v>
      </c>
      <c r="D932" s="8" t="s">
        <v>3164</v>
      </c>
      <c r="E932" s="8" t="s">
        <v>3165</v>
      </c>
      <c r="F932" s="8">
        <v>-11.367497</v>
      </c>
      <c r="G932" s="8">
        <v>-1.9713982999999999</v>
      </c>
      <c r="H932" s="6" t="str">
        <f t="shared" si="9"/>
        <v>Direct</v>
      </c>
      <c r="I932" s="8" t="s">
        <v>50</v>
      </c>
      <c r="J932" s="8" t="s">
        <v>3166</v>
      </c>
    </row>
    <row r="933" spans="1:10" x14ac:dyDescent="0.2">
      <c r="A933" s="8" t="s">
        <v>56</v>
      </c>
      <c r="B933" s="8" t="s">
        <v>62</v>
      </c>
      <c r="C933" s="8" t="s">
        <v>1548</v>
      </c>
      <c r="D933" s="8" t="s">
        <v>1549</v>
      </c>
      <c r="E933" s="8" t="s">
        <v>1550</v>
      </c>
      <c r="F933" s="8">
        <v>4.17174449</v>
      </c>
      <c r="G933" s="8">
        <v>1.97487854</v>
      </c>
      <c r="H933" s="6" t="str">
        <f t="shared" si="9"/>
        <v>Direct</v>
      </c>
      <c r="I933" s="8" t="s">
        <v>1551</v>
      </c>
      <c r="J933" s="8" t="s">
        <v>1551</v>
      </c>
    </row>
    <row r="934" spans="1:10" x14ac:dyDescent="0.2">
      <c r="A934" s="8" t="s">
        <v>56</v>
      </c>
      <c r="B934" s="8" t="s">
        <v>62</v>
      </c>
      <c r="C934" s="8" t="s">
        <v>3167</v>
      </c>
      <c r="D934" s="8" t="s">
        <v>3168</v>
      </c>
      <c r="E934" s="8" t="s">
        <v>3169</v>
      </c>
      <c r="F934" s="8">
        <v>-1.7518686999999999</v>
      </c>
      <c r="G934" s="8">
        <v>1.3472237199999999</v>
      </c>
      <c r="H934" s="6" t="str">
        <f t="shared" si="9"/>
        <v>Inverse</v>
      </c>
      <c r="I934" s="8" t="s">
        <v>3170</v>
      </c>
      <c r="J934" s="8" t="s">
        <v>3170</v>
      </c>
    </row>
    <row r="935" spans="1:10" x14ac:dyDescent="0.2">
      <c r="A935" s="8" t="s">
        <v>56</v>
      </c>
      <c r="B935" s="8" t="s">
        <v>62</v>
      </c>
      <c r="C935" s="8" t="s">
        <v>2011</v>
      </c>
      <c r="D935" s="8" t="s">
        <v>2012</v>
      </c>
      <c r="E935" s="8" t="s">
        <v>2013</v>
      </c>
      <c r="F935" s="8">
        <v>-10.632856</v>
      </c>
      <c r="G935" s="8">
        <v>-2.0057589</v>
      </c>
      <c r="H935" s="6" t="str">
        <f t="shared" si="9"/>
        <v>Direct</v>
      </c>
      <c r="I935" s="8" t="s">
        <v>2014</v>
      </c>
      <c r="J935" s="8" t="s">
        <v>2014</v>
      </c>
    </row>
    <row r="936" spans="1:10" x14ac:dyDescent="0.2">
      <c r="A936" s="8" t="s">
        <v>56</v>
      </c>
      <c r="B936" s="8" t="s">
        <v>62</v>
      </c>
      <c r="C936" s="8" t="s">
        <v>468</v>
      </c>
      <c r="D936" s="8" t="s">
        <v>469</v>
      </c>
      <c r="E936" s="8" t="s">
        <v>470</v>
      </c>
      <c r="F936" s="8">
        <v>-1.3559985999999999</v>
      </c>
      <c r="G936" s="8">
        <v>-32.513151999999998</v>
      </c>
      <c r="H936" s="6" t="str">
        <f t="shared" si="9"/>
        <v>Direct</v>
      </c>
      <c r="I936" s="8" t="s">
        <v>471</v>
      </c>
      <c r="J936" s="8" t="s">
        <v>472</v>
      </c>
    </row>
    <row r="937" spans="1:10" x14ac:dyDescent="0.2">
      <c r="A937" s="8" t="s">
        <v>56</v>
      </c>
      <c r="B937" s="8" t="s">
        <v>62</v>
      </c>
      <c r="C937" s="8" t="s">
        <v>2023</v>
      </c>
      <c r="D937" s="8" t="s">
        <v>2024</v>
      </c>
      <c r="E937" s="8" t="s">
        <v>2025</v>
      </c>
      <c r="F937" s="8">
        <v>-4.3601426999999999</v>
      </c>
      <c r="G937" s="8">
        <v>-1.1108046</v>
      </c>
      <c r="H937" s="6" t="str">
        <f t="shared" si="9"/>
        <v>Direct</v>
      </c>
      <c r="I937" s="8" t="s">
        <v>2026</v>
      </c>
      <c r="J937" s="8" t="s">
        <v>2027</v>
      </c>
    </row>
    <row r="938" spans="1:10" x14ac:dyDescent="0.2">
      <c r="A938" s="8" t="s">
        <v>56</v>
      </c>
      <c r="B938" s="8" t="s">
        <v>62</v>
      </c>
      <c r="C938" s="8" t="s">
        <v>2028</v>
      </c>
      <c r="D938" s="8" t="s">
        <v>2029</v>
      </c>
      <c r="E938" s="8" t="s">
        <v>2030</v>
      </c>
      <c r="F938" s="8">
        <v>-1.4810947000000001</v>
      </c>
      <c r="G938" s="8">
        <v>7.0563547199999999</v>
      </c>
      <c r="H938" s="6" t="str">
        <f t="shared" si="9"/>
        <v>Inverse</v>
      </c>
      <c r="I938" s="8" t="s">
        <v>2031</v>
      </c>
      <c r="J938" s="8" t="s">
        <v>2031</v>
      </c>
    </row>
    <row r="939" spans="1:10" x14ac:dyDescent="0.2">
      <c r="A939" s="8" t="s">
        <v>56</v>
      </c>
      <c r="B939" s="8" t="s">
        <v>62</v>
      </c>
      <c r="C939" s="8" t="s">
        <v>3171</v>
      </c>
      <c r="D939" s="8" t="s">
        <v>3172</v>
      </c>
      <c r="E939" s="8" t="s">
        <v>3173</v>
      </c>
      <c r="F939" s="8">
        <v>1.5641267400000001</v>
      </c>
      <c r="G939" s="8">
        <v>-1.0719125</v>
      </c>
      <c r="H939" s="6" t="str">
        <f t="shared" si="9"/>
        <v>Inverse</v>
      </c>
      <c r="I939" s="8" t="s">
        <v>3174</v>
      </c>
      <c r="J939" s="8" t="s">
        <v>3175</v>
      </c>
    </row>
    <row r="940" spans="1:10" x14ac:dyDescent="0.2">
      <c r="A940" s="8" t="s">
        <v>56</v>
      </c>
      <c r="B940" s="8" t="s">
        <v>62</v>
      </c>
      <c r="C940" s="8" t="s">
        <v>3176</v>
      </c>
      <c r="D940" s="8" t="s">
        <v>3177</v>
      </c>
      <c r="E940" s="8" t="s">
        <v>3178</v>
      </c>
      <c r="F940" s="8">
        <v>-5.5938412</v>
      </c>
      <c r="G940" s="8">
        <v>-1.9662291000000001</v>
      </c>
      <c r="H940" s="6" t="str">
        <f t="shared" si="9"/>
        <v>Direct</v>
      </c>
      <c r="I940" s="8" t="s">
        <v>3179</v>
      </c>
      <c r="J940" s="8" t="s">
        <v>3179</v>
      </c>
    </row>
    <row r="941" spans="1:10" x14ac:dyDescent="0.2">
      <c r="A941" s="8" t="s">
        <v>56</v>
      </c>
      <c r="B941" s="8" t="s">
        <v>62</v>
      </c>
      <c r="C941" s="8" t="s">
        <v>3180</v>
      </c>
      <c r="D941" s="8" t="s">
        <v>3181</v>
      </c>
      <c r="E941" s="8" t="s">
        <v>3182</v>
      </c>
      <c r="F941" s="8">
        <v>2.3192561199999999</v>
      </c>
      <c r="G941" s="8">
        <v>1.3788363100000001</v>
      </c>
      <c r="H941" s="6" t="str">
        <f t="shared" si="9"/>
        <v>Direct</v>
      </c>
      <c r="I941" s="8" t="s">
        <v>2107</v>
      </c>
      <c r="J941" s="8" t="s">
        <v>2107</v>
      </c>
    </row>
    <row r="942" spans="1:10" x14ac:dyDescent="0.2">
      <c r="A942" s="8" t="s">
        <v>56</v>
      </c>
      <c r="B942" s="8" t="s">
        <v>62</v>
      </c>
      <c r="C942" s="8" t="s">
        <v>3183</v>
      </c>
      <c r="D942" s="8" t="s">
        <v>3184</v>
      </c>
      <c r="E942" s="8" t="s">
        <v>3185</v>
      </c>
      <c r="F942" s="8">
        <v>-2.4885742999999998</v>
      </c>
      <c r="G942" s="8">
        <v>1.15739032</v>
      </c>
      <c r="H942" s="6" t="str">
        <f t="shared" si="9"/>
        <v>Inverse</v>
      </c>
      <c r="I942" s="8" t="s">
        <v>3186</v>
      </c>
      <c r="J942" s="8" t="s">
        <v>3187</v>
      </c>
    </row>
    <row r="943" spans="1:10" x14ac:dyDescent="0.2">
      <c r="A943" s="8" t="s">
        <v>56</v>
      </c>
      <c r="B943" s="8" t="s">
        <v>62</v>
      </c>
      <c r="C943" s="8" t="s">
        <v>3188</v>
      </c>
      <c r="D943" s="8" t="s">
        <v>3189</v>
      </c>
      <c r="E943" s="8" t="s">
        <v>3190</v>
      </c>
      <c r="F943" s="8">
        <v>-1.9410759</v>
      </c>
      <c r="G943" s="8">
        <v>-3.6815323000000002</v>
      </c>
      <c r="H943" s="6" t="str">
        <f t="shared" si="9"/>
        <v>Direct</v>
      </c>
      <c r="I943" s="8" t="s">
        <v>3191</v>
      </c>
      <c r="J943" s="8" t="s">
        <v>3191</v>
      </c>
    </row>
    <row r="944" spans="1:10" x14ac:dyDescent="0.2">
      <c r="A944" s="8" t="s">
        <v>56</v>
      </c>
      <c r="B944" s="8" t="s">
        <v>62</v>
      </c>
      <c r="C944" s="8" t="s">
        <v>2032</v>
      </c>
      <c r="D944" s="8" t="s">
        <v>2033</v>
      </c>
      <c r="E944" s="8" t="s">
        <v>2034</v>
      </c>
      <c r="F944" s="8">
        <v>-12.508978000000001</v>
      </c>
      <c r="G944" s="8">
        <v>-5.3495815999999996</v>
      </c>
      <c r="H944" s="6" t="str">
        <f t="shared" si="9"/>
        <v>Direct</v>
      </c>
      <c r="I944" s="8" t="s">
        <v>2035</v>
      </c>
      <c r="J944" s="8" t="s">
        <v>2035</v>
      </c>
    </row>
    <row r="945" spans="1:10" x14ac:dyDescent="0.2">
      <c r="A945" s="8" t="s">
        <v>56</v>
      </c>
      <c r="B945" s="8" t="s">
        <v>62</v>
      </c>
      <c r="C945" s="8" t="s">
        <v>3192</v>
      </c>
      <c r="D945" s="8" t="s">
        <v>3193</v>
      </c>
      <c r="E945" s="8" t="s">
        <v>3194</v>
      </c>
      <c r="F945" s="8">
        <v>-2.1212222999999999</v>
      </c>
      <c r="G945" s="8">
        <v>-2.0285627000000002</v>
      </c>
      <c r="H945" s="6" t="str">
        <f t="shared" si="9"/>
        <v>Direct</v>
      </c>
      <c r="I945" s="8" t="s">
        <v>3195</v>
      </c>
      <c r="J945" s="8" t="s">
        <v>3195</v>
      </c>
    </row>
    <row r="946" spans="1:10" x14ac:dyDescent="0.2">
      <c r="A946" s="8" t="s">
        <v>56</v>
      </c>
      <c r="B946" s="8" t="s">
        <v>62</v>
      </c>
      <c r="C946" s="8" t="s">
        <v>1239</v>
      </c>
      <c r="D946" s="8" t="s">
        <v>1240</v>
      </c>
      <c r="E946" s="8" t="s">
        <v>1241</v>
      </c>
      <c r="F946" s="8">
        <v>-2.3748526000000001</v>
      </c>
      <c r="G946" s="8">
        <v>-1.5057057</v>
      </c>
      <c r="H946" s="6" t="str">
        <f t="shared" si="9"/>
        <v>Direct</v>
      </c>
      <c r="I946" s="8" t="s">
        <v>1242</v>
      </c>
      <c r="J946" s="8" t="s">
        <v>1242</v>
      </c>
    </row>
    <row r="947" spans="1:10" x14ac:dyDescent="0.2">
      <c r="A947" s="8" t="s">
        <v>56</v>
      </c>
      <c r="B947" s="8" t="s">
        <v>62</v>
      </c>
      <c r="C947" s="8" t="s">
        <v>3196</v>
      </c>
      <c r="D947" s="8" t="s">
        <v>3197</v>
      </c>
      <c r="E947" s="8" t="s">
        <v>3198</v>
      </c>
      <c r="F947" s="8">
        <v>-8.8421768000000007</v>
      </c>
      <c r="G947" s="8">
        <v>-1.7775041</v>
      </c>
      <c r="H947" s="6" t="str">
        <f t="shared" si="9"/>
        <v>Direct</v>
      </c>
      <c r="I947" s="8" t="s">
        <v>50</v>
      </c>
      <c r="J947" s="8" t="s">
        <v>3199</v>
      </c>
    </row>
    <row r="948" spans="1:10" x14ac:dyDescent="0.2">
      <c r="A948" s="8" t="s">
        <v>56</v>
      </c>
      <c r="B948" s="8" t="s">
        <v>62</v>
      </c>
      <c r="C948" s="8" t="s">
        <v>3200</v>
      </c>
      <c r="D948" s="8" t="s">
        <v>3201</v>
      </c>
      <c r="E948" s="8" t="s">
        <v>3202</v>
      </c>
      <c r="F948" s="8">
        <v>-1.0462244000000001</v>
      </c>
      <c r="G948" s="8">
        <v>1.31496089</v>
      </c>
      <c r="H948" s="6" t="str">
        <f t="shared" si="9"/>
        <v>Inverse</v>
      </c>
      <c r="I948" s="8" t="s">
        <v>393</v>
      </c>
      <c r="J948" s="8" t="s">
        <v>393</v>
      </c>
    </row>
    <row r="949" spans="1:10" x14ac:dyDescent="0.2">
      <c r="A949" s="8" t="s">
        <v>56</v>
      </c>
      <c r="B949" s="8" t="s">
        <v>62</v>
      </c>
      <c r="C949" s="8" t="s">
        <v>3203</v>
      </c>
      <c r="D949" s="8" t="s">
        <v>3204</v>
      </c>
      <c r="E949" s="8" t="s">
        <v>3205</v>
      </c>
      <c r="F949" s="8">
        <v>4.8362759500000001</v>
      </c>
      <c r="G949" s="8">
        <v>-1.0645122</v>
      </c>
      <c r="H949" s="6" t="str">
        <f t="shared" si="9"/>
        <v>Inverse</v>
      </c>
      <c r="I949" s="8" t="s">
        <v>3206</v>
      </c>
      <c r="J949" s="8" t="s">
        <v>3206</v>
      </c>
    </row>
    <row r="950" spans="1:10" x14ac:dyDescent="0.2">
      <c r="A950" s="8" t="s">
        <v>56</v>
      </c>
      <c r="B950" s="8" t="s">
        <v>62</v>
      </c>
      <c r="C950" s="8" t="s">
        <v>2036</v>
      </c>
      <c r="D950" s="8" t="s">
        <v>2037</v>
      </c>
      <c r="E950" s="8" t="s">
        <v>2038</v>
      </c>
      <c r="F950" s="8">
        <v>3.3305897600000001</v>
      </c>
      <c r="G950" s="8">
        <v>1.58534709</v>
      </c>
      <c r="H950" s="6" t="str">
        <f t="shared" si="9"/>
        <v>Direct</v>
      </c>
      <c r="I950" s="8" t="s">
        <v>2039</v>
      </c>
      <c r="J950" s="8" t="s">
        <v>2040</v>
      </c>
    </row>
    <row r="951" spans="1:10" x14ac:dyDescent="0.2">
      <c r="A951" s="8" t="s">
        <v>56</v>
      </c>
      <c r="B951" s="8" t="s">
        <v>62</v>
      </c>
      <c r="C951" s="8" t="s">
        <v>1552</v>
      </c>
      <c r="D951" s="8" t="s">
        <v>1553</v>
      </c>
      <c r="E951" s="8" t="s">
        <v>1554</v>
      </c>
      <c r="F951" s="8">
        <v>-1.8021914000000001</v>
      </c>
      <c r="G951" s="8">
        <v>1.44682847</v>
      </c>
      <c r="H951" s="6" t="str">
        <f t="shared" si="9"/>
        <v>Inverse</v>
      </c>
      <c r="I951" s="8" t="s">
        <v>50</v>
      </c>
      <c r="J951" s="8" t="s">
        <v>1555</v>
      </c>
    </row>
    <row r="952" spans="1:10" x14ac:dyDescent="0.2">
      <c r="A952" s="8" t="s">
        <v>56</v>
      </c>
      <c r="B952" s="8" t="s">
        <v>62</v>
      </c>
      <c r="C952" s="8" t="s">
        <v>2041</v>
      </c>
      <c r="D952" s="8" t="s">
        <v>2042</v>
      </c>
      <c r="E952" s="8" t="s">
        <v>2043</v>
      </c>
      <c r="F952" s="8">
        <v>-5.1579848000000004</v>
      </c>
      <c r="G952" s="8">
        <v>4.2886319200000003</v>
      </c>
      <c r="H952" s="6" t="str">
        <f t="shared" si="9"/>
        <v>Inverse</v>
      </c>
      <c r="I952" s="8" t="s">
        <v>315</v>
      </c>
      <c r="J952" s="8" t="s">
        <v>315</v>
      </c>
    </row>
    <row r="953" spans="1:10" x14ac:dyDescent="0.2">
      <c r="A953" s="8" t="s">
        <v>56</v>
      </c>
      <c r="B953" s="8" t="s">
        <v>62</v>
      </c>
      <c r="C953" s="8" t="s">
        <v>2051</v>
      </c>
      <c r="D953" s="8" t="s">
        <v>2052</v>
      </c>
      <c r="E953" s="8" t="s">
        <v>2053</v>
      </c>
      <c r="F953" s="8">
        <v>53.468205900000001</v>
      </c>
      <c r="G953" s="8">
        <v>27.084631999999999</v>
      </c>
      <c r="H953" s="6" t="str">
        <f t="shared" si="9"/>
        <v>Direct</v>
      </c>
      <c r="I953" s="8" t="s">
        <v>445</v>
      </c>
      <c r="J953" s="8" t="s">
        <v>2054</v>
      </c>
    </row>
    <row r="954" spans="1:10" x14ac:dyDescent="0.2">
      <c r="A954" s="8" t="s">
        <v>56</v>
      </c>
      <c r="B954" s="8" t="s">
        <v>62</v>
      </c>
      <c r="C954" s="8" t="s">
        <v>1243</v>
      </c>
      <c r="D954" s="8" t="s">
        <v>1244</v>
      </c>
      <c r="E954" s="8" t="s">
        <v>1245</v>
      </c>
      <c r="F954" s="8">
        <v>-2.0390291999999999</v>
      </c>
      <c r="G954" s="8">
        <v>-1.6351137</v>
      </c>
      <c r="H954" s="6" t="str">
        <f t="shared" si="9"/>
        <v>Direct</v>
      </c>
      <c r="I954" s="8" t="s">
        <v>1246</v>
      </c>
      <c r="J954" s="8" t="s">
        <v>1246</v>
      </c>
    </row>
    <row r="955" spans="1:10" x14ac:dyDescent="0.2">
      <c r="A955" s="8" t="s">
        <v>56</v>
      </c>
      <c r="B955" s="8" t="s">
        <v>62</v>
      </c>
      <c r="C955" s="8" t="s">
        <v>3207</v>
      </c>
      <c r="D955" s="8" t="s">
        <v>3208</v>
      </c>
      <c r="E955" s="8" t="s">
        <v>3209</v>
      </c>
      <c r="F955" s="8">
        <v>-1.9057287000000001</v>
      </c>
      <c r="G955" s="8">
        <v>-1.1208266</v>
      </c>
      <c r="H955" s="6" t="str">
        <f t="shared" si="9"/>
        <v>Direct</v>
      </c>
      <c r="I955" s="8" t="s">
        <v>3210</v>
      </c>
      <c r="J955" s="8" t="s">
        <v>3210</v>
      </c>
    </row>
    <row r="956" spans="1:10" x14ac:dyDescent="0.2">
      <c r="A956" s="8" t="s">
        <v>56</v>
      </c>
      <c r="B956" s="8" t="s">
        <v>62</v>
      </c>
      <c r="C956" s="8" t="s">
        <v>2055</v>
      </c>
      <c r="D956" s="8" t="s">
        <v>2056</v>
      </c>
      <c r="E956" s="8" t="s">
        <v>2057</v>
      </c>
      <c r="F956" s="8">
        <v>-5.8017525000000001</v>
      </c>
      <c r="G956" s="8">
        <v>-2.3999834999999998</v>
      </c>
      <c r="H956" s="6" t="str">
        <f t="shared" si="9"/>
        <v>Direct</v>
      </c>
      <c r="I956" s="8" t="s">
        <v>2058</v>
      </c>
      <c r="J956" s="8" t="s">
        <v>2058</v>
      </c>
    </row>
    <row r="957" spans="1:10" x14ac:dyDescent="0.2">
      <c r="A957" s="8" t="s">
        <v>56</v>
      </c>
      <c r="B957" s="8" t="s">
        <v>62</v>
      </c>
      <c r="C957" s="8" t="s">
        <v>3211</v>
      </c>
      <c r="D957" s="8" t="s">
        <v>3212</v>
      </c>
      <c r="E957" s="8" t="s">
        <v>3213</v>
      </c>
      <c r="F957" s="8">
        <v>2.1535562499999998</v>
      </c>
      <c r="G957" s="8">
        <v>1.3510216799999999</v>
      </c>
      <c r="H957" s="6" t="str">
        <f t="shared" si="9"/>
        <v>Direct</v>
      </c>
      <c r="I957" s="8" t="s">
        <v>3214</v>
      </c>
      <c r="J957" s="8" t="s">
        <v>3214</v>
      </c>
    </row>
    <row r="958" spans="1:10" x14ac:dyDescent="0.2">
      <c r="A958" s="8" t="s">
        <v>56</v>
      </c>
      <c r="B958" s="8" t="s">
        <v>62</v>
      </c>
      <c r="C958" s="8" t="s">
        <v>2059</v>
      </c>
      <c r="D958" s="8" t="s">
        <v>2060</v>
      </c>
      <c r="E958" s="8" t="s">
        <v>2061</v>
      </c>
      <c r="F958" s="8">
        <v>-3.2613512</v>
      </c>
      <c r="G958" s="8">
        <v>-3.7518535000000002</v>
      </c>
      <c r="H958" s="6" t="str">
        <f t="shared" si="9"/>
        <v>Direct</v>
      </c>
      <c r="I958" s="8" t="s">
        <v>2062</v>
      </c>
      <c r="J958" s="8" t="s">
        <v>2062</v>
      </c>
    </row>
    <row r="959" spans="1:10" x14ac:dyDescent="0.2">
      <c r="A959" s="8" t="s">
        <v>56</v>
      </c>
      <c r="B959" s="8" t="s">
        <v>62</v>
      </c>
      <c r="C959" s="8" t="s">
        <v>3215</v>
      </c>
      <c r="D959" s="8" t="s">
        <v>3216</v>
      </c>
      <c r="E959" s="8" t="s">
        <v>3217</v>
      </c>
      <c r="F959" s="8">
        <v>1.4072980500000001</v>
      </c>
      <c r="G959" s="8">
        <v>1.13799012</v>
      </c>
      <c r="H959" s="6" t="str">
        <f t="shared" si="9"/>
        <v>Direct</v>
      </c>
      <c r="I959" s="8" t="s">
        <v>3218</v>
      </c>
      <c r="J959" s="8" t="s">
        <v>3218</v>
      </c>
    </row>
    <row r="960" spans="1:10" x14ac:dyDescent="0.2">
      <c r="A960" s="8" t="s">
        <v>56</v>
      </c>
      <c r="B960" s="8" t="s">
        <v>62</v>
      </c>
      <c r="C960" s="8" t="s">
        <v>3219</v>
      </c>
      <c r="D960" s="8" t="s">
        <v>3220</v>
      </c>
      <c r="E960" s="8" t="s">
        <v>3221</v>
      </c>
      <c r="F960" s="8">
        <v>-1.7289804</v>
      </c>
      <c r="G960" s="8">
        <v>1.40900895</v>
      </c>
      <c r="H960" s="6" t="str">
        <f t="shared" si="9"/>
        <v>Inverse</v>
      </c>
      <c r="I960" s="8" t="s">
        <v>3222</v>
      </c>
      <c r="J960" s="8" t="s">
        <v>3222</v>
      </c>
    </row>
    <row r="961" spans="1:10" x14ac:dyDescent="0.2">
      <c r="A961" s="8" t="s">
        <v>56</v>
      </c>
      <c r="B961" s="8" t="s">
        <v>62</v>
      </c>
      <c r="C961" s="8" t="s">
        <v>3223</v>
      </c>
      <c r="D961" s="8" t="s">
        <v>3224</v>
      </c>
      <c r="E961" s="8" t="s">
        <v>3225</v>
      </c>
      <c r="F961" s="8">
        <v>1.5683838000000001</v>
      </c>
      <c r="G961" s="8">
        <v>2.4366992399999998</v>
      </c>
      <c r="H961" s="6" t="str">
        <f t="shared" si="9"/>
        <v>Direct</v>
      </c>
      <c r="I961" s="8" t="s">
        <v>3226</v>
      </c>
      <c r="J961" s="8" t="s">
        <v>3226</v>
      </c>
    </row>
    <row r="962" spans="1:10" x14ac:dyDescent="0.2">
      <c r="A962" s="8" t="s">
        <v>56</v>
      </c>
      <c r="B962" s="8" t="s">
        <v>62</v>
      </c>
      <c r="C962" s="8" t="s">
        <v>485</v>
      </c>
      <c r="D962" s="8" t="s">
        <v>486</v>
      </c>
      <c r="E962" s="8" t="s">
        <v>487</v>
      </c>
      <c r="F962" s="8">
        <v>-6.5785266</v>
      </c>
      <c r="G962" s="8">
        <v>-6.1850309000000001</v>
      </c>
      <c r="H962" s="6" t="str">
        <f t="shared" si="9"/>
        <v>Direct</v>
      </c>
      <c r="I962" s="8" t="s">
        <v>50</v>
      </c>
      <c r="J962" s="8" t="s">
        <v>488</v>
      </c>
    </row>
    <row r="963" spans="1:10" x14ac:dyDescent="0.2">
      <c r="A963" s="8" t="s">
        <v>56</v>
      </c>
      <c r="B963" s="8" t="s">
        <v>62</v>
      </c>
      <c r="C963" s="8" t="s">
        <v>3227</v>
      </c>
      <c r="D963" s="8" t="s">
        <v>3228</v>
      </c>
      <c r="E963" s="8" t="s">
        <v>3229</v>
      </c>
      <c r="F963" s="8">
        <v>1.0781596200000001</v>
      </c>
      <c r="G963" s="8">
        <v>1.3016618</v>
      </c>
      <c r="H963" s="6" t="str">
        <f t="shared" si="9"/>
        <v>Direct</v>
      </c>
      <c r="I963" s="8" t="s">
        <v>3230</v>
      </c>
      <c r="J963" s="8" t="s">
        <v>3230</v>
      </c>
    </row>
    <row r="964" spans="1:10" x14ac:dyDescent="0.2">
      <c r="A964" s="8" t="s">
        <v>56</v>
      </c>
      <c r="B964" s="8" t="s">
        <v>62</v>
      </c>
      <c r="C964" s="8" t="s">
        <v>3231</v>
      </c>
      <c r="D964" s="8" t="s">
        <v>3232</v>
      </c>
      <c r="E964" s="8" t="s">
        <v>3233</v>
      </c>
      <c r="F964" s="8">
        <v>-8.6687592000000002</v>
      </c>
      <c r="G964" s="8">
        <v>1.4992414300000001</v>
      </c>
      <c r="H964" s="6" t="str">
        <f t="shared" si="9"/>
        <v>Inverse</v>
      </c>
      <c r="I964" s="8" t="s">
        <v>3234</v>
      </c>
      <c r="J964" s="8" t="s">
        <v>3234</v>
      </c>
    </row>
    <row r="965" spans="1:10" x14ac:dyDescent="0.2">
      <c r="A965" s="8" t="s">
        <v>56</v>
      </c>
      <c r="B965" s="8" t="s">
        <v>62</v>
      </c>
      <c r="C965" s="8" t="s">
        <v>2075</v>
      </c>
      <c r="D965" s="8" t="s">
        <v>2076</v>
      </c>
      <c r="E965" s="8" t="s">
        <v>2077</v>
      </c>
      <c r="F965" s="8">
        <v>-1.9995560999999999</v>
      </c>
      <c r="G965" s="8">
        <v>-3.8750927000000002</v>
      </c>
      <c r="H965" s="6" t="str">
        <f t="shared" si="9"/>
        <v>Direct</v>
      </c>
      <c r="I965" s="8" t="s">
        <v>2078</v>
      </c>
      <c r="J965" s="8" t="s">
        <v>2078</v>
      </c>
    </row>
    <row r="966" spans="1:10" x14ac:dyDescent="0.2">
      <c r="A966" s="8" t="s">
        <v>56</v>
      </c>
      <c r="B966" s="8" t="s">
        <v>62</v>
      </c>
      <c r="C966" s="8" t="s">
        <v>2079</v>
      </c>
      <c r="D966" s="8" t="s">
        <v>2080</v>
      </c>
      <c r="E966" s="8" t="s">
        <v>2081</v>
      </c>
      <c r="F966" s="8">
        <v>-2.4530606000000001</v>
      </c>
      <c r="G966" s="8">
        <v>-6.6214117999999997</v>
      </c>
      <c r="H966" s="6" t="str">
        <f t="shared" si="9"/>
        <v>Direct</v>
      </c>
      <c r="I966" s="8" t="s">
        <v>2082</v>
      </c>
      <c r="J966" s="8" t="s">
        <v>2082</v>
      </c>
    </row>
    <row r="967" spans="1:10" x14ac:dyDescent="0.2">
      <c r="A967" s="8" t="s">
        <v>56</v>
      </c>
      <c r="B967" s="8" t="s">
        <v>62</v>
      </c>
      <c r="C967" s="8" t="s">
        <v>3235</v>
      </c>
      <c r="D967" s="8" t="s">
        <v>3236</v>
      </c>
      <c r="E967" s="8" t="s">
        <v>3237</v>
      </c>
      <c r="F967" s="8">
        <v>-5.8736674999999998</v>
      </c>
      <c r="G967" s="8">
        <v>-1.2511479999999999</v>
      </c>
      <c r="H967" s="6" t="str">
        <f t="shared" si="9"/>
        <v>Direct</v>
      </c>
      <c r="I967" s="8" t="s">
        <v>1572</v>
      </c>
      <c r="J967" s="8" t="s">
        <v>1572</v>
      </c>
    </row>
    <row r="968" spans="1:10" x14ac:dyDescent="0.2">
      <c r="A968" s="8" t="s">
        <v>56</v>
      </c>
      <c r="B968" s="8" t="s">
        <v>62</v>
      </c>
      <c r="C968" s="8" t="s">
        <v>509</v>
      </c>
      <c r="D968" s="8" t="s">
        <v>510</v>
      </c>
      <c r="E968" s="8" t="s">
        <v>511</v>
      </c>
      <c r="F968" s="8">
        <v>1.30974938</v>
      </c>
      <c r="G968" s="8">
        <v>1.0064188999999999</v>
      </c>
      <c r="H968" s="6" t="str">
        <f t="shared" si="9"/>
        <v>Direct</v>
      </c>
      <c r="I968" s="8" t="s">
        <v>512</v>
      </c>
      <c r="J968" s="8" t="s">
        <v>512</v>
      </c>
    </row>
    <row r="969" spans="1:10" x14ac:dyDescent="0.2">
      <c r="A969" s="8" t="s">
        <v>56</v>
      </c>
      <c r="B969" s="8" t="s">
        <v>62</v>
      </c>
      <c r="C969" s="8" t="s">
        <v>3238</v>
      </c>
      <c r="D969" s="8" t="s">
        <v>3239</v>
      </c>
      <c r="E969" s="8" t="s">
        <v>3240</v>
      </c>
      <c r="F969" s="8">
        <v>-7.0634831</v>
      </c>
      <c r="G969" s="8">
        <v>-1.6260496</v>
      </c>
      <c r="H969" s="6" t="str">
        <f t="shared" si="9"/>
        <v>Direct</v>
      </c>
      <c r="I969" s="8" t="s">
        <v>3241</v>
      </c>
      <c r="J969" s="8" t="s">
        <v>3242</v>
      </c>
    </row>
    <row r="970" spans="1:10" x14ac:dyDescent="0.2">
      <c r="A970" s="8" t="s">
        <v>56</v>
      </c>
      <c r="B970" s="8" t="s">
        <v>62</v>
      </c>
      <c r="C970" s="8" t="s">
        <v>3243</v>
      </c>
      <c r="D970" s="8" t="s">
        <v>3244</v>
      </c>
      <c r="E970" s="8" t="s">
        <v>3245</v>
      </c>
      <c r="F970" s="8">
        <v>-9.4684734000000006</v>
      </c>
      <c r="G970" s="8">
        <v>-1.8187841</v>
      </c>
      <c r="H970" s="6" t="str">
        <f t="shared" si="9"/>
        <v>Direct</v>
      </c>
      <c r="I970" s="8" t="s">
        <v>3246</v>
      </c>
      <c r="J970" s="8" t="s">
        <v>3246</v>
      </c>
    </row>
    <row r="971" spans="1:10" x14ac:dyDescent="0.2">
      <c r="A971" s="8" t="s">
        <v>56</v>
      </c>
      <c r="B971" s="8" t="s">
        <v>62</v>
      </c>
      <c r="C971" s="8" t="s">
        <v>2083</v>
      </c>
      <c r="D971" s="8" t="s">
        <v>2084</v>
      </c>
      <c r="E971" s="8" t="s">
        <v>2085</v>
      </c>
      <c r="F971" s="8">
        <v>2.4054539799999999</v>
      </c>
      <c r="G971" s="8">
        <v>2.1627607800000002</v>
      </c>
      <c r="H971" s="6" t="str">
        <f t="shared" si="9"/>
        <v>Direct</v>
      </c>
      <c r="I971" s="8" t="s">
        <v>1931</v>
      </c>
      <c r="J971" s="8" t="s">
        <v>2086</v>
      </c>
    </row>
    <row r="972" spans="1:10" x14ac:dyDescent="0.2">
      <c r="A972" s="8" t="s">
        <v>56</v>
      </c>
      <c r="B972" s="8" t="s">
        <v>62</v>
      </c>
      <c r="C972" s="8" t="s">
        <v>3247</v>
      </c>
      <c r="D972" s="8" t="s">
        <v>3248</v>
      </c>
      <c r="E972" s="8" t="s">
        <v>3249</v>
      </c>
      <c r="F972" s="8">
        <v>-11.817335999999999</v>
      </c>
      <c r="G972" s="8">
        <v>-2.3392038999999998</v>
      </c>
      <c r="H972" s="6" t="str">
        <f t="shared" si="9"/>
        <v>Direct</v>
      </c>
      <c r="I972" s="8" t="s">
        <v>3250</v>
      </c>
      <c r="J972" s="8" t="s">
        <v>3250</v>
      </c>
    </row>
    <row r="973" spans="1:10" x14ac:dyDescent="0.2">
      <c r="A973" s="8" t="s">
        <v>56</v>
      </c>
      <c r="B973" s="8" t="s">
        <v>62</v>
      </c>
      <c r="C973" s="8" t="s">
        <v>3251</v>
      </c>
      <c r="D973" s="8" t="s">
        <v>3252</v>
      </c>
      <c r="E973" s="8" t="s">
        <v>3253</v>
      </c>
      <c r="F973" s="8">
        <v>1.2636504500000001</v>
      </c>
      <c r="G973" s="8">
        <v>-1.1774997</v>
      </c>
      <c r="H973" s="6" t="str">
        <f t="shared" si="9"/>
        <v>Inverse</v>
      </c>
      <c r="I973" s="8" t="s">
        <v>3254</v>
      </c>
      <c r="J973" s="8" t="s">
        <v>3255</v>
      </c>
    </row>
    <row r="974" spans="1:10" x14ac:dyDescent="0.2">
      <c r="A974" s="8" t="s">
        <v>56</v>
      </c>
      <c r="B974" s="8" t="s">
        <v>62</v>
      </c>
      <c r="C974" s="8" t="s">
        <v>3256</v>
      </c>
      <c r="D974" s="8" t="s">
        <v>3257</v>
      </c>
      <c r="E974" s="8" t="s">
        <v>3258</v>
      </c>
      <c r="F974" s="8">
        <v>-3.1862911999999999</v>
      </c>
      <c r="G974" s="8">
        <v>-2.1993269</v>
      </c>
      <c r="H974" s="6" t="str">
        <f t="shared" si="9"/>
        <v>Direct</v>
      </c>
      <c r="I974" s="8" t="s">
        <v>3259</v>
      </c>
      <c r="J974" s="8" t="s">
        <v>3259</v>
      </c>
    </row>
    <row r="975" spans="1:10" x14ac:dyDescent="0.2">
      <c r="A975" s="8" t="s">
        <v>56</v>
      </c>
      <c r="B975" s="8" t="s">
        <v>62</v>
      </c>
      <c r="C975" s="8" t="s">
        <v>3260</v>
      </c>
      <c r="D975" s="8" t="s">
        <v>3261</v>
      </c>
      <c r="E975" s="8" t="s">
        <v>3262</v>
      </c>
      <c r="F975" s="8">
        <v>1.3247981900000001</v>
      </c>
      <c r="G975" s="8">
        <v>1.4103701900000001</v>
      </c>
      <c r="H975" s="6" t="str">
        <f t="shared" si="9"/>
        <v>Direct</v>
      </c>
      <c r="I975" s="8" t="s">
        <v>3263</v>
      </c>
      <c r="J975" s="8" t="s">
        <v>3263</v>
      </c>
    </row>
    <row r="976" spans="1:10" x14ac:dyDescent="0.2">
      <c r="A976" s="8" t="s">
        <v>56</v>
      </c>
      <c r="B976" s="8" t="s">
        <v>62</v>
      </c>
      <c r="C976" s="8" t="s">
        <v>3264</v>
      </c>
      <c r="D976" s="8" t="s">
        <v>3265</v>
      </c>
      <c r="E976" s="8" t="s">
        <v>3266</v>
      </c>
      <c r="F976" s="8">
        <v>-3.6980992000000001</v>
      </c>
      <c r="G976" s="8">
        <v>-1.9414515999999999</v>
      </c>
      <c r="H976" s="6" t="str">
        <f t="shared" si="9"/>
        <v>Direct</v>
      </c>
      <c r="I976" s="8" t="s">
        <v>1254</v>
      </c>
      <c r="J976" s="8" t="s">
        <v>1254</v>
      </c>
    </row>
    <row r="977" spans="1:10" x14ac:dyDescent="0.2">
      <c r="A977" s="8" t="s">
        <v>56</v>
      </c>
      <c r="B977" s="8" t="s">
        <v>62</v>
      </c>
      <c r="C977" s="8" t="s">
        <v>3267</v>
      </c>
      <c r="D977" s="8" t="s">
        <v>3268</v>
      </c>
      <c r="E977" s="8" t="s">
        <v>3269</v>
      </c>
      <c r="F977" s="8">
        <v>-1.8015452999999999</v>
      </c>
      <c r="G977" s="8">
        <v>1.1222663900000001</v>
      </c>
      <c r="H977" s="6" t="str">
        <f t="shared" si="9"/>
        <v>Inverse</v>
      </c>
      <c r="I977" s="8" t="s">
        <v>3270</v>
      </c>
      <c r="J977" s="8" t="s">
        <v>3270</v>
      </c>
    </row>
    <row r="978" spans="1:10" x14ac:dyDescent="0.2">
      <c r="A978" s="8" t="s">
        <v>56</v>
      </c>
      <c r="B978" s="8" t="s">
        <v>62</v>
      </c>
      <c r="C978" s="8" t="s">
        <v>3271</v>
      </c>
      <c r="D978" s="8" t="s">
        <v>3272</v>
      </c>
      <c r="E978" s="8" t="s">
        <v>3273</v>
      </c>
      <c r="F978" s="8">
        <v>-1.1184061000000001</v>
      </c>
      <c r="G978" s="8">
        <v>-1.2454798</v>
      </c>
      <c r="H978" s="6" t="str">
        <f t="shared" si="9"/>
        <v>Direct</v>
      </c>
      <c r="I978" s="8" t="s">
        <v>3274</v>
      </c>
      <c r="J978" s="8" t="s">
        <v>3274</v>
      </c>
    </row>
    <row r="979" spans="1:10" x14ac:dyDescent="0.2">
      <c r="A979" s="8" t="s">
        <v>56</v>
      </c>
      <c r="B979" s="8" t="s">
        <v>62</v>
      </c>
      <c r="C979" s="8" t="s">
        <v>3275</v>
      </c>
      <c r="D979" s="8" t="s">
        <v>3276</v>
      </c>
      <c r="E979" s="8" t="s">
        <v>3277</v>
      </c>
      <c r="F979" s="8">
        <v>-1.4933099999999999</v>
      </c>
      <c r="G979" s="8">
        <v>-2.214404</v>
      </c>
      <c r="H979" s="6" t="str">
        <f t="shared" si="9"/>
        <v>Direct</v>
      </c>
      <c r="I979" s="8" t="s">
        <v>2193</v>
      </c>
      <c r="J979" s="8" t="s">
        <v>2193</v>
      </c>
    </row>
    <row r="980" spans="1:10" x14ac:dyDescent="0.2">
      <c r="A980" s="8" t="s">
        <v>56</v>
      </c>
      <c r="B980" s="8" t="s">
        <v>62</v>
      </c>
      <c r="C980" s="8" t="s">
        <v>2096</v>
      </c>
      <c r="D980" s="8" t="s">
        <v>2097</v>
      </c>
      <c r="E980" s="8" t="s">
        <v>2098</v>
      </c>
      <c r="F980" s="8">
        <v>-2.2872785000000002</v>
      </c>
      <c r="G980" s="8">
        <v>-1.7477772</v>
      </c>
      <c r="H980" s="6" t="str">
        <f t="shared" si="9"/>
        <v>Direct</v>
      </c>
      <c r="I980" s="8" t="s">
        <v>50</v>
      </c>
      <c r="J980" s="8" t="s">
        <v>2099</v>
      </c>
    </row>
    <row r="981" spans="1:10" x14ac:dyDescent="0.2">
      <c r="A981" s="8" t="s">
        <v>56</v>
      </c>
      <c r="B981" s="8" t="s">
        <v>62</v>
      </c>
      <c r="C981" s="8" t="s">
        <v>3278</v>
      </c>
      <c r="D981" s="8" t="s">
        <v>3279</v>
      </c>
      <c r="E981" s="8" t="s">
        <v>3280</v>
      </c>
      <c r="F981" s="8">
        <v>4.1580361000000003</v>
      </c>
      <c r="G981" s="8">
        <v>2.0405196399999999</v>
      </c>
      <c r="H981" s="6" t="str">
        <f t="shared" si="9"/>
        <v>Direct</v>
      </c>
      <c r="I981" s="8" t="s">
        <v>3281</v>
      </c>
      <c r="J981" s="8" t="s">
        <v>3281</v>
      </c>
    </row>
    <row r="982" spans="1:10" x14ac:dyDescent="0.2">
      <c r="A982" s="8" t="s">
        <v>56</v>
      </c>
      <c r="B982" s="8" t="s">
        <v>62</v>
      </c>
      <c r="C982" s="8" t="s">
        <v>2100</v>
      </c>
      <c r="D982" s="8" t="s">
        <v>2101</v>
      </c>
      <c r="E982" s="8" t="s">
        <v>2102</v>
      </c>
      <c r="F982" s="8">
        <v>-2.2773332000000002</v>
      </c>
      <c r="G982" s="8">
        <v>-1.1444759</v>
      </c>
      <c r="H982" s="6" t="str">
        <f t="shared" si="9"/>
        <v>Direct</v>
      </c>
      <c r="I982" s="8" t="s">
        <v>2103</v>
      </c>
      <c r="J982" s="8" t="s">
        <v>2103</v>
      </c>
    </row>
    <row r="983" spans="1:10" x14ac:dyDescent="0.2">
      <c r="A983" s="8" t="s">
        <v>56</v>
      </c>
      <c r="B983" s="8" t="s">
        <v>62</v>
      </c>
      <c r="C983" s="8" t="s">
        <v>3282</v>
      </c>
      <c r="D983" s="8" t="s">
        <v>3283</v>
      </c>
      <c r="E983" s="8" t="s">
        <v>3284</v>
      </c>
      <c r="F983" s="8">
        <v>-3.2372722999999999</v>
      </c>
      <c r="G983" s="8">
        <v>-3.7605743999999999</v>
      </c>
      <c r="H983" s="6" t="str">
        <f t="shared" si="9"/>
        <v>Direct</v>
      </c>
      <c r="I983" s="8" t="s">
        <v>50</v>
      </c>
      <c r="J983" s="8" t="s">
        <v>3285</v>
      </c>
    </row>
    <row r="984" spans="1:10" x14ac:dyDescent="0.2">
      <c r="A984" s="8" t="s">
        <v>56</v>
      </c>
      <c r="B984" s="8" t="s">
        <v>62</v>
      </c>
      <c r="C984" s="8" t="s">
        <v>2112</v>
      </c>
      <c r="D984" s="8" t="s">
        <v>2113</v>
      </c>
      <c r="E984" s="8" t="s">
        <v>2114</v>
      </c>
      <c r="F984" s="8">
        <v>-1.8855873999999999</v>
      </c>
      <c r="G984" s="8">
        <v>-8.4362557999999996</v>
      </c>
      <c r="H984" s="6" t="str">
        <f t="shared" si="9"/>
        <v>Direct</v>
      </c>
      <c r="I984" s="8" t="s">
        <v>2115</v>
      </c>
      <c r="J984" s="8" t="s">
        <v>2115</v>
      </c>
    </row>
    <row r="985" spans="1:10" x14ac:dyDescent="0.2">
      <c r="A985" s="8" t="s">
        <v>56</v>
      </c>
      <c r="B985" s="8" t="s">
        <v>62</v>
      </c>
      <c r="C985" s="8" t="s">
        <v>3286</v>
      </c>
      <c r="D985" s="8" t="s">
        <v>3287</v>
      </c>
      <c r="E985" s="8" t="s">
        <v>3288</v>
      </c>
      <c r="F985" s="8">
        <v>-1.3682995</v>
      </c>
      <c r="G985" s="8">
        <v>-1.5486781000000001</v>
      </c>
      <c r="H985" s="6" t="str">
        <f t="shared" si="9"/>
        <v>Direct</v>
      </c>
      <c r="I985" s="8" t="s">
        <v>1449</v>
      </c>
      <c r="J985" s="8" t="s">
        <v>2806</v>
      </c>
    </row>
    <row r="986" spans="1:10" x14ac:dyDescent="0.2">
      <c r="A986" s="8" t="s">
        <v>56</v>
      </c>
      <c r="B986" s="8" t="s">
        <v>62</v>
      </c>
      <c r="C986" s="8" t="s">
        <v>2120</v>
      </c>
      <c r="D986" s="8" t="s">
        <v>2121</v>
      </c>
      <c r="E986" s="8" t="s">
        <v>2122</v>
      </c>
      <c r="F986" s="8">
        <v>-1.6768575999999999</v>
      </c>
      <c r="G986" s="8">
        <v>-5.8799435999999998</v>
      </c>
      <c r="H986" s="6" t="str">
        <f t="shared" si="9"/>
        <v>Direct</v>
      </c>
      <c r="I986" s="8" t="s">
        <v>2123</v>
      </c>
      <c r="J986" s="8" t="s">
        <v>2123</v>
      </c>
    </row>
    <row r="987" spans="1:10" x14ac:dyDescent="0.2">
      <c r="A987" s="8" t="s">
        <v>56</v>
      </c>
      <c r="B987" s="8" t="s">
        <v>62</v>
      </c>
      <c r="C987" s="8" t="s">
        <v>3289</v>
      </c>
      <c r="D987" s="8" t="s">
        <v>3290</v>
      </c>
      <c r="E987" s="8" t="s">
        <v>3291</v>
      </c>
      <c r="F987" s="8">
        <v>-1.7067009</v>
      </c>
      <c r="G987" s="8">
        <v>1.11303565</v>
      </c>
      <c r="H987" s="6" t="str">
        <f t="shared" si="9"/>
        <v>Inverse</v>
      </c>
      <c r="I987" s="8" t="s">
        <v>3292</v>
      </c>
      <c r="J987" s="8" t="s">
        <v>3292</v>
      </c>
    </row>
    <row r="988" spans="1:10" x14ac:dyDescent="0.2">
      <c r="A988" s="8" t="s">
        <v>56</v>
      </c>
      <c r="B988" s="8" t="s">
        <v>62</v>
      </c>
      <c r="C988" s="8" t="s">
        <v>3293</v>
      </c>
      <c r="D988" s="8" t="s">
        <v>3294</v>
      </c>
      <c r="E988" s="8" t="s">
        <v>3295</v>
      </c>
      <c r="F988" s="8">
        <v>-1.149608</v>
      </c>
      <c r="G988" s="8">
        <v>-1.1263798</v>
      </c>
      <c r="H988" s="6" t="str">
        <f t="shared" si="9"/>
        <v>Direct</v>
      </c>
      <c r="I988" s="8" t="s">
        <v>3296</v>
      </c>
      <c r="J988" s="8" t="s">
        <v>3296</v>
      </c>
    </row>
    <row r="989" spans="1:10" x14ac:dyDescent="0.2">
      <c r="A989" s="8" t="s">
        <v>56</v>
      </c>
      <c r="B989" s="8" t="s">
        <v>62</v>
      </c>
      <c r="C989" s="8" t="s">
        <v>3297</v>
      </c>
      <c r="D989" s="8" t="s">
        <v>3298</v>
      </c>
      <c r="E989" s="8" t="s">
        <v>3299</v>
      </c>
      <c r="F989" s="8">
        <v>-4.7632626</v>
      </c>
      <c r="G989" s="8">
        <v>-1.9662291000000001</v>
      </c>
      <c r="H989" s="6" t="str">
        <f t="shared" si="9"/>
        <v>Direct</v>
      </c>
      <c r="I989" s="8" t="s">
        <v>3300</v>
      </c>
      <c r="J989" s="8" t="s">
        <v>3300</v>
      </c>
    </row>
    <row r="990" spans="1:10" x14ac:dyDescent="0.2">
      <c r="A990" s="8" t="s">
        <v>56</v>
      </c>
      <c r="B990" s="8" t="s">
        <v>62</v>
      </c>
      <c r="C990" s="8" t="s">
        <v>3301</v>
      </c>
      <c r="D990" s="8" t="s">
        <v>3302</v>
      </c>
      <c r="E990" s="8" t="s">
        <v>3303</v>
      </c>
      <c r="F990" s="8">
        <v>-1.1339664</v>
      </c>
      <c r="G990" s="8">
        <v>-2.9865357000000001</v>
      </c>
      <c r="H990" s="6" t="str">
        <f t="shared" si="9"/>
        <v>Direct</v>
      </c>
      <c r="I990" s="8" t="s">
        <v>2204</v>
      </c>
      <c r="J990" s="8" t="s">
        <v>2204</v>
      </c>
    </row>
    <row r="991" spans="1:10" x14ac:dyDescent="0.2">
      <c r="A991" s="8" t="s">
        <v>56</v>
      </c>
      <c r="B991" s="8" t="s">
        <v>62</v>
      </c>
      <c r="C991" s="8" t="s">
        <v>3304</v>
      </c>
      <c r="D991" s="8" t="s">
        <v>3305</v>
      </c>
      <c r="E991" s="8" t="s">
        <v>3306</v>
      </c>
      <c r="F991" s="8">
        <v>1.4934392599999999</v>
      </c>
      <c r="G991" s="8">
        <v>8.1205476799999996</v>
      </c>
      <c r="H991" s="6" t="str">
        <f t="shared" si="9"/>
        <v>Direct</v>
      </c>
      <c r="I991" s="8" t="s">
        <v>3307</v>
      </c>
      <c r="J991" s="8" t="s">
        <v>3308</v>
      </c>
    </row>
    <row r="992" spans="1:10" x14ac:dyDescent="0.2">
      <c r="A992" s="8" t="s">
        <v>56</v>
      </c>
      <c r="B992" s="8" t="s">
        <v>62</v>
      </c>
      <c r="C992" s="8" t="s">
        <v>3309</v>
      </c>
      <c r="D992" s="8" t="s">
        <v>3310</v>
      </c>
      <c r="E992" s="8" t="s">
        <v>3311</v>
      </c>
      <c r="F992" s="8">
        <v>4.5393862</v>
      </c>
      <c r="G992" s="8">
        <v>3.0761332499999998</v>
      </c>
      <c r="H992" s="6" t="str">
        <f t="shared" si="9"/>
        <v>Direct</v>
      </c>
      <c r="I992" s="8" t="s">
        <v>3312</v>
      </c>
      <c r="J992" s="8" t="s">
        <v>3312</v>
      </c>
    </row>
    <row r="993" spans="1:10" x14ac:dyDescent="0.2">
      <c r="A993" s="8" t="s">
        <v>56</v>
      </c>
      <c r="B993" s="8" t="s">
        <v>62</v>
      </c>
      <c r="C993" s="8" t="s">
        <v>3313</v>
      </c>
      <c r="D993" s="8" t="s">
        <v>3314</v>
      </c>
      <c r="E993" s="8" t="s">
        <v>3315</v>
      </c>
      <c r="F993" s="8">
        <v>-1.3359882000000001</v>
      </c>
      <c r="G993" s="8">
        <v>-4.8614001</v>
      </c>
      <c r="H993" s="6" t="str">
        <f t="shared" si="9"/>
        <v>Direct</v>
      </c>
      <c r="I993" s="8" t="s">
        <v>3316</v>
      </c>
      <c r="J993" s="8" t="s">
        <v>3316</v>
      </c>
    </row>
    <row r="994" spans="1:10" x14ac:dyDescent="0.2">
      <c r="A994" s="8" t="s">
        <v>56</v>
      </c>
      <c r="B994" s="8" t="s">
        <v>62</v>
      </c>
      <c r="C994" s="8" t="s">
        <v>3317</v>
      </c>
      <c r="D994" s="8" t="s">
        <v>3318</v>
      </c>
      <c r="E994" s="8" t="s">
        <v>3319</v>
      </c>
      <c r="F994" s="8">
        <v>-1.0758026000000001</v>
      </c>
      <c r="G994" s="8">
        <v>-2.8618698</v>
      </c>
      <c r="H994" s="6" t="str">
        <f t="shared" si="9"/>
        <v>Direct</v>
      </c>
      <c r="I994" s="8" t="s">
        <v>2193</v>
      </c>
      <c r="J994" s="8" t="s">
        <v>2193</v>
      </c>
    </row>
    <row r="995" spans="1:10" x14ac:dyDescent="0.2">
      <c r="A995" s="8" t="s">
        <v>56</v>
      </c>
      <c r="B995" s="8" t="s">
        <v>62</v>
      </c>
      <c r="C995" s="8" t="s">
        <v>3320</v>
      </c>
      <c r="D995" s="8" t="s">
        <v>3321</v>
      </c>
      <c r="E995" s="8" t="s">
        <v>3322</v>
      </c>
      <c r="F995" s="8">
        <v>-3.5405715</v>
      </c>
      <c r="G995" s="8">
        <v>-1.1103273</v>
      </c>
      <c r="H995" s="6" t="str">
        <f t="shared" si="9"/>
        <v>Direct</v>
      </c>
      <c r="I995" s="8" t="s">
        <v>3323</v>
      </c>
      <c r="J995" s="8" t="s">
        <v>3323</v>
      </c>
    </row>
    <row r="996" spans="1:10" x14ac:dyDescent="0.2">
      <c r="A996" s="8" t="s">
        <v>56</v>
      </c>
      <c r="B996" s="8" t="s">
        <v>62</v>
      </c>
      <c r="C996" s="8" t="s">
        <v>2140</v>
      </c>
      <c r="D996" s="8" t="s">
        <v>2141</v>
      </c>
      <c r="E996" s="8" t="s">
        <v>2142</v>
      </c>
      <c r="F996" s="8">
        <v>-3.7477765000000001</v>
      </c>
      <c r="G996" s="8">
        <v>-3.5547004000000002</v>
      </c>
      <c r="H996" s="6" t="str">
        <f t="shared" si="9"/>
        <v>Direct</v>
      </c>
      <c r="I996" s="8" t="s">
        <v>2143</v>
      </c>
      <c r="J996" s="8" t="s">
        <v>2143</v>
      </c>
    </row>
    <row r="997" spans="1:10" x14ac:dyDescent="0.2">
      <c r="A997" s="8" t="s">
        <v>56</v>
      </c>
      <c r="B997" s="8" t="s">
        <v>62</v>
      </c>
      <c r="C997" s="8" t="s">
        <v>3324</v>
      </c>
      <c r="D997" s="8" t="s">
        <v>3325</v>
      </c>
      <c r="E997" s="8" t="s">
        <v>3326</v>
      </c>
      <c r="F997" s="8">
        <v>-3.3288776000000002</v>
      </c>
      <c r="G997" s="8">
        <v>-7.9584333999999997</v>
      </c>
      <c r="H997" s="6" t="str">
        <f t="shared" si="9"/>
        <v>Direct</v>
      </c>
      <c r="I997" s="8" t="s">
        <v>3327</v>
      </c>
      <c r="J997" s="8" t="s">
        <v>3327</v>
      </c>
    </row>
    <row r="998" spans="1:10" x14ac:dyDescent="0.2">
      <c r="A998" s="8" t="s">
        <v>56</v>
      </c>
      <c r="B998" s="8" t="s">
        <v>62</v>
      </c>
      <c r="C998" s="8" t="s">
        <v>2148</v>
      </c>
      <c r="D998" s="8" t="s">
        <v>2149</v>
      </c>
      <c r="E998" s="8" t="s">
        <v>2150</v>
      </c>
      <c r="F998" s="8">
        <v>-1.1070532</v>
      </c>
      <c r="G998" s="8">
        <v>-3.3940532999999999</v>
      </c>
      <c r="H998" s="6" t="str">
        <f t="shared" si="9"/>
        <v>Direct</v>
      </c>
      <c r="I998" s="8" t="s">
        <v>2151</v>
      </c>
      <c r="J998" s="8" t="s">
        <v>2151</v>
      </c>
    </row>
    <row r="999" spans="1:10" x14ac:dyDescent="0.2">
      <c r="A999" s="8" t="s">
        <v>56</v>
      </c>
      <c r="B999" s="8" t="s">
        <v>62</v>
      </c>
      <c r="C999" s="8" t="s">
        <v>3328</v>
      </c>
      <c r="D999" s="8" t="s">
        <v>3329</v>
      </c>
      <c r="E999" s="8" t="s">
        <v>3330</v>
      </c>
      <c r="F999" s="8">
        <v>-2.9482485999999999</v>
      </c>
      <c r="G999" s="8">
        <v>-5.8217979</v>
      </c>
      <c r="H999" s="6" t="str">
        <f t="shared" si="9"/>
        <v>Direct</v>
      </c>
      <c r="I999" s="8" t="s">
        <v>3331</v>
      </c>
      <c r="J999" s="8" t="s">
        <v>3331</v>
      </c>
    </row>
    <row r="1000" spans="1:10" x14ac:dyDescent="0.2">
      <c r="A1000" s="8" t="s">
        <v>56</v>
      </c>
      <c r="B1000" s="8" t="s">
        <v>62</v>
      </c>
      <c r="C1000" s="8" t="s">
        <v>2152</v>
      </c>
      <c r="D1000" s="8" t="s">
        <v>2153</v>
      </c>
      <c r="E1000" s="8" t="s">
        <v>2154</v>
      </c>
      <c r="F1000" s="8">
        <v>-3.9910868000000002</v>
      </c>
      <c r="G1000" s="8">
        <v>-5.0432626999999997</v>
      </c>
      <c r="H1000" s="6" t="str">
        <f t="shared" si="9"/>
        <v>Direct</v>
      </c>
      <c r="I1000" s="8" t="s">
        <v>2155</v>
      </c>
      <c r="J1000" s="8" t="s">
        <v>2155</v>
      </c>
    </row>
    <row r="1001" spans="1:10" x14ac:dyDescent="0.2">
      <c r="A1001" s="8" t="s">
        <v>56</v>
      </c>
      <c r="B1001" s="8" t="s">
        <v>62</v>
      </c>
      <c r="C1001" s="8" t="s">
        <v>2156</v>
      </c>
      <c r="D1001" s="8" t="s">
        <v>2157</v>
      </c>
      <c r="E1001" s="8" t="s">
        <v>2158</v>
      </c>
      <c r="F1001" s="8">
        <v>-7.9880284000000001</v>
      </c>
      <c r="G1001" s="8">
        <v>-19.110071999999999</v>
      </c>
      <c r="H1001" s="6" t="str">
        <f t="shared" si="9"/>
        <v>Direct</v>
      </c>
      <c r="I1001" s="8" t="s">
        <v>2159</v>
      </c>
      <c r="J1001" s="8" t="s">
        <v>2159</v>
      </c>
    </row>
    <row r="1002" spans="1:10" x14ac:dyDescent="0.2">
      <c r="A1002" s="8" t="s">
        <v>56</v>
      </c>
      <c r="B1002" s="8" t="s">
        <v>62</v>
      </c>
      <c r="C1002" s="8" t="s">
        <v>3332</v>
      </c>
      <c r="D1002" s="8" t="s">
        <v>3333</v>
      </c>
      <c r="E1002" s="8" t="s">
        <v>3334</v>
      </c>
      <c r="F1002" s="8">
        <v>-22.674623</v>
      </c>
      <c r="G1002" s="8">
        <v>-1.3896738</v>
      </c>
      <c r="H1002" s="6" t="str">
        <f t="shared" si="9"/>
        <v>Direct</v>
      </c>
      <c r="I1002" s="8" t="s">
        <v>116</v>
      </c>
      <c r="J1002" s="8" t="s">
        <v>116</v>
      </c>
    </row>
    <row r="1003" spans="1:10" x14ac:dyDescent="0.2">
      <c r="A1003" s="8" t="s">
        <v>56</v>
      </c>
      <c r="B1003" s="8" t="s">
        <v>62</v>
      </c>
      <c r="C1003" s="8" t="s">
        <v>3335</v>
      </c>
      <c r="D1003" s="8" t="s">
        <v>3336</v>
      </c>
      <c r="E1003" s="8" t="s">
        <v>3337</v>
      </c>
      <c r="F1003" s="8">
        <v>4.8057355399999997</v>
      </c>
      <c r="G1003" s="8">
        <v>-2.0883074000000001</v>
      </c>
      <c r="H1003" s="6" t="str">
        <f t="shared" si="9"/>
        <v>Inverse</v>
      </c>
      <c r="I1003" s="8" t="s">
        <v>3338</v>
      </c>
      <c r="J1003" s="8" t="s">
        <v>3339</v>
      </c>
    </row>
    <row r="1004" spans="1:10" x14ac:dyDescent="0.2">
      <c r="A1004" s="8" t="s">
        <v>56</v>
      </c>
      <c r="B1004" s="8" t="s">
        <v>62</v>
      </c>
      <c r="C1004" s="8" t="s">
        <v>3340</v>
      </c>
      <c r="D1004" s="8" t="s">
        <v>3341</v>
      </c>
      <c r="E1004" s="8" t="s">
        <v>3342</v>
      </c>
      <c r="F1004" s="8">
        <v>-1.6917747000000001</v>
      </c>
      <c r="G1004" s="8">
        <v>-1.6047445</v>
      </c>
      <c r="H1004" s="6" t="str">
        <f t="shared" si="9"/>
        <v>Direct</v>
      </c>
      <c r="I1004" s="8" t="s">
        <v>50</v>
      </c>
      <c r="J1004" s="8" t="s">
        <v>3343</v>
      </c>
    </row>
    <row r="1005" spans="1:10" x14ac:dyDescent="0.2">
      <c r="A1005" s="8" t="s">
        <v>56</v>
      </c>
      <c r="B1005" s="8" t="s">
        <v>62</v>
      </c>
      <c r="C1005" s="8" t="s">
        <v>3344</v>
      </c>
      <c r="D1005" s="8" t="s">
        <v>3345</v>
      </c>
      <c r="E1005" s="8" t="s">
        <v>3346</v>
      </c>
      <c r="F1005" s="8">
        <v>-2.2256697000000001</v>
      </c>
      <c r="G1005" s="8">
        <v>-5.7940807999999997</v>
      </c>
      <c r="H1005" s="6" t="str">
        <f t="shared" si="9"/>
        <v>Direct</v>
      </c>
      <c r="I1005" s="8" t="s">
        <v>2193</v>
      </c>
      <c r="J1005" s="8" t="s">
        <v>2193</v>
      </c>
    </row>
    <row r="1006" spans="1:10" x14ac:dyDescent="0.2">
      <c r="A1006" s="8" t="s">
        <v>56</v>
      </c>
      <c r="B1006" s="8" t="s">
        <v>62</v>
      </c>
      <c r="C1006" s="8" t="s">
        <v>3347</v>
      </c>
      <c r="D1006" s="8" t="s">
        <v>3348</v>
      </c>
      <c r="E1006" s="8" t="s">
        <v>3349</v>
      </c>
      <c r="F1006" s="8">
        <v>4.0374652600000003</v>
      </c>
      <c r="G1006" s="8">
        <v>1.1299729599999999</v>
      </c>
      <c r="H1006" s="6" t="str">
        <f t="shared" si="9"/>
        <v>Direct</v>
      </c>
      <c r="I1006" s="8" t="s">
        <v>3350</v>
      </c>
      <c r="J1006" s="8" t="s">
        <v>3350</v>
      </c>
    </row>
    <row r="1007" spans="1:10" x14ac:dyDescent="0.2">
      <c r="A1007" s="8" t="s">
        <v>56</v>
      </c>
      <c r="B1007" s="8" t="s">
        <v>62</v>
      </c>
      <c r="C1007" s="8" t="s">
        <v>3351</v>
      </c>
      <c r="D1007" s="8" t="s">
        <v>3352</v>
      </c>
      <c r="E1007" s="8" t="s">
        <v>3353</v>
      </c>
      <c r="F1007" s="8">
        <v>-2.2214953999999998</v>
      </c>
      <c r="G1007" s="8">
        <v>-2.5107381000000002</v>
      </c>
      <c r="H1007" s="6" t="str">
        <f t="shared" si="9"/>
        <v>Direct</v>
      </c>
      <c r="I1007" s="8" t="s">
        <v>2183</v>
      </c>
      <c r="J1007" s="8" t="s">
        <v>2183</v>
      </c>
    </row>
    <row r="1008" spans="1:10" x14ac:dyDescent="0.2">
      <c r="A1008" s="8" t="s">
        <v>56</v>
      </c>
      <c r="B1008" s="8" t="s">
        <v>62</v>
      </c>
      <c r="C1008" s="8" t="s">
        <v>3354</v>
      </c>
      <c r="D1008" s="8" t="s">
        <v>3355</v>
      </c>
      <c r="E1008" s="8" t="s">
        <v>3356</v>
      </c>
      <c r="F1008" s="8">
        <v>-1.5326572000000001</v>
      </c>
      <c r="G1008" s="8">
        <v>-2.6181945</v>
      </c>
      <c r="H1008" s="6" t="str">
        <f t="shared" si="9"/>
        <v>Direct</v>
      </c>
      <c r="I1008" s="8" t="s">
        <v>3357</v>
      </c>
      <c r="J1008" s="8" t="s">
        <v>3357</v>
      </c>
    </row>
    <row r="1009" spans="1:10" x14ac:dyDescent="0.2">
      <c r="A1009" s="8" t="s">
        <v>56</v>
      </c>
      <c r="B1009" s="8" t="s">
        <v>62</v>
      </c>
      <c r="C1009" s="8" t="s">
        <v>3358</v>
      </c>
      <c r="D1009" s="8" t="s">
        <v>3359</v>
      </c>
      <c r="E1009" s="8" t="s">
        <v>3360</v>
      </c>
      <c r="F1009" s="8">
        <v>-2.7623601</v>
      </c>
      <c r="G1009" s="8">
        <v>-1.9875043999999999</v>
      </c>
      <c r="H1009" s="6" t="str">
        <f t="shared" si="9"/>
        <v>Direct</v>
      </c>
      <c r="I1009" s="8" t="s">
        <v>3361</v>
      </c>
      <c r="J1009" s="8" t="s">
        <v>3361</v>
      </c>
    </row>
    <row r="1010" spans="1:10" x14ac:dyDescent="0.2">
      <c r="A1010" s="8" t="s">
        <v>56</v>
      </c>
      <c r="B1010" s="8" t="s">
        <v>62</v>
      </c>
      <c r="C1010" s="8" t="s">
        <v>3362</v>
      </c>
      <c r="D1010" s="8" t="s">
        <v>3363</v>
      </c>
      <c r="E1010" s="8" t="s">
        <v>3364</v>
      </c>
      <c r="F1010" s="8">
        <v>1.26634512</v>
      </c>
      <c r="G1010" s="8">
        <v>-1.3580513000000001</v>
      </c>
      <c r="H1010" s="6" t="str">
        <f t="shared" si="9"/>
        <v>Inverse</v>
      </c>
      <c r="I1010" s="8" t="s">
        <v>3365</v>
      </c>
      <c r="J1010" s="8" t="s">
        <v>3365</v>
      </c>
    </row>
    <row r="1011" spans="1:10" x14ac:dyDescent="0.2">
      <c r="A1011" s="8" t="s">
        <v>56</v>
      </c>
      <c r="B1011" s="8" t="s">
        <v>62</v>
      </c>
      <c r="C1011" s="8" t="s">
        <v>2164</v>
      </c>
      <c r="D1011" s="8" t="s">
        <v>2165</v>
      </c>
      <c r="E1011" s="8" t="s">
        <v>2166</v>
      </c>
      <c r="F1011" s="8">
        <v>-1.3166065</v>
      </c>
      <c r="G1011" s="8">
        <v>-3.2050352000000002</v>
      </c>
      <c r="H1011" s="6" t="str">
        <f t="shared" si="9"/>
        <v>Direct</v>
      </c>
      <c r="I1011" s="8" t="s">
        <v>2167</v>
      </c>
      <c r="J1011" s="8" t="s">
        <v>2167</v>
      </c>
    </row>
    <row r="1012" spans="1:10" x14ac:dyDescent="0.2">
      <c r="A1012" s="8" t="s">
        <v>56</v>
      </c>
      <c r="B1012" s="8" t="s">
        <v>62</v>
      </c>
      <c r="C1012" s="8" t="s">
        <v>2168</v>
      </c>
      <c r="D1012" s="8" t="s">
        <v>2169</v>
      </c>
      <c r="E1012" s="8" t="s">
        <v>2170</v>
      </c>
      <c r="F1012" s="8">
        <v>2.6163739499999998</v>
      </c>
      <c r="G1012" s="8">
        <v>-1.6972574</v>
      </c>
      <c r="H1012" s="6" t="str">
        <f t="shared" si="9"/>
        <v>Inverse</v>
      </c>
      <c r="I1012" s="8" t="s">
        <v>2171</v>
      </c>
      <c r="J1012" s="8" t="s">
        <v>2171</v>
      </c>
    </row>
    <row r="1013" spans="1:10" x14ac:dyDescent="0.2">
      <c r="A1013" s="8" t="s">
        <v>56</v>
      </c>
      <c r="B1013" s="8" t="s">
        <v>62</v>
      </c>
      <c r="C1013" s="8" t="s">
        <v>3366</v>
      </c>
      <c r="D1013" s="8" t="s">
        <v>3367</v>
      </c>
      <c r="E1013" s="8" t="s">
        <v>3368</v>
      </c>
      <c r="F1013" s="8">
        <v>-7.0908841000000002</v>
      </c>
      <c r="G1013" s="8">
        <v>-1.1350939</v>
      </c>
      <c r="H1013" s="6" t="str">
        <f t="shared" si="9"/>
        <v>Direct</v>
      </c>
      <c r="I1013" s="8" t="s">
        <v>3369</v>
      </c>
      <c r="J1013" s="8" t="s">
        <v>3369</v>
      </c>
    </row>
    <row r="1014" spans="1:10" x14ac:dyDescent="0.2">
      <c r="A1014" s="8" t="s">
        <v>56</v>
      </c>
      <c r="B1014" s="8" t="s">
        <v>62</v>
      </c>
      <c r="C1014" s="8" t="s">
        <v>3370</v>
      </c>
      <c r="D1014" s="8" t="s">
        <v>3371</v>
      </c>
      <c r="E1014" s="8" t="s">
        <v>3372</v>
      </c>
      <c r="F1014" s="8">
        <v>1.5814134500000001</v>
      </c>
      <c r="G1014" s="8">
        <v>-1.1825966000000001</v>
      </c>
      <c r="H1014" s="6" t="str">
        <f t="shared" si="9"/>
        <v>Inverse</v>
      </c>
      <c r="I1014" s="8" t="s">
        <v>50</v>
      </c>
      <c r="J1014" s="8" t="s">
        <v>3373</v>
      </c>
    </row>
    <row r="1015" spans="1:10" x14ac:dyDescent="0.2">
      <c r="A1015" s="8" t="s">
        <v>56</v>
      </c>
      <c r="B1015" s="8" t="s">
        <v>62</v>
      </c>
      <c r="C1015" s="8" t="s">
        <v>3374</v>
      </c>
      <c r="D1015" s="8" t="s">
        <v>3375</v>
      </c>
      <c r="E1015" s="8" t="s">
        <v>3376</v>
      </c>
      <c r="F1015" s="8">
        <v>-2.3174815999999998</v>
      </c>
      <c r="G1015" s="8">
        <v>-5.2916808</v>
      </c>
      <c r="H1015" s="6" t="str">
        <f t="shared" si="9"/>
        <v>Direct</v>
      </c>
      <c r="I1015" s="8" t="s">
        <v>3377</v>
      </c>
      <c r="J1015" s="8" t="s">
        <v>3378</v>
      </c>
    </row>
    <row r="1016" spans="1:10" x14ac:dyDescent="0.2">
      <c r="A1016" s="8" t="s">
        <v>56</v>
      </c>
      <c r="B1016" s="8" t="s">
        <v>62</v>
      </c>
      <c r="C1016" s="8" t="s">
        <v>3379</v>
      </c>
      <c r="D1016" s="8" t="s">
        <v>3380</v>
      </c>
      <c r="E1016" s="8" t="s">
        <v>3381</v>
      </c>
      <c r="F1016" s="8">
        <v>-3.7814052</v>
      </c>
      <c r="G1016" s="8">
        <v>-1.6606755</v>
      </c>
      <c r="H1016" s="6" t="str">
        <f t="shared" si="9"/>
        <v>Direct</v>
      </c>
      <c r="I1016" s="8" t="s">
        <v>50</v>
      </c>
      <c r="J1016" s="8" t="s">
        <v>3382</v>
      </c>
    </row>
    <row r="1017" spans="1:10" x14ac:dyDescent="0.2">
      <c r="A1017" s="8" t="s">
        <v>56</v>
      </c>
      <c r="B1017" s="8" t="s">
        <v>62</v>
      </c>
      <c r="C1017" s="8" t="s">
        <v>3383</v>
      </c>
      <c r="D1017" s="8" t="s">
        <v>3384</v>
      </c>
      <c r="E1017" s="8" t="s">
        <v>3385</v>
      </c>
      <c r="F1017" s="8">
        <v>-1.7503765</v>
      </c>
      <c r="G1017" s="8">
        <v>-2.7562072999999998</v>
      </c>
      <c r="H1017" s="6" t="str">
        <f t="shared" si="9"/>
        <v>Direct</v>
      </c>
      <c r="I1017" s="8" t="s">
        <v>3386</v>
      </c>
      <c r="J1017" s="8" t="s">
        <v>3386</v>
      </c>
    </row>
    <row r="1018" spans="1:10" x14ac:dyDescent="0.2">
      <c r="A1018" s="8" t="s">
        <v>56</v>
      </c>
      <c r="B1018" s="8" t="s">
        <v>62</v>
      </c>
      <c r="C1018" s="8" t="s">
        <v>3387</v>
      </c>
      <c r="D1018" s="8" t="s">
        <v>3388</v>
      </c>
      <c r="E1018" s="8" t="s">
        <v>3389</v>
      </c>
      <c r="F1018" s="8">
        <v>-1.2907582</v>
      </c>
      <c r="G1018" s="8">
        <v>1.39178983</v>
      </c>
      <c r="H1018" s="6" t="str">
        <f t="shared" si="9"/>
        <v>Inverse</v>
      </c>
      <c r="I1018" s="8" t="s">
        <v>3390</v>
      </c>
      <c r="J1018" s="8" t="s">
        <v>3390</v>
      </c>
    </row>
    <row r="1019" spans="1:10" x14ac:dyDescent="0.2">
      <c r="A1019" s="8" t="s">
        <v>56</v>
      </c>
      <c r="B1019" s="8" t="s">
        <v>62</v>
      </c>
      <c r="C1019" s="8" t="s">
        <v>3391</v>
      </c>
      <c r="D1019" s="8" t="s">
        <v>3392</v>
      </c>
      <c r="E1019" s="8" t="s">
        <v>3393</v>
      </c>
      <c r="F1019" s="8">
        <v>-1.3698174999999999</v>
      </c>
      <c r="G1019" s="8">
        <v>-1.9353910999999999</v>
      </c>
      <c r="H1019" s="6" t="str">
        <f t="shared" si="9"/>
        <v>Direct</v>
      </c>
      <c r="I1019" s="8" t="s">
        <v>50</v>
      </c>
      <c r="J1019" s="8" t="s">
        <v>50</v>
      </c>
    </row>
    <row r="1020" spans="1:10" x14ac:dyDescent="0.2">
      <c r="A1020" s="8" t="s">
        <v>56</v>
      </c>
      <c r="B1020" s="8" t="s">
        <v>62</v>
      </c>
      <c r="C1020" s="8" t="s">
        <v>3394</v>
      </c>
      <c r="D1020" s="8" t="s">
        <v>3395</v>
      </c>
      <c r="E1020" s="8" t="s">
        <v>3396</v>
      </c>
      <c r="F1020" s="8">
        <v>2.0551739000000002</v>
      </c>
      <c r="G1020" s="8">
        <v>-1.7207821999999999</v>
      </c>
      <c r="H1020" s="6" t="str">
        <f t="shared" si="9"/>
        <v>Inverse</v>
      </c>
      <c r="I1020" s="8" t="s">
        <v>660</v>
      </c>
      <c r="J1020" s="8" t="s">
        <v>660</v>
      </c>
    </row>
    <row r="1021" spans="1:10" x14ac:dyDescent="0.2">
      <c r="A1021" s="8" t="s">
        <v>56</v>
      </c>
      <c r="B1021" s="8" t="s">
        <v>62</v>
      </c>
      <c r="C1021" s="8" t="s">
        <v>2176</v>
      </c>
      <c r="D1021" s="8" t="s">
        <v>2177</v>
      </c>
      <c r="E1021" s="8" t="s">
        <v>2178</v>
      </c>
      <c r="F1021" s="8">
        <v>4.4406118000000001</v>
      </c>
      <c r="G1021" s="8">
        <v>1.5329689099999999</v>
      </c>
      <c r="H1021" s="6" t="str">
        <f t="shared" si="9"/>
        <v>Direct</v>
      </c>
      <c r="I1021" s="8" t="s">
        <v>2179</v>
      </c>
      <c r="J1021" s="8" t="s">
        <v>2179</v>
      </c>
    </row>
    <row r="1022" spans="1:10" x14ac:dyDescent="0.2">
      <c r="A1022" s="8" t="s">
        <v>56</v>
      </c>
      <c r="B1022" s="8" t="s">
        <v>62</v>
      </c>
      <c r="C1022" s="8" t="s">
        <v>2180</v>
      </c>
      <c r="D1022" s="8" t="s">
        <v>2181</v>
      </c>
      <c r="E1022" s="8" t="s">
        <v>2182</v>
      </c>
      <c r="F1022" s="8">
        <v>-1.5004185000000001</v>
      </c>
      <c r="G1022" s="8">
        <v>-4.9772593000000001</v>
      </c>
      <c r="H1022" s="6" t="str">
        <f t="shared" ref="H1022:H1276" si="10">IF(OR(AND(F1022&gt;0,G1022&gt;0),AND(F1022&lt;0,G1022&lt;0)),"Direct","Inverse")</f>
        <v>Direct</v>
      </c>
      <c r="I1022" s="8" t="s">
        <v>2183</v>
      </c>
      <c r="J1022" s="8" t="s">
        <v>2183</v>
      </c>
    </row>
    <row r="1023" spans="1:10" x14ac:dyDescent="0.2">
      <c r="A1023" s="8" t="s">
        <v>56</v>
      </c>
      <c r="B1023" s="8" t="s">
        <v>62</v>
      </c>
      <c r="C1023" s="8" t="s">
        <v>2184</v>
      </c>
      <c r="D1023" s="8" t="s">
        <v>2185</v>
      </c>
      <c r="E1023" s="8" t="s">
        <v>2186</v>
      </c>
      <c r="F1023" s="8">
        <v>-8.6794007000000004</v>
      </c>
      <c r="G1023" s="8">
        <v>-18.860948</v>
      </c>
      <c r="H1023" s="6" t="str">
        <f t="shared" si="10"/>
        <v>Direct</v>
      </c>
      <c r="I1023" s="8" t="s">
        <v>1297</v>
      </c>
      <c r="J1023" s="8" t="s">
        <v>1297</v>
      </c>
    </row>
    <row r="1024" spans="1:10" x14ac:dyDescent="0.2">
      <c r="A1024" s="8" t="s">
        <v>56</v>
      </c>
      <c r="B1024" s="8" t="s">
        <v>62</v>
      </c>
      <c r="C1024" s="8" t="s">
        <v>2187</v>
      </c>
      <c r="D1024" s="8" t="s">
        <v>2188</v>
      </c>
      <c r="E1024" s="8" t="s">
        <v>2189</v>
      </c>
      <c r="F1024" s="8">
        <v>-2.4172202999999999</v>
      </c>
      <c r="G1024" s="8">
        <v>-5.0787198</v>
      </c>
      <c r="H1024" s="6" t="str">
        <f t="shared" si="10"/>
        <v>Direct</v>
      </c>
      <c r="I1024" s="8" t="s">
        <v>1763</v>
      </c>
      <c r="J1024" s="8" t="s">
        <v>1763</v>
      </c>
    </row>
    <row r="1025" spans="1:10" x14ac:dyDescent="0.2">
      <c r="A1025" s="8" t="s">
        <v>56</v>
      </c>
      <c r="B1025" s="8" t="s">
        <v>62</v>
      </c>
      <c r="C1025" s="8" t="s">
        <v>3397</v>
      </c>
      <c r="D1025" s="8" t="s">
        <v>3398</v>
      </c>
      <c r="E1025" s="8" t="s">
        <v>3399</v>
      </c>
      <c r="F1025" s="8">
        <v>-1.2453506999999999</v>
      </c>
      <c r="G1025" s="8">
        <v>-1.5697766</v>
      </c>
      <c r="H1025" s="6" t="str">
        <f t="shared" si="10"/>
        <v>Direct</v>
      </c>
      <c r="I1025" s="8" t="s">
        <v>3400</v>
      </c>
      <c r="J1025" s="8" t="s">
        <v>3400</v>
      </c>
    </row>
    <row r="1026" spans="1:10" x14ac:dyDescent="0.2">
      <c r="A1026" s="8" t="s">
        <v>56</v>
      </c>
      <c r="B1026" s="8" t="s">
        <v>62</v>
      </c>
      <c r="C1026" s="8" t="s">
        <v>3401</v>
      </c>
      <c r="D1026" s="8" t="s">
        <v>3402</v>
      </c>
      <c r="E1026" s="8" t="s">
        <v>3403</v>
      </c>
      <c r="F1026" s="8">
        <v>1.25354952</v>
      </c>
      <c r="G1026" s="8">
        <v>-2.1086464999999999</v>
      </c>
      <c r="H1026" s="6" t="str">
        <f t="shared" si="10"/>
        <v>Inverse</v>
      </c>
      <c r="I1026" s="8" t="s">
        <v>3404</v>
      </c>
      <c r="J1026" s="8" t="s">
        <v>3404</v>
      </c>
    </row>
    <row r="1027" spans="1:10" x14ac:dyDescent="0.2">
      <c r="A1027" s="8" t="s">
        <v>56</v>
      </c>
      <c r="B1027" s="8" t="s">
        <v>62</v>
      </c>
      <c r="C1027" s="8" t="s">
        <v>3405</v>
      </c>
      <c r="D1027" s="8" t="s">
        <v>3406</v>
      </c>
      <c r="E1027" s="8" t="s">
        <v>3407</v>
      </c>
      <c r="F1027" s="8">
        <v>-8.8600782000000002</v>
      </c>
      <c r="G1027" s="8">
        <v>-3.2314014000000002</v>
      </c>
      <c r="H1027" s="6" t="str">
        <f t="shared" si="10"/>
        <v>Direct</v>
      </c>
      <c r="I1027" s="8" t="s">
        <v>703</v>
      </c>
      <c r="J1027" s="8" t="s">
        <v>703</v>
      </c>
    </row>
    <row r="1028" spans="1:10" x14ac:dyDescent="0.2">
      <c r="A1028" s="8" t="s">
        <v>56</v>
      </c>
      <c r="B1028" s="8" t="s">
        <v>62</v>
      </c>
      <c r="C1028" s="8" t="s">
        <v>3408</v>
      </c>
      <c r="D1028" s="8" t="s">
        <v>3409</v>
      </c>
      <c r="E1028" s="8" t="s">
        <v>3410</v>
      </c>
      <c r="F1028" s="8">
        <v>-4.3538271000000002</v>
      </c>
      <c r="G1028" s="8">
        <v>-1.3516362</v>
      </c>
      <c r="H1028" s="6" t="str">
        <f t="shared" si="10"/>
        <v>Direct</v>
      </c>
      <c r="I1028" s="8" t="s">
        <v>50</v>
      </c>
      <c r="J1028" s="8" t="s">
        <v>3411</v>
      </c>
    </row>
    <row r="1029" spans="1:10" x14ac:dyDescent="0.2">
      <c r="A1029" s="8" t="s">
        <v>56</v>
      </c>
      <c r="B1029" s="8" t="s">
        <v>62</v>
      </c>
      <c r="C1029" s="8" t="s">
        <v>3412</v>
      </c>
      <c r="D1029" s="8" t="s">
        <v>3413</v>
      </c>
      <c r="E1029" s="8" t="s">
        <v>3414</v>
      </c>
      <c r="F1029" s="8">
        <v>3.4159860399999999</v>
      </c>
      <c r="G1029" s="8">
        <v>-1.1533340999999999</v>
      </c>
      <c r="H1029" s="6" t="str">
        <f t="shared" si="10"/>
        <v>Inverse</v>
      </c>
      <c r="I1029" s="8" t="s">
        <v>50</v>
      </c>
      <c r="J1029" s="8" t="s">
        <v>50</v>
      </c>
    </row>
    <row r="1030" spans="1:10" x14ac:dyDescent="0.2">
      <c r="A1030" s="8" t="s">
        <v>56</v>
      </c>
      <c r="B1030" s="8" t="s">
        <v>62</v>
      </c>
      <c r="C1030" s="8" t="s">
        <v>3415</v>
      </c>
      <c r="D1030" s="8" t="s">
        <v>3416</v>
      </c>
      <c r="E1030" s="8" t="s">
        <v>3417</v>
      </c>
      <c r="F1030" s="8">
        <v>1.41703902</v>
      </c>
      <c r="G1030" s="8">
        <v>-1.1168142999999999</v>
      </c>
      <c r="H1030" s="6" t="str">
        <f t="shared" si="10"/>
        <v>Inverse</v>
      </c>
      <c r="I1030" s="8" t="s">
        <v>1159</v>
      </c>
      <c r="J1030" s="8" t="s">
        <v>1159</v>
      </c>
    </row>
    <row r="1031" spans="1:10" x14ac:dyDescent="0.2">
      <c r="A1031" s="8" t="s">
        <v>56</v>
      </c>
      <c r="B1031" s="8" t="s">
        <v>62</v>
      </c>
      <c r="C1031" s="8" t="s">
        <v>3418</v>
      </c>
      <c r="D1031" s="8" t="s">
        <v>3419</v>
      </c>
      <c r="E1031" s="8" t="s">
        <v>3420</v>
      </c>
      <c r="F1031" s="8">
        <v>-1.9251767</v>
      </c>
      <c r="G1031" s="8">
        <v>-3.2660111999999999</v>
      </c>
      <c r="H1031" s="6" t="str">
        <f t="shared" si="10"/>
        <v>Direct</v>
      </c>
      <c r="I1031" s="8" t="s">
        <v>3421</v>
      </c>
      <c r="J1031" s="8" t="s">
        <v>3421</v>
      </c>
    </row>
    <row r="1032" spans="1:10" x14ac:dyDescent="0.2">
      <c r="A1032" s="8" t="s">
        <v>56</v>
      </c>
      <c r="B1032" s="8" t="s">
        <v>62</v>
      </c>
      <c r="C1032" s="8" t="s">
        <v>3422</v>
      </c>
      <c r="D1032" s="8" t="s">
        <v>3423</v>
      </c>
      <c r="E1032" s="8" t="s">
        <v>3424</v>
      </c>
      <c r="F1032" s="8">
        <v>-3.7677246000000002</v>
      </c>
      <c r="G1032" s="8">
        <v>3.13369082</v>
      </c>
      <c r="H1032" s="6" t="str">
        <f t="shared" si="10"/>
        <v>Inverse</v>
      </c>
      <c r="I1032" s="8" t="s">
        <v>3425</v>
      </c>
      <c r="J1032" s="8" t="s">
        <v>3425</v>
      </c>
    </row>
    <row r="1033" spans="1:10" x14ac:dyDescent="0.2">
      <c r="A1033" s="8" t="s">
        <v>56</v>
      </c>
      <c r="B1033" s="8" t="s">
        <v>62</v>
      </c>
      <c r="C1033" s="8" t="s">
        <v>2198</v>
      </c>
      <c r="D1033" s="8" t="s">
        <v>2199</v>
      </c>
      <c r="E1033" s="8" t="s">
        <v>2200</v>
      </c>
      <c r="F1033" s="8">
        <v>-4.8270909</v>
      </c>
      <c r="G1033" s="8">
        <v>-1.2486877999999999</v>
      </c>
      <c r="H1033" s="6" t="str">
        <f t="shared" si="10"/>
        <v>Direct</v>
      </c>
      <c r="I1033" s="8" t="s">
        <v>1972</v>
      </c>
      <c r="J1033" s="8" t="s">
        <v>1972</v>
      </c>
    </row>
    <row r="1034" spans="1:10" x14ac:dyDescent="0.2">
      <c r="A1034" s="8" t="s">
        <v>56</v>
      </c>
      <c r="B1034" s="8" t="s">
        <v>62</v>
      </c>
      <c r="C1034" s="8" t="s">
        <v>2201</v>
      </c>
      <c r="D1034" s="8" t="s">
        <v>2202</v>
      </c>
      <c r="E1034" s="8" t="s">
        <v>2203</v>
      </c>
      <c r="F1034" s="8">
        <v>-1.2106570000000001</v>
      </c>
      <c r="G1034" s="8">
        <v>-8.3772046000000007</v>
      </c>
      <c r="H1034" s="6" t="str">
        <f t="shared" si="10"/>
        <v>Direct</v>
      </c>
      <c r="I1034" s="8" t="s">
        <v>2204</v>
      </c>
      <c r="J1034" s="8" t="s">
        <v>2204</v>
      </c>
    </row>
    <row r="1035" spans="1:10" x14ac:dyDescent="0.2">
      <c r="A1035" s="8" t="s">
        <v>56</v>
      </c>
      <c r="B1035" s="8" t="s">
        <v>62</v>
      </c>
      <c r="C1035" s="8" t="s">
        <v>3426</v>
      </c>
      <c r="D1035" s="8" t="s">
        <v>3427</v>
      </c>
      <c r="E1035" s="8" t="s">
        <v>3428</v>
      </c>
      <c r="F1035" s="8">
        <v>-2.4266700999999999</v>
      </c>
      <c r="G1035" s="8">
        <v>1.1359589999999999</v>
      </c>
      <c r="H1035" s="6" t="str">
        <f t="shared" si="10"/>
        <v>Inverse</v>
      </c>
      <c r="I1035" s="8" t="s">
        <v>3429</v>
      </c>
      <c r="J1035" s="8" t="s">
        <v>2590</v>
      </c>
    </row>
    <row r="1036" spans="1:10" x14ac:dyDescent="0.2">
      <c r="A1036" s="8" t="s">
        <v>56</v>
      </c>
      <c r="B1036" s="8" t="s">
        <v>62</v>
      </c>
      <c r="C1036" s="8" t="s">
        <v>547</v>
      </c>
      <c r="D1036" s="8" t="s">
        <v>548</v>
      </c>
      <c r="E1036" s="8" t="s">
        <v>549</v>
      </c>
      <c r="F1036" s="8">
        <v>-2.1571519000000001</v>
      </c>
      <c r="G1036" s="8">
        <v>-4.4485754000000002</v>
      </c>
      <c r="H1036" s="6" t="str">
        <f t="shared" si="10"/>
        <v>Direct</v>
      </c>
      <c r="I1036" s="8" t="s">
        <v>550</v>
      </c>
      <c r="J1036" s="8" t="s">
        <v>550</v>
      </c>
    </row>
    <row r="1037" spans="1:10" x14ac:dyDescent="0.2">
      <c r="A1037" s="8" t="s">
        <v>56</v>
      </c>
      <c r="B1037" s="8" t="s">
        <v>62</v>
      </c>
      <c r="C1037" s="8" t="s">
        <v>2205</v>
      </c>
      <c r="D1037" s="8" t="s">
        <v>2206</v>
      </c>
      <c r="E1037" s="8" t="s">
        <v>2207</v>
      </c>
      <c r="F1037" s="8">
        <v>-4.7528664999999997</v>
      </c>
      <c r="G1037" s="8">
        <v>-2.6808939999999999</v>
      </c>
      <c r="H1037" s="6" t="str">
        <f t="shared" si="10"/>
        <v>Direct</v>
      </c>
      <c r="I1037" s="8" t="s">
        <v>2208</v>
      </c>
      <c r="J1037" s="8" t="s">
        <v>2208</v>
      </c>
    </row>
    <row r="1038" spans="1:10" x14ac:dyDescent="0.2">
      <c r="A1038" s="8" t="s">
        <v>56</v>
      </c>
      <c r="B1038" s="8" t="s">
        <v>62</v>
      </c>
      <c r="C1038" s="8" t="s">
        <v>3430</v>
      </c>
      <c r="D1038" s="8" t="s">
        <v>3431</v>
      </c>
      <c r="E1038" s="8" t="s">
        <v>3432</v>
      </c>
      <c r="F1038" s="8">
        <v>-1.8127869000000001</v>
      </c>
      <c r="G1038" s="8">
        <v>-1.3512076</v>
      </c>
      <c r="H1038" s="6" t="str">
        <f t="shared" si="10"/>
        <v>Direct</v>
      </c>
      <c r="I1038" s="8" t="s">
        <v>3433</v>
      </c>
      <c r="J1038" s="8" t="s">
        <v>3433</v>
      </c>
    </row>
    <row r="1039" spans="1:10" x14ac:dyDescent="0.2">
      <c r="A1039" s="8" t="s">
        <v>56</v>
      </c>
      <c r="B1039" s="8" t="s">
        <v>62</v>
      </c>
      <c r="C1039" s="8" t="s">
        <v>3434</v>
      </c>
      <c r="D1039" s="8" t="s">
        <v>3435</v>
      </c>
      <c r="E1039" s="8" t="s">
        <v>3436</v>
      </c>
      <c r="F1039" s="8">
        <v>-1.0971405999999999</v>
      </c>
      <c r="G1039" s="8">
        <v>-4.0417823999999998</v>
      </c>
      <c r="H1039" s="6" t="str">
        <f t="shared" si="10"/>
        <v>Direct</v>
      </c>
      <c r="I1039" s="8" t="s">
        <v>2853</v>
      </c>
      <c r="J1039" s="8" t="s">
        <v>2853</v>
      </c>
    </row>
    <row r="1040" spans="1:10" x14ac:dyDescent="0.2">
      <c r="A1040" s="8" t="s">
        <v>56</v>
      </c>
      <c r="B1040" s="8" t="s">
        <v>62</v>
      </c>
      <c r="C1040" s="8" t="s">
        <v>3437</v>
      </c>
      <c r="D1040" s="8" t="s">
        <v>3438</v>
      </c>
      <c r="E1040" s="8" t="s">
        <v>3439</v>
      </c>
      <c r="F1040" s="8">
        <v>-4.7245730999999997</v>
      </c>
      <c r="G1040" s="8">
        <v>-3.1194959999999998</v>
      </c>
      <c r="H1040" s="6" t="str">
        <f t="shared" si="10"/>
        <v>Direct</v>
      </c>
      <c r="I1040" s="8" t="s">
        <v>1413</v>
      </c>
      <c r="J1040" s="8" t="s">
        <v>1413</v>
      </c>
    </row>
    <row r="1041" spans="1:10" x14ac:dyDescent="0.2">
      <c r="A1041" s="8" t="s">
        <v>56</v>
      </c>
      <c r="B1041" s="8" t="s">
        <v>62</v>
      </c>
      <c r="C1041" s="8" t="s">
        <v>3440</v>
      </c>
      <c r="D1041" s="8" t="s">
        <v>3441</v>
      </c>
      <c r="E1041" s="8" t="s">
        <v>3442</v>
      </c>
      <c r="F1041" s="8">
        <v>2.2888046100000001</v>
      </c>
      <c r="G1041" s="8">
        <v>1.9424811500000001</v>
      </c>
      <c r="H1041" s="6" t="str">
        <f t="shared" si="10"/>
        <v>Direct</v>
      </c>
      <c r="I1041" s="8" t="s">
        <v>3443</v>
      </c>
      <c r="J1041" s="8" t="s">
        <v>3443</v>
      </c>
    </row>
    <row r="1042" spans="1:10" x14ac:dyDescent="0.2">
      <c r="A1042" s="8" t="s">
        <v>56</v>
      </c>
      <c r="B1042" s="8" t="s">
        <v>62</v>
      </c>
      <c r="C1042" s="8" t="s">
        <v>3444</v>
      </c>
      <c r="D1042" s="8" t="s">
        <v>3445</v>
      </c>
      <c r="E1042" s="8" t="s">
        <v>3446</v>
      </c>
      <c r="F1042" s="8">
        <v>-2.0850399999999998</v>
      </c>
      <c r="G1042" s="8">
        <v>1.4720032599999999</v>
      </c>
      <c r="H1042" s="6" t="str">
        <f t="shared" si="10"/>
        <v>Inverse</v>
      </c>
      <c r="I1042" s="8" t="s">
        <v>3447</v>
      </c>
      <c r="J1042" s="8" t="s">
        <v>3447</v>
      </c>
    </row>
    <row r="1043" spans="1:10" x14ac:dyDescent="0.2">
      <c r="A1043" s="8" t="s">
        <v>56</v>
      </c>
      <c r="B1043" s="8" t="s">
        <v>62</v>
      </c>
      <c r="C1043" s="8" t="s">
        <v>3448</v>
      </c>
      <c r="D1043" s="8" t="s">
        <v>3449</v>
      </c>
      <c r="E1043" s="8" t="s">
        <v>3450</v>
      </c>
      <c r="F1043" s="8">
        <v>-4.8407643</v>
      </c>
      <c r="G1043" s="8">
        <v>-1.4047031999999999</v>
      </c>
      <c r="H1043" s="6" t="str">
        <f t="shared" si="10"/>
        <v>Direct</v>
      </c>
      <c r="I1043" s="8" t="s">
        <v>3451</v>
      </c>
      <c r="J1043" s="8" t="s">
        <v>3451</v>
      </c>
    </row>
    <row r="1044" spans="1:10" x14ac:dyDescent="0.2">
      <c r="A1044" s="8" t="s">
        <v>56</v>
      </c>
      <c r="B1044" s="8" t="s">
        <v>62</v>
      </c>
      <c r="C1044" s="8" t="s">
        <v>3452</v>
      </c>
      <c r="D1044" s="8" t="s">
        <v>3453</v>
      </c>
      <c r="E1044" s="8" t="s">
        <v>3454</v>
      </c>
      <c r="F1044" s="8">
        <v>-2.3344051000000001</v>
      </c>
      <c r="G1044" s="8">
        <v>-1.1894247</v>
      </c>
      <c r="H1044" s="6" t="str">
        <f t="shared" si="10"/>
        <v>Direct</v>
      </c>
      <c r="I1044" s="8" t="s">
        <v>3455</v>
      </c>
      <c r="J1044" s="8" t="s">
        <v>3455</v>
      </c>
    </row>
    <row r="1045" spans="1:10" x14ac:dyDescent="0.2">
      <c r="A1045" s="8" t="s">
        <v>56</v>
      </c>
      <c r="B1045" s="8" t="s">
        <v>62</v>
      </c>
      <c r="C1045" s="8" t="s">
        <v>3456</v>
      </c>
      <c r="D1045" s="8" t="s">
        <v>3457</v>
      </c>
      <c r="E1045" s="8" t="s">
        <v>3458</v>
      </c>
      <c r="F1045" s="8">
        <v>-1.4221824999999999</v>
      </c>
      <c r="G1045" s="8">
        <v>-2.3036082000000002</v>
      </c>
      <c r="H1045" s="6" t="str">
        <f t="shared" si="10"/>
        <v>Direct</v>
      </c>
      <c r="I1045" s="8" t="s">
        <v>3459</v>
      </c>
      <c r="J1045" s="8" t="s">
        <v>3459</v>
      </c>
    </row>
    <row r="1046" spans="1:10" x14ac:dyDescent="0.2">
      <c r="A1046" s="8" t="s">
        <v>56</v>
      </c>
      <c r="B1046" s="8" t="s">
        <v>62</v>
      </c>
      <c r="C1046" s="8" t="s">
        <v>571</v>
      </c>
      <c r="D1046" s="8" t="s">
        <v>572</v>
      </c>
      <c r="E1046" s="8" t="s">
        <v>573</v>
      </c>
      <c r="F1046" s="8">
        <v>-3.7011951999999999</v>
      </c>
      <c r="G1046" s="8">
        <v>1.6674217</v>
      </c>
      <c r="H1046" s="6" t="str">
        <f t="shared" si="10"/>
        <v>Inverse</v>
      </c>
      <c r="I1046" s="8" t="s">
        <v>574</v>
      </c>
      <c r="J1046" s="8" t="s">
        <v>574</v>
      </c>
    </row>
    <row r="1047" spans="1:10" x14ac:dyDescent="0.2">
      <c r="A1047" s="8" t="s">
        <v>56</v>
      </c>
      <c r="B1047" s="8" t="s">
        <v>62</v>
      </c>
      <c r="C1047" s="8" t="s">
        <v>3460</v>
      </c>
      <c r="D1047" s="8" t="s">
        <v>3461</v>
      </c>
      <c r="E1047" s="8" t="s">
        <v>3462</v>
      </c>
      <c r="F1047" s="8">
        <v>-4.5344895000000003</v>
      </c>
      <c r="G1047" s="8">
        <v>1.5479934900000001</v>
      </c>
      <c r="H1047" s="6" t="str">
        <f t="shared" si="10"/>
        <v>Inverse</v>
      </c>
      <c r="I1047" s="8" t="s">
        <v>3463</v>
      </c>
      <c r="J1047" s="8" t="s">
        <v>3463</v>
      </c>
    </row>
    <row r="1048" spans="1:10" x14ac:dyDescent="0.2">
      <c r="A1048" s="8" t="s">
        <v>56</v>
      </c>
      <c r="B1048" s="8" t="s">
        <v>62</v>
      </c>
      <c r="C1048" s="8" t="s">
        <v>3464</v>
      </c>
      <c r="D1048" s="8" t="s">
        <v>3465</v>
      </c>
      <c r="E1048" s="8" t="s">
        <v>3466</v>
      </c>
      <c r="F1048" s="8">
        <v>4.00973281</v>
      </c>
      <c r="G1048" s="8">
        <v>-1.5218392999999999</v>
      </c>
      <c r="H1048" s="6" t="str">
        <f t="shared" si="10"/>
        <v>Inverse</v>
      </c>
      <c r="I1048" s="8" t="s">
        <v>3467</v>
      </c>
      <c r="J1048" s="8" t="s">
        <v>3467</v>
      </c>
    </row>
    <row r="1049" spans="1:10" x14ac:dyDescent="0.2">
      <c r="A1049" s="8" t="s">
        <v>56</v>
      </c>
      <c r="B1049" s="8" t="s">
        <v>62</v>
      </c>
      <c r="C1049" s="8" t="s">
        <v>3468</v>
      </c>
      <c r="D1049" s="8" t="s">
        <v>3469</v>
      </c>
      <c r="E1049" s="8" t="s">
        <v>3470</v>
      </c>
      <c r="F1049" s="8">
        <v>-1.5773888</v>
      </c>
      <c r="G1049" s="8">
        <v>1.47229955</v>
      </c>
      <c r="H1049" s="6" t="str">
        <f t="shared" si="10"/>
        <v>Inverse</v>
      </c>
      <c r="I1049" s="8" t="s">
        <v>3471</v>
      </c>
      <c r="J1049" s="8" t="s">
        <v>3471</v>
      </c>
    </row>
    <row r="1050" spans="1:10" x14ac:dyDescent="0.2">
      <c r="A1050" s="8" t="s">
        <v>56</v>
      </c>
      <c r="B1050" s="8" t="s">
        <v>62</v>
      </c>
      <c r="C1050" s="8" t="s">
        <v>3472</v>
      </c>
      <c r="D1050" s="8" t="s">
        <v>3473</v>
      </c>
      <c r="E1050" s="8" t="s">
        <v>3474</v>
      </c>
      <c r="F1050" s="8">
        <v>2.8961103399999999</v>
      </c>
      <c r="G1050" s="8">
        <v>-1.1903265999999999</v>
      </c>
      <c r="H1050" s="6" t="str">
        <f t="shared" si="10"/>
        <v>Inverse</v>
      </c>
      <c r="I1050" s="8" t="s">
        <v>3475</v>
      </c>
      <c r="J1050" s="8" t="s">
        <v>3475</v>
      </c>
    </row>
    <row r="1051" spans="1:10" x14ac:dyDescent="0.2">
      <c r="A1051" s="8" t="s">
        <v>56</v>
      </c>
      <c r="B1051" s="8" t="s">
        <v>62</v>
      </c>
      <c r="C1051" s="8" t="s">
        <v>3476</v>
      </c>
      <c r="D1051" s="8" t="s">
        <v>3477</v>
      </c>
      <c r="E1051" s="8" t="s">
        <v>3478</v>
      </c>
      <c r="F1051" s="8">
        <v>-1.4701384</v>
      </c>
      <c r="G1051" s="8">
        <v>-2.9017423999999998</v>
      </c>
      <c r="H1051" s="6" t="str">
        <f t="shared" si="10"/>
        <v>Direct</v>
      </c>
      <c r="I1051" s="8" t="s">
        <v>3479</v>
      </c>
      <c r="J1051" s="8" t="s">
        <v>3480</v>
      </c>
    </row>
    <row r="1052" spans="1:10" x14ac:dyDescent="0.2">
      <c r="A1052" s="8" t="s">
        <v>56</v>
      </c>
      <c r="B1052" s="8" t="s">
        <v>62</v>
      </c>
      <c r="C1052" s="8" t="s">
        <v>3481</v>
      </c>
      <c r="D1052" s="8" t="s">
        <v>3482</v>
      </c>
      <c r="E1052" s="8" t="s">
        <v>3483</v>
      </c>
      <c r="F1052" s="8">
        <v>2.5750848199999998</v>
      </c>
      <c r="G1052" s="8">
        <v>1.91269179</v>
      </c>
      <c r="H1052" s="6" t="str">
        <f t="shared" si="10"/>
        <v>Direct</v>
      </c>
      <c r="I1052" s="8" t="s">
        <v>3484</v>
      </c>
      <c r="J1052" s="8" t="s">
        <v>3484</v>
      </c>
    </row>
    <row r="1053" spans="1:10" x14ac:dyDescent="0.2">
      <c r="A1053" s="8" t="s">
        <v>56</v>
      </c>
      <c r="B1053" s="8" t="s">
        <v>62</v>
      </c>
      <c r="C1053" s="8" t="s">
        <v>3485</v>
      </c>
      <c r="D1053" s="8" t="s">
        <v>3486</v>
      </c>
      <c r="E1053" s="8" t="s">
        <v>3487</v>
      </c>
      <c r="F1053" s="8">
        <v>-1.9344861</v>
      </c>
      <c r="G1053" s="8">
        <v>-2.0179458000000001</v>
      </c>
      <c r="H1053" s="6" t="str">
        <f t="shared" si="10"/>
        <v>Direct</v>
      </c>
      <c r="I1053" s="8" t="s">
        <v>3488</v>
      </c>
      <c r="J1053" s="8" t="s">
        <v>3488</v>
      </c>
    </row>
    <row r="1054" spans="1:10" x14ac:dyDescent="0.2">
      <c r="A1054" s="8" t="s">
        <v>56</v>
      </c>
      <c r="B1054" s="8" t="s">
        <v>62</v>
      </c>
      <c r="C1054" s="8" t="s">
        <v>2227</v>
      </c>
      <c r="D1054" s="8" t="s">
        <v>2228</v>
      </c>
      <c r="E1054" s="8" t="s">
        <v>2229</v>
      </c>
      <c r="F1054" s="8">
        <v>30.962396200000001</v>
      </c>
      <c r="G1054" s="8">
        <v>4.3257690999999996</v>
      </c>
      <c r="H1054" s="6" t="str">
        <f t="shared" si="10"/>
        <v>Direct</v>
      </c>
      <c r="I1054" s="8" t="s">
        <v>445</v>
      </c>
      <c r="J1054" s="8" t="s">
        <v>445</v>
      </c>
    </row>
    <row r="1055" spans="1:10" x14ac:dyDescent="0.2">
      <c r="A1055" s="8" t="s">
        <v>56</v>
      </c>
      <c r="B1055" s="8" t="s">
        <v>62</v>
      </c>
      <c r="C1055" s="8" t="s">
        <v>3489</v>
      </c>
      <c r="D1055" s="8" t="s">
        <v>3490</v>
      </c>
      <c r="E1055" s="8" t="s">
        <v>3491</v>
      </c>
      <c r="F1055" s="8">
        <v>-4.0225970000000002</v>
      </c>
      <c r="G1055" s="8">
        <v>1.5461209499999999</v>
      </c>
      <c r="H1055" s="6" t="str">
        <f t="shared" si="10"/>
        <v>Inverse</v>
      </c>
      <c r="I1055" s="8" t="s">
        <v>116</v>
      </c>
      <c r="J1055" s="8" t="s">
        <v>116</v>
      </c>
    </row>
    <row r="1056" spans="1:10" x14ac:dyDescent="0.2">
      <c r="A1056" s="8" t="s">
        <v>56</v>
      </c>
      <c r="B1056" s="8" t="s">
        <v>62</v>
      </c>
      <c r="C1056" s="8" t="s">
        <v>3492</v>
      </c>
      <c r="D1056" s="8" t="s">
        <v>3493</v>
      </c>
      <c r="E1056" s="8" t="s">
        <v>3494</v>
      </c>
      <c r="F1056" s="8">
        <v>1.39174194</v>
      </c>
      <c r="G1056" s="8">
        <v>-1.0430188</v>
      </c>
      <c r="H1056" s="6" t="str">
        <f t="shared" si="10"/>
        <v>Inverse</v>
      </c>
      <c r="I1056" s="8" t="s">
        <v>3495</v>
      </c>
      <c r="J1056" s="8" t="s">
        <v>3495</v>
      </c>
    </row>
    <row r="1057" spans="1:10" x14ac:dyDescent="0.2">
      <c r="A1057" s="8" t="s">
        <v>56</v>
      </c>
      <c r="B1057" s="8" t="s">
        <v>62</v>
      </c>
      <c r="C1057" s="8" t="s">
        <v>2230</v>
      </c>
      <c r="D1057" s="8" t="s">
        <v>2231</v>
      </c>
      <c r="E1057" s="8" t="s">
        <v>2232</v>
      </c>
      <c r="F1057" s="8">
        <v>-5.9308646999999999</v>
      </c>
      <c r="G1057" s="8">
        <v>-3.1585909000000001</v>
      </c>
      <c r="H1057" s="6" t="str">
        <f t="shared" si="10"/>
        <v>Direct</v>
      </c>
      <c r="I1057" s="8" t="s">
        <v>2233</v>
      </c>
      <c r="J1057" s="8" t="s">
        <v>2233</v>
      </c>
    </row>
    <row r="1058" spans="1:10" x14ac:dyDescent="0.2">
      <c r="A1058" s="8" t="s">
        <v>56</v>
      </c>
      <c r="B1058" s="8" t="s">
        <v>62</v>
      </c>
      <c r="C1058" s="8" t="s">
        <v>2234</v>
      </c>
      <c r="D1058" s="8" t="s">
        <v>2235</v>
      </c>
      <c r="E1058" s="8" t="s">
        <v>2236</v>
      </c>
      <c r="F1058" s="8">
        <v>-2.5248827</v>
      </c>
      <c r="G1058" s="8">
        <v>-14.141591</v>
      </c>
      <c r="H1058" s="6" t="str">
        <f t="shared" si="10"/>
        <v>Direct</v>
      </c>
      <c r="I1058" s="8" t="s">
        <v>2237</v>
      </c>
      <c r="J1058" s="8" t="s">
        <v>2237</v>
      </c>
    </row>
    <row r="1059" spans="1:10" x14ac:dyDescent="0.2">
      <c r="A1059" s="8" t="s">
        <v>56</v>
      </c>
      <c r="B1059" s="8" t="s">
        <v>62</v>
      </c>
      <c r="C1059" s="8" t="s">
        <v>3496</v>
      </c>
      <c r="D1059" s="8" t="s">
        <v>3497</v>
      </c>
      <c r="E1059" s="8" t="s">
        <v>3498</v>
      </c>
      <c r="F1059" s="8">
        <v>-1.1228396</v>
      </c>
      <c r="G1059" s="8">
        <v>-1.1152470999999999</v>
      </c>
      <c r="H1059" s="6" t="str">
        <f t="shared" si="10"/>
        <v>Direct</v>
      </c>
      <c r="I1059" s="8" t="s">
        <v>3499</v>
      </c>
      <c r="J1059" s="8" t="s">
        <v>3499</v>
      </c>
    </row>
    <row r="1060" spans="1:10" x14ac:dyDescent="0.2">
      <c r="A1060" s="8" t="s">
        <v>56</v>
      </c>
      <c r="B1060" s="8" t="s">
        <v>62</v>
      </c>
      <c r="C1060" s="8" t="s">
        <v>3500</v>
      </c>
      <c r="D1060" s="8" t="s">
        <v>3501</v>
      </c>
      <c r="E1060" s="8" t="s">
        <v>3502</v>
      </c>
      <c r="F1060" s="8">
        <v>1.5144885100000001</v>
      </c>
      <c r="G1060" s="8">
        <v>-1.6403064000000001</v>
      </c>
      <c r="H1060" s="6" t="str">
        <f t="shared" si="10"/>
        <v>Inverse</v>
      </c>
      <c r="I1060" s="8" t="s">
        <v>3503</v>
      </c>
      <c r="J1060" s="8" t="s">
        <v>3504</v>
      </c>
    </row>
    <row r="1061" spans="1:10" x14ac:dyDescent="0.2">
      <c r="A1061" s="8" t="s">
        <v>56</v>
      </c>
      <c r="B1061" s="8" t="s">
        <v>62</v>
      </c>
      <c r="C1061" s="8" t="s">
        <v>3505</v>
      </c>
      <c r="D1061" s="8" t="s">
        <v>3506</v>
      </c>
      <c r="E1061" s="8" t="s">
        <v>3507</v>
      </c>
      <c r="F1061" s="8">
        <v>1.4713591699999999</v>
      </c>
      <c r="G1061" s="8">
        <v>-5.4999101000000001</v>
      </c>
      <c r="H1061" s="6" t="str">
        <f t="shared" si="10"/>
        <v>Inverse</v>
      </c>
      <c r="I1061" s="8" t="s">
        <v>3508</v>
      </c>
      <c r="J1061" s="8" t="s">
        <v>3508</v>
      </c>
    </row>
    <row r="1062" spans="1:10" x14ac:dyDescent="0.2">
      <c r="A1062" s="8" t="s">
        <v>56</v>
      </c>
      <c r="B1062" s="8" t="s">
        <v>62</v>
      </c>
      <c r="C1062" s="8" t="s">
        <v>3509</v>
      </c>
      <c r="D1062" s="8" t="s">
        <v>3510</v>
      </c>
      <c r="E1062" s="8" t="s">
        <v>3511</v>
      </c>
      <c r="F1062" s="8">
        <v>3.25670854</v>
      </c>
      <c r="G1062" s="8">
        <v>1.0393176099999999</v>
      </c>
      <c r="H1062" s="6" t="str">
        <f t="shared" si="10"/>
        <v>Direct</v>
      </c>
      <c r="I1062" s="8" t="s">
        <v>3512</v>
      </c>
      <c r="J1062" s="8" t="s">
        <v>3512</v>
      </c>
    </row>
    <row r="1063" spans="1:10" x14ac:dyDescent="0.2">
      <c r="A1063" s="8" t="s">
        <v>56</v>
      </c>
      <c r="B1063" s="8" t="s">
        <v>62</v>
      </c>
      <c r="C1063" s="8" t="s">
        <v>591</v>
      </c>
      <c r="D1063" s="8" t="s">
        <v>592</v>
      </c>
      <c r="E1063" s="8" t="s">
        <v>593</v>
      </c>
      <c r="F1063" s="8">
        <v>-31.793572000000001</v>
      </c>
      <c r="G1063" s="8">
        <v>-4.4084963999999998</v>
      </c>
      <c r="H1063" s="6" t="str">
        <f t="shared" si="10"/>
        <v>Direct</v>
      </c>
      <c r="I1063" s="8" t="s">
        <v>594</v>
      </c>
      <c r="J1063" s="8" t="s">
        <v>112</v>
      </c>
    </row>
    <row r="1064" spans="1:10" x14ac:dyDescent="0.2">
      <c r="A1064" s="8" t="s">
        <v>56</v>
      </c>
      <c r="B1064" s="8" t="s">
        <v>62</v>
      </c>
      <c r="C1064" s="8" t="s">
        <v>3513</v>
      </c>
      <c r="D1064" s="8" t="s">
        <v>3514</v>
      </c>
      <c r="E1064" s="8" t="s">
        <v>3515</v>
      </c>
      <c r="F1064" s="8">
        <v>-1.009414</v>
      </c>
      <c r="G1064" s="8">
        <v>-1.3727096000000001</v>
      </c>
      <c r="H1064" s="6" t="str">
        <f t="shared" si="10"/>
        <v>Direct</v>
      </c>
      <c r="I1064" s="8" t="s">
        <v>3516</v>
      </c>
      <c r="J1064" s="8" t="s">
        <v>3516</v>
      </c>
    </row>
    <row r="1065" spans="1:10" x14ac:dyDescent="0.2">
      <c r="A1065" s="8" t="s">
        <v>56</v>
      </c>
      <c r="B1065" s="8" t="s">
        <v>62</v>
      </c>
      <c r="C1065" s="8" t="s">
        <v>2238</v>
      </c>
      <c r="D1065" s="8" t="s">
        <v>2239</v>
      </c>
      <c r="E1065" s="8" t="s">
        <v>2240</v>
      </c>
      <c r="F1065" s="8">
        <v>3.8945550099999999</v>
      </c>
      <c r="G1065" s="8">
        <v>7.0563547199999999</v>
      </c>
      <c r="H1065" s="6" t="str">
        <f t="shared" si="10"/>
        <v>Direct</v>
      </c>
      <c r="I1065" s="8" t="s">
        <v>2241</v>
      </c>
      <c r="J1065" s="8" t="s">
        <v>2241</v>
      </c>
    </row>
    <row r="1066" spans="1:10" x14ac:dyDescent="0.2">
      <c r="A1066" s="8" t="s">
        <v>56</v>
      </c>
      <c r="B1066" s="8" t="s">
        <v>62</v>
      </c>
      <c r="C1066" s="8" t="s">
        <v>599</v>
      </c>
      <c r="D1066" s="8" t="s">
        <v>600</v>
      </c>
      <c r="E1066" s="8" t="s">
        <v>601</v>
      </c>
      <c r="F1066" s="8">
        <v>-1.4027847</v>
      </c>
      <c r="G1066" s="8">
        <v>-1.0382065</v>
      </c>
      <c r="H1066" s="6" t="str">
        <f t="shared" si="10"/>
        <v>Direct</v>
      </c>
      <c r="I1066" s="8" t="s">
        <v>602</v>
      </c>
      <c r="J1066" s="8" t="s">
        <v>602</v>
      </c>
    </row>
    <row r="1067" spans="1:10" x14ac:dyDescent="0.2">
      <c r="A1067" s="8" t="s">
        <v>56</v>
      </c>
      <c r="B1067" s="8" t="s">
        <v>62</v>
      </c>
      <c r="C1067" s="8" t="s">
        <v>2242</v>
      </c>
      <c r="D1067" s="8" t="s">
        <v>2243</v>
      </c>
      <c r="E1067" s="8" t="s">
        <v>2244</v>
      </c>
      <c r="F1067" s="8">
        <v>-2.0390717999999999</v>
      </c>
      <c r="G1067" s="8">
        <v>-4.4822141999999996</v>
      </c>
      <c r="H1067" s="6" t="str">
        <f t="shared" si="10"/>
        <v>Direct</v>
      </c>
      <c r="I1067" s="8" t="s">
        <v>2245</v>
      </c>
      <c r="J1067" s="8" t="s">
        <v>1246</v>
      </c>
    </row>
    <row r="1068" spans="1:10" x14ac:dyDescent="0.2">
      <c r="A1068" s="8" t="s">
        <v>56</v>
      </c>
      <c r="B1068" s="8" t="s">
        <v>62</v>
      </c>
      <c r="C1068" s="8" t="s">
        <v>2246</v>
      </c>
      <c r="D1068" s="8" t="s">
        <v>2247</v>
      </c>
      <c r="E1068" s="8" t="s">
        <v>2248</v>
      </c>
      <c r="F1068" s="8">
        <v>-2.9552841999999999</v>
      </c>
      <c r="G1068" s="8">
        <v>-2.2970774</v>
      </c>
      <c r="H1068" s="6" t="str">
        <f t="shared" si="10"/>
        <v>Direct</v>
      </c>
      <c r="I1068" s="8" t="s">
        <v>2249</v>
      </c>
      <c r="J1068" s="8" t="s">
        <v>2249</v>
      </c>
    </row>
    <row r="1069" spans="1:10" x14ac:dyDescent="0.2">
      <c r="A1069" s="8" t="s">
        <v>56</v>
      </c>
      <c r="B1069" s="8" t="s">
        <v>62</v>
      </c>
      <c r="C1069" s="8" t="s">
        <v>3517</v>
      </c>
      <c r="D1069" s="8" t="s">
        <v>3518</v>
      </c>
      <c r="E1069" s="8" t="s">
        <v>3519</v>
      </c>
      <c r="F1069" s="8">
        <v>2.5088529799999999</v>
      </c>
      <c r="G1069" s="8">
        <v>-1.0515882000000001</v>
      </c>
      <c r="H1069" s="6" t="str">
        <f t="shared" si="10"/>
        <v>Inverse</v>
      </c>
      <c r="I1069" s="8" t="s">
        <v>3520</v>
      </c>
      <c r="J1069" s="8" t="s">
        <v>3520</v>
      </c>
    </row>
    <row r="1070" spans="1:10" x14ac:dyDescent="0.2">
      <c r="A1070" s="8" t="s">
        <v>56</v>
      </c>
      <c r="B1070" s="8" t="s">
        <v>62</v>
      </c>
      <c r="C1070" s="8" t="s">
        <v>3521</v>
      </c>
      <c r="D1070" s="8" t="s">
        <v>3522</v>
      </c>
      <c r="E1070" s="8" t="s">
        <v>3523</v>
      </c>
      <c r="F1070" s="8">
        <v>-4.7327006000000003</v>
      </c>
      <c r="G1070" s="8">
        <v>-1.6257444000000001</v>
      </c>
      <c r="H1070" s="6" t="str">
        <f t="shared" si="10"/>
        <v>Direct</v>
      </c>
      <c r="I1070" s="8" t="s">
        <v>55</v>
      </c>
      <c r="J1070" s="8" t="s">
        <v>55</v>
      </c>
    </row>
    <row r="1071" spans="1:10" x14ac:dyDescent="0.2">
      <c r="A1071" s="8" t="s">
        <v>56</v>
      </c>
      <c r="B1071" s="8" t="s">
        <v>62</v>
      </c>
      <c r="C1071" s="8" t="s">
        <v>3524</v>
      </c>
      <c r="D1071" s="8" t="s">
        <v>3525</v>
      </c>
      <c r="E1071" s="8" t="s">
        <v>3526</v>
      </c>
      <c r="F1071" s="8">
        <v>1.10568507</v>
      </c>
      <c r="G1071" s="8">
        <v>1.0351382200000001</v>
      </c>
      <c r="H1071" s="6" t="str">
        <f t="shared" si="10"/>
        <v>Direct</v>
      </c>
      <c r="I1071" s="8" t="s">
        <v>3527</v>
      </c>
      <c r="J1071" s="8" t="s">
        <v>3527</v>
      </c>
    </row>
    <row r="1072" spans="1:10" x14ac:dyDescent="0.2">
      <c r="A1072" s="8" t="s">
        <v>56</v>
      </c>
      <c r="B1072" s="8" t="s">
        <v>62</v>
      </c>
      <c r="C1072" s="8" t="s">
        <v>3528</v>
      </c>
      <c r="D1072" s="8" t="s">
        <v>3529</v>
      </c>
      <c r="E1072" s="8" t="s">
        <v>3530</v>
      </c>
      <c r="F1072" s="8">
        <v>1.3609713000000001</v>
      </c>
      <c r="G1072" s="8">
        <v>2.0474677300000002</v>
      </c>
      <c r="H1072" s="6" t="str">
        <f t="shared" si="10"/>
        <v>Direct</v>
      </c>
      <c r="I1072" s="8" t="s">
        <v>50</v>
      </c>
      <c r="J1072" s="8" t="s">
        <v>3531</v>
      </c>
    </row>
    <row r="1073" spans="1:10" x14ac:dyDescent="0.2">
      <c r="A1073" s="8" t="s">
        <v>56</v>
      </c>
      <c r="B1073" s="8" t="s">
        <v>62</v>
      </c>
      <c r="C1073" s="8" t="s">
        <v>2250</v>
      </c>
      <c r="D1073" s="8" t="s">
        <v>2251</v>
      </c>
      <c r="E1073" s="8" t="s">
        <v>2252</v>
      </c>
      <c r="F1073" s="8">
        <v>3.3314021999999999</v>
      </c>
      <c r="G1073" s="8">
        <v>1.99128573</v>
      </c>
      <c r="H1073" s="6" t="str">
        <f t="shared" si="10"/>
        <v>Direct</v>
      </c>
      <c r="I1073" s="8" t="s">
        <v>2253</v>
      </c>
      <c r="J1073" s="8" t="s">
        <v>2253</v>
      </c>
    </row>
    <row r="1074" spans="1:10" x14ac:dyDescent="0.2">
      <c r="A1074" s="8" t="s">
        <v>56</v>
      </c>
      <c r="B1074" s="8" t="s">
        <v>62</v>
      </c>
      <c r="C1074" s="8" t="s">
        <v>3532</v>
      </c>
      <c r="D1074" s="8" t="s">
        <v>3533</v>
      </c>
      <c r="E1074" s="8" t="s">
        <v>3534</v>
      </c>
      <c r="F1074" s="8">
        <v>-1.3423585</v>
      </c>
      <c r="G1074" s="8">
        <v>-2.9431840999999999</v>
      </c>
      <c r="H1074" s="6" t="str">
        <f t="shared" si="10"/>
        <v>Direct</v>
      </c>
      <c r="I1074" s="8" t="s">
        <v>3535</v>
      </c>
      <c r="J1074" s="8" t="s">
        <v>3535</v>
      </c>
    </row>
    <row r="1075" spans="1:10" x14ac:dyDescent="0.2">
      <c r="A1075" s="8" t="s">
        <v>56</v>
      </c>
      <c r="B1075" s="8" t="s">
        <v>62</v>
      </c>
      <c r="C1075" s="8" t="s">
        <v>3536</v>
      </c>
      <c r="D1075" s="8" t="s">
        <v>3537</v>
      </c>
      <c r="E1075" s="8" t="s">
        <v>3538</v>
      </c>
      <c r="F1075" s="8">
        <v>1.2506191900000001</v>
      </c>
      <c r="G1075" s="8">
        <v>-1.4213557999999999</v>
      </c>
      <c r="H1075" s="6" t="str">
        <f t="shared" si="10"/>
        <v>Inverse</v>
      </c>
      <c r="I1075" s="8" t="s">
        <v>3539</v>
      </c>
      <c r="J1075" s="8" t="s">
        <v>3539</v>
      </c>
    </row>
    <row r="1076" spans="1:10" x14ac:dyDescent="0.2">
      <c r="A1076" s="8" t="s">
        <v>56</v>
      </c>
      <c r="B1076" s="8" t="s">
        <v>62</v>
      </c>
      <c r="C1076" s="8" t="s">
        <v>3540</v>
      </c>
      <c r="D1076" s="8" t="s">
        <v>3541</v>
      </c>
      <c r="E1076" s="8" t="s">
        <v>3542</v>
      </c>
      <c r="F1076" s="8">
        <v>1.0611118100000001</v>
      </c>
      <c r="G1076" s="8">
        <v>-1.3477787000000001</v>
      </c>
      <c r="H1076" s="6" t="str">
        <f t="shared" si="10"/>
        <v>Inverse</v>
      </c>
      <c r="I1076" s="8" t="s">
        <v>3543</v>
      </c>
      <c r="J1076" s="8" t="s">
        <v>3543</v>
      </c>
    </row>
    <row r="1077" spans="1:10" x14ac:dyDescent="0.2">
      <c r="A1077" s="8" t="s">
        <v>56</v>
      </c>
      <c r="B1077" s="8" t="s">
        <v>62</v>
      </c>
      <c r="C1077" s="8" t="s">
        <v>1015</v>
      </c>
      <c r="D1077" s="8" t="s">
        <v>1016</v>
      </c>
      <c r="E1077" s="8" t="s">
        <v>1017</v>
      </c>
      <c r="F1077" s="8">
        <v>1.96169773</v>
      </c>
      <c r="G1077" s="8">
        <v>2.30132716</v>
      </c>
      <c r="H1077" s="6" t="str">
        <f t="shared" si="10"/>
        <v>Direct</v>
      </c>
      <c r="I1077" s="8" t="s">
        <v>1018</v>
      </c>
      <c r="J1077" s="8" t="s">
        <v>1019</v>
      </c>
    </row>
    <row r="1078" spans="1:10" x14ac:dyDescent="0.2">
      <c r="A1078" s="8" t="s">
        <v>56</v>
      </c>
      <c r="B1078" s="8" t="s">
        <v>62</v>
      </c>
      <c r="C1078" s="8" t="s">
        <v>3544</v>
      </c>
      <c r="D1078" s="8" t="s">
        <v>3545</v>
      </c>
      <c r="E1078" s="8" t="s">
        <v>3546</v>
      </c>
      <c r="F1078" s="8">
        <v>-2.6248895999999999</v>
      </c>
      <c r="G1078" s="8">
        <v>-4.1487546999999996</v>
      </c>
      <c r="H1078" s="6" t="str">
        <f t="shared" si="10"/>
        <v>Direct</v>
      </c>
      <c r="I1078" s="8" t="s">
        <v>3547</v>
      </c>
      <c r="J1078" s="8" t="s">
        <v>3547</v>
      </c>
    </row>
    <row r="1079" spans="1:10" x14ac:dyDescent="0.2">
      <c r="A1079" s="8" t="s">
        <v>56</v>
      </c>
      <c r="B1079" s="8" t="s">
        <v>62</v>
      </c>
      <c r="C1079" s="8" t="s">
        <v>2262</v>
      </c>
      <c r="D1079" s="8" t="s">
        <v>2263</v>
      </c>
      <c r="E1079" s="8" t="s">
        <v>2264</v>
      </c>
      <c r="F1079" s="8">
        <v>-1.4612316999999999</v>
      </c>
      <c r="G1079" s="8">
        <v>-2.7897185000000002</v>
      </c>
      <c r="H1079" s="6" t="str">
        <f t="shared" si="10"/>
        <v>Direct</v>
      </c>
      <c r="I1079" s="8" t="s">
        <v>2265</v>
      </c>
      <c r="J1079" s="8" t="s">
        <v>2265</v>
      </c>
    </row>
    <row r="1080" spans="1:10" x14ac:dyDescent="0.2">
      <c r="A1080" s="8" t="s">
        <v>56</v>
      </c>
      <c r="B1080" s="8" t="s">
        <v>62</v>
      </c>
      <c r="C1080" s="8" t="s">
        <v>3548</v>
      </c>
      <c r="D1080" s="8" t="s">
        <v>3549</v>
      </c>
      <c r="E1080" s="8" t="s">
        <v>3550</v>
      </c>
      <c r="F1080" s="8">
        <v>4.5683266099999997</v>
      </c>
      <c r="G1080" s="8">
        <v>-3.4013958999999998</v>
      </c>
      <c r="H1080" s="6" t="str">
        <f t="shared" si="10"/>
        <v>Inverse</v>
      </c>
      <c r="I1080" s="8" t="s">
        <v>3551</v>
      </c>
      <c r="J1080" s="8" t="s">
        <v>3551</v>
      </c>
    </row>
    <row r="1081" spans="1:10" x14ac:dyDescent="0.2">
      <c r="A1081" s="8" t="s">
        <v>56</v>
      </c>
      <c r="B1081" s="8" t="s">
        <v>62</v>
      </c>
      <c r="C1081" s="8" t="s">
        <v>3552</v>
      </c>
      <c r="D1081" s="8" t="s">
        <v>3553</v>
      </c>
      <c r="E1081" s="8" t="s">
        <v>3554</v>
      </c>
      <c r="F1081" s="8">
        <v>-1.45017</v>
      </c>
      <c r="G1081" s="8">
        <v>1.0832973400000001</v>
      </c>
      <c r="H1081" s="6" t="str">
        <f t="shared" si="10"/>
        <v>Inverse</v>
      </c>
      <c r="I1081" s="8" t="s">
        <v>594</v>
      </c>
      <c r="J1081" s="8" t="s">
        <v>594</v>
      </c>
    </row>
    <row r="1082" spans="1:10" x14ac:dyDescent="0.2">
      <c r="A1082" s="8" t="s">
        <v>56</v>
      </c>
      <c r="B1082" s="8" t="s">
        <v>62</v>
      </c>
      <c r="C1082" s="8" t="s">
        <v>3555</v>
      </c>
      <c r="D1082" s="8" t="s">
        <v>3556</v>
      </c>
      <c r="E1082" s="8" t="s">
        <v>3557</v>
      </c>
      <c r="F1082" s="8">
        <v>-1.2279475</v>
      </c>
      <c r="G1082" s="8">
        <v>1.5300669899999999</v>
      </c>
      <c r="H1082" s="6" t="str">
        <f t="shared" si="10"/>
        <v>Inverse</v>
      </c>
      <c r="I1082" s="8" t="s">
        <v>50</v>
      </c>
      <c r="J1082" s="8" t="s">
        <v>50</v>
      </c>
    </row>
    <row r="1083" spans="1:10" x14ac:dyDescent="0.2">
      <c r="A1083" s="8" t="s">
        <v>56</v>
      </c>
      <c r="B1083" s="8" t="s">
        <v>62</v>
      </c>
      <c r="C1083" s="8" t="s">
        <v>3558</v>
      </c>
      <c r="D1083" s="8" t="s">
        <v>3559</v>
      </c>
      <c r="E1083" s="8" t="s">
        <v>3560</v>
      </c>
      <c r="F1083" s="8">
        <v>1.9439480099999999</v>
      </c>
      <c r="G1083" s="8">
        <v>1.61711209</v>
      </c>
      <c r="H1083" s="6" t="str">
        <f t="shared" si="10"/>
        <v>Direct</v>
      </c>
      <c r="I1083" s="8" t="s">
        <v>3561</v>
      </c>
      <c r="J1083" s="8" t="s">
        <v>3561</v>
      </c>
    </row>
    <row r="1084" spans="1:10" x14ac:dyDescent="0.2">
      <c r="A1084" s="8" t="s">
        <v>56</v>
      </c>
      <c r="B1084" s="8" t="s">
        <v>62</v>
      </c>
      <c r="C1084" s="8" t="s">
        <v>3562</v>
      </c>
      <c r="D1084" s="8" t="s">
        <v>3563</v>
      </c>
      <c r="E1084" s="8" t="s">
        <v>3564</v>
      </c>
      <c r="F1084" s="8">
        <v>-3.1876107999999999</v>
      </c>
      <c r="G1084" s="8">
        <v>1.6489994800000001</v>
      </c>
      <c r="H1084" s="6" t="str">
        <f t="shared" si="10"/>
        <v>Inverse</v>
      </c>
      <c r="I1084" s="8" t="s">
        <v>2626</v>
      </c>
      <c r="J1084" s="8" t="s">
        <v>2626</v>
      </c>
    </row>
    <row r="1085" spans="1:10" x14ac:dyDescent="0.2">
      <c r="A1085" s="8" t="s">
        <v>56</v>
      </c>
      <c r="B1085" s="8" t="s">
        <v>62</v>
      </c>
      <c r="C1085" s="8" t="s">
        <v>3565</v>
      </c>
      <c r="D1085" s="8" t="s">
        <v>3566</v>
      </c>
      <c r="E1085" s="8" t="s">
        <v>3567</v>
      </c>
      <c r="F1085" s="8">
        <v>-1.3890076</v>
      </c>
      <c r="G1085" s="8">
        <v>-1.4375557000000001</v>
      </c>
      <c r="H1085" s="6" t="str">
        <f t="shared" si="10"/>
        <v>Direct</v>
      </c>
      <c r="I1085" s="8" t="s">
        <v>3568</v>
      </c>
      <c r="J1085" s="8" t="s">
        <v>3568</v>
      </c>
    </row>
    <row r="1086" spans="1:10" x14ac:dyDescent="0.2">
      <c r="A1086" s="8" t="s">
        <v>56</v>
      </c>
      <c r="B1086" s="8" t="s">
        <v>62</v>
      </c>
      <c r="C1086" s="8" t="s">
        <v>3569</v>
      </c>
      <c r="D1086" s="8" t="s">
        <v>3570</v>
      </c>
      <c r="E1086" s="8" t="s">
        <v>3571</v>
      </c>
      <c r="F1086" s="8">
        <v>1.44120333</v>
      </c>
      <c r="G1086" s="8">
        <v>-1.1071226000000001</v>
      </c>
      <c r="H1086" s="6" t="str">
        <f t="shared" si="10"/>
        <v>Inverse</v>
      </c>
      <c r="I1086" s="8" t="s">
        <v>3572</v>
      </c>
      <c r="J1086" s="8" t="s">
        <v>3572</v>
      </c>
    </row>
    <row r="1087" spans="1:10" x14ac:dyDescent="0.2">
      <c r="A1087" s="8" t="s">
        <v>56</v>
      </c>
      <c r="B1087" s="8" t="s">
        <v>62</v>
      </c>
      <c r="C1087" s="8" t="s">
        <v>2266</v>
      </c>
      <c r="D1087" s="8" t="s">
        <v>2267</v>
      </c>
      <c r="E1087" s="8" t="s">
        <v>2268</v>
      </c>
      <c r="F1087" s="8">
        <v>-2.9405898000000001</v>
      </c>
      <c r="G1087" s="8">
        <v>-5.2730860000000002</v>
      </c>
      <c r="H1087" s="6" t="str">
        <f t="shared" si="10"/>
        <v>Direct</v>
      </c>
      <c r="I1087" s="8" t="s">
        <v>2269</v>
      </c>
      <c r="J1087" s="8" t="s">
        <v>2269</v>
      </c>
    </row>
    <row r="1088" spans="1:10" x14ac:dyDescent="0.2">
      <c r="A1088" s="8" t="s">
        <v>56</v>
      </c>
      <c r="B1088" s="8" t="s">
        <v>62</v>
      </c>
      <c r="C1088" s="8" t="s">
        <v>3573</v>
      </c>
      <c r="D1088" s="8" t="s">
        <v>3574</v>
      </c>
      <c r="E1088" s="8" t="s">
        <v>3575</v>
      </c>
      <c r="F1088" s="8">
        <v>-1.8911528</v>
      </c>
      <c r="G1088" s="8">
        <v>-1.7080398000000001</v>
      </c>
      <c r="H1088" s="6" t="str">
        <f t="shared" si="10"/>
        <v>Direct</v>
      </c>
      <c r="I1088" s="8" t="s">
        <v>3576</v>
      </c>
      <c r="J1088" s="8" t="s">
        <v>3577</v>
      </c>
    </row>
    <row r="1089" spans="1:10" x14ac:dyDescent="0.2">
      <c r="A1089" s="8" t="s">
        <v>56</v>
      </c>
      <c r="B1089" s="8" t="s">
        <v>62</v>
      </c>
      <c r="C1089" s="8" t="s">
        <v>2270</v>
      </c>
      <c r="D1089" s="8" t="s">
        <v>2271</v>
      </c>
      <c r="E1089" s="8" t="s">
        <v>2272</v>
      </c>
      <c r="F1089" s="8">
        <v>2.0661432</v>
      </c>
      <c r="G1089" s="8">
        <v>-4.0287261000000001</v>
      </c>
      <c r="H1089" s="6" t="str">
        <f t="shared" si="10"/>
        <v>Inverse</v>
      </c>
      <c r="I1089" s="8" t="s">
        <v>944</v>
      </c>
      <c r="J1089" s="8" t="s">
        <v>2273</v>
      </c>
    </row>
    <row r="1090" spans="1:10" x14ac:dyDescent="0.2">
      <c r="A1090" s="8" t="s">
        <v>56</v>
      </c>
      <c r="B1090" s="8" t="s">
        <v>62</v>
      </c>
      <c r="C1090" s="8" t="s">
        <v>2274</v>
      </c>
      <c r="D1090" s="8" t="s">
        <v>2275</v>
      </c>
      <c r="E1090" s="8" t="s">
        <v>2276</v>
      </c>
      <c r="F1090" s="8">
        <v>-3.0139668999999998</v>
      </c>
      <c r="G1090" s="8">
        <v>-9.2476708999999992</v>
      </c>
      <c r="H1090" s="6" t="str">
        <f t="shared" si="10"/>
        <v>Direct</v>
      </c>
      <c r="I1090" s="8" t="s">
        <v>2277</v>
      </c>
      <c r="J1090" s="8" t="s">
        <v>2277</v>
      </c>
    </row>
    <row r="1091" spans="1:10" x14ac:dyDescent="0.2">
      <c r="A1091" s="8" t="s">
        <v>56</v>
      </c>
      <c r="B1091" s="8" t="s">
        <v>62</v>
      </c>
      <c r="C1091" s="8" t="s">
        <v>3578</v>
      </c>
      <c r="D1091" s="8" t="s">
        <v>3579</v>
      </c>
      <c r="E1091" s="8" t="s">
        <v>3580</v>
      </c>
      <c r="F1091" s="8">
        <v>1.6504544699999999</v>
      </c>
      <c r="G1091" s="8">
        <v>-1.8402153000000001</v>
      </c>
      <c r="H1091" s="6" t="str">
        <f t="shared" si="10"/>
        <v>Inverse</v>
      </c>
      <c r="I1091" s="8" t="s">
        <v>1449</v>
      </c>
      <c r="J1091" s="8" t="s">
        <v>3581</v>
      </c>
    </row>
    <row r="1092" spans="1:10" x14ac:dyDescent="0.2">
      <c r="A1092" s="8" t="s">
        <v>56</v>
      </c>
      <c r="B1092" s="8" t="s">
        <v>62</v>
      </c>
      <c r="C1092" s="8" t="s">
        <v>1044</v>
      </c>
      <c r="D1092" s="8" t="s">
        <v>1045</v>
      </c>
      <c r="E1092" s="8" t="s">
        <v>1046</v>
      </c>
      <c r="F1092" s="8">
        <v>1.2753186700000001</v>
      </c>
      <c r="G1092" s="8">
        <v>3.70136953</v>
      </c>
      <c r="H1092" s="6" t="str">
        <f t="shared" si="10"/>
        <v>Direct</v>
      </c>
      <c r="I1092" s="8" t="s">
        <v>1047</v>
      </c>
      <c r="J1092" s="8" t="s">
        <v>1047</v>
      </c>
    </row>
    <row r="1093" spans="1:10" x14ac:dyDescent="0.2">
      <c r="A1093" s="8" t="s">
        <v>56</v>
      </c>
      <c r="B1093" s="8" t="s">
        <v>62</v>
      </c>
      <c r="C1093" s="8" t="s">
        <v>3582</v>
      </c>
      <c r="D1093" s="8" t="s">
        <v>3583</v>
      </c>
      <c r="E1093" s="8" t="s">
        <v>3584</v>
      </c>
      <c r="F1093" s="8">
        <v>1.1432500299999999</v>
      </c>
      <c r="G1093" s="8">
        <v>1.66092463</v>
      </c>
      <c r="H1093" s="6" t="str">
        <f t="shared" si="10"/>
        <v>Direct</v>
      </c>
      <c r="I1093" s="8" t="s">
        <v>3585</v>
      </c>
      <c r="J1093" s="8" t="s">
        <v>3585</v>
      </c>
    </row>
    <row r="1094" spans="1:10" x14ac:dyDescent="0.2">
      <c r="A1094" s="8" t="s">
        <v>56</v>
      </c>
      <c r="B1094" s="8" t="s">
        <v>62</v>
      </c>
      <c r="C1094" s="8" t="s">
        <v>3586</v>
      </c>
      <c r="D1094" s="8" t="s">
        <v>3587</v>
      </c>
      <c r="E1094" s="8" t="s">
        <v>3588</v>
      </c>
      <c r="F1094" s="8">
        <v>-3.2099646000000002</v>
      </c>
      <c r="G1094" s="8">
        <v>-4.1596902</v>
      </c>
      <c r="H1094" s="6" t="str">
        <f t="shared" si="10"/>
        <v>Direct</v>
      </c>
      <c r="I1094" s="8" t="s">
        <v>3589</v>
      </c>
      <c r="J1094" s="8" t="s">
        <v>3589</v>
      </c>
    </row>
    <row r="1095" spans="1:10" x14ac:dyDescent="0.2">
      <c r="A1095" s="8" t="s">
        <v>56</v>
      </c>
      <c r="B1095" s="8" t="s">
        <v>62</v>
      </c>
      <c r="C1095" s="8" t="s">
        <v>3590</v>
      </c>
      <c r="D1095" s="8" t="s">
        <v>3591</v>
      </c>
      <c r="E1095" s="8" t="s">
        <v>3592</v>
      </c>
      <c r="F1095" s="8">
        <v>-4.7257560999999999</v>
      </c>
      <c r="G1095" s="8">
        <v>-2.1427795999999999</v>
      </c>
      <c r="H1095" s="6" t="str">
        <f t="shared" si="10"/>
        <v>Direct</v>
      </c>
      <c r="I1095" s="8" t="s">
        <v>393</v>
      </c>
      <c r="J1095" s="8" t="s">
        <v>393</v>
      </c>
    </row>
    <row r="1096" spans="1:10" x14ac:dyDescent="0.2">
      <c r="A1096" s="8" t="s">
        <v>56</v>
      </c>
      <c r="B1096" s="8" t="s">
        <v>62</v>
      </c>
      <c r="C1096" s="8" t="s">
        <v>2286</v>
      </c>
      <c r="D1096" s="8" t="s">
        <v>2287</v>
      </c>
      <c r="E1096" s="8" t="s">
        <v>2288</v>
      </c>
      <c r="F1096" s="8">
        <v>-3.4298799</v>
      </c>
      <c r="G1096" s="8">
        <v>-1.2441352999999999</v>
      </c>
      <c r="H1096" s="6" t="str">
        <f t="shared" si="10"/>
        <v>Direct</v>
      </c>
      <c r="I1096" s="8" t="s">
        <v>794</v>
      </c>
      <c r="J1096" s="8" t="s">
        <v>794</v>
      </c>
    </row>
    <row r="1097" spans="1:10" x14ac:dyDescent="0.2">
      <c r="A1097" s="8" t="s">
        <v>56</v>
      </c>
      <c r="B1097" s="8" t="s">
        <v>62</v>
      </c>
      <c r="C1097" s="8" t="s">
        <v>1048</v>
      </c>
      <c r="D1097" s="8" t="s">
        <v>1049</v>
      </c>
      <c r="E1097" s="8" t="s">
        <v>1050</v>
      </c>
      <c r="F1097" s="8">
        <v>1.17053009</v>
      </c>
      <c r="G1097" s="8">
        <v>1.4342180499999999</v>
      </c>
      <c r="H1097" s="6" t="str">
        <f t="shared" si="10"/>
        <v>Direct</v>
      </c>
      <c r="I1097" s="8" t="s">
        <v>1051</v>
      </c>
      <c r="J1097" s="8" t="s">
        <v>1051</v>
      </c>
    </row>
    <row r="1098" spans="1:10" x14ac:dyDescent="0.2">
      <c r="A1098" s="8" t="s">
        <v>56</v>
      </c>
      <c r="B1098" s="8" t="s">
        <v>62</v>
      </c>
      <c r="C1098" s="8" t="s">
        <v>1052</v>
      </c>
      <c r="D1098" s="8" t="s">
        <v>1053</v>
      </c>
      <c r="E1098" s="8" t="s">
        <v>1054</v>
      </c>
      <c r="F1098" s="8">
        <v>-2.9113114000000002</v>
      </c>
      <c r="G1098" s="8">
        <v>-2.1153008999999998</v>
      </c>
      <c r="H1098" s="6" t="str">
        <f t="shared" si="10"/>
        <v>Direct</v>
      </c>
      <c r="I1098" s="8" t="s">
        <v>1055</v>
      </c>
      <c r="J1098" s="8" t="s">
        <v>1055</v>
      </c>
    </row>
    <row r="1099" spans="1:10" x14ac:dyDescent="0.2">
      <c r="A1099" s="8" t="s">
        <v>56</v>
      </c>
      <c r="B1099" s="8" t="s">
        <v>62</v>
      </c>
      <c r="C1099" s="8" t="s">
        <v>3593</v>
      </c>
      <c r="D1099" s="8" t="s">
        <v>3594</v>
      </c>
      <c r="E1099" s="8" t="s">
        <v>3595</v>
      </c>
      <c r="F1099" s="8">
        <v>-2.7714466</v>
      </c>
      <c r="G1099" s="8">
        <v>-1.3072229</v>
      </c>
      <c r="H1099" s="6" t="str">
        <f t="shared" si="10"/>
        <v>Direct</v>
      </c>
      <c r="I1099" s="8" t="s">
        <v>3596</v>
      </c>
      <c r="J1099" s="8" t="s">
        <v>3596</v>
      </c>
    </row>
    <row r="1100" spans="1:10" x14ac:dyDescent="0.2">
      <c r="A1100" s="8" t="s">
        <v>56</v>
      </c>
      <c r="B1100" s="8" t="s">
        <v>62</v>
      </c>
      <c r="C1100" s="8" t="s">
        <v>3597</v>
      </c>
      <c r="D1100" s="8" t="s">
        <v>3598</v>
      </c>
      <c r="E1100" s="8" t="s">
        <v>3599</v>
      </c>
      <c r="F1100" s="8">
        <v>-1.499468</v>
      </c>
      <c r="G1100" s="8">
        <v>-1.3255026000000001</v>
      </c>
      <c r="H1100" s="6" t="str">
        <f t="shared" si="10"/>
        <v>Direct</v>
      </c>
      <c r="I1100" s="8" t="s">
        <v>3600</v>
      </c>
      <c r="J1100" s="8" t="s">
        <v>3600</v>
      </c>
    </row>
    <row r="1101" spans="1:10" x14ac:dyDescent="0.2">
      <c r="A1101" s="8" t="s">
        <v>56</v>
      </c>
      <c r="B1101" s="8" t="s">
        <v>62</v>
      </c>
      <c r="C1101" s="8" t="s">
        <v>3601</v>
      </c>
      <c r="D1101" s="8" t="s">
        <v>3602</v>
      </c>
      <c r="E1101" s="8" t="s">
        <v>3603</v>
      </c>
      <c r="F1101" s="8">
        <v>3.61432442</v>
      </c>
      <c r="G1101" s="8">
        <v>-1.3837693</v>
      </c>
      <c r="H1101" s="6" t="str">
        <f t="shared" si="10"/>
        <v>Inverse</v>
      </c>
      <c r="I1101" s="8" t="s">
        <v>3604</v>
      </c>
      <c r="J1101" s="8" t="s">
        <v>1931</v>
      </c>
    </row>
    <row r="1102" spans="1:10" x14ac:dyDescent="0.2">
      <c r="A1102" s="8" t="s">
        <v>56</v>
      </c>
      <c r="B1102" s="8" t="s">
        <v>62</v>
      </c>
      <c r="C1102" s="8" t="s">
        <v>3605</v>
      </c>
      <c r="D1102" s="8" t="s">
        <v>3606</v>
      </c>
      <c r="E1102" s="8" t="s">
        <v>3607</v>
      </c>
      <c r="F1102" s="8">
        <v>4.8820755599999996</v>
      </c>
      <c r="G1102" s="8">
        <v>-1.0060119999999999</v>
      </c>
      <c r="H1102" s="6" t="str">
        <f t="shared" si="10"/>
        <v>Inverse</v>
      </c>
      <c r="I1102" s="8" t="s">
        <v>3608</v>
      </c>
      <c r="J1102" s="8" t="s">
        <v>3608</v>
      </c>
    </row>
    <row r="1103" spans="1:10" x14ac:dyDescent="0.2">
      <c r="A1103" s="8" t="s">
        <v>56</v>
      </c>
      <c r="B1103" s="8" t="s">
        <v>62</v>
      </c>
      <c r="C1103" s="8" t="s">
        <v>3609</v>
      </c>
      <c r="D1103" s="8" t="s">
        <v>3610</v>
      </c>
      <c r="E1103" s="8" t="s">
        <v>3611</v>
      </c>
      <c r="F1103" s="8">
        <v>-1.1854944000000001</v>
      </c>
      <c r="G1103" s="8">
        <v>-1.2273053</v>
      </c>
      <c r="H1103" s="6" t="str">
        <f t="shared" si="10"/>
        <v>Direct</v>
      </c>
      <c r="I1103" s="8" t="s">
        <v>3612</v>
      </c>
      <c r="J1103" s="8" t="s">
        <v>3612</v>
      </c>
    </row>
    <row r="1104" spans="1:10" x14ac:dyDescent="0.2">
      <c r="A1104" s="8" t="s">
        <v>56</v>
      </c>
      <c r="B1104" s="8" t="s">
        <v>62</v>
      </c>
      <c r="C1104" s="8" t="s">
        <v>3613</v>
      </c>
      <c r="D1104" s="8" t="s">
        <v>3614</v>
      </c>
      <c r="E1104" s="8" t="s">
        <v>3615</v>
      </c>
      <c r="F1104" s="8">
        <v>-6.8248956999999999</v>
      </c>
      <c r="G1104" s="8">
        <v>-1.4462813000000001</v>
      </c>
      <c r="H1104" s="6" t="str">
        <f t="shared" si="10"/>
        <v>Direct</v>
      </c>
      <c r="I1104" s="8" t="s">
        <v>3616</v>
      </c>
      <c r="J1104" s="8" t="s">
        <v>3616</v>
      </c>
    </row>
    <row r="1105" spans="1:10" x14ac:dyDescent="0.2">
      <c r="A1105" s="8" t="s">
        <v>56</v>
      </c>
      <c r="B1105" s="8" t="s">
        <v>62</v>
      </c>
      <c r="C1105" s="8" t="s">
        <v>3617</v>
      </c>
      <c r="D1105" s="8" t="s">
        <v>3618</v>
      </c>
      <c r="E1105" s="8" t="s">
        <v>3619</v>
      </c>
      <c r="F1105" s="8">
        <v>-1.1222534</v>
      </c>
      <c r="G1105" s="8">
        <v>1.0780797099999999</v>
      </c>
      <c r="H1105" s="6" t="str">
        <f t="shared" si="10"/>
        <v>Inverse</v>
      </c>
      <c r="I1105" s="8" t="s">
        <v>3620</v>
      </c>
      <c r="J1105" s="8" t="s">
        <v>3620</v>
      </c>
    </row>
    <row r="1106" spans="1:10" x14ac:dyDescent="0.2">
      <c r="A1106" s="8" t="s">
        <v>56</v>
      </c>
      <c r="B1106" s="8" t="s">
        <v>62</v>
      </c>
      <c r="C1106" s="8" t="s">
        <v>3621</v>
      </c>
      <c r="D1106" s="8" t="s">
        <v>3622</v>
      </c>
      <c r="E1106" s="8" t="s">
        <v>3623</v>
      </c>
      <c r="F1106" s="8">
        <v>-7.1628439000000004</v>
      </c>
      <c r="G1106" s="8">
        <v>-2.8462961999999998</v>
      </c>
      <c r="H1106" s="6" t="str">
        <f t="shared" si="10"/>
        <v>Direct</v>
      </c>
      <c r="I1106" s="8" t="s">
        <v>3624</v>
      </c>
      <c r="J1106" s="8" t="s">
        <v>3624</v>
      </c>
    </row>
    <row r="1107" spans="1:10" x14ac:dyDescent="0.2">
      <c r="A1107" s="8" t="s">
        <v>56</v>
      </c>
      <c r="B1107" s="8" t="s">
        <v>62</v>
      </c>
      <c r="C1107" s="8" t="s">
        <v>3625</v>
      </c>
      <c r="D1107" s="8" t="s">
        <v>3626</v>
      </c>
      <c r="E1107" s="8" t="s">
        <v>3627</v>
      </c>
      <c r="F1107" s="8">
        <v>1.02648563</v>
      </c>
      <c r="G1107" s="8">
        <v>-2.084203</v>
      </c>
      <c r="H1107" s="6" t="str">
        <f t="shared" si="10"/>
        <v>Inverse</v>
      </c>
      <c r="I1107" s="8" t="s">
        <v>3628</v>
      </c>
      <c r="J1107" s="8" t="s">
        <v>3628</v>
      </c>
    </row>
    <row r="1108" spans="1:10" x14ac:dyDescent="0.2">
      <c r="A1108" s="8" t="s">
        <v>56</v>
      </c>
      <c r="B1108" s="8" t="s">
        <v>62</v>
      </c>
      <c r="C1108" s="8" t="s">
        <v>3629</v>
      </c>
      <c r="D1108" s="8" t="s">
        <v>3630</v>
      </c>
      <c r="E1108" s="8" t="s">
        <v>3631</v>
      </c>
      <c r="F1108" s="8">
        <v>-1.3838727</v>
      </c>
      <c r="G1108" s="8">
        <v>-2.5737443</v>
      </c>
      <c r="H1108" s="6" t="str">
        <f t="shared" si="10"/>
        <v>Direct</v>
      </c>
      <c r="I1108" s="8" t="s">
        <v>3632</v>
      </c>
      <c r="J1108" s="8" t="s">
        <v>3632</v>
      </c>
    </row>
    <row r="1109" spans="1:10" x14ac:dyDescent="0.2">
      <c r="A1109" s="8" t="s">
        <v>56</v>
      </c>
      <c r="B1109" s="8" t="s">
        <v>62</v>
      </c>
      <c r="C1109" s="8" t="s">
        <v>3633</v>
      </c>
      <c r="D1109" s="8" t="s">
        <v>3634</v>
      </c>
      <c r="E1109" s="8" t="s">
        <v>3635</v>
      </c>
      <c r="F1109" s="8">
        <v>1.9237023600000001</v>
      </c>
      <c r="G1109" s="8">
        <v>1.0103643600000001</v>
      </c>
      <c r="H1109" s="6" t="str">
        <f t="shared" si="10"/>
        <v>Direct</v>
      </c>
      <c r="I1109" s="8" t="s">
        <v>1567</v>
      </c>
      <c r="J1109" s="8" t="s">
        <v>1567</v>
      </c>
    </row>
    <row r="1110" spans="1:10" x14ac:dyDescent="0.2">
      <c r="A1110" s="8" t="s">
        <v>56</v>
      </c>
      <c r="B1110" s="8" t="s">
        <v>62</v>
      </c>
      <c r="C1110" s="8" t="s">
        <v>3636</v>
      </c>
      <c r="D1110" s="8" t="s">
        <v>3637</v>
      </c>
      <c r="E1110" s="8" t="s">
        <v>3638</v>
      </c>
      <c r="F1110" s="8">
        <v>-1.0404374000000001</v>
      </c>
      <c r="G1110" s="8">
        <v>-4.7577407000000003</v>
      </c>
      <c r="H1110" s="6" t="str">
        <f t="shared" si="10"/>
        <v>Direct</v>
      </c>
      <c r="I1110" s="8" t="s">
        <v>3639</v>
      </c>
      <c r="J1110" s="8" t="s">
        <v>3640</v>
      </c>
    </row>
    <row r="1111" spans="1:10" x14ac:dyDescent="0.2">
      <c r="A1111" s="8" t="s">
        <v>56</v>
      </c>
      <c r="B1111" s="8" t="s">
        <v>62</v>
      </c>
      <c r="C1111" s="8" t="s">
        <v>3641</v>
      </c>
      <c r="D1111" s="8" t="s">
        <v>3642</v>
      </c>
      <c r="E1111" s="8" t="s">
        <v>3643</v>
      </c>
      <c r="F1111" s="8">
        <v>-3.0578070999999998</v>
      </c>
      <c r="G1111" s="8">
        <v>-1.0880909000000001</v>
      </c>
      <c r="H1111" s="6" t="str">
        <f t="shared" si="10"/>
        <v>Direct</v>
      </c>
      <c r="I1111" s="8" t="s">
        <v>914</v>
      </c>
      <c r="J1111" s="8" t="s">
        <v>914</v>
      </c>
    </row>
    <row r="1112" spans="1:10" x14ac:dyDescent="0.2">
      <c r="A1112" s="8" t="s">
        <v>56</v>
      </c>
      <c r="B1112" s="8" t="s">
        <v>62</v>
      </c>
      <c r="C1112" s="8" t="s">
        <v>3644</v>
      </c>
      <c r="D1112" s="8" t="s">
        <v>3645</v>
      </c>
      <c r="E1112" s="8" t="s">
        <v>3646</v>
      </c>
      <c r="F1112" s="8">
        <v>-3.5422275000000001</v>
      </c>
      <c r="G1112" s="8">
        <v>-2.6613831000000001</v>
      </c>
      <c r="H1112" s="6" t="str">
        <f t="shared" si="10"/>
        <v>Direct</v>
      </c>
      <c r="I1112" s="8" t="s">
        <v>3647</v>
      </c>
      <c r="J1112" s="8" t="s">
        <v>3648</v>
      </c>
    </row>
    <row r="1113" spans="1:10" x14ac:dyDescent="0.2">
      <c r="A1113" s="8" t="s">
        <v>56</v>
      </c>
      <c r="B1113" s="8" t="s">
        <v>62</v>
      </c>
      <c r="C1113" s="8" t="s">
        <v>3649</v>
      </c>
      <c r="D1113" s="8" t="s">
        <v>3650</v>
      </c>
      <c r="E1113" s="8" t="s">
        <v>3651</v>
      </c>
      <c r="F1113" s="8">
        <v>2.4641607699999999</v>
      </c>
      <c r="G1113" s="8">
        <v>-3.0574718999999999</v>
      </c>
      <c r="H1113" s="6" t="str">
        <f t="shared" si="10"/>
        <v>Inverse</v>
      </c>
      <c r="I1113" s="8" t="s">
        <v>3652</v>
      </c>
      <c r="J1113" s="8" t="s">
        <v>3652</v>
      </c>
    </row>
    <row r="1114" spans="1:10" x14ac:dyDescent="0.2">
      <c r="A1114" s="8" t="s">
        <v>56</v>
      </c>
      <c r="B1114" s="8" t="s">
        <v>62</v>
      </c>
      <c r="C1114" s="8" t="s">
        <v>2312</v>
      </c>
      <c r="D1114" s="8" t="s">
        <v>2313</v>
      </c>
      <c r="E1114" s="8" t="s">
        <v>2314</v>
      </c>
      <c r="F1114" s="8">
        <v>-1.1640630000000001</v>
      </c>
      <c r="G1114" s="8">
        <v>-1.7031286000000001</v>
      </c>
      <c r="H1114" s="6" t="str">
        <f t="shared" si="10"/>
        <v>Direct</v>
      </c>
      <c r="I1114" s="8" t="s">
        <v>2315</v>
      </c>
      <c r="J1114" s="8" t="s">
        <v>2315</v>
      </c>
    </row>
    <row r="1115" spans="1:10" x14ac:dyDescent="0.2">
      <c r="A1115" s="8" t="s">
        <v>56</v>
      </c>
      <c r="B1115" s="8" t="s">
        <v>62</v>
      </c>
      <c r="C1115" s="8" t="s">
        <v>3653</v>
      </c>
      <c r="D1115" s="8" t="s">
        <v>3654</v>
      </c>
      <c r="E1115" s="8" t="s">
        <v>3655</v>
      </c>
      <c r="F1115" s="8">
        <v>1.1337734699999999</v>
      </c>
      <c r="G1115" s="8">
        <v>-2.6296986000000002</v>
      </c>
      <c r="H1115" s="6" t="str">
        <f t="shared" si="10"/>
        <v>Inverse</v>
      </c>
      <c r="I1115" s="8" t="s">
        <v>3656</v>
      </c>
      <c r="J1115" s="8" t="s">
        <v>3656</v>
      </c>
    </row>
    <row r="1116" spans="1:10" x14ac:dyDescent="0.2">
      <c r="A1116" s="8" t="s">
        <v>56</v>
      </c>
      <c r="B1116" s="8" t="s">
        <v>62</v>
      </c>
      <c r="C1116" s="8" t="s">
        <v>3657</v>
      </c>
      <c r="D1116" s="8" t="s">
        <v>3658</v>
      </c>
      <c r="E1116" s="8" t="s">
        <v>3659</v>
      </c>
      <c r="F1116" s="8">
        <v>1.0829940499999999</v>
      </c>
      <c r="G1116" s="8">
        <v>1.73490853</v>
      </c>
      <c r="H1116" s="6" t="str">
        <f t="shared" si="10"/>
        <v>Direct</v>
      </c>
      <c r="I1116" s="8" t="s">
        <v>3660</v>
      </c>
      <c r="J1116" s="8" t="s">
        <v>3660</v>
      </c>
    </row>
    <row r="1117" spans="1:10" x14ac:dyDescent="0.2">
      <c r="A1117" s="8" t="s">
        <v>56</v>
      </c>
      <c r="B1117" s="8" t="s">
        <v>62</v>
      </c>
      <c r="C1117" s="8" t="s">
        <v>3661</v>
      </c>
      <c r="D1117" s="8" t="s">
        <v>3662</v>
      </c>
      <c r="E1117" s="8" t="s">
        <v>3663</v>
      </c>
      <c r="F1117" s="8">
        <v>1.4355392</v>
      </c>
      <c r="G1117" s="8">
        <v>-2.7562072999999998</v>
      </c>
      <c r="H1117" s="6" t="str">
        <f t="shared" si="10"/>
        <v>Inverse</v>
      </c>
      <c r="I1117" s="8" t="s">
        <v>3664</v>
      </c>
      <c r="J1117" s="8" t="s">
        <v>3664</v>
      </c>
    </row>
    <row r="1118" spans="1:10" x14ac:dyDescent="0.2">
      <c r="A1118" s="8" t="s">
        <v>56</v>
      </c>
      <c r="B1118" s="8" t="s">
        <v>62</v>
      </c>
      <c r="C1118" s="8" t="s">
        <v>3665</v>
      </c>
      <c r="D1118" s="8" t="s">
        <v>3666</v>
      </c>
      <c r="E1118" s="8" t="s">
        <v>3667</v>
      </c>
      <c r="F1118" s="8">
        <v>-1.7554126999999999</v>
      </c>
      <c r="G1118" s="8">
        <v>-1.1029237000000001</v>
      </c>
      <c r="H1118" s="6" t="str">
        <f t="shared" si="10"/>
        <v>Direct</v>
      </c>
      <c r="I1118" s="8" t="s">
        <v>3668</v>
      </c>
      <c r="J1118" s="8" t="s">
        <v>3668</v>
      </c>
    </row>
    <row r="1119" spans="1:10" x14ac:dyDescent="0.2">
      <c r="A1119" s="8" t="s">
        <v>56</v>
      </c>
      <c r="B1119" s="8" t="s">
        <v>62</v>
      </c>
      <c r="C1119" s="8" t="s">
        <v>2320</v>
      </c>
      <c r="D1119" s="8" t="s">
        <v>2321</v>
      </c>
      <c r="E1119" s="8" t="s">
        <v>2322</v>
      </c>
      <c r="F1119" s="8">
        <v>1.4145527600000001</v>
      </c>
      <c r="G1119" s="8">
        <v>1.4573022</v>
      </c>
      <c r="H1119" s="6" t="str">
        <f t="shared" si="10"/>
        <v>Direct</v>
      </c>
      <c r="I1119" s="8" t="s">
        <v>2323</v>
      </c>
      <c r="J1119" s="8" t="s">
        <v>2323</v>
      </c>
    </row>
    <row r="1120" spans="1:10" x14ac:dyDescent="0.2">
      <c r="A1120" s="8" t="s">
        <v>56</v>
      </c>
      <c r="B1120" s="8" t="s">
        <v>62</v>
      </c>
      <c r="C1120" s="8" t="s">
        <v>3669</v>
      </c>
      <c r="D1120" s="8" t="s">
        <v>3670</v>
      </c>
      <c r="E1120" s="8" t="s">
        <v>3671</v>
      </c>
      <c r="F1120" s="8">
        <v>3.1649367399999999</v>
      </c>
      <c r="G1120" s="8">
        <v>2.3012336800000002</v>
      </c>
      <c r="H1120" s="6" t="str">
        <f t="shared" si="10"/>
        <v>Direct</v>
      </c>
      <c r="I1120" s="8" t="s">
        <v>50</v>
      </c>
      <c r="J1120" s="8" t="s">
        <v>288</v>
      </c>
    </row>
    <row r="1121" spans="1:10" x14ac:dyDescent="0.2">
      <c r="A1121" s="8" t="s">
        <v>56</v>
      </c>
      <c r="B1121" s="8" t="s">
        <v>62</v>
      </c>
      <c r="C1121" s="8" t="s">
        <v>3672</v>
      </c>
      <c r="D1121" s="8" t="s">
        <v>3673</v>
      </c>
      <c r="E1121" s="8" t="s">
        <v>3674</v>
      </c>
      <c r="F1121" s="8">
        <v>-11.622976</v>
      </c>
      <c r="G1121" s="8">
        <v>-1.3545693999999999</v>
      </c>
      <c r="H1121" s="6" t="str">
        <f t="shared" si="10"/>
        <v>Direct</v>
      </c>
      <c r="I1121" s="8" t="s">
        <v>3675</v>
      </c>
      <c r="J1121" s="8" t="s">
        <v>3675</v>
      </c>
    </row>
    <row r="1122" spans="1:10" x14ac:dyDescent="0.2">
      <c r="A1122" s="8" t="s">
        <v>56</v>
      </c>
      <c r="B1122" s="8" t="s">
        <v>62</v>
      </c>
      <c r="C1122" s="8" t="s">
        <v>3676</v>
      </c>
      <c r="D1122" s="8" t="s">
        <v>3677</v>
      </c>
      <c r="E1122" s="8" t="s">
        <v>3678</v>
      </c>
      <c r="F1122" s="8">
        <v>-1.3368711</v>
      </c>
      <c r="G1122" s="8">
        <v>-3.3738199999999998</v>
      </c>
      <c r="H1122" s="6" t="str">
        <f t="shared" si="10"/>
        <v>Direct</v>
      </c>
      <c r="I1122" s="8" t="s">
        <v>3679</v>
      </c>
      <c r="J1122" s="8" t="s">
        <v>3679</v>
      </c>
    </row>
    <row r="1123" spans="1:10" x14ac:dyDescent="0.2">
      <c r="A1123" s="8" t="s">
        <v>56</v>
      </c>
      <c r="B1123" s="8" t="s">
        <v>62</v>
      </c>
      <c r="C1123" s="8" t="s">
        <v>2324</v>
      </c>
      <c r="D1123" s="8" t="s">
        <v>2325</v>
      </c>
      <c r="E1123" s="8" t="s">
        <v>2326</v>
      </c>
      <c r="F1123" s="8">
        <v>-3.2323566000000001</v>
      </c>
      <c r="G1123" s="8">
        <v>-2.6861834</v>
      </c>
      <c r="H1123" s="6" t="str">
        <f t="shared" si="10"/>
        <v>Direct</v>
      </c>
      <c r="I1123" s="8" t="s">
        <v>1572</v>
      </c>
      <c r="J1123" s="8" t="s">
        <v>1572</v>
      </c>
    </row>
    <row r="1124" spans="1:10" x14ac:dyDescent="0.2">
      <c r="A1124" s="8" t="s">
        <v>56</v>
      </c>
      <c r="B1124" s="8" t="s">
        <v>62</v>
      </c>
      <c r="C1124" s="8" t="s">
        <v>1468</v>
      </c>
      <c r="D1124" s="8" t="s">
        <v>1469</v>
      </c>
      <c r="E1124" s="8" t="s">
        <v>1470</v>
      </c>
      <c r="F1124" s="8">
        <v>1.1369315</v>
      </c>
      <c r="G1124" s="8">
        <v>1.7254323899999999</v>
      </c>
      <c r="H1124" s="6" t="str">
        <f t="shared" si="10"/>
        <v>Direct</v>
      </c>
      <c r="I1124" s="8" t="s">
        <v>1471</v>
      </c>
      <c r="J1124" s="8" t="s">
        <v>1471</v>
      </c>
    </row>
    <row r="1125" spans="1:10" x14ac:dyDescent="0.2">
      <c r="A1125" s="8" t="s">
        <v>56</v>
      </c>
      <c r="B1125" s="8" t="s">
        <v>62</v>
      </c>
      <c r="C1125" s="8" t="s">
        <v>3680</v>
      </c>
      <c r="D1125" s="8" t="s">
        <v>3681</v>
      </c>
      <c r="E1125" s="8" t="s">
        <v>3682</v>
      </c>
      <c r="F1125" s="8">
        <v>-1.2695367</v>
      </c>
      <c r="G1125" s="8">
        <v>-1.5601261</v>
      </c>
      <c r="H1125" s="6" t="str">
        <f t="shared" si="10"/>
        <v>Direct</v>
      </c>
      <c r="I1125" s="8" t="s">
        <v>3683</v>
      </c>
      <c r="J1125" s="8" t="s">
        <v>3683</v>
      </c>
    </row>
    <row r="1126" spans="1:10" x14ac:dyDescent="0.2">
      <c r="A1126" s="8" t="s">
        <v>56</v>
      </c>
      <c r="B1126" s="8" t="s">
        <v>62</v>
      </c>
      <c r="C1126" s="8" t="s">
        <v>3684</v>
      </c>
      <c r="D1126" s="8" t="s">
        <v>3685</v>
      </c>
      <c r="E1126" s="8" t="s">
        <v>3686</v>
      </c>
      <c r="F1126" s="8">
        <v>-4.5270807</v>
      </c>
      <c r="G1126" s="8">
        <v>-1.4316974</v>
      </c>
      <c r="H1126" s="6" t="str">
        <f t="shared" si="10"/>
        <v>Direct</v>
      </c>
      <c r="I1126" s="8" t="s">
        <v>3687</v>
      </c>
      <c r="J1126" s="8" t="s">
        <v>3687</v>
      </c>
    </row>
    <row r="1127" spans="1:10" x14ac:dyDescent="0.2">
      <c r="A1127" s="8" t="s">
        <v>56</v>
      </c>
      <c r="B1127" s="8" t="s">
        <v>62</v>
      </c>
      <c r="C1127" s="8" t="s">
        <v>3688</v>
      </c>
      <c r="D1127" s="8" t="s">
        <v>3689</v>
      </c>
      <c r="E1127" s="8" t="s">
        <v>3690</v>
      </c>
      <c r="F1127" s="8">
        <v>1.8550835299999999</v>
      </c>
      <c r="G1127" s="8">
        <v>2.3931532299999998</v>
      </c>
      <c r="H1127" s="6" t="str">
        <f t="shared" si="10"/>
        <v>Direct</v>
      </c>
      <c r="I1127" s="8" t="s">
        <v>3691</v>
      </c>
      <c r="J1127" s="8" t="s">
        <v>3691</v>
      </c>
    </row>
    <row r="1128" spans="1:10" x14ac:dyDescent="0.2">
      <c r="A1128" s="8" t="s">
        <v>56</v>
      </c>
      <c r="B1128" s="8" t="s">
        <v>62</v>
      </c>
      <c r="C1128" s="8" t="s">
        <v>2330</v>
      </c>
      <c r="D1128" s="8" t="s">
        <v>2331</v>
      </c>
      <c r="E1128" s="8" t="s">
        <v>2332</v>
      </c>
      <c r="F1128" s="8">
        <v>-9.1567939999999997</v>
      </c>
      <c r="G1128" s="8">
        <v>-4.7285503999999996</v>
      </c>
      <c r="H1128" s="6" t="str">
        <f t="shared" si="10"/>
        <v>Direct</v>
      </c>
      <c r="I1128" s="8" t="s">
        <v>2333</v>
      </c>
      <c r="J1128" s="8" t="s">
        <v>2333</v>
      </c>
    </row>
    <row r="1129" spans="1:10" x14ac:dyDescent="0.2">
      <c r="A1129" s="8" t="s">
        <v>56</v>
      </c>
      <c r="B1129" s="8" t="s">
        <v>62</v>
      </c>
      <c r="C1129" s="8" t="s">
        <v>3692</v>
      </c>
      <c r="D1129" s="8" t="s">
        <v>3693</v>
      </c>
      <c r="E1129" s="8" t="s">
        <v>3694</v>
      </c>
      <c r="F1129" s="8">
        <v>-12.991402000000001</v>
      </c>
      <c r="G1129" s="8">
        <v>-1.7045140000000001</v>
      </c>
      <c r="H1129" s="6" t="str">
        <f t="shared" si="10"/>
        <v>Direct</v>
      </c>
      <c r="I1129" s="8" t="s">
        <v>3695</v>
      </c>
      <c r="J1129" s="8" t="s">
        <v>3695</v>
      </c>
    </row>
    <row r="1130" spans="1:10" x14ac:dyDescent="0.2">
      <c r="A1130" s="8" t="s">
        <v>56</v>
      </c>
      <c r="B1130" s="8" t="s">
        <v>62</v>
      </c>
      <c r="C1130" s="8" t="s">
        <v>3696</v>
      </c>
      <c r="D1130" s="8" t="s">
        <v>3697</v>
      </c>
      <c r="E1130" s="8" t="s">
        <v>3698</v>
      </c>
      <c r="F1130" s="8">
        <v>-31.272881000000002</v>
      </c>
      <c r="G1130" s="8">
        <v>-2.8882656999999998</v>
      </c>
      <c r="H1130" s="6" t="str">
        <f t="shared" si="10"/>
        <v>Direct</v>
      </c>
      <c r="I1130" s="8" t="s">
        <v>55</v>
      </c>
      <c r="J1130" s="8" t="s">
        <v>55</v>
      </c>
    </row>
    <row r="1131" spans="1:10" x14ac:dyDescent="0.2">
      <c r="A1131" s="8" t="s">
        <v>56</v>
      </c>
      <c r="B1131" s="8" t="s">
        <v>62</v>
      </c>
      <c r="C1131" s="8" t="s">
        <v>3699</v>
      </c>
      <c r="D1131" s="8" t="s">
        <v>3700</v>
      </c>
      <c r="E1131" s="8" t="s">
        <v>3701</v>
      </c>
      <c r="F1131" s="8">
        <v>-3.2576269999999998</v>
      </c>
      <c r="G1131" s="8">
        <v>-2.2945454000000001</v>
      </c>
      <c r="H1131" s="6" t="str">
        <f t="shared" si="10"/>
        <v>Direct</v>
      </c>
      <c r="I1131" s="8" t="s">
        <v>1413</v>
      </c>
      <c r="J1131" s="8" t="s">
        <v>1413</v>
      </c>
    </row>
    <row r="1132" spans="1:10" x14ac:dyDescent="0.2">
      <c r="A1132" s="8" t="s">
        <v>56</v>
      </c>
      <c r="B1132" s="8" t="s">
        <v>62</v>
      </c>
      <c r="C1132" s="8" t="s">
        <v>3702</v>
      </c>
      <c r="D1132" s="8" t="s">
        <v>3703</v>
      </c>
      <c r="E1132" s="8" t="s">
        <v>3704</v>
      </c>
      <c r="F1132" s="8">
        <v>3.6991172799999998</v>
      </c>
      <c r="G1132" s="8">
        <v>2.9431840500000002</v>
      </c>
      <c r="H1132" s="6" t="str">
        <f t="shared" si="10"/>
        <v>Direct</v>
      </c>
      <c r="I1132" s="8" t="s">
        <v>3705</v>
      </c>
      <c r="J1132" s="8" t="s">
        <v>3705</v>
      </c>
    </row>
    <row r="1133" spans="1:10" x14ac:dyDescent="0.2">
      <c r="A1133" s="8" t="s">
        <v>56</v>
      </c>
      <c r="B1133" s="8" t="s">
        <v>62</v>
      </c>
      <c r="C1133" s="8" t="s">
        <v>3706</v>
      </c>
      <c r="D1133" s="8" t="s">
        <v>3707</v>
      </c>
      <c r="E1133" s="8" t="s">
        <v>3708</v>
      </c>
      <c r="F1133" s="8">
        <v>-2.2416361</v>
      </c>
      <c r="G1133" s="8">
        <v>-1.2369539000000001</v>
      </c>
      <c r="H1133" s="6" t="str">
        <f t="shared" si="10"/>
        <v>Direct</v>
      </c>
      <c r="I1133" s="8" t="s">
        <v>3709</v>
      </c>
      <c r="J1133" s="8" t="s">
        <v>3709</v>
      </c>
    </row>
    <row r="1134" spans="1:10" x14ac:dyDescent="0.2">
      <c r="A1134" s="8" t="s">
        <v>56</v>
      </c>
      <c r="B1134" s="8" t="s">
        <v>62</v>
      </c>
      <c r="C1134" s="8" t="s">
        <v>2341</v>
      </c>
      <c r="D1134" s="8" t="s">
        <v>2342</v>
      </c>
      <c r="E1134" s="8" t="s">
        <v>2343</v>
      </c>
      <c r="F1134" s="8">
        <v>-3.2062382999999999</v>
      </c>
      <c r="G1134" s="8">
        <v>-11.895059</v>
      </c>
      <c r="H1134" s="6" t="str">
        <f t="shared" si="10"/>
        <v>Direct</v>
      </c>
      <c r="I1134" s="8" t="s">
        <v>2344</v>
      </c>
      <c r="J1134" s="8" t="s">
        <v>2344</v>
      </c>
    </row>
    <row r="1135" spans="1:10" x14ac:dyDescent="0.2">
      <c r="A1135" s="8" t="s">
        <v>56</v>
      </c>
      <c r="B1135" s="8" t="s">
        <v>62</v>
      </c>
      <c r="C1135" s="8" t="s">
        <v>3710</v>
      </c>
      <c r="D1135" s="8" t="s">
        <v>3711</v>
      </c>
      <c r="E1135" s="8" t="s">
        <v>3712</v>
      </c>
      <c r="F1135" s="8">
        <v>-11.021105</v>
      </c>
      <c r="G1135" s="8">
        <v>-1.5709008</v>
      </c>
      <c r="H1135" s="6" t="str">
        <f t="shared" si="10"/>
        <v>Direct</v>
      </c>
      <c r="I1135" s="8" t="s">
        <v>3713</v>
      </c>
      <c r="J1135" s="8" t="s">
        <v>3713</v>
      </c>
    </row>
    <row r="1136" spans="1:10" x14ac:dyDescent="0.2">
      <c r="A1136" s="8" t="s">
        <v>56</v>
      </c>
      <c r="B1136" s="8" t="s">
        <v>62</v>
      </c>
      <c r="C1136" s="8" t="s">
        <v>3714</v>
      </c>
      <c r="D1136" s="8" t="s">
        <v>3715</v>
      </c>
      <c r="E1136" s="8" t="s">
        <v>3716</v>
      </c>
      <c r="F1136" s="8">
        <v>-1.1724299</v>
      </c>
      <c r="G1136" s="8">
        <v>-2.1237290999999998</v>
      </c>
      <c r="H1136" s="6" t="str">
        <f t="shared" si="10"/>
        <v>Direct</v>
      </c>
      <c r="I1136" s="8" t="s">
        <v>2193</v>
      </c>
      <c r="J1136" s="8" t="s">
        <v>2193</v>
      </c>
    </row>
    <row r="1137" spans="1:10" x14ac:dyDescent="0.2">
      <c r="A1137" s="8" t="s">
        <v>56</v>
      </c>
      <c r="B1137" s="8" t="s">
        <v>62</v>
      </c>
      <c r="C1137" s="8" t="s">
        <v>3717</v>
      </c>
      <c r="D1137" s="8" t="s">
        <v>3718</v>
      </c>
      <c r="E1137" s="8" t="s">
        <v>3719</v>
      </c>
      <c r="F1137" s="8">
        <v>-1.3927852000000001</v>
      </c>
      <c r="G1137" s="8">
        <v>1.0356344200000001</v>
      </c>
      <c r="H1137" s="6" t="str">
        <f t="shared" si="10"/>
        <v>Inverse</v>
      </c>
      <c r="I1137" s="8" t="s">
        <v>3720</v>
      </c>
      <c r="J1137" s="8" t="s">
        <v>3720</v>
      </c>
    </row>
    <row r="1138" spans="1:10" x14ac:dyDescent="0.2">
      <c r="A1138" s="8" t="s">
        <v>56</v>
      </c>
      <c r="B1138" s="8" t="s">
        <v>62</v>
      </c>
      <c r="C1138" s="8" t="s">
        <v>3721</v>
      </c>
      <c r="D1138" s="8" t="s">
        <v>3722</v>
      </c>
      <c r="E1138" s="8" t="s">
        <v>3723</v>
      </c>
      <c r="F1138" s="8">
        <v>-1.1855134000000001</v>
      </c>
      <c r="G1138" s="8">
        <v>-3.3101319999999999</v>
      </c>
      <c r="H1138" s="6" t="str">
        <f t="shared" si="10"/>
        <v>Direct</v>
      </c>
      <c r="I1138" s="8" t="s">
        <v>3724</v>
      </c>
      <c r="J1138" s="8" t="s">
        <v>3724</v>
      </c>
    </row>
    <row r="1139" spans="1:10" x14ac:dyDescent="0.2">
      <c r="A1139" s="8" t="s">
        <v>56</v>
      </c>
      <c r="B1139" s="8" t="s">
        <v>62</v>
      </c>
      <c r="C1139" s="8" t="s">
        <v>3725</v>
      </c>
      <c r="D1139" s="8" t="s">
        <v>3726</v>
      </c>
      <c r="E1139" s="8" t="s">
        <v>3727</v>
      </c>
      <c r="F1139" s="8">
        <v>-20.561951000000001</v>
      </c>
      <c r="G1139" s="8">
        <v>-2.9691765000000001</v>
      </c>
      <c r="H1139" s="6" t="str">
        <f t="shared" si="10"/>
        <v>Direct</v>
      </c>
      <c r="I1139" s="8" t="s">
        <v>116</v>
      </c>
      <c r="J1139" s="8" t="s">
        <v>116</v>
      </c>
    </row>
    <row r="1140" spans="1:10" x14ac:dyDescent="0.2">
      <c r="A1140" s="8" t="s">
        <v>56</v>
      </c>
      <c r="B1140" s="8" t="s">
        <v>62</v>
      </c>
      <c r="C1140" s="8" t="s">
        <v>2349</v>
      </c>
      <c r="D1140" s="8" t="s">
        <v>2350</v>
      </c>
      <c r="E1140" s="8" t="s">
        <v>2351</v>
      </c>
      <c r="F1140" s="8">
        <v>6.5578078</v>
      </c>
      <c r="G1140" s="8">
        <v>2.71102848</v>
      </c>
      <c r="H1140" s="6" t="str">
        <f t="shared" si="10"/>
        <v>Direct</v>
      </c>
      <c r="I1140" s="8" t="s">
        <v>2352</v>
      </c>
      <c r="J1140" s="8" t="s">
        <v>2352</v>
      </c>
    </row>
    <row r="1141" spans="1:10" x14ac:dyDescent="0.2">
      <c r="A1141" s="8" t="s">
        <v>56</v>
      </c>
      <c r="B1141" s="8" t="s">
        <v>62</v>
      </c>
      <c r="C1141" s="8" t="s">
        <v>3728</v>
      </c>
      <c r="D1141" s="8" t="s">
        <v>3729</v>
      </c>
      <c r="E1141" s="8" t="s">
        <v>3730</v>
      </c>
      <c r="F1141" s="8">
        <v>-1.5070462</v>
      </c>
      <c r="G1141" s="8">
        <v>-2.8067848999999998</v>
      </c>
      <c r="H1141" s="6" t="str">
        <f t="shared" si="10"/>
        <v>Direct</v>
      </c>
      <c r="I1141" s="8" t="s">
        <v>3149</v>
      </c>
      <c r="J1141" s="8" t="s">
        <v>3149</v>
      </c>
    </row>
    <row r="1142" spans="1:10" x14ac:dyDescent="0.2">
      <c r="A1142" s="8" t="s">
        <v>56</v>
      </c>
      <c r="B1142" s="8" t="s">
        <v>62</v>
      </c>
      <c r="C1142" s="8" t="s">
        <v>3731</v>
      </c>
      <c r="D1142" s="8" t="s">
        <v>3732</v>
      </c>
      <c r="E1142" s="8" t="s">
        <v>3733</v>
      </c>
      <c r="F1142" s="8">
        <v>-1.4164543999999999</v>
      </c>
      <c r="G1142" s="8">
        <v>-1.3013007999999999</v>
      </c>
      <c r="H1142" s="6" t="str">
        <f t="shared" si="10"/>
        <v>Direct</v>
      </c>
      <c r="I1142" s="8" t="s">
        <v>3734</v>
      </c>
      <c r="J1142" s="8" t="s">
        <v>3734</v>
      </c>
    </row>
    <row r="1143" spans="1:10" x14ac:dyDescent="0.2">
      <c r="A1143" s="8" t="s">
        <v>56</v>
      </c>
      <c r="B1143" s="8" t="s">
        <v>62</v>
      </c>
      <c r="C1143" s="8" t="s">
        <v>3735</v>
      </c>
      <c r="D1143" s="8" t="s">
        <v>3736</v>
      </c>
      <c r="E1143" s="8" t="s">
        <v>3737</v>
      </c>
      <c r="F1143" s="8">
        <v>9.0663852699999996</v>
      </c>
      <c r="G1143" s="8">
        <v>2.7260641200000002</v>
      </c>
      <c r="H1143" s="6" t="str">
        <f t="shared" si="10"/>
        <v>Direct</v>
      </c>
      <c r="I1143" s="8" t="s">
        <v>50</v>
      </c>
      <c r="J1143" s="8" t="s">
        <v>918</v>
      </c>
    </row>
    <row r="1144" spans="1:10" x14ac:dyDescent="0.2">
      <c r="A1144" s="8" t="s">
        <v>56</v>
      </c>
      <c r="B1144" s="8" t="s">
        <v>62</v>
      </c>
      <c r="C1144" s="8" t="s">
        <v>3738</v>
      </c>
      <c r="D1144" s="8" t="s">
        <v>3739</v>
      </c>
      <c r="E1144" s="8" t="s">
        <v>3740</v>
      </c>
      <c r="F1144" s="8">
        <v>-1.6739568</v>
      </c>
      <c r="G1144" s="8">
        <v>-2.8415349000000001</v>
      </c>
      <c r="H1144" s="6" t="str">
        <f t="shared" si="10"/>
        <v>Direct</v>
      </c>
      <c r="I1144" s="8" t="s">
        <v>3741</v>
      </c>
      <c r="J1144" s="8" t="s">
        <v>3742</v>
      </c>
    </row>
    <row r="1145" spans="1:10" x14ac:dyDescent="0.2">
      <c r="A1145" s="8" t="s">
        <v>56</v>
      </c>
      <c r="B1145" s="8" t="s">
        <v>62</v>
      </c>
      <c r="C1145" s="8" t="s">
        <v>2358</v>
      </c>
      <c r="D1145" s="8" t="s">
        <v>2359</v>
      </c>
      <c r="E1145" s="8" t="s">
        <v>2360</v>
      </c>
      <c r="F1145" s="8">
        <v>-1.0669052000000001</v>
      </c>
      <c r="G1145" s="8">
        <v>-2.2036476</v>
      </c>
      <c r="H1145" s="6" t="str">
        <f t="shared" si="10"/>
        <v>Direct</v>
      </c>
      <c r="I1145" s="8" t="s">
        <v>2361</v>
      </c>
      <c r="J1145" s="8" t="s">
        <v>2361</v>
      </c>
    </row>
    <row r="1146" spans="1:10" x14ac:dyDescent="0.2">
      <c r="A1146" s="8" t="s">
        <v>56</v>
      </c>
      <c r="B1146" s="8" t="s">
        <v>62</v>
      </c>
      <c r="C1146" s="8" t="s">
        <v>2362</v>
      </c>
      <c r="D1146" s="8" t="s">
        <v>2363</v>
      </c>
      <c r="E1146" s="8" t="s">
        <v>2364</v>
      </c>
      <c r="F1146" s="8">
        <v>-6.7695132999999998</v>
      </c>
      <c r="G1146" s="8">
        <v>-10.297991</v>
      </c>
      <c r="H1146" s="6" t="str">
        <f t="shared" si="10"/>
        <v>Direct</v>
      </c>
      <c r="I1146" s="8" t="s">
        <v>2365</v>
      </c>
      <c r="J1146" s="8" t="s">
        <v>2365</v>
      </c>
    </row>
    <row r="1147" spans="1:10" x14ac:dyDescent="0.2">
      <c r="A1147" s="8" t="s">
        <v>56</v>
      </c>
      <c r="B1147" s="8" t="s">
        <v>62</v>
      </c>
      <c r="C1147" s="8" t="s">
        <v>2366</v>
      </c>
      <c r="D1147" s="8" t="s">
        <v>2367</v>
      </c>
      <c r="E1147" s="8" t="s">
        <v>2368</v>
      </c>
      <c r="F1147" s="8">
        <v>-1.0883320000000001</v>
      </c>
      <c r="G1147" s="8">
        <v>-3.4013958999999998</v>
      </c>
      <c r="H1147" s="6" t="str">
        <f t="shared" si="10"/>
        <v>Direct</v>
      </c>
      <c r="I1147" s="8" t="s">
        <v>2369</v>
      </c>
      <c r="J1147" s="8" t="s">
        <v>2369</v>
      </c>
    </row>
    <row r="1148" spans="1:10" x14ac:dyDescent="0.2">
      <c r="A1148" s="8" t="s">
        <v>56</v>
      </c>
      <c r="B1148" s="8" t="s">
        <v>62</v>
      </c>
      <c r="C1148" s="8" t="s">
        <v>2370</v>
      </c>
      <c r="D1148" s="8" t="s">
        <v>2371</v>
      </c>
      <c r="E1148" s="8" t="s">
        <v>2372</v>
      </c>
      <c r="F1148" s="8">
        <v>-4.1864853999999996</v>
      </c>
      <c r="G1148" s="8">
        <v>-3.4278767000000001</v>
      </c>
      <c r="H1148" s="6" t="str">
        <f t="shared" si="10"/>
        <v>Direct</v>
      </c>
      <c r="I1148" s="8" t="s">
        <v>50</v>
      </c>
      <c r="J1148" s="8" t="s">
        <v>2373</v>
      </c>
    </row>
    <row r="1149" spans="1:10" x14ac:dyDescent="0.2">
      <c r="A1149" s="8" t="s">
        <v>56</v>
      </c>
      <c r="B1149" s="8" t="s">
        <v>62</v>
      </c>
      <c r="C1149" s="8" t="s">
        <v>3743</v>
      </c>
      <c r="D1149" s="8" t="s">
        <v>3744</v>
      </c>
      <c r="E1149" s="8" t="s">
        <v>3745</v>
      </c>
      <c r="F1149" s="8">
        <v>-4.9118817000000004</v>
      </c>
      <c r="G1149" s="8">
        <v>-1.8956207</v>
      </c>
      <c r="H1149" s="6" t="str">
        <f t="shared" si="10"/>
        <v>Direct</v>
      </c>
      <c r="I1149" s="8" t="s">
        <v>3746</v>
      </c>
      <c r="J1149" s="8" t="s">
        <v>3746</v>
      </c>
    </row>
    <row r="1150" spans="1:10" x14ac:dyDescent="0.2">
      <c r="A1150" s="8" t="s">
        <v>56</v>
      </c>
      <c r="B1150" s="8" t="s">
        <v>62</v>
      </c>
      <c r="C1150" s="8" t="s">
        <v>3747</v>
      </c>
      <c r="D1150" s="8" t="s">
        <v>3748</v>
      </c>
      <c r="E1150" s="8" t="s">
        <v>3749</v>
      </c>
      <c r="F1150" s="8">
        <v>-3.4933809</v>
      </c>
      <c r="G1150" s="8">
        <v>-5.2154027999999997</v>
      </c>
      <c r="H1150" s="6" t="str">
        <f t="shared" si="10"/>
        <v>Direct</v>
      </c>
      <c r="I1150" s="8" t="s">
        <v>3750</v>
      </c>
      <c r="J1150" s="8" t="s">
        <v>3750</v>
      </c>
    </row>
    <row r="1151" spans="1:10" x14ac:dyDescent="0.2">
      <c r="A1151" s="8" t="s">
        <v>56</v>
      </c>
      <c r="B1151" s="8" t="s">
        <v>62</v>
      </c>
      <c r="C1151" s="8" t="s">
        <v>3751</v>
      </c>
      <c r="D1151" s="8" t="s">
        <v>3752</v>
      </c>
      <c r="E1151" s="8" t="s">
        <v>3753</v>
      </c>
      <c r="F1151" s="8">
        <v>-4.7925484000000003</v>
      </c>
      <c r="G1151" s="8">
        <v>-2.0711727</v>
      </c>
      <c r="H1151" s="6" t="str">
        <f t="shared" si="10"/>
        <v>Direct</v>
      </c>
      <c r="I1151" s="8" t="s">
        <v>3754</v>
      </c>
      <c r="J1151" s="8" t="s">
        <v>3754</v>
      </c>
    </row>
    <row r="1152" spans="1:10" x14ac:dyDescent="0.2">
      <c r="A1152" s="8" t="s">
        <v>56</v>
      </c>
      <c r="B1152" s="8" t="s">
        <v>62</v>
      </c>
      <c r="C1152" s="8" t="s">
        <v>3755</v>
      </c>
      <c r="D1152" s="8" t="s">
        <v>3756</v>
      </c>
      <c r="E1152" s="8" t="s">
        <v>3757</v>
      </c>
      <c r="F1152" s="8">
        <v>-3.6705926</v>
      </c>
      <c r="G1152" s="8">
        <v>-1.1921796</v>
      </c>
      <c r="H1152" s="6" t="str">
        <f t="shared" si="10"/>
        <v>Direct</v>
      </c>
      <c r="I1152" s="8" t="s">
        <v>2183</v>
      </c>
      <c r="J1152" s="8" t="s">
        <v>2183</v>
      </c>
    </row>
    <row r="1153" spans="1:10" x14ac:dyDescent="0.2">
      <c r="A1153" s="8" t="s">
        <v>56</v>
      </c>
      <c r="B1153" s="8" t="s">
        <v>62</v>
      </c>
      <c r="C1153" s="8" t="s">
        <v>3758</v>
      </c>
      <c r="D1153" s="8" t="s">
        <v>3759</v>
      </c>
      <c r="E1153" s="8" t="s">
        <v>3760</v>
      </c>
      <c r="F1153" s="8">
        <v>-1.2150627000000001</v>
      </c>
      <c r="G1153" s="8">
        <v>-1.7908815</v>
      </c>
      <c r="H1153" s="6" t="str">
        <f t="shared" si="10"/>
        <v>Direct</v>
      </c>
      <c r="I1153" s="8" t="s">
        <v>3761</v>
      </c>
      <c r="J1153" s="8" t="s">
        <v>3762</v>
      </c>
    </row>
    <row r="1154" spans="1:10" x14ac:dyDescent="0.2">
      <c r="A1154" s="8" t="s">
        <v>56</v>
      </c>
      <c r="B1154" s="8" t="s">
        <v>62</v>
      </c>
      <c r="C1154" s="8" t="s">
        <v>3763</v>
      </c>
      <c r="D1154" s="8" t="s">
        <v>3764</v>
      </c>
      <c r="E1154" s="8" t="s">
        <v>3765</v>
      </c>
      <c r="F1154" s="8">
        <v>-5.4381187000000004</v>
      </c>
      <c r="G1154" s="8">
        <v>-2.3036082000000002</v>
      </c>
      <c r="H1154" s="6" t="str">
        <f t="shared" si="10"/>
        <v>Direct</v>
      </c>
      <c r="I1154" s="8" t="s">
        <v>3766</v>
      </c>
      <c r="J1154" s="8" t="s">
        <v>3767</v>
      </c>
    </row>
    <row r="1155" spans="1:10" x14ac:dyDescent="0.2">
      <c r="A1155" s="8" t="s">
        <v>56</v>
      </c>
      <c r="B1155" s="8" t="s">
        <v>62</v>
      </c>
      <c r="C1155" s="8" t="s">
        <v>3768</v>
      </c>
      <c r="D1155" s="8" t="s">
        <v>3769</v>
      </c>
      <c r="E1155" s="8" t="s">
        <v>3770</v>
      </c>
      <c r="F1155" s="8">
        <v>-1.3975697</v>
      </c>
      <c r="G1155" s="8">
        <v>-1.6121184</v>
      </c>
      <c r="H1155" s="6" t="str">
        <f t="shared" si="10"/>
        <v>Direct</v>
      </c>
      <c r="I1155" s="8" t="s">
        <v>306</v>
      </c>
      <c r="J1155" s="8" t="s">
        <v>306</v>
      </c>
    </row>
    <row r="1156" spans="1:10" x14ac:dyDescent="0.2">
      <c r="A1156" s="8" t="s">
        <v>56</v>
      </c>
      <c r="B1156" s="8" t="s">
        <v>62</v>
      </c>
      <c r="C1156" s="8" t="s">
        <v>3771</v>
      </c>
      <c r="D1156" s="8" t="s">
        <v>3772</v>
      </c>
      <c r="E1156" s="8" t="s">
        <v>3773</v>
      </c>
      <c r="F1156" s="8">
        <v>-3.5774446000000002</v>
      </c>
      <c r="G1156" s="8">
        <v>-1.5773045999999999</v>
      </c>
      <c r="H1156" s="6" t="str">
        <f t="shared" si="10"/>
        <v>Direct</v>
      </c>
      <c r="I1156" s="8" t="s">
        <v>3774</v>
      </c>
      <c r="J1156" s="8" t="s">
        <v>3774</v>
      </c>
    </row>
    <row r="1157" spans="1:10" x14ac:dyDescent="0.2">
      <c r="A1157" s="8" t="s">
        <v>56</v>
      </c>
      <c r="B1157" s="8" t="s">
        <v>62</v>
      </c>
      <c r="C1157" s="8" t="s">
        <v>2395</v>
      </c>
      <c r="D1157" s="8" t="s">
        <v>2396</v>
      </c>
      <c r="E1157" s="8" t="s">
        <v>2397</v>
      </c>
      <c r="F1157" s="8">
        <v>-5.3182372999999998</v>
      </c>
      <c r="G1157" s="8">
        <v>-1.6051356000000001</v>
      </c>
      <c r="H1157" s="6" t="str">
        <f t="shared" si="10"/>
        <v>Direct</v>
      </c>
      <c r="I1157" s="8" t="s">
        <v>2398</v>
      </c>
      <c r="J1157" s="8" t="s">
        <v>2398</v>
      </c>
    </row>
    <row r="1158" spans="1:10" x14ac:dyDescent="0.2">
      <c r="A1158" s="8" t="s">
        <v>56</v>
      </c>
      <c r="B1158" s="8" t="s">
        <v>62</v>
      </c>
      <c r="C1158" s="8" t="s">
        <v>3775</v>
      </c>
      <c r="D1158" s="8" t="s">
        <v>3776</v>
      </c>
      <c r="E1158" s="8" t="s">
        <v>3777</v>
      </c>
      <c r="F1158" s="8">
        <v>-2.2668450999999998</v>
      </c>
      <c r="G1158" s="8">
        <v>-3.2050352000000002</v>
      </c>
      <c r="H1158" s="6" t="str">
        <f t="shared" si="10"/>
        <v>Direct</v>
      </c>
      <c r="I1158" s="8" t="s">
        <v>3778</v>
      </c>
      <c r="J1158" s="8" t="s">
        <v>3778</v>
      </c>
    </row>
    <row r="1159" spans="1:10" x14ac:dyDescent="0.2">
      <c r="A1159" s="8" t="s">
        <v>56</v>
      </c>
      <c r="B1159" s="8" t="s">
        <v>62</v>
      </c>
      <c r="C1159" s="8" t="s">
        <v>3779</v>
      </c>
      <c r="D1159" s="8" t="s">
        <v>3780</v>
      </c>
      <c r="E1159" s="8" t="s">
        <v>3781</v>
      </c>
      <c r="F1159" s="8">
        <v>-1.6811475</v>
      </c>
      <c r="G1159" s="8">
        <v>-2.6026870999999998</v>
      </c>
      <c r="H1159" s="6" t="str">
        <f t="shared" si="10"/>
        <v>Direct</v>
      </c>
      <c r="I1159" s="8" t="s">
        <v>3782</v>
      </c>
      <c r="J1159" s="8" t="s">
        <v>3782</v>
      </c>
    </row>
    <row r="1160" spans="1:10" x14ac:dyDescent="0.2">
      <c r="A1160" s="8" t="s">
        <v>56</v>
      </c>
      <c r="B1160" s="8" t="s">
        <v>62</v>
      </c>
      <c r="C1160" s="8" t="s">
        <v>3783</v>
      </c>
      <c r="D1160" s="8" t="s">
        <v>3784</v>
      </c>
      <c r="E1160" s="8" t="s">
        <v>3785</v>
      </c>
      <c r="F1160" s="8">
        <v>-3.6085189</v>
      </c>
      <c r="G1160" s="8">
        <v>1.1986335699999999</v>
      </c>
      <c r="H1160" s="6" t="str">
        <f t="shared" si="10"/>
        <v>Inverse</v>
      </c>
      <c r="I1160" s="8" t="s">
        <v>3786</v>
      </c>
      <c r="J1160" s="8" t="s">
        <v>2131</v>
      </c>
    </row>
    <row r="1161" spans="1:10" x14ac:dyDescent="0.2">
      <c r="A1161" s="8" t="s">
        <v>56</v>
      </c>
      <c r="B1161" s="8" t="s">
        <v>62</v>
      </c>
      <c r="C1161" s="8" t="s">
        <v>3787</v>
      </c>
      <c r="D1161" s="8" t="s">
        <v>3788</v>
      </c>
      <c r="E1161" s="8" t="s">
        <v>3789</v>
      </c>
      <c r="F1161" s="8">
        <v>-5.8412727999999996</v>
      </c>
      <c r="G1161" s="8">
        <v>-3.8750927000000002</v>
      </c>
      <c r="H1161" s="6" t="str">
        <f t="shared" si="10"/>
        <v>Direct</v>
      </c>
      <c r="I1161" s="8" t="s">
        <v>3790</v>
      </c>
      <c r="J1161" s="8" t="s">
        <v>3790</v>
      </c>
    </row>
    <row r="1162" spans="1:10" x14ac:dyDescent="0.2">
      <c r="A1162" s="8" t="s">
        <v>56</v>
      </c>
      <c r="B1162" s="8" t="s">
        <v>62</v>
      </c>
      <c r="C1162" s="8" t="s">
        <v>2406</v>
      </c>
      <c r="D1162" s="8" t="s">
        <v>2407</v>
      </c>
      <c r="E1162" s="8" t="s">
        <v>2408</v>
      </c>
      <c r="F1162" s="8">
        <v>-6.8631728000000001</v>
      </c>
      <c r="G1162" s="8">
        <v>-4.2639589999999998</v>
      </c>
      <c r="H1162" s="6" t="str">
        <f t="shared" si="10"/>
        <v>Direct</v>
      </c>
      <c r="I1162" s="8" t="s">
        <v>2409</v>
      </c>
      <c r="J1162" s="8" t="s">
        <v>2410</v>
      </c>
    </row>
    <row r="1163" spans="1:10" x14ac:dyDescent="0.2">
      <c r="A1163" s="8" t="s">
        <v>56</v>
      </c>
      <c r="B1163" s="8" t="s">
        <v>62</v>
      </c>
      <c r="C1163" s="8" t="s">
        <v>3791</v>
      </c>
      <c r="D1163" s="8" t="s">
        <v>3792</v>
      </c>
      <c r="E1163" s="8" t="s">
        <v>3793</v>
      </c>
      <c r="F1163" s="8">
        <v>-2.3741867000000001</v>
      </c>
      <c r="G1163" s="8">
        <v>-1.0867019</v>
      </c>
      <c r="H1163" s="6" t="str">
        <f t="shared" si="10"/>
        <v>Direct</v>
      </c>
      <c r="I1163" s="8" t="s">
        <v>3794</v>
      </c>
      <c r="J1163" s="8" t="s">
        <v>3794</v>
      </c>
    </row>
    <row r="1164" spans="1:10" x14ac:dyDescent="0.2">
      <c r="A1164" s="8" t="s">
        <v>56</v>
      </c>
      <c r="B1164" s="8" t="s">
        <v>62</v>
      </c>
      <c r="C1164" s="8" t="s">
        <v>3795</v>
      </c>
      <c r="D1164" s="8" t="s">
        <v>3796</v>
      </c>
      <c r="E1164" s="8" t="s">
        <v>3797</v>
      </c>
      <c r="F1164" s="8">
        <v>-1.9644604000000001</v>
      </c>
      <c r="G1164" s="8">
        <v>-1.8626796999999999</v>
      </c>
      <c r="H1164" s="6" t="str">
        <f t="shared" si="10"/>
        <v>Direct</v>
      </c>
      <c r="I1164" s="8" t="s">
        <v>3798</v>
      </c>
      <c r="J1164" s="8" t="s">
        <v>3798</v>
      </c>
    </row>
    <row r="1165" spans="1:10" x14ac:dyDescent="0.2">
      <c r="A1165" s="8" t="s">
        <v>56</v>
      </c>
      <c r="B1165" s="8" t="s">
        <v>62</v>
      </c>
      <c r="C1165" s="8" t="s">
        <v>3799</v>
      </c>
      <c r="D1165" s="8" t="s">
        <v>3800</v>
      </c>
      <c r="E1165" s="8" t="s">
        <v>3801</v>
      </c>
      <c r="F1165" s="8">
        <v>-2.2587348</v>
      </c>
      <c r="G1165" s="8">
        <v>-1.0178035999999999</v>
      </c>
      <c r="H1165" s="6" t="str">
        <f t="shared" si="10"/>
        <v>Direct</v>
      </c>
      <c r="I1165" s="8" t="s">
        <v>3802</v>
      </c>
      <c r="J1165" s="8" t="s">
        <v>3802</v>
      </c>
    </row>
    <row r="1166" spans="1:10" x14ac:dyDescent="0.2">
      <c r="A1166" s="8" t="s">
        <v>56</v>
      </c>
      <c r="B1166" s="8" t="s">
        <v>62</v>
      </c>
      <c r="C1166" s="8" t="s">
        <v>2415</v>
      </c>
      <c r="D1166" s="8" t="s">
        <v>2416</v>
      </c>
      <c r="E1166" s="8" t="s">
        <v>2417</v>
      </c>
      <c r="F1166" s="8">
        <v>-2.7770126999999998</v>
      </c>
      <c r="G1166" s="8">
        <v>-3.6408966</v>
      </c>
      <c r="H1166" s="6" t="str">
        <f t="shared" si="10"/>
        <v>Direct</v>
      </c>
      <c r="I1166" s="8" t="s">
        <v>2418</v>
      </c>
      <c r="J1166" s="8" t="s">
        <v>2419</v>
      </c>
    </row>
    <row r="1167" spans="1:10" x14ac:dyDescent="0.2">
      <c r="A1167" s="8" t="s">
        <v>56</v>
      </c>
      <c r="B1167" s="8" t="s">
        <v>62</v>
      </c>
      <c r="C1167" s="8" t="s">
        <v>3803</v>
      </c>
      <c r="D1167" s="8" t="s">
        <v>3804</v>
      </c>
      <c r="E1167" s="8" t="s">
        <v>3805</v>
      </c>
      <c r="F1167" s="8">
        <v>2.9130608599999999</v>
      </c>
      <c r="G1167" s="8">
        <v>1.11195585</v>
      </c>
      <c r="H1167" s="6" t="str">
        <f t="shared" si="10"/>
        <v>Direct</v>
      </c>
      <c r="I1167" s="8" t="s">
        <v>3806</v>
      </c>
      <c r="J1167" s="8" t="s">
        <v>3806</v>
      </c>
    </row>
    <row r="1168" spans="1:10" x14ac:dyDescent="0.2">
      <c r="A1168" s="8" t="s">
        <v>56</v>
      </c>
      <c r="B1168" s="8" t="s">
        <v>62</v>
      </c>
      <c r="C1168" s="8" t="s">
        <v>3807</v>
      </c>
      <c r="D1168" s="8" t="s">
        <v>3808</v>
      </c>
      <c r="E1168" s="8" t="s">
        <v>3809</v>
      </c>
      <c r="F1168" s="8">
        <v>1.4111616499999999</v>
      </c>
      <c r="G1168" s="8">
        <v>-1.8006768</v>
      </c>
      <c r="H1168" s="6" t="str">
        <f t="shared" si="10"/>
        <v>Inverse</v>
      </c>
      <c r="I1168" s="8" t="s">
        <v>50</v>
      </c>
      <c r="J1168" s="8" t="s">
        <v>50</v>
      </c>
    </row>
    <row r="1169" spans="1:10" x14ac:dyDescent="0.2">
      <c r="A1169" s="8" t="s">
        <v>56</v>
      </c>
      <c r="B1169" s="8" t="s">
        <v>62</v>
      </c>
      <c r="C1169" s="8" t="s">
        <v>3810</v>
      </c>
      <c r="D1169" s="8" t="s">
        <v>3811</v>
      </c>
      <c r="E1169" s="8" t="s">
        <v>3812</v>
      </c>
      <c r="F1169" s="8">
        <v>-30.964817</v>
      </c>
      <c r="G1169" s="8">
        <v>-2.2936855</v>
      </c>
      <c r="H1169" s="6" t="str">
        <f t="shared" si="10"/>
        <v>Direct</v>
      </c>
      <c r="I1169" s="8" t="s">
        <v>55</v>
      </c>
      <c r="J1169" s="8" t="s">
        <v>116</v>
      </c>
    </row>
    <row r="1170" spans="1:10" x14ac:dyDescent="0.2">
      <c r="A1170" s="8" t="s">
        <v>56</v>
      </c>
      <c r="B1170" s="8" t="s">
        <v>62</v>
      </c>
      <c r="C1170" s="8" t="s">
        <v>3813</v>
      </c>
      <c r="D1170" s="8" t="s">
        <v>3814</v>
      </c>
      <c r="E1170" s="8" t="s">
        <v>3815</v>
      </c>
      <c r="F1170" s="8">
        <v>-1.5151469</v>
      </c>
      <c r="G1170" s="8">
        <v>-1.0465587000000001</v>
      </c>
      <c r="H1170" s="6" t="str">
        <f t="shared" si="10"/>
        <v>Direct</v>
      </c>
      <c r="I1170" s="8" t="s">
        <v>3386</v>
      </c>
      <c r="J1170" s="8" t="s">
        <v>3386</v>
      </c>
    </row>
    <row r="1171" spans="1:10" x14ac:dyDescent="0.2">
      <c r="A1171" s="8" t="s">
        <v>56</v>
      </c>
      <c r="B1171" s="8" t="s">
        <v>62</v>
      </c>
      <c r="C1171" s="8" t="s">
        <v>2432</v>
      </c>
      <c r="D1171" s="8" t="s">
        <v>2433</v>
      </c>
      <c r="E1171" s="8" t="s">
        <v>2434</v>
      </c>
      <c r="F1171" s="8">
        <v>-10.784148999999999</v>
      </c>
      <c r="G1171" s="8">
        <v>-5.9955752999999996</v>
      </c>
      <c r="H1171" s="6" t="str">
        <f t="shared" si="10"/>
        <v>Direct</v>
      </c>
      <c r="I1171" s="8" t="s">
        <v>2435</v>
      </c>
      <c r="J1171" s="8" t="s">
        <v>2435</v>
      </c>
    </row>
    <row r="1172" spans="1:10" x14ac:dyDescent="0.2">
      <c r="A1172" s="8" t="s">
        <v>56</v>
      </c>
      <c r="B1172" s="8" t="s">
        <v>62</v>
      </c>
      <c r="C1172" s="8" t="s">
        <v>3816</v>
      </c>
      <c r="D1172" s="8" t="s">
        <v>3817</v>
      </c>
      <c r="E1172" s="8" t="s">
        <v>3818</v>
      </c>
      <c r="F1172" s="8">
        <v>1.15384134</v>
      </c>
      <c r="G1172" s="8">
        <v>-2.9296636999999999</v>
      </c>
      <c r="H1172" s="6" t="str">
        <f t="shared" si="10"/>
        <v>Inverse</v>
      </c>
      <c r="I1172" s="8" t="s">
        <v>3819</v>
      </c>
      <c r="J1172" s="8" t="s">
        <v>3819</v>
      </c>
    </row>
    <row r="1173" spans="1:10" x14ac:dyDescent="0.2">
      <c r="A1173" s="8" t="s">
        <v>56</v>
      </c>
      <c r="B1173" s="8" t="s">
        <v>62</v>
      </c>
      <c r="C1173" s="8" t="s">
        <v>2436</v>
      </c>
      <c r="D1173" s="8" t="s">
        <v>2437</v>
      </c>
      <c r="E1173" s="8" t="s">
        <v>2438</v>
      </c>
      <c r="F1173" s="8">
        <v>-2.9867216000000001</v>
      </c>
      <c r="G1173" s="8">
        <v>-2.5650007000000001</v>
      </c>
      <c r="H1173" s="6" t="str">
        <f t="shared" si="10"/>
        <v>Direct</v>
      </c>
      <c r="I1173" s="8" t="s">
        <v>2439</v>
      </c>
      <c r="J1173" s="8" t="s">
        <v>2439</v>
      </c>
    </row>
    <row r="1174" spans="1:10" x14ac:dyDescent="0.2">
      <c r="A1174" s="8" t="s">
        <v>56</v>
      </c>
      <c r="B1174" s="8" t="s">
        <v>62</v>
      </c>
      <c r="C1174" s="8" t="s">
        <v>2440</v>
      </c>
      <c r="D1174" s="8" t="s">
        <v>2441</v>
      </c>
      <c r="E1174" s="8" t="s">
        <v>2442</v>
      </c>
      <c r="F1174" s="8">
        <v>-1.0983168999999999</v>
      </c>
      <c r="G1174" s="8">
        <v>-1.9917389000000001</v>
      </c>
      <c r="H1174" s="6" t="str">
        <f t="shared" si="10"/>
        <v>Direct</v>
      </c>
      <c r="I1174" s="8" t="s">
        <v>2443</v>
      </c>
      <c r="J1174" s="8" t="s">
        <v>2443</v>
      </c>
    </row>
    <row r="1175" spans="1:10" x14ac:dyDescent="0.2">
      <c r="A1175" s="8" t="s">
        <v>56</v>
      </c>
      <c r="B1175" s="8" t="s">
        <v>62</v>
      </c>
      <c r="C1175" s="8" t="s">
        <v>2444</v>
      </c>
      <c r="D1175" s="8" t="s">
        <v>2445</v>
      </c>
      <c r="E1175" s="8" t="s">
        <v>2446</v>
      </c>
      <c r="F1175" s="8">
        <v>-1.3198152000000001</v>
      </c>
      <c r="G1175" s="8">
        <v>-9.4754699999999996</v>
      </c>
      <c r="H1175" s="6" t="str">
        <f t="shared" si="10"/>
        <v>Direct</v>
      </c>
      <c r="I1175" s="8" t="s">
        <v>2447</v>
      </c>
      <c r="J1175" s="8" t="s">
        <v>2447</v>
      </c>
    </row>
    <row r="1176" spans="1:10" x14ac:dyDescent="0.2">
      <c r="A1176" s="8" t="s">
        <v>56</v>
      </c>
      <c r="B1176" s="8" t="s">
        <v>62</v>
      </c>
      <c r="C1176" s="8" t="s">
        <v>2448</v>
      </c>
      <c r="D1176" s="8" t="s">
        <v>2449</v>
      </c>
      <c r="E1176" s="8" t="s">
        <v>2450</v>
      </c>
      <c r="F1176" s="8">
        <v>-3.2040940999999998</v>
      </c>
      <c r="G1176" s="8">
        <v>-2.2792268</v>
      </c>
      <c r="H1176" s="6" t="str">
        <f t="shared" si="10"/>
        <v>Direct</v>
      </c>
      <c r="I1176" s="8" t="s">
        <v>2451</v>
      </c>
      <c r="J1176" s="8" t="s">
        <v>2452</v>
      </c>
    </row>
    <row r="1177" spans="1:10" x14ac:dyDescent="0.2">
      <c r="A1177" s="8" t="s">
        <v>56</v>
      </c>
      <c r="B1177" s="8" t="s">
        <v>62</v>
      </c>
      <c r="C1177" s="8" t="s">
        <v>3820</v>
      </c>
      <c r="D1177" s="8" t="s">
        <v>3821</v>
      </c>
      <c r="E1177" s="8" t="s">
        <v>3822</v>
      </c>
      <c r="F1177" s="8">
        <v>2.8947705300000002</v>
      </c>
      <c r="G1177" s="8">
        <v>-1.5884788999999999</v>
      </c>
      <c r="H1177" s="6" t="str">
        <f t="shared" si="10"/>
        <v>Inverse</v>
      </c>
      <c r="I1177" s="8" t="s">
        <v>3823</v>
      </c>
      <c r="J1177" s="8" t="s">
        <v>458</v>
      </c>
    </row>
    <row r="1178" spans="1:10" x14ac:dyDescent="0.2">
      <c r="A1178" s="8" t="s">
        <v>56</v>
      </c>
      <c r="B1178" s="8" t="s">
        <v>62</v>
      </c>
      <c r="C1178" s="8" t="s">
        <v>3824</v>
      </c>
      <c r="D1178" s="8" t="s">
        <v>3825</v>
      </c>
      <c r="E1178" s="8" t="s">
        <v>3826</v>
      </c>
      <c r="F1178" s="8">
        <v>-1.8764274000000001</v>
      </c>
      <c r="G1178" s="8">
        <v>1.38125345</v>
      </c>
      <c r="H1178" s="6" t="str">
        <f t="shared" si="10"/>
        <v>Inverse</v>
      </c>
      <c r="I1178" s="8" t="s">
        <v>3827</v>
      </c>
      <c r="J1178" s="8" t="s">
        <v>3827</v>
      </c>
    </row>
    <row r="1179" spans="1:10" x14ac:dyDescent="0.2">
      <c r="A1179" s="8" t="s">
        <v>56</v>
      </c>
      <c r="B1179" s="8" t="s">
        <v>62</v>
      </c>
      <c r="C1179" s="8" t="s">
        <v>3828</v>
      </c>
      <c r="D1179" s="8" t="s">
        <v>3829</v>
      </c>
      <c r="E1179" s="8" t="s">
        <v>3830</v>
      </c>
      <c r="F1179" s="8">
        <v>-1.2228576</v>
      </c>
      <c r="G1179" s="8">
        <v>-1.3272373</v>
      </c>
      <c r="H1179" s="6" t="str">
        <f t="shared" si="10"/>
        <v>Direct</v>
      </c>
      <c r="I1179" s="8" t="s">
        <v>3831</v>
      </c>
      <c r="J1179" s="8" t="s">
        <v>3831</v>
      </c>
    </row>
    <row r="1180" spans="1:10" x14ac:dyDescent="0.2">
      <c r="A1180" s="8" t="s">
        <v>56</v>
      </c>
      <c r="B1180" s="8" t="s">
        <v>62</v>
      </c>
      <c r="C1180" s="8" t="s">
        <v>3832</v>
      </c>
      <c r="D1180" s="8" t="s">
        <v>3833</v>
      </c>
      <c r="E1180" s="8" t="s">
        <v>3834</v>
      </c>
      <c r="F1180" s="8">
        <v>-3.3903843</v>
      </c>
      <c r="G1180" s="8">
        <v>1.25959902</v>
      </c>
      <c r="H1180" s="6" t="str">
        <f t="shared" si="10"/>
        <v>Inverse</v>
      </c>
      <c r="I1180" s="8" t="s">
        <v>2091</v>
      </c>
      <c r="J1180" s="8" t="s">
        <v>2091</v>
      </c>
    </row>
    <row r="1181" spans="1:10" x14ac:dyDescent="0.2">
      <c r="A1181" s="8" t="s">
        <v>56</v>
      </c>
      <c r="B1181" s="8" t="s">
        <v>62</v>
      </c>
      <c r="C1181" s="8" t="s">
        <v>3835</v>
      </c>
      <c r="D1181" s="8" t="s">
        <v>3836</v>
      </c>
      <c r="E1181" s="8" t="s">
        <v>3837</v>
      </c>
      <c r="F1181" s="8">
        <v>-3.3229136000000001</v>
      </c>
      <c r="G1181" s="8">
        <v>-1.3727096000000001</v>
      </c>
      <c r="H1181" s="6" t="str">
        <f t="shared" si="10"/>
        <v>Direct</v>
      </c>
      <c r="I1181" s="8" t="s">
        <v>3149</v>
      </c>
      <c r="J1181" s="8" t="s">
        <v>3149</v>
      </c>
    </row>
    <row r="1182" spans="1:10" x14ac:dyDescent="0.2">
      <c r="A1182" s="8" t="s">
        <v>56</v>
      </c>
      <c r="B1182" s="8" t="s">
        <v>62</v>
      </c>
      <c r="C1182" s="8" t="s">
        <v>3838</v>
      </c>
      <c r="D1182" s="8" t="s">
        <v>3839</v>
      </c>
      <c r="E1182" s="8" t="s">
        <v>3840</v>
      </c>
      <c r="F1182" s="8">
        <v>1.0613267099999999</v>
      </c>
      <c r="G1182" s="8">
        <v>-1.3225541000000001</v>
      </c>
      <c r="H1182" s="6" t="str">
        <f t="shared" si="10"/>
        <v>Inverse</v>
      </c>
      <c r="I1182" s="8" t="s">
        <v>3841</v>
      </c>
      <c r="J1182" s="8" t="s">
        <v>3841</v>
      </c>
    </row>
    <row r="1183" spans="1:10" x14ac:dyDescent="0.2">
      <c r="A1183" s="8" t="s">
        <v>56</v>
      </c>
      <c r="B1183" s="8" t="s">
        <v>62</v>
      </c>
      <c r="C1183" s="8" t="s">
        <v>3842</v>
      </c>
      <c r="D1183" s="8" t="s">
        <v>3843</v>
      </c>
      <c r="E1183" s="8" t="s">
        <v>3844</v>
      </c>
      <c r="F1183" s="8">
        <v>-1.7692916999999999</v>
      </c>
      <c r="G1183" s="8">
        <v>-1.8922508</v>
      </c>
      <c r="H1183" s="6" t="str">
        <f t="shared" si="10"/>
        <v>Direct</v>
      </c>
      <c r="I1183" s="8" t="s">
        <v>1763</v>
      </c>
      <c r="J1183" s="8" t="s">
        <v>1763</v>
      </c>
    </row>
    <row r="1184" spans="1:10" x14ac:dyDescent="0.2">
      <c r="A1184" s="8" t="s">
        <v>56</v>
      </c>
      <c r="B1184" s="8" t="s">
        <v>62</v>
      </c>
      <c r="C1184" s="8" t="s">
        <v>2457</v>
      </c>
      <c r="D1184" s="8" t="s">
        <v>2458</v>
      </c>
      <c r="E1184" s="8" t="s">
        <v>2459</v>
      </c>
      <c r="F1184" s="8">
        <v>2.8377225899999998</v>
      </c>
      <c r="G1184" s="8">
        <v>1.7172622799999999</v>
      </c>
      <c r="H1184" s="6" t="str">
        <f t="shared" si="10"/>
        <v>Direct</v>
      </c>
      <c r="I1184" s="8" t="s">
        <v>2460</v>
      </c>
      <c r="J1184" s="8" t="s">
        <v>2460</v>
      </c>
    </row>
    <row r="1185" spans="1:10" x14ac:dyDescent="0.2">
      <c r="A1185" s="8" t="s">
        <v>56</v>
      </c>
      <c r="B1185" s="8" t="s">
        <v>62</v>
      </c>
      <c r="C1185" s="8" t="s">
        <v>3845</v>
      </c>
      <c r="D1185" s="8" t="s">
        <v>3846</v>
      </c>
      <c r="E1185" s="8" t="s">
        <v>3847</v>
      </c>
      <c r="F1185" s="8">
        <v>-4.7490304999999999</v>
      </c>
      <c r="G1185" s="8">
        <v>1.1221809599999999</v>
      </c>
      <c r="H1185" s="6" t="str">
        <f t="shared" si="10"/>
        <v>Inverse</v>
      </c>
      <c r="I1185" s="8" t="s">
        <v>3848</v>
      </c>
      <c r="J1185" s="8" t="s">
        <v>3848</v>
      </c>
    </row>
    <row r="1186" spans="1:10" x14ac:dyDescent="0.2">
      <c r="A1186" s="8" t="s">
        <v>56</v>
      </c>
      <c r="B1186" s="8" t="s">
        <v>62</v>
      </c>
      <c r="C1186" s="8" t="s">
        <v>3849</v>
      </c>
      <c r="D1186" s="8" t="s">
        <v>3850</v>
      </c>
      <c r="E1186" s="8" t="s">
        <v>3851</v>
      </c>
      <c r="F1186" s="8">
        <v>-2.3668127999999999</v>
      </c>
      <c r="G1186" s="8">
        <v>-2.7995977000000001</v>
      </c>
      <c r="H1186" s="6" t="str">
        <f t="shared" si="10"/>
        <v>Direct</v>
      </c>
      <c r="I1186" s="8" t="s">
        <v>639</v>
      </c>
      <c r="J1186" s="8" t="s">
        <v>639</v>
      </c>
    </row>
    <row r="1187" spans="1:10" x14ac:dyDescent="0.2">
      <c r="A1187" s="8" t="s">
        <v>56</v>
      </c>
      <c r="B1187" s="8" t="s">
        <v>62</v>
      </c>
      <c r="C1187" s="8" t="s">
        <v>3852</v>
      </c>
      <c r="D1187" s="8" t="s">
        <v>3853</v>
      </c>
      <c r="E1187" s="8" t="s">
        <v>3854</v>
      </c>
      <c r="F1187" s="8">
        <v>-1.7317399</v>
      </c>
      <c r="G1187" s="8">
        <v>-1.5849104000000001</v>
      </c>
      <c r="H1187" s="6" t="str">
        <f t="shared" si="10"/>
        <v>Direct</v>
      </c>
      <c r="I1187" s="8" t="s">
        <v>3855</v>
      </c>
      <c r="J1187" s="8" t="s">
        <v>288</v>
      </c>
    </row>
    <row r="1188" spans="1:10" x14ac:dyDescent="0.2">
      <c r="A1188" s="8" t="s">
        <v>56</v>
      </c>
      <c r="B1188" s="8" t="s">
        <v>62</v>
      </c>
      <c r="C1188" s="8" t="s">
        <v>3856</v>
      </c>
      <c r="D1188" s="8" t="s">
        <v>3857</v>
      </c>
      <c r="E1188" s="8" t="s">
        <v>3858</v>
      </c>
      <c r="F1188" s="8">
        <v>1.5188909399999999</v>
      </c>
      <c r="G1188" s="8">
        <v>1.03098578</v>
      </c>
      <c r="H1188" s="6" t="str">
        <f t="shared" si="10"/>
        <v>Direct</v>
      </c>
      <c r="I1188" s="8" t="s">
        <v>542</v>
      </c>
      <c r="J1188" s="8" t="s">
        <v>542</v>
      </c>
    </row>
    <row r="1189" spans="1:10" x14ac:dyDescent="0.2">
      <c r="A1189" s="8" t="s">
        <v>56</v>
      </c>
      <c r="B1189" s="8" t="s">
        <v>62</v>
      </c>
      <c r="C1189" s="8" t="s">
        <v>3859</v>
      </c>
      <c r="D1189" s="8" t="s">
        <v>3860</v>
      </c>
      <c r="E1189" s="8" t="s">
        <v>3861</v>
      </c>
      <c r="F1189" s="8">
        <v>-1.5773888</v>
      </c>
      <c r="G1189" s="8">
        <v>-1.6149560000000001</v>
      </c>
      <c r="H1189" s="6" t="str">
        <f t="shared" si="10"/>
        <v>Direct</v>
      </c>
      <c r="I1189" s="8" t="s">
        <v>3862</v>
      </c>
      <c r="J1189" s="8" t="s">
        <v>3862</v>
      </c>
    </row>
    <row r="1190" spans="1:10" x14ac:dyDescent="0.2">
      <c r="A1190" s="8" t="s">
        <v>56</v>
      </c>
      <c r="B1190" s="8" t="s">
        <v>62</v>
      </c>
      <c r="C1190" s="8" t="s">
        <v>3863</v>
      </c>
      <c r="D1190" s="8" t="s">
        <v>3864</v>
      </c>
      <c r="E1190" s="8" t="s">
        <v>3865</v>
      </c>
      <c r="F1190" s="8">
        <v>-2.3699715000000001</v>
      </c>
      <c r="G1190" s="8">
        <v>-1.6456904000000001</v>
      </c>
      <c r="H1190" s="6" t="str">
        <f t="shared" si="10"/>
        <v>Direct</v>
      </c>
      <c r="I1190" s="8" t="s">
        <v>3866</v>
      </c>
      <c r="J1190" s="8" t="s">
        <v>3866</v>
      </c>
    </row>
    <row r="1191" spans="1:10" x14ac:dyDescent="0.2">
      <c r="A1191" s="8" t="s">
        <v>56</v>
      </c>
      <c r="B1191" s="8" t="s">
        <v>62</v>
      </c>
      <c r="C1191" s="8" t="s">
        <v>2465</v>
      </c>
      <c r="D1191" s="8" t="s">
        <v>2466</v>
      </c>
      <c r="E1191" s="8" t="s">
        <v>2467</v>
      </c>
      <c r="F1191" s="8">
        <v>-2.1807205000000001</v>
      </c>
      <c r="G1191" s="8">
        <v>-1.2899845000000001</v>
      </c>
      <c r="H1191" s="6" t="str">
        <f t="shared" si="10"/>
        <v>Direct</v>
      </c>
      <c r="I1191" s="8" t="s">
        <v>1449</v>
      </c>
      <c r="J1191" s="8" t="s">
        <v>1449</v>
      </c>
    </row>
    <row r="1192" spans="1:10" x14ac:dyDescent="0.2">
      <c r="A1192" s="8" t="s">
        <v>56</v>
      </c>
      <c r="B1192" s="8" t="s">
        <v>62</v>
      </c>
      <c r="C1192" s="8" t="s">
        <v>689</v>
      </c>
      <c r="D1192" s="8" t="s">
        <v>690</v>
      </c>
      <c r="E1192" s="8" t="s">
        <v>691</v>
      </c>
      <c r="F1192" s="8">
        <v>-4.1579465000000004</v>
      </c>
      <c r="G1192" s="8">
        <v>2.6927581599999999</v>
      </c>
      <c r="H1192" s="6" t="str">
        <f t="shared" si="10"/>
        <v>Inverse</v>
      </c>
      <c r="I1192" s="8" t="s">
        <v>692</v>
      </c>
      <c r="J1192" s="8" t="s">
        <v>692</v>
      </c>
    </row>
    <row r="1193" spans="1:10" x14ac:dyDescent="0.2">
      <c r="A1193" s="8" t="s">
        <v>56</v>
      </c>
      <c r="B1193" s="8" t="s">
        <v>62</v>
      </c>
      <c r="C1193" s="8" t="s">
        <v>3867</v>
      </c>
      <c r="D1193" s="8" t="s">
        <v>3868</v>
      </c>
      <c r="E1193" s="8" t="s">
        <v>3869</v>
      </c>
      <c r="F1193" s="8">
        <v>-1.6362211</v>
      </c>
      <c r="G1193" s="8">
        <v>-1.1125936999999999</v>
      </c>
      <c r="H1193" s="6" t="str">
        <f t="shared" si="10"/>
        <v>Direct</v>
      </c>
      <c r="I1193" s="8" t="s">
        <v>3870</v>
      </c>
      <c r="J1193" s="8" t="s">
        <v>3870</v>
      </c>
    </row>
    <row r="1194" spans="1:10" x14ac:dyDescent="0.2">
      <c r="A1194" s="8" t="s">
        <v>56</v>
      </c>
      <c r="B1194" s="8" t="s">
        <v>62</v>
      </c>
      <c r="C1194" s="8" t="s">
        <v>3871</v>
      </c>
      <c r="D1194" s="8" t="s">
        <v>3872</v>
      </c>
      <c r="E1194" s="8" t="s">
        <v>3873</v>
      </c>
      <c r="F1194" s="8">
        <v>1.2082737699999999</v>
      </c>
      <c r="G1194" s="8">
        <v>2.0425330800000001</v>
      </c>
      <c r="H1194" s="6" t="str">
        <f t="shared" si="10"/>
        <v>Direct</v>
      </c>
      <c r="I1194" s="8" t="s">
        <v>3874</v>
      </c>
      <c r="J1194" s="8" t="s">
        <v>3874</v>
      </c>
    </row>
    <row r="1195" spans="1:10" x14ac:dyDescent="0.2">
      <c r="A1195" s="8" t="s">
        <v>56</v>
      </c>
      <c r="B1195" s="8" t="s">
        <v>62</v>
      </c>
      <c r="C1195" s="8" t="s">
        <v>3875</v>
      </c>
      <c r="D1195" s="8" t="s">
        <v>3876</v>
      </c>
      <c r="E1195" s="8" t="s">
        <v>3877</v>
      </c>
      <c r="F1195" s="8">
        <v>-1.5657194999999999</v>
      </c>
      <c r="G1195" s="8">
        <v>-1.3472237</v>
      </c>
      <c r="H1195" s="6" t="str">
        <f t="shared" si="10"/>
        <v>Direct</v>
      </c>
      <c r="I1195" s="8" t="s">
        <v>3878</v>
      </c>
      <c r="J1195" s="8" t="s">
        <v>3878</v>
      </c>
    </row>
    <row r="1196" spans="1:10" x14ac:dyDescent="0.2">
      <c r="A1196" s="8" t="s">
        <v>56</v>
      </c>
      <c r="B1196" s="8" t="s">
        <v>62</v>
      </c>
      <c r="C1196" s="8" t="s">
        <v>2472</v>
      </c>
      <c r="D1196" s="8" t="s">
        <v>2473</v>
      </c>
      <c r="E1196" s="8" t="s">
        <v>2474</v>
      </c>
      <c r="F1196" s="8">
        <v>-1.6249449</v>
      </c>
      <c r="G1196" s="8">
        <v>-1.1603924999999999</v>
      </c>
      <c r="H1196" s="6" t="str">
        <f t="shared" si="10"/>
        <v>Direct</v>
      </c>
      <c r="I1196" s="8" t="s">
        <v>2475</v>
      </c>
      <c r="J1196" s="8" t="s">
        <v>2475</v>
      </c>
    </row>
    <row r="1197" spans="1:10" x14ac:dyDescent="0.2">
      <c r="A1197" s="8" t="s">
        <v>56</v>
      </c>
      <c r="B1197" s="8" t="s">
        <v>62</v>
      </c>
      <c r="C1197" s="8" t="s">
        <v>3879</v>
      </c>
      <c r="D1197" s="8" t="s">
        <v>3880</v>
      </c>
      <c r="E1197" s="8" t="s">
        <v>3881</v>
      </c>
      <c r="F1197" s="8">
        <v>5.2645245000000003</v>
      </c>
      <c r="G1197" s="8">
        <v>1.1805082099999999</v>
      </c>
      <c r="H1197" s="6" t="str">
        <f t="shared" si="10"/>
        <v>Direct</v>
      </c>
      <c r="I1197" s="8" t="s">
        <v>3882</v>
      </c>
      <c r="J1197" s="8" t="s">
        <v>3882</v>
      </c>
    </row>
    <row r="1198" spans="1:10" x14ac:dyDescent="0.2">
      <c r="A1198" s="8" t="s">
        <v>56</v>
      </c>
      <c r="B1198" s="8" t="s">
        <v>62</v>
      </c>
      <c r="C1198" s="8" t="s">
        <v>3883</v>
      </c>
      <c r="D1198" s="8" t="s">
        <v>3884</v>
      </c>
      <c r="E1198" s="8" t="s">
        <v>3885</v>
      </c>
      <c r="F1198" s="8">
        <v>1.6886301100000001</v>
      </c>
      <c r="G1198" s="8">
        <v>1.4189229000000001</v>
      </c>
      <c r="H1198" s="6" t="str">
        <f t="shared" si="10"/>
        <v>Direct</v>
      </c>
      <c r="I1198" s="8" t="s">
        <v>3886</v>
      </c>
      <c r="J1198" s="8" t="s">
        <v>3886</v>
      </c>
    </row>
    <row r="1199" spans="1:10" x14ac:dyDescent="0.2">
      <c r="A1199" s="8" t="s">
        <v>56</v>
      </c>
      <c r="B1199" s="8" t="s">
        <v>62</v>
      </c>
      <c r="C1199" s="8" t="s">
        <v>3887</v>
      </c>
      <c r="D1199" s="8" t="s">
        <v>3888</v>
      </c>
      <c r="E1199" s="8" t="s">
        <v>3889</v>
      </c>
      <c r="F1199" s="8">
        <v>1.4846067199999999</v>
      </c>
      <c r="G1199" s="8">
        <v>1.0733680999999999</v>
      </c>
      <c r="H1199" s="6" t="str">
        <f t="shared" si="10"/>
        <v>Direct</v>
      </c>
      <c r="I1199" s="8" t="s">
        <v>50</v>
      </c>
      <c r="J1199" s="8" t="s">
        <v>50</v>
      </c>
    </row>
    <row r="1200" spans="1:10" x14ac:dyDescent="0.2">
      <c r="A1200" s="8" t="s">
        <v>56</v>
      </c>
      <c r="B1200" s="8" t="s">
        <v>62</v>
      </c>
      <c r="C1200" s="8" t="s">
        <v>3890</v>
      </c>
      <c r="D1200" s="8" t="s">
        <v>3891</v>
      </c>
      <c r="E1200" s="8" t="s">
        <v>3892</v>
      </c>
      <c r="F1200" s="8">
        <v>-3.8758547000000001</v>
      </c>
      <c r="G1200" s="8">
        <v>-1.4922465</v>
      </c>
      <c r="H1200" s="6" t="str">
        <f t="shared" si="10"/>
        <v>Direct</v>
      </c>
      <c r="I1200" s="8" t="s">
        <v>1621</v>
      </c>
      <c r="J1200" s="8" t="s">
        <v>1621</v>
      </c>
    </row>
    <row r="1201" spans="1:10" x14ac:dyDescent="0.2">
      <c r="A1201" s="8" t="s">
        <v>56</v>
      </c>
      <c r="B1201" s="8" t="s">
        <v>62</v>
      </c>
      <c r="C1201" s="8" t="s">
        <v>3893</v>
      </c>
      <c r="D1201" s="8" t="s">
        <v>3894</v>
      </c>
      <c r="E1201" s="8" t="s">
        <v>3895</v>
      </c>
      <c r="F1201" s="8">
        <v>-1.6626126000000001</v>
      </c>
      <c r="G1201" s="8">
        <v>1.01066444</v>
      </c>
      <c r="H1201" s="6" t="str">
        <f t="shared" si="10"/>
        <v>Inverse</v>
      </c>
      <c r="I1201" s="8" t="s">
        <v>3896</v>
      </c>
      <c r="J1201" s="8" t="s">
        <v>3896</v>
      </c>
    </row>
    <row r="1202" spans="1:10" x14ac:dyDescent="0.2">
      <c r="A1202" s="8" t="s">
        <v>56</v>
      </c>
      <c r="B1202" s="8" t="s">
        <v>62</v>
      </c>
      <c r="C1202" s="8" t="s">
        <v>3897</v>
      </c>
      <c r="D1202" s="8" t="s">
        <v>3898</v>
      </c>
      <c r="E1202" s="8" t="s">
        <v>3899</v>
      </c>
      <c r="F1202" s="8">
        <v>-2.0530366999999998</v>
      </c>
      <c r="G1202" s="8">
        <v>-1.8219003</v>
      </c>
      <c r="H1202" s="6" t="str">
        <f t="shared" si="10"/>
        <v>Direct</v>
      </c>
      <c r="I1202" s="8" t="s">
        <v>1039</v>
      </c>
      <c r="J1202" s="8" t="s">
        <v>1039</v>
      </c>
    </row>
    <row r="1203" spans="1:10" x14ac:dyDescent="0.2">
      <c r="A1203" s="8" t="s">
        <v>56</v>
      </c>
      <c r="B1203" s="8" t="s">
        <v>62</v>
      </c>
      <c r="C1203" s="8" t="s">
        <v>3900</v>
      </c>
      <c r="D1203" s="8" t="s">
        <v>3901</v>
      </c>
      <c r="E1203" s="8" t="s">
        <v>3902</v>
      </c>
      <c r="F1203" s="8">
        <v>-3.5925164000000001</v>
      </c>
      <c r="G1203" s="8">
        <v>-1.2463941999999999</v>
      </c>
      <c r="H1203" s="6" t="str">
        <f t="shared" si="10"/>
        <v>Direct</v>
      </c>
      <c r="I1203" s="8" t="s">
        <v>50</v>
      </c>
      <c r="J1203" s="8" t="s">
        <v>3903</v>
      </c>
    </row>
    <row r="1204" spans="1:10" x14ac:dyDescent="0.2">
      <c r="A1204" s="8" t="s">
        <v>56</v>
      </c>
      <c r="B1204" s="8" t="s">
        <v>62</v>
      </c>
      <c r="C1204" s="8" t="s">
        <v>3904</v>
      </c>
      <c r="D1204" s="8" t="s">
        <v>3905</v>
      </c>
      <c r="E1204" s="8" t="s">
        <v>3906</v>
      </c>
      <c r="F1204" s="8">
        <v>1.83451542</v>
      </c>
      <c r="G1204" s="8">
        <v>-1.8680749999999999</v>
      </c>
      <c r="H1204" s="6" t="str">
        <f t="shared" si="10"/>
        <v>Inverse</v>
      </c>
      <c r="I1204" s="8" t="s">
        <v>3907</v>
      </c>
      <c r="J1204" s="8" t="s">
        <v>3907</v>
      </c>
    </row>
    <row r="1205" spans="1:10" x14ac:dyDescent="0.2">
      <c r="A1205" s="8" t="s">
        <v>56</v>
      </c>
      <c r="B1205" s="8" t="s">
        <v>62</v>
      </c>
      <c r="C1205" s="8" t="s">
        <v>3908</v>
      </c>
      <c r="D1205" s="8" t="s">
        <v>3909</v>
      </c>
      <c r="E1205" s="8" t="s">
        <v>3910</v>
      </c>
      <c r="F1205" s="8">
        <v>-1.9221093</v>
      </c>
      <c r="G1205" s="8">
        <v>-1.7953706</v>
      </c>
      <c r="H1205" s="6" t="str">
        <f t="shared" si="10"/>
        <v>Direct</v>
      </c>
      <c r="I1205" s="8" t="s">
        <v>3911</v>
      </c>
      <c r="J1205" s="8" t="s">
        <v>3911</v>
      </c>
    </row>
    <row r="1206" spans="1:10" x14ac:dyDescent="0.2">
      <c r="A1206" s="8" t="s">
        <v>56</v>
      </c>
      <c r="B1206" s="8" t="s">
        <v>62</v>
      </c>
      <c r="C1206" s="8" t="s">
        <v>3912</v>
      </c>
      <c r="D1206" s="8" t="s">
        <v>3913</v>
      </c>
      <c r="E1206" s="8" t="s">
        <v>3914</v>
      </c>
      <c r="F1206" s="8">
        <v>2.67319438</v>
      </c>
      <c r="G1206" s="8">
        <v>1.2787504199999999</v>
      </c>
      <c r="H1206" s="6" t="str">
        <f t="shared" si="10"/>
        <v>Direct</v>
      </c>
      <c r="I1206" s="8" t="s">
        <v>1854</v>
      </c>
      <c r="J1206" s="8" t="s">
        <v>1854</v>
      </c>
    </row>
    <row r="1207" spans="1:10" x14ac:dyDescent="0.2">
      <c r="A1207" s="8" t="s">
        <v>56</v>
      </c>
      <c r="B1207" s="8" t="s">
        <v>62</v>
      </c>
      <c r="C1207" s="8" t="s">
        <v>3915</v>
      </c>
      <c r="D1207" s="8" t="s">
        <v>3916</v>
      </c>
      <c r="E1207" s="8" t="s">
        <v>3917</v>
      </c>
      <c r="F1207" s="8">
        <v>-3.7622857999999999</v>
      </c>
      <c r="G1207" s="8">
        <v>-1.5276312999999999</v>
      </c>
      <c r="H1207" s="6" t="str">
        <f t="shared" si="10"/>
        <v>Direct</v>
      </c>
      <c r="I1207" s="8" t="s">
        <v>3149</v>
      </c>
      <c r="J1207" s="8" t="s">
        <v>3149</v>
      </c>
    </row>
    <row r="1208" spans="1:10" x14ac:dyDescent="0.2">
      <c r="A1208" s="8" t="s">
        <v>56</v>
      </c>
      <c r="B1208" s="8" t="s">
        <v>62</v>
      </c>
      <c r="C1208" s="8" t="s">
        <v>3918</v>
      </c>
      <c r="D1208" s="8" t="s">
        <v>3919</v>
      </c>
      <c r="E1208" s="8" t="s">
        <v>3920</v>
      </c>
      <c r="F1208" s="8">
        <v>-1.2672256</v>
      </c>
      <c r="G1208" s="8">
        <v>1.2175222000000001</v>
      </c>
      <c r="H1208" s="6" t="str">
        <f t="shared" si="10"/>
        <v>Inverse</v>
      </c>
      <c r="I1208" s="8" t="s">
        <v>1332</v>
      </c>
      <c r="J1208" s="8" t="s">
        <v>1332</v>
      </c>
    </row>
    <row r="1209" spans="1:10" x14ac:dyDescent="0.2">
      <c r="A1209" s="8" t="s">
        <v>56</v>
      </c>
      <c r="B1209" s="8" t="s">
        <v>62</v>
      </c>
      <c r="C1209" s="8" t="s">
        <v>3921</v>
      </c>
      <c r="D1209" s="8" t="s">
        <v>3922</v>
      </c>
      <c r="E1209" s="8" t="s">
        <v>3923</v>
      </c>
      <c r="F1209" s="8">
        <v>-4.0079998999999997</v>
      </c>
      <c r="G1209" s="8">
        <v>1.02781254</v>
      </c>
      <c r="H1209" s="6" t="str">
        <f t="shared" si="10"/>
        <v>Inverse</v>
      </c>
      <c r="I1209" s="8" t="s">
        <v>116</v>
      </c>
      <c r="J1209" s="8" t="s">
        <v>3924</v>
      </c>
    </row>
    <row r="1210" spans="1:10" x14ac:dyDescent="0.2">
      <c r="A1210" s="8" t="s">
        <v>56</v>
      </c>
      <c r="B1210" s="8" t="s">
        <v>62</v>
      </c>
      <c r="C1210" s="8" t="s">
        <v>3925</v>
      </c>
      <c r="D1210" s="8" t="s">
        <v>3926</v>
      </c>
      <c r="E1210" s="8" t="s">
        <v>3927</v>
      </c>
      <c r="F1210" s="8">
        <v>2.62980064</v>
      </c>
      <c r="G1210" s="8">
        <v>1.89527489</v>
      </c>
      <c r="H1210" s="6" t="str">
        <f t="shared" si="10"/>
        <v>Direct</v>
      </c>
      <c r="I1210" s="8" t="s">
        <v>3928</v>
      </c>
      <c r="J1210" s="8" t="s">
        <v>3928</v>
      </c>
    </row>
    <row r="1211" spans="1:10" x14ac:dyDescent="0.2">
      <c r="A1211" s="8" t="s">
        <v>56</v>
      </c>
      <c r="B1211" s="8" t="s">
        <v>62</v>
      </c>
      <c r="C1211" s="8" t="s">
        <v>3929</v>
      </c>
      <c r="D1211" s="8" t="s">
        <v>3930</v>
      </c>
      <c r="E1211" s="8" t="s">
        <v>3931</v>
      </c>
      <c r="F1211" s="8">
        <v>-1.4701225</v>
      </c>
      <c r="G1211" s="8">
        <v>-1.5641221999999999</v>
      </c>
      <c r="H1211" s="6" t="str">
        <f t="shared" si="10"/>
        <v>Direct</v>
      </c>
      <c r="I1211" s="8" t="s">
        <v>2183</v>
      </c>
      <c r="J1211" s="8" t="s">
        <v>2183</v>
      </c>
    </row>
    <row r="1212" spans="1:10" x14ac:dyDescent="0.2">
      <c r="A1212" s="8" t="s">
        <v>56</v>
      </c>
      <c r="B1212" s="8" t="s">
        <v>62</v>
      </c>
      <c r="C1212" s="8" t="s">
        <v>2480</v>
      </c>
      <c r="D1212" s="8" t="s">
        <v>2481</v>
      </c>
      <c r="E1212" s="8" t="s">
        <v>2482</v>
      </c>
      <c r="F1212" s="8">
        <v>-3.3875299000000001</v>
      </c>
      <c r="G1212" s="8">
        <v>-2.1210569000000001</v>
      </c>
      <c r="H1212" s="6" t="str">
        <f t="shared" si="10"/>
        <v>Direct</v>
      </c>
      <c r="I1212" s="8" t="s">
        <v>2483</v>
      </c>
      <c r="J1212" s="8" t="s">
        <v>2483</v>
      </c>
    </row>
    <row r="1213" spans="1:10" x14ac:dyDescent="0.2">
      <c r="A1213" s="8" t="s">
        <v>56</v>
      </c>
      <c r="B1213" s="8" t="s">
        <v>62</v>
      </c>
      <c r="C1213" s="8" t="s">
        <v>1310</v>
      </c>
      <c r="D1213" s="8" t="s">
        <v>1311</v>
      </c>
      <c r="E1213" s="8" t="s">
        <v>1312</v>
      </c>
      <c r="F1213" s="8">
        <v>9.8564699900000008</v>
      </c>
      <c r="G1213" s="8">
        <v>1.42102029</v>
      </c>
      <c r="H1213" s="6" t="str">
        <f t="shared" si="10"/>
        <v>Direct</v>
      </c>
      <c r="I1213" s="8" t="s">
        <v>1313</v>
      </c>
      <c r="J1213" s="8" t="s">
        <v>1314</v>
      </c>
    </row>
    <row r="1214" spans="1:10" x14ac:dyDescent="0.2">
      <c r="A1214" s="8" t="s">
        <v>56</v>
      </c>
      <c r="B1214" s="8" t="s">
        <v>62</v>
      </c>
      <c r="C1214" s="8" t="s">
        <v>3932</v>
      </c>
      <c r="D1214" s="8" t="s">
        <v>3933</v>
      </c>
      <c r="E1214" s="8" t="s">
        <v>3934</v>
      </c>
      <c r="F1214" s="8">
        <v>1.0463279700000001</v>
      </c>
      <c r="G1214" s="8">
        <v>1.5149860500000001</v>
      </c>
      <c r="H1214" s="6" t="str">
        <f t="shared" si="10"/>
        <v>Direct</v>
      </c>
      <c r="I1214" s="8" t="s">
        <v>3935</v>
      </c>
      <c r="J1214" s="8" t="s">
        <v>3935</v>
      </c>
    </row>
    <row r="1215" spans="1:10" x14ac:dyDescent="0.2">
      <c r="A1215" s="8" t="s">
        <v>56</v>
      </c>
      <c r="B1215" s="8" t="s">
        <v>62</v>
      </c>
      <c r="C1215" s="8" t="s">
        <v>3936</v>
      </c>
      <c r="D1215" s="8" t="s">
        <v>3937</v>
      </c>
      <c r="E1215" s="8" t="s">
        <v>3938</v>
      </c>
      <c r="F1215" s="8">
        <v>-1.5125177000000001</v>
      </c>
      <c r="G1215" s="8">
        <v>-1.4933110000000001</v>
      </c>
      <c r="H1215" s="6" t="str">
        <f t="shared" si="10"/>
        <v>Direct</v>
      </c>
      <c r="I1215" s="8" t="s">
        <v>3939</v>
      </c>
      <c r="J1215" s="8" t="s">
        <v>3939</v>
      </c>
    </row>
    <row r="1216" spans="1:10" x14ac:dyDescent="0.2">
      <c r="A1216" s="8" t="s">
        <v>56</v>
      </c>
      <c r="B1216" s="8" t="s">
        <v>62</v>
      </c>
      <c r="C1216" s="8" t="s">
        <v>3940</v>
      </c>
      <c r="D1216" s="8" t="s">
        <v>3941</v>
      </c>
      <c r="E1216" s="8" t="s">
        <v>3942</v>
      </c>
      <c r="F1216" s="8">
        <v>8.1531684299999991</v>
      </c>
      <c r="G1216" s="8">
        <v>-1.2405733999999999</v>
      </c>
      <c r="H1216" s="6" t="str">
        <f t="shared" si="10"/>
        <v>Inverse</v>
      </c>
      <c r="I1216" s="8" t="s">
        <v>50</v>
      </c>
      <c r="J1216" s="8" t="s">
        <v>34</v>
      </c>
    </row>
    <row r="1217" spans="1:10" x14ac:dyDescent="0.2">
      <c r="A1217" s="8" t="s">
        <v>56</v>
      </c>
      <c r="B1217" s="8" t="s">
        <v>62</v>
      </c>
      <c r="C1217" s="8" t="s">
        <v>3943</v>
      </c>
      <c r="D1217" s="8" t="s">
        <v>3944</v>
      </c>
      <c r="E1217" s="8" t="s">
        <v>3945</v>
      </c>
      <c r="F1217" s="8">
        <v>5.7299162199999998</v>
      </c>
      <c r="G1217" s="8">
        <v>-3.8624830999999999</v>
      </c>
      <c r="H1217" s="6" t="str">
        <f t="shared" si="10"/>
        <v>Inverse</v>
      </c>
      <c r="I1217" s="8" t="s">
        <v>3946</v>
      </c>
      <c r="J1217" s="8" t="s">
        <v>3946</v>
      </c>
    </row>
    <row r="1218" spans="1:10" x14ac:dyDescent="0.2">
      <c r="A1218" s="8" t="s">
        <v>56</v>
      </c>
      <c r="B1218" s="8" t="s">
        <v>62</v>
      </c>
      <c r="C1218" s="8" t="s">
        <v>1382</v>
      </c>
      <c r="D1218" s="8" t="s">
        <v>1383</v>
      </c>
      <c r="E1218" s="8" t="s">
        <v>1384</v>
      </c>
      <c r="F1218" s="8">
        <v>2.9422117000000001</v>
      </c>
      <c r="G1218" s="8">
        <v>-1.8340023000000001</v>
      </c>
      <c r="H1218" s="6" t="str">
        <f t="shared" si="10"/>
        <v>Inverse</v>
      </c>
      <c r="I1218" s="8" t="s">
        <v>50</v>
      </c>
      <c r="J1218" s="8" t="s">
        <v>1385</v>
      </c>
    </row>
    <row r="1219" spans="1:10" x14ac:dyDescent="0.2">
      <c r="A1219" s="8" t="s">
        <v>56</v>
      </c>
      <c r="B1219" s="8" t="s">
        <v>62</v>
      </c>
      <c r="C1219" s="8" t="s">
        <v>3947</v>
      </c>
      <c r="D1219" s="8" t="s">
        <v>3948</v>
      </c>
      <c r="E1219" s="8" t="s">
        <v>3949</v>
      </c>
      <c r="F1219" s="8">
        <v>1.2954613699999999</v>
      </c>
      <c r="G1219" s="8">
        <v>1.6390816100000001</v>
      </c>
      <c r="H1219" s="6" t="str">
        <f t="shared" si="10"/>
        <v>Direct</v>
      </c>
      <c r="I1219" s="8" t="s">
        <v>3950</v>
      </c>
      <c r="J1219" s="8" t="s">
        <v>3950</v>
      </c>
    </row>
    <row r="1220" spans="1:10" x14ac:dyDescent="0.2">
      <c r="A1220" s="8" t="s">
        <v>56</v>
      </c>
      <c r="B1220" s="8" t="s">
        <v>62</v>
      </c>
      <c r="C1220" s="8" t="s">
        <v>1588</v>
      </c>
      <c r="D1220" s="8" t="s">
        <v>1589</v>
      </c>
      <c r="E1220" s="8" t="s">
        <v>1590</v>
      </c>
      <c r="F1220" s="8">
        <v>1.7257239200000001</v>
      </c>
      <c r="G1220" s="8">
        <v>-2.5194907999999998</v>
      </c>
      <c r="H1220" s="6" t="str">
        <f t="shared" si="10"/>
        <v>Inverse</v>
      </c>
      <c r="I1220" s="8" t="s">
        <v>1591</v>
      </c>
      <c r="J1220" s="8" t="s">
        <v>1592</v>
      </c>
    </row>
    <row r="1221" spans="1:10" x14ac:dyDescent="0.2">
      <c r="A1221" s="8" t="s">
        <v>56</v>
      </c>
      <c r="B1221" s="8" t="s">
        <v>62</v>
      </c>
      <c r="C1221" s="8" t="s">
        <v>3951</v>
      </c>
      <c r="D1221" s="8" t="s">
        <v>3952</v>
      </c>
      <c r="E1221" s="8" t="s">
        <v>3953</v>
      </c>
      <c r="F1221" s="8">
        <v>-1.1694826</v>
      </c>
      <c r="G1221" s="8">
        <v>-1.3440700999999999</v>
      </c>
      <c r="H1221" s="6" t="str">
        <f t="shared" si="10"/>
        <v>Direct</v>
      </c>
      <c r="I1221" s="8" t="s">
        <v>3954</v>
      </c>
      <c r="J1221" s="8" t="s">
        <v>3954</v>
      </c>
    </row>
    <row r="1222" spans="1:10" x14ac:dyDescent="0.2">
      <c r="A1222" s="8" t="s">
        <v>56</v>
      </c>
      <c r="B1222" s="8" t="s">
        <v>62</v>
      </c>
      <c r="C1222" s="8" t="s">
        <v>3955</v>
      </c>
      <c r="D1222" s="8" t="s">
        <v>3956</v>
      </c>
      <c r="E1222" s="8" t="s">
        <v>3957</v>
      </c>
      <c r="F1222" s="8">
        <v>3.6840029599999999</v>
      </c>
      <c r="G1222" s="8">
        <v>1.0476613299999999</v>
      </c>
      <c r="H1222" s="6" t="str">
        <f t="shared" si="10"/>
        <v>Direct</v>
      </c>
      <c r="I1222" s="8" t="s">
        <v>3958</v>
      </c>
      <c r="J1222" s="8" t="s">
        <v>3958</v>
      </c>
    </row>
    <row r="1223" spans="1:10" x14ac:dyDescent="0.2">
      <c r="A1223" s="8" t="s">
        <v>56</v>
      </c>
      <c r="B1223" s="8" t="s">
        <v>62</v>
      </c>
      <c r="C1223" s="8" t="s">
        <v>724</v>
      </c>
      <c r="D1223" s="8" t="s">
        <v>725</v>
      </c>
      <c r="E1223" s="8" t="s">
        <v>726</v>
      </c>
      <c r="F1223" s="8">
        <v>3.5590162300000001</v>
      </c>
      <c r="G1223" s="8">
        <v>7.4615567</v>
      </c>
      <c r="H1223" s="6" t="str">
        <f t="shared" si="10"/>
        <v>Direct</v>
      </c>
      <c r="I1223" s="8" t="s">
        <v>727</v>
      </c>
      <c r="J1223" s="8" t="s">
        <v>727</v>
      </c>
    </row>
    <row r="1224" spans="1:10" x14ac:dyDescent="0.2">
      <c r="A1224" s="8" t="s">
        <v>56</v>
      </c>
      <c r="B1224" s="8" t="s">
        <v>62</v>
      </c>
      <c r="C1224" s="8" t="s">
        <v>3959</v>
      </c>
      <c r="D1224" s="8" t="s">
        <v>3960</v>
      </c>
      <c r="E1224" s="8" t="s">
        <v>3961</v>
      </c>
      <c r="F1224" s="8">
        <v>-1.2316024000000001</v>
      </c>
      <c r="G1224" s="8">
        <v>-3.1045888000000001</v>
      </c>
      <c r="H1224" s="6" t="str">
        <f t="shared" si="10"/>
        <v>Direct</v>
      </c>
      <c r="I1224" s="8" t="s">
        <v>3962</v>
      </c>
      <c r="J1224" s="8" t="s">
        <v>3962</v>
      </c>
    </row>
    <row r="1225" spans="1:10" x14ac:dyDescent="0.2">
      <c r="A1225" s="8" t="s">
        <v>56</v>
      </c>
      <c r="B1225" s="8" t="s">
        <v>62</v>
      </c>
      <c r="C1225" s="8" t="s">
        <v>3963</v>
      </c>
      <c r="D1225" s="8" t="s">
        <v>3964</v>
      </c>
      <c r="E1225" s="8" t="s">
        <v>3965</v>
      </c>
      <c r="F1225" s="8">
        <v>-1.8075498999999999</v>
      </c>
      <c r="G1225" s="8">
        <v>1.7908814500000001</v>
      </c>
      <c r="H1225" s="6" t="str">
        <f t="shared" si="10"/>
        <v>Inverse</v>
      </c>
      <c r="I1225" s="8" t="s">
        <v>3966</v>
      </c>
      <c r="J1225" s="8" t="s">
        <v>3966</v>
      </c>
    </row>
    <row r="1226" spans="1:10" x14ac:dyDescent="0.2">
      <c r="A1226" s="8" t="s">
        <v>56</v>
      </c>
      <c r="B1226" s="8" t="s">
        <v>62</v>
      </c>
      <c r="C1226" s="8" t="s">
        <v>3967</v>
      </c>
      <c r="D1226" s="8" t="s">
        <v>3968</v>
      </c>
      <c r="E1226" s="8" t="s">
        <v>3969</v>
      </c>
      <c r="F1226" s="8">
        <v>3.2293256100000001</v>
      </c>
      <c r="G1226" s="8">
        <v>3.3097975399999999</v>
      </c>
      <c r="H1226" s="6" t="str">
        <f t="shared" si="10"/>
        <v>Direct</v>
      </c>
      <c r="I1226" s="8" t="s">
        <v>3970</v>
      </c>
      <c r="J1226" s="8" t="s">
        <v>3971</v>
      </c>
    </row>
    <row r="1227" spans="1:10" x14ac:dyDescent="0.2">
      <c r="A1227" s="8" t="s">
        <v>56</v>
      </c>
      <c r="B1227" s="8" t="s">
        <v>62</v>
      </c>
      <c r="C1227" s="8" t="s">
        <v>3972</v>
      </c>
      <c r="D1227" s="8" t="s">
        <v>3973</v>
      </c>
      <c r="E1227" s="8" t="s">
        <v>3974</v>
      </c>
      <c r="F1227" s="8">
        <v>1.06857414</v>
      </c>
      <c r="G1227" s="8">
        <v>-1.2055606000000001</v>
      </c>
      <c r="H1227" s="6" t="str">
        <f t="shared" si="10"/>
        <v>Inverse</v>
      </c>
      <c r="I1227" s="8" t="s">
        <v>3975</v>
      </c>
      <c r="J1227" s="8" t="s">
        <v>3975</v>
      </c>
    </row>
    <row r="1228" spans="1:10" x14ac:dyDescent="0.2">
      <c r="A1228" s="8" t="s">
        <v>56</v>
      </c>
      <c r="B1228" s="8" t="s">
        <v>62</v>
      </c>
      <c r="C1228" s="8" t="s">
        <v>2501</v>
      </c>
      <c r="D1228" s="8" t="s">
        <v>2502</v>
      </c>
      <c r="E1228" s="8" t="s">
        <v>2503</v>
      </c>
      <c r="F1228" s="8">
        <v>-5.8051427999999996</v>
      </c>
      <c r="G1228" s="8">
        <v>-1.0602646</v>
      </c>
      <c r="H1228" s="6" t="str">
        <f t="shared" si="10"/>
        <v>Direct</v>
      </c>
      <c r="I1228" s="8" t="s">
        <v>2504</v>
      </c>
      <c r="J1228" s="8" t="s">
        <v>2504</v>
      </c>
    </row>
    <row r="1229" spans="1:10" x14ac:dyDescent="0.2">
      <c r="A1229" s="8" t="s">
        <v>56</v>
      </c>
      <c r="B1229" s="8" t="s">
        <v>62</v>
      </c>
      <c r="C1229" s="8" t="s">
        <v>3976</v>
      </c>
      <c r="D1229" s="8" t="s">
        <v>3977</v>
      </c>
      <c r="E1229" s="8" t="s">
        <v>3978</v>
      </c>
      <c r="F1229" s="8">
        <v>-3.3183370000000001</v>
      </c>
      <c r="G1229" s="8">
        <v>-3.1541218</v>
      </c>
      <c r="H1229" s="6" t="str">
        <f t="shared" si="10"/>
        <v>Direct</v>
      </c>
      <c r="I1229" s="8" t="s">
        <v>3979</v>
      </c>
      <c r="J1229" s="8" t="s">
        <v>3979</v>
      </c>
    </row>
    <row r="1230" spans="1:10" x14ac:dyDescent="0.2">
      <c r="A1230" s="8" t="s">
        <v>56</v>
      </c>
      <c r="B1230" s="8" t="s">
        <v>62</v>
      </c>
      <c r="C1230" s="8" t="s">
        <v>3980</v>
      </c>
      <c r="D1230" s="8" t="s">
        <v>3981</v>
      </c>
      <c r="E1230" s="8" t="s">
        <v>3982</v>
      </c>
      <c r="F1230" s="8">
        <v>-2.3507207000000001</v>
      </c>
      <c r="G1230" s="8">
        <v>-5.3515731000000004</v>
      </c>
      <c r="H1230" s="6" t="str">
        <f t="shared" si="10"/>
        <v>Direct</v>
      </c>
      <c r="I1230" s="8" t="s">
        <v>2496</v>
      </c>
      <c r="J1230" s="8" t="s">
        <v>2496</v>
      </c>
    </row>
    <row r="1231" spans="1:10" x14ac:dyDescent="0.2">
      <c r="A1231" s="8" t="s">
        <v>56</v>
      </c>
      <c r="B1231" s="8" t="s">
        <v>62</v>
      </c>
      <c r="C1231" s="8" t="s">
        <v>735</v>
      </c>
      <c r="D1231" s="8" t="s">
        <v>736</v>
      </c>
      <c r="E1231" s="8" t="s">
        <v>737</v>
      </c>
      <c r="F1231" s="8">
        <v>-2.3548486</v>
      </c>
      <c r="G1231" s="8">
        <v>-1.8882862</v>
      </c>
      <c r="H1231" s="6" t="str">
        <f t="shared" si="10"/>
        <v>Direct</v>
      </c>
      <c r="I1231" s="8" t="s">
        <v>738</v>
      </c>
      <c r="J1231" s="8" t="s">
        <v>739</v>
      </c>
    </row>
    <row r="1232" spans="1:10" x14ac:dyDescent="0.2">
      <c r="A1232" s="8" t="s">
        <v>56</v>
      </c>
      <c r="B1232" s="8" t="s">
        <v>62</v>
      </c>
      <c r="C1232" s="8" t="s">
        <v>2514</v>
      </c>
      <c r="D1232" s="8" t="s">
        <v>2515</v>
      </c>
      <c r="E1232" s="8" t="s">
        <v>2516</v>
      </c>
      <c r="F1232" s="8">
        <v>-3.9422378999999999</v>
      </c>
      <c r="G1232" s="8">
        <v>-5.5048256000000002</v>
      </c>
      <c r="H1232" s="6" t="str">
        <f t="shared" si="10"/>
        <v>Direct</v>
      </c>
      <c r="I1232" s="8" t="s">
        <v>2517</v>
      </c>
      <c r="J1232" s="8" t="s">
        <v>2517</v>
      </c>
    </row>
    <row r="1233" spans="1:10" x14ac:dyDescent="0.2">
      <c r="A1233" s="8" t="s">
        <v>56</v>
      </c>
      <c r="B1233" s="8" t="s">
        <v>62</v>
      </c>
      <c r="C1233" s="8" t="s">
        <v>3983</v>
      </c>
      <c r="D1233" s="8" t="s">
        <v>3984</v>
      </c>
      <c r="E1233" s="8" t="s">
        <v>3985</v>
      </c>
      <c r="F1233" s="8">
        <v>1.15869793</v>
      </c>
      <c r="G1233" s="8">
        <v>-1.7098093999999999</v>
      </c>
      <c r="H1233" s="6" t="str">
        <f t="shared" si="10"/>
        <v>Inverse</v>
      </c>
      <c r="I1233" s="8" t="s">
        <v>3986</v>
      </c>
      <c r="J1233" s="8" t="s">
        <v>3986</v>
      </c>
    </row>
    <row r="1234" spans="1:10" x14ac:dyDescent="0.2">
      <c r="A1234" s="8" t="s">
        <v>56</v>
      </c>
      <c r="B1234" s="8" t="s">
        <v>62</v>
      </c>
      <c r="C1234" s="8" t="s">
        <v>3987</v>
      </c>
      <c r="D1234" s="8" t="s">
        <v>3988</v>
      </c>
      <c r="E1234" s="8" t="s">
        <v>3989</v>
      </c>
      <c r="F1234" s="8">
        <v>-2.6674376999999998</v>
      </c>
      <c r="G1234" s="8">
        <v>-1.5968192999999999</v>
      </c>
      <c r="H1234" s="6" t="str">
        <f t="shared" si="10"/>
        <v>Direct</v>
      </c>
      <c r="I1234" s="8" t="s">
        <v>3990</v>
      </c>
      <c r="J1234" s="8" t="s">
        <v>3990</v>
      </c>
    </row>
    <row r="1235" spans="1:10" x14ac:dyDescent="0.2">
      <c r="A1235" s="8" t="s">
        <v>56</v>
      </c>
      <c r="B1235" s="8" t="s">
        <v>62</v>
      </c>
      <c r="C1235" s="8" t="s">
        <v>2518</v>
      </c>
      <c r="D1235" s="8" t="s">
        <v>2519</v>
      </c>
      <c r="E1235" s="8" t="s">
        <v>2520</v>
      </c>
      <c r="F1235" s="8">
        <v>-2.5475359000000002</v>
      </c>
      <c r="G1235" s="8">
        <v>-1.8729753</v>
      </c>
      <c r="H1235" s="6" t="str">
        <f t="shared" si="10"/>
        <v>Direct</v>
      </c>
      <c r="I1235" s="8" t="s">
        <v>2521</v>
      </c>
      <c r="J1235" s="8" t="s">
        <v>2521</v>
      </c>
    </row>
    <row r="1236" spans="1:10" x14ac:dyDescent="0.2">
      <c r="A1236" s="8" t="s">
        <v>56</v>
      </c>
      <c r="B1236" s="8" t="s">
        <v>62</v>
      </c>
      <c r="C1236" s="8" t="s">
        <v>3991</v>
      </c>
      <c r="D1236" s="8" t="s">
        <v>3992</v>
      </c>
      <c r="E1236" s="8" t="s">
        <v>3993</v>
      </c>
      <c r="F1236" s="8">
        <v>-8.2421328000000003</v>
      </c>
      <c r="G1236" s="8">
        <v>-2.4848240000000001</v>
      </c>
      <c r="H1236" s="6" t="str">
        <f t="shared" si="10"/>
        <v>Direct</v>
      </c>
      <c r="I1236" s="8" t="s">
        <v>3994</v>
      </c>
      <c r="J1236" s="8" t="s">
        <v>3994</v>
      </c>
    </row>
    <row r="1237" spans="1:10" x14ac:dyDescent="0.2">
      <c r="A1237" s="8" t="s">
        <v>56</v>
      </c>
      <c r="B1237" s="8" t="s">
        <v>62</v>
      </c>
      <c r="C1237" s="8" t="s">
        <v>3995</v>
      </c>
      <c r="D1237" s="8" t="s">
        <v>3996</v>
      </c>
      <c r="E1237" s="8" t="s">
        <v>3997</v>
      </c>
      <c r="F1237" s="8">
        <v>9.8805741299999994</v>
      </c>
      <c r="G1237" s="8">
        <v>1.30790184</v>
      </c>
      <c r="H1237" s="6" t="str">
        <f t="shared" si="10"/>
        <v>Direct</v>
      </c>
      <c r="I1237" s="8" t="s">
        <v>3998</v>
      </c>
      <c r="J1237" s="8" t="s">
        <v>3998</v>
      </c>
    </row>
    <row r="1238" spans="1:10" x14ac:dyDescent="0.2">
      <c r="A1238" s="8" t="s">
        <v>56</v>
      </c>
      <c r="B1238" s="8" t="s">
        <v>62</v>
      </c>
      <c r="C1238" s="8" t="s">
        <v>2526</v>
      </c>
      <c r="D1238" s="8" t="s">
        <v>2527</v>
      </c>
      <c r="E1238" s="8" t="s">
        <v>2528</v>
      </c>
      <c r="F1238" s="8">
        <v>-3.5827726000000002</v>
      </c>
      <c r="G1238" s="8">
        <v>-4.2257014000000002</v>
      </c>
      <c r="H1238" s="6" t="str">
        <f t="shared" si="10"/>
        <v>Direct</v>
      </c>
      <c r="I1238" s="8" t="s">
        <v>2529</v>
      </c>
      <c r="J1238" s="8" t="s">
        <v>2530</v>
      </c>
    </row>
    <row r="1239" spans="1:10" x14ac:dyDescent="0.2">
      <c r="A1239" s="8" t="s">
        <v>56</v>
      </c>
      <c r="B1239" s="8" t="s">
        <v>62</v>
      </c>
      <c r="C1239" s="8" t="s">
        <v>3999</v>
      </c>
      <c r="D1239" s="8" t="s">
        <v>4000</v>
      </c>
      <c r="E1239" s="8" t="s">
        <v>4001</v>
      </c>
      <c r="F1239" s="8">
        <v>2.5401733700000002</v>
      </c>
      <c r="G1239" s="8">
        <v>-1.0781972</v>
      </c>
      <c r="H1239" s="6" t="str">
        <f t="shared" si="10"/>
        <v>Inverse</v>
      </c>
      <c r="I1239" s="8" t="s">
        <v>50</v>
      </c>
      <c r="J1239" s="8" t="s">
        <v>4002</v>
      </c>
    </row>
    <row r="1240" spans="1:10" x14ac:dyDescent="0.2">
      <c r="A1240" s="8" t="s">
        <v>56</v>
      </c>
      <c r="B1240" s="8" t="s">
        <v>62</v>
      </c>
      <c r="C1240" s="8" t="s">
        <v>4003</v>
      </c>
      <c r="D1240" s="8" t="s">
        <v>4004</v>
      </c>
      <c r="E1240" s="8" t="s">
        <v>4005</v>
      </c>
      <c r="F1240" s="8">
        <v>2.4782880700000001</v>
      </c>
      <c r="G1240" s="8">
        <v>-1.0945161999999999</v>
      </c>
      <c r="H1240" s="6" t="str">
        <f t="shared" si="10"/>
        <v>Inverse</v>
      </c>
      <c r="I1240" s="8" t="s">
        <v>4006</v>
      </c>
      <c r="J1240" s="8" t="s">
        <v>4006</v>
      </c>
    </row>
    <row r="1241" spans="1:10" x14ac:dyDescent="0.2">
      <c r="A1241" s="8" t="s">
        <v>56</v>
      </c>
      <c r="B1241" s="8" t="s">
        <v>62</v>
      </c>
      <c r="C1241" s="8" t="s">
        <v>2534</v>
      </c>
      <c r="D1241" s="8" t="s">
        <v>2535</v>
      </c>
      <c r="E1241" s="8" t="s">
        <v>2536</v>
      </c>
      <c r="F1241" s="8">
        <v>-3.0082683000000001</v>
      </c>
      <c r="G1241" s="8">
        <v>-4.1444269</v>
      </c>
      <c r="H1241" s="6" t="str">
        <f t="shared" si="10"/>
        <v>Direct</v>
      </c>
      <c r="I1241" s="8" t="s">
        <v>2537</v>
      </c>
      <c r="J1241" s="8" t="s">
        <v>2537</v>
      </c>
    </row>
    <row r="1242" spans="1:10" x14ac:dyDescent="0.2">
      <c r="A1242" s="8" t="s">
        <v>56</v>
      </c>
      <c r="B1242" s="8" t="s">
        <v>62</v>
      </c>
      <c r="C1242" s="8" t="s">
        <v>2538</v>
      </c>
      <c r="D1242" s="8" t="s">
        <v>2539</v>
      </c>
      <c r="E1242" s="8" t="s">
        <v>2540</v>
      </c>
      <c r="F1242" s="8">
        <v>1.40672921</v>
      </c>
      <c r="G1242" s="8">
        <v>-1.3965046000000001</v>
      </c>
      <c r="H1242" s="6" t="str">
        <f t="shared" si="10"/>
        <v>Inverse</v>
      </c>
      <c r="I1242" s="8" t="s">
        <v>2541</v>
      </c>
      <c r="J1242" s="8" t="s">
        <v>2541</v>
      </c>
    </row>
    <row r="1243" spans="1:10" x14ac:dyDescent="0.2">
      <c r="A1243" s="8" t="s">
        <v>56</v>
      </c>
      <c r="B1243" s="8" t="s">
        <v>62</v>
      </c>
      <c r="C1243" s="8" t="s">
        <v>4007</v>
      </c>
      <c r="D1243" s="8" t="s">
        <v>4008</v>
      </c>
      <c r="E1243" s="8" t="s">
        <v>4009</v>
      </c>
      <c r="F1243" s="8">
        <v>1.6050273100000001</v>
      </c>
      <c r="G1243" s="8">
        <v>-1.7253482</v>
      </c>
      <c r="H1243" s="6" t="str">
        <f t="shared" si="10"/>
        <v>Inverse</v>
      </c>
      <c r="I1243" s="8" t="s">
        <v>4010</v>
      </c>
      <c r="J1243" s="8" t="s">
        <v>4010</v>
      </c>
    </row>
    <row r="1244" spans="1:10" x14ac:dyDescent="0.2">
      <c r="A1244" s="8" t="s">
        <v>56</v>
      </c>
      <c r="B1244" s="8" t="s">
        <v>62</v>
      </c>
      <c r="C1244" s="8" t="s">
        <v>1485</v>
      </c>
      <c r="D1244" s="8" t="s">
        <v>1486</v>
      </c>
      <c r="E1244" s="8" t="s">
        <v>1487</v>
      </c>
      <c r="F1244" s="8">
        <v>-1.8575550000000001</v>
      </c>
      <c r="G1244" s="8">
        <v>-1.5655908000000001</v>
      </c>
      <c r="H1244" s="6" t="str">
        <f t="shared" si="10"/>
        <v>Direct</v>
      </c>
      <c r="I1244" s="8" t="s">
        <v>50</v>
      </c>
      <c r="J1244" s="8" t="s">
        <v>1488</v>
      </c>
    </row>
    <row r="1245" spans="1:10" x14ac:dyDescent="0.2">
      <c r="A1245" s="8" t="s">
        <v>56</v>
      </c>
      <c r="B1245" s="8" t="s">
        <v>62</v>
      </c>
      <c r="C1245" s="8" t="s">
        <v>4011</v>
      </c>
      <c r="D1245" s="8" t="s">
        <v>4012</v>
      </c>
      <c r="E1245" s="8" t="s">
        <v>4013</v>
      </c>
      <c r="F1245" s="8">
        <v>3.18471379</v>
      </c>
      <c r="G1245" s="8">
        <v>1.03927663</v>
      </c>
      <c r="H1245" s="6" t="str">
        <f t="shared" si="10"/>
        <v>Direct</v>
      </c>
      <c r="I1245" s="8" t="s">
        <v>4014</v>
      </c>
      <c r="J1245" s="8" t="s">
        <v>4014</v>
      </c>
    </row>
    <row r="1246" spans="1:10" x14ac:dyDescent="0.2">
      <c r="A1246" s="8" t="s">
        <v>56</v>
      </c>
      <c r="B1246" s="8" t="s">
        <v>62</v>
      </c>
      <c r="C1246" s="8" t="s">
        <v>4015</v>
      </c>
      <c r="D1246" s="8" t="s">
        <v>4016</v>
      </c>
      <c r="E1246" s="8" t="s">
        <v>4017</v>
      </c>
      <c r="F1246" s="8">
        <v>-14.118458</v>
      </c>
      <c r="G1246" s="8">
        <v>-1.8291500999999999</v>
      </c>
      <c r="H1246" s="6" t="str">
        <f t="shared" si="10"/>
        <v>Direct</v>
      </c>
      <c r="I1246" s="8" t="s">
        <v>87</v>
      </c>
      <c r="J1246" s="8" t="s">
        <v>87</v>
      </c>
    </row>
    <row r="1247" spans="1:10" x14ac:dyDescent="0.2">
      <c r="A1247" s="8" t="s">
        <v>56</v>
      </c>
      <c r="B1247" s="8" t="s">
        <v>62</v>
      </c>
      <c r="C1247" s="8" t="s">
        <v>4018</v>
      </c>
      <c r="D1247" s="8" t="s">
        <v>4019</v>
      </c>
      <c r="E1247" s="8" t="s">
        <v>4020</v>
      </c>
      <c r="F1247" s="8">
        <v>-1.9276416000000001</v>
      </c>
      <c r="G1247" s="8">
        <v>-1.0518495000000001</v>
      </c>
      <c r="H1247" s="6" t="str">
        <f t="shared" si="10"/>
        <v>Direct</v>
      </c>
      <c r="I1247" s="8" t="s">
        <v>4021</v>
      </c>
      <c r="J1247" s="8" t="s">
        <v>4021</v>
      </c>
    </row>
    <row r="1248" spans="1:10" x14ac:dyDescent="0.2">
      <c r="A1248" s="8" t="s">
        <v>56</v>
      </c>
      <c r="B1248" s="8" t="s">
        <v>62</v>
      </c>
      <c r="C1248" s="8" t="s">
        <v>4022</v>
      </c>
      <c r="D1248" s="8" t="s">
        <v>4023</v>
      </c>
      <c r="E1248" s="8" t="s">
        <v>4024</v>
      </c>
      <c r="F1248" s="8">
        <v>1.82023946</v>
      </c>
      <c r="G1248" s="8">
        <v>1.2963471600000001</v>
      </c>
      <c r="H1248" s="6" t="str">
        <f t="shared" si="10"/>
        <v>Direct</v>
      </c>
      <c r="I1248" s="8" t="s">
        <v>50</v>
      </c>
      <c r="J1248" s="8" t="s">
        <v>4025</v>
      </c>
    </row>
    <row r="1249" spans="1:10" x14ac:dyDescent="0.2">
      <c r="A1249" s="8" t="s">
        <v>56</v>
      </c>
      <c r="B1249" s="8" t="s">
        <v>62</v>
      </c>
      <c r="C1249" s="8" t="s">
        <v>2558</v>
      </c>
      <c r="D1249" s="8" t="s">
        <v>2559</v>
      </c>
      <c r="E1249" s="8" t="s">
        <v>2560</v>
      </c>
      <c r="F1249" s="8">
        <v>-7.7825813000000004</v>
      </c>
      <c r="G1249" s="8">
        <v>-6.3529502999999998</v>
      </c>
      <c r="H1249" s="6" t="str">
        <f t="shared" si="10"/>
        <v>Direct</v>
      </c>
      <c r="I1249" s="8" t="s">
        <v>2561</v>
      </c>
      <c r="J1249" s="8" t="s">
        <v>2561</v>
      </c>
    </row>
    <row r="1250" spans="1:10" x14ac:dyDescent="0.2">
      <c r="A1250" s="8" t="s">
        <v>56</v>
      </c>
      <c r="B1250" s="8" t="s">
        <v>62</v>
      </c>
      <c r="C1250" s="8" t="s">
        <v>4026</v>
      </c>
      <c r="D1250" s="8" t="s">
        <v>4027</v>
      </c>
      <c r="E1250" s="8" t="s">
        <v>4028</v>
      </c>
      <c r="F1250" s="8">
        <v>-1.1426883000000001</v>
      </c>
      <c r="G1250" s="8">
        <v>-3.3990578999999999</v>
      </c>
      <c r="H1250" s="6" t="str">
        <f t="shared" si="10"/>
        <v>Direct</v>
      </c>
      <c r="I1250" s="8" t="s">
        <v>4029</v>
      </c>
      <c r="J1250" s="8" t="s">
        <v>4029</v>
      </c>
    </row>
    <row r="1251" spans="1:10" x14ac:dyDescent="0.2">
      <c r="A1251" s="8" t="s">
        <v>56</v>
      </c>
      <c r="B1251" s="8" t="s">
        <v>62</v>
      </c>
      <c r="C1251" s="8" t="s">
        <v>2562</v>
      </c>
      <c r="D1251" s="8" t="s">
        <v>2563</v>
      </c>
      <c r="E1251" s="8" t="s">
        <v>2564</v>
      </c>
      <c r="F1251" s="8">
        <v>2.67267038</v>
      </c>
      <c r="G1251" s="8">
        <v>1.6269914000000001</v>
      </c>
      <c r="H1251" s="6" t="str">
        <f t="shared" si="10"/>
        <v>Direct</v>
      </c>
      <c r="I1251" s="8" t="s">
        <v>2565</v>
      </c>
      <c r="J1251" s="8" t="s">
        <v>2565</v>
      </c>
    </row>
    <row r="1252" spans="1:10" x14ac:dyDescent="0.2">
      <c r="A1252" s="8" t="s">
        <v>56</v>
      </c>
      <c r="B1252" s="8" t="s">
        <v>62</v>
      </c>
      <c r="C1252" s="8" t="s">
        <v>4030</v>
      </c>
      <c r="D1252" s="8" t="s">
        <v>4031</v>
      </c>
      <c r="E1252" s="8" t="s">
        <v>4032</v>
      </c>
      <c r="F1252" s="8">
        <v>-4.3386548999999999</v>
      </c>
      <c r="G1252" s="8">
        <v>-2.5956261999999999</v>
      </c>
      <c r="H1252" s="6" t="str">
        <f t="shared" si="10"/>
        <v>Direct</v>
      </c>
      <c r="I1252" s="8" t="s">
        <v>554</v>
      </c>
      <c r="J1252" s="8" t="s">
        <v>554</v>
      </c>
    </row>
    <row r="1253" spans="1:10" x14ac:dyDescent="0.2">
      <c r="A1253" s="8" t="s">
        <v>56</v>
      </c>
      <c r="B1253" s="8" t="s">
        <v>62</v>
      </c>
      <c r="C1253" s="8" t="s">
        <v>2570</v>
      </c>
      <c r="D1253" s="8" t="s">
        <v>2571</v>
      </c>
      <c r="E1253" s="8" t="s">
        <v>2572</v>
      </c>
      <c r="F1253" s="8">
        <v>-3.4457409000000001</v>
      </c>
      <c r="G1253" s="8">
        <v>-11.534238999999999</v>
      </c>
      <c r="H1253" s="6" t="str">
        <f t="shared" si="10"/>
        <v>Direct</v>
      </c>
      <c r="I1253" s="8" t="s">
        <v>2573</v>
      </c>
      <c r="J1253" s="8" t="s">
        <v>2573</v>
      </c>
    </row>
    <row r="1254" spans="1:10" x14ac:dyDescent="0.2">
      <c r="A1254" s="8" t="s">
        <v>56</v>
      </c>
      <c r="B1254" s="8" t="s">
        <v>62</v>
      </c>
      <c r="C1254" s="8" t="s">
        <v>2574</v>
      </c>
      <c r="D1254" s="8" t="s">
        <v>2575</v>
      </c>
      <c r="E1254" s="8" t="s">
        <v>2576</v>
      </c>
      <c r="F1254" s="8">
        <v>-1.0206710999999999</v>
      </c>
      <c r="G1254" s="8">
        <v>-2.3070457000000002</v>
      </c>
      <c r="H1254" s="6" t="str">
        <f t="shared" si="10"/>
        <v>Direct</v>
      </c>
      <c r="I1254" s="8" t="s">
        <v>2577</v>
      </c>
      <c r="J1254" s="8" t="s">
        <v>2577</v>
      </c>
    </row>
    <row r="1255" spans="1:10" x14ac:dyDescent="0.2">
      <c r="A1255" s="8" t="s">
        <v>56</v>
      </c>
      <c r="B1255" s="8" t="s">
        <v>62</v>
      </c>
      <c r="C1255" s="8" t="s">
        <v>4033</v>
      </c>
      <c r="D1255" s="8" t="s">
        <v>4034</v>
      </c>
      <c r="E1255" s="8" t="s">
        <v>4035</v>
      </c>
      <c r="F1255" s="8">
        <v>-2.6817348999999999</v>
      </c>
      <c r="G1255" s="8">
        <v>-2.2553131999999998</v>
      </c>
      <c r="H1255" s="6" t="str">
        <f t="shared" si="10"/>
        <v>Direct</v>
      </c>
      <c r="I1255" s="8" t="s">
        <v>4036</v>
      </c>
      <c r="J1255" s="8" t="s">
        <v>4036</v>
      </c>
    </row>
    <row r="1256" spans="1:10" x14ac:dyDescent="0.2">
      <c r="A1256" s="8" t="s">
        <v>56</v>
      </c>
      <c r="B1256" s="8" t="s">
        <v>62</v>
      </c>
      <c r="C1256" s="8" t="s">
        <v>4037</v>
      </c>
      <c r="D1256" s="8" t="s">
        <v>4038</v>
      </c>
      <c r="E1256" s="8" t="s">
        <v>4039</v>
      </c>
      <c r="F1256" s="8">
        <v>1.66323647</v>
      </c>
      <c r="G1256" s="8">
        <v>-1.5011806000000001</v>
      </c>
      <c r="H1256" s="6" t="str">
        <f t="shared" si="10"/>
        <v>Inverse</v>
      </c>
      <c r="I1256" s="8" t="s">
        <v>4040</v>
      </c>
      <c r="J1256" s="8" t="s">
        <v>4040</v>
      </c>
    </row>
    <row r="1257" spans="1:10" x14ac:dyDescent="0.2">
      <c r="A1257" s="8" t="s">
        <v>56</v>
      </c>
      <c r="B1257" s="8" t="s">
        <v>62</v>
      </c>
      <c r="C1257" s="8" t="s">
        <v>4041</v>
      </c>
      <c r="D1257" s="8" t="s">
        <v>4042</v>
      </c>
      <c r="E1257" s="8" t="s">
        <v>4043</v>
      </c>
      <c r="F1257" s="8">
        <v>-1.2695367</v>
      </c>
      <c r="G1257" s="8">
        <v>-1.3298080999999999</v>
      </c>
      <c r="H1257" s="6" t="str">
        <f t="shared" si="10"/>
        <v>Direct</v>
      </c>
      <c r="I1257" s="8" t="s">
        <v>2147</v>
      </c>
      <c r="J1257" s="8" t="s">
        <v>2147</v>
      </c>
    </row>
    <row r="1258" spans="1:10" x14ac:dyDescent="0.2">
      <c r="A1258" s="8" t="s">
        <v>56</v>
      </c>
      <c r="B1258" s="8" t="s">
        <v>62</v>
      </c>
      <c r="C1258" s="8" t="s">
        <v>4044</v>
      </c>
      <c r="D1258" s="8" t="s">
        <v>4045</v>
      </c>
      <c r="E1258" s="8" t="s">
        <v>4046</v>
      </c>
      <c r="F1258" s="8">
        <v>-1.3478044</v>
      </c>
      <c r="G1258" s="8">
        <v>-1.3788408000000001</v>
      </c>
      <c r="H1258" s="6" t="str">
        <f t="shared" si="10"/>
        <v>Direct</v>
      </c>
      <c r="I1258" s="8" t="s">
        <v>50</v>
      </c>
      <c r="J1258" s="8" t="s">
        <v>3308</v>
      </c>
    </row>
    <row r="1259" spans="1:10" x14ac:dyDescent="0.2">
      <c r="A1259" s="8" t="s">
        <v>56</v>
      </c>
      <c r="B1259" s="8" t="s">
        <v>62</v>
      </c>
      <c r="C1259" s="8" t="s">
        <v>2578</v>
      </c>
      <c r="D1259" s="8" t="s">
        <v>2579</v>
      </c>
      <c r="E1259" s="8" t="s">
        <v>2580</v>
      </c>
      <c r="F1259" s="8">
        <v>-4.6368295000000002</v>
      </c>
      <c r="G1259" s="8">
        <v>-1.2170998</v>
      </c>
      <c r="H1259" s="6" t="str">
        <f t="shared" si="10"/>
        <v>Direct</v>
      </c>
      <c r="I1259" s="8" t="s">
        <v>2581</v>
      </c>
      <c r="J1259" s="8" t="s">
        <v>2581</v>
      </c>
    </row>
    <row r="1260" spans="1:10" x14ac:dyDescent="0.2">
      <c r="A1260" s="8" t="s">
        <v>56</v>
      </c>
      <c r="B1260" s="8" t="s">
        <v>62</v>
      </c>
      <c r="C1260" s="8" t="s">
        <v>4047</v>
      </c>
      <c r="D1260" s="8" t="s">
        <v>4048</v>
      </c>
      <c r="E1260" s="8" t="s">
        <v>4049</v>
      </c>
      <c r="F1260" s="8">
        <v>-2.1578051</v>
      </c>
      <c r="G1260" s="8">
        <v>-1.1146379</v>
      </c>
      <c r="H1260" s="6" t="str">
        <f t="shared" si="10"/>
        <v>Direct</v>
      </c>
      <c r="I1260" s="8" t="s">
        <v>4050</v>
      </c>
      <c r="J1260" s="8" t="s">
        <v>4051</v>
      </c>
    </row>
    <row r="1261" spans="1:10" x14ac:dyDescent="0.2">
      <c r="A1261" s="8" t="s">
        <v>56</v>
      </c>
      <c r="B1261" s="8" t="s">
        <v>62</v>
      </c>
      <c r="C1261" s="8" t="s">
        <v>4052</v>
      </c>
      <c r="D1261" s="8" t="s">
        <v>4053</v>
      </c>
      <c r="E1261" s="8" t="s">
        <v>4054</v>
      </c>
      <c r="F1261" s="8">
        <v>1.0938173099999999</v>
      </c>
      <c r="G1261" s="8">
        <v>1.0359311899999999</v>
      </c>
      <c r="H1261" s="6" t="str">
        <f t="shared" si="10"/>
        <v>Direct</v>
      </c>
      <c r="I1261" s="8" t="s">
        <v>50</v>
      </c>
      <c r="J1261" s="8" t="s">
        <v>1399</v>
      </c>
    </row>
    <row r="1262" spans="1:10" x14ac:dyDescent="0.2">
      <c r="A1262" s="8" t="s">
        <v>56</v>
      </c>
      <c r="B1262" s="8" t="s">
        <v>62</v>
      </c>
      <c r="C1262" s="8" t="s">
        <v>2582</v>
      </c>
      <c r="D1262" s="8" t="s">
        <v>2583</v>
      </c>
      <c r="E1262" s="8" t="s">
        <v>2584</v>
      </c>
      <c r="F1262" s="8">
        <v>-1.0156048</v>
      </c>
      <c r="G1262" s="8">
        <v>-1.8848301999999999</v>
      </c>
      <c r="H1262" s="6" t="str">
        <f t="shared" si="10"/>
        <v>Direct</v>
      </c>
      <c r="I1262" s="8" t="s">
        <v>2585</v>
      </c>
      <c r="J1262" s="8" t="s">
        <v>2585</v>
      </c>
    </row>
    <row r="1263" spans="1:10" x14ac:dyDescent="0.2">
      <c r="A1263" s="8" t="s">
        <v>56</v>
      </c>
      <c r="B1263" s="8" t="s">
        <v>62</v>
      </c>
      <c r="C1263" s="8" t="s">
        <v>4055</v>
      </c>
      <c r="D1263" s="8" t="s">
        <v>4056</v>
      </c>
      <c r="E1263" s="8" t="s">
        <v>4057</v>
      </c>
      <c r="F1263" s="8">
        <v>-1.5000587000000001</v>
      </c>
      <c r="G1263" s="8">
        <v>-1.4453237000000001</v>
      </c>
      <c r="H1263" s="6" t="str">
        <f t="shared" si="10"/>
        <v>Direct</v>
      </c>
      <c r="I1263" s="8" t="s">
        <v>4058</v>
      </c>
      <c r="J1263" s="8" t="s">
        <v>4058</v>
      </c>
    </row>
    <row r="1264" spans="1:10" x14ac:dyDescent="0.2">
      <c r="A1264" s="8" t="s">
        <v>56</v>
      </c>
      <c r="B1264" s="8" t="s">
        <v>62</v>
      </c>
      <c r="C1264" s="8" t="s">
        <v>2586</v>
      </c>
      <c r="D1264" s="8" t="s">
        <v>2587</v>
      </c>
      <c r="E1264" s="8" t="s">
        <v>2588</v>
      </c>
      <c r="F1264" s="8">
        <v>-13.287976</v>
      </c>
      <c r="G1264" s="8">
        <v>-2.4443001999999998</v>
      </c>
      <c r="H1264" s="6" t="str">
        <f t="shared" si="10"/>
        <v>Direct</v>
      </c>
      <c r="I1264" s="8" t="s">
        <v>2589</v>
      </c>
      <c r="J1264" s="8" t="s">
        <v>2590</v>
      </c>
    </row>
    <row r="1265" spans="1:10" x14ac:dyDescent="0.2">
      <c r="A1265" s="8" t="s">
        <v>56</v>
      </c>
      <c r="B1265" s="8" t="s">
        <v>62</v>
      </c>
      <c r="C1265" s="8" t="s">
        <v>4059</v>
      </c>
      <c r="D1265" s="8" t="s">
        <v>4060</v>
      </c>
      <c r="E1265" s="8" t="s">
        <v>4061</v>
      </c>
      <c r="F1265" s="8">
        <v>1.1561671600000001</v>
      </c>
      <c r="G1265" s="8">
        <v>2.1674563899999999</v>
      </c>
      <c r="H1265" s="6" t="str">
        <f t="shared" si="10"/>
        <v>Direct</v>
      </c>
      <c r="I1265" s="8" t="s">
        <v>50</v>
      </c>
      <c r="J1265" s="8" t="s">
        <v>4062</v>
      </c>
    </row>
    <row r="1266" spans="1:10" x14ac:dyDescent="0.2">
      <c r="A1266" s="8" t="s">
        <v>56</v>
      </c>
      <c r="B1266" s="8" t="s">
        <v>62</v>
      </c>
      <c r="C1266" s="8" t="s">
        <v>4063</v>
      </c>
      <c r="D1266" s="8" t="s">
        <v>4064</v>
      </c>
      <c r="E1266" s="8" t="s">
        <v>4065</v>
      </c>
      <c r="F1266" s="8">
        <v>1.8340788699999999</v>
      </c>
      <c r="G1266" s="8">
        <v>-1.4690662999999999</v>
      </c>
      <c r="H1266" s="6" t="str">
        <f t="shared" si="10"/>
        <v>Inverse</v>
      </c>
      <c r="I1266" s="8" t="s">
        <v>50</v>
      </c>
      <c r="J1266" s="8" t="s">
        <v>272</v>
      </c>
    </row>
    <row r="1267" spans="1:10" x14ac:dyDescent="0.2">
      <c r="A1267" s="8" t="s">
        <v>56</v>
      </c>
      <c r="B1267" s="8" t="s">
        <v>62</v>
      </c>
      <c r="C1267" s="8" t="s">
        <v>4066</v>
      </c>
      <c r="D1267" s="8" t="s">
        <v>4067</v>
      </c>
      <c r="E1267" s="8" t="s">
        <v>4068</v>
      </c>
      <c r="F1267" s="8">
        <v>-1.2555246</v>
      </c>
      <c r="G1267" s="8">
        <v>-2.3853863</v>
      </c>
      <c r="H1267" s="6" t="str">
        <f t="shared" si="10"/>
        <v>Direct</v>
      </c>
      <c r="I1267" s="8" t="s">
        <v>4069</v>
      </c>
      <c r="J1267" s="8" t="s">
        <v>4069</v>
      </c>
    </row>
    <row r="1268" spans="1:10" x14ac:dyDescent="0.2">
      <c r="A1268" s="8" t="s">
        <v>56</v>
      </c>
      <c r="B1268" s="8" t="s">
        <v>62</v>
      </c>
      <c r="C1268" s="8" t="s">
        <v>4070</v>
      </c>
      <c r="D1268" s="8" t="s">
        <v>4071</v>
      </c>
      <c r="E1268" s="8" t="s">
        <v>4072</v>
      </c>
      <c r="F1268" s="8">
        <v>-1.4498255</v>
      </c>
      <c r="G1268" s="8">
        <v>-1.0178583000000001</v>
      </c>
      <c r="H1268" s="6" t="str">
        <f t="shared" si="10"/>
        <v>Direct</v>
      </c>
      <c r="I1268" s="8" t="s">
        <v>4073</v>
      </c>
      <c r="J1268" s="8" t="s">
        <v>4073</v>
      </c>
    </row>
    <row r="1269" spans="1:10" x14ac:dyDescent="0.2">
      <c r="A1269" s="8" t="s">
        <v>56</v>
      </c>
      <c r="B1269" s="8" t="s">
        <v>62</v>
      </c>
      <c r="C1269" s="8" t="s">
        <v>4074</v>
      </c>
      <c r="D1269" s="8" t="s">
        <v>4075</v>
      </c>
      <c r="E1269" s="8" t="s">
        <v>4076</v>
      </c>
      <c r="F1269" s="8">
        <v>-1.7847819</v>
      </c>
      <c r="G1269" s="8">
        <v>1.0128125400000001</v>
      </c>
      <c r="H1269" s="6" t="str">
        <f t="shared" si="10"/>
        <v>Inverse</v>
      </c>
      <c r="I1269" s="8" t="s">
        <v>4077</v>
      </c>
      <c r="J1269" s="8" t="s">
        <v>4077</v>
      </c>
    </row>
    <row r="1270" spans="1:10" x14ac:dyDescent="0.2">
      <c r="A1270" s="8" t="s">
        <v>56</v>
      </c>
      <c r="B1270" s="8" t="s">
        <v>62</v>
      </c>
      <c r="C1270" s="8" t="s">
        <v>4078</v>
      </c>
      <c r="D1270" s="8" t="s">
        <v>4079</v>
      </c>
      <c r="E1270" s="8" t="s">
        <v>4080</v>
      </c>
      <c r="F1270" s="8">
        <v>-4.0031980999999996</v>
      </c>
      <c r="G1270" s="8">
        <v>1.21940548</v>
      </c>
      <c r="H1270" s="6" t="str">
        <f t="shared" si="10"/>
        <v>Inverse</v>
      </c>
      <c r="I1270" s="8" t="s">
        <v>50</v>
      </c>
      <c r="J1270" s="8" t="s">
        <v>50</v>
      </c>
    </row>
    <row r="1271" spans="1:10" x14ac:dyDescent="0.2">
      <c r="A1271" s="8" t="s">
        <v>56</v>
      </c>
      <c r="B1271" s="8" t="s">
        <v>62</v>
      </c>
      <c r="C1271" s="8" t="s">
        <v>2594</v>
      </c>
      <c r="D1271" s="8" t="s">
        <v>2595</v>
      </c>
      <c r="E1271" s="8" t="s">
        <v>2596</v>
      </c>
      <c r="F1271" s="8">
        <v>-8.4566865</v>
      </c>
      <c r="G1271" s="8">
        <v>-5.3355543000000001</v>
      </c>
      <c r="H1271" s="6" t="str">
        <f t="shared" si="10"/>
        <v>Direct</v>
      </c>
      <c r="I1271" s="8" t="s">
        <v>2597</v>
      </c>
      <c r="J1271" s="8" t="s">
        <v>2597</v>
      </c>
    </row>
    <row r="1272" spans="1:10" x14ac:dyDescent="0.2">
      <c r="A1272" s="8" t="s">
        <v>56</v>
      </c>
      <c r="B1272" s="8" t="s">
        <v>62</v>
      </c>
      <c r="C1272" s="8" t="s">
        <v>4081</v>
      </c>
      <c r="D1272" s="8" t="s">
        <v>4082</v>
      </c>
      <c r="E1272" s="8" t="s">
        <v>4083</v>
      </c>
      <c r="F1272" s="8">
        <v>-1.7791007999999999</v>
      </c>
      <c r="G1272" s="8">
        <v>-3.9833031000000001</v>
      </c>
      <c r="H1272" s="6" t="str">
        <f t="shared" si="10"/>
        <v>Direct</v>
      </c>
      <c r="I1272" s="8" t="s">
        <v>4084</v>
      </c>
      <c r="J1272" s="8" t="s">
        <v>4084</v>
      </c>
    </row>
    <row r="1273" spans="1:10" x14ac:dyDescent="0.2">
      <c r="A1273" s="8" t="s">
        <v>56</v>
      </c>
      <c r="B1273" s="8" t="s">
        <v>62</v>
      </c>
      <c r="C1273" s="8" t="s">
        <v>2598</v>
      </c>
      <c r="D1273" s="8" t="s">
        <v>2599</v>
      </c>
      <c r="E1273" s="8" t="s">
        <v>2600</v>
      </c>
      <c r="F1273" s="8">
        <v>-15.782398000000001</v>
      </c>
      <c r="G1273" s="8">
        <v>-6.2650869</v>
      </c>
      <c r="H1273" s="6" t="str">
        <f t="shared" si="10"/>
        <v>Direct</v>
      </c>
      <c r="I1273" s="8" t="s">
        <v>2601</v>
      </c>
      <c r="J1273" s="8" t="s">
        <v>2601</v>
      </c>
    </row>
    <row r="1274" spans="1:10" x14ac:dyDescent="0.2">
      <c r="A1274" s="8" t="s">
        <v>56</v>
      </c>
      <c r="B1274" s="8" t="s">
        <v>62</v>
      </c>
      <c r="C1274" s="8" t="s">
        <v>2602</v>
      </c>
      <c r="D1274" s="8" t="s">
        <v>2603</v>
      </c>
      <c r="E1274" s="8" t="s">
        <v>2604</v>
      </c>
      <c r="F1274" s="8">
        <v>-2.2474053999999999</v>
      </c>
      <c r="G1274" s="8">
        <v>-7.8805664000000002</v>
      </c>
      <c r="H1274" s="6" t="str">
        <f t="shared" si="10"/>
        <v>Direct</v>
      </c>
      <c r="I1274" s="8" t="s">
        <v>2605</v>
      </c>
      <c r="J1274" s="8" t="s">
        <v>2605</v>
      </c>
    </row>
    <row r="1275" spans="1:10" x14ac:dyDescent="0.2">
      <c r="A1275" s="8" t="s">
        <v>56</v>
      </c>
      <c r="B1275" s="8" t="s">
        <v>62</v>
      </c>
      <c r="C1275" s="8" t="s">
        <v>4085</v>
      </c>
      <c r="D1275" s="8" t="s">
        <v>4086</v>
      </c>
      <c r="E1275" s="8" t="s">
        <v>4087</v>
      </c>
      <c r="F1275" s="8">
        <v>-1.3378209999999999</v>
      </c>
      <c r="G1275" s="8">
        <v>-2.0474676999999999</v>
      </c>
      <c r="H1275" s="6" t="str">
        <f t="shared" si="10"/>
        <v>Direct</v>
      </c>
      <c r="I1275" s="8" t="s">
        <v>4088</v>
      </c>
      <c r="J1275" s="8" t="s">
        <v>4088</v>
      </c>
    </row>
    <row r="1276" spans="1:10" x14ac:dyDescent="0.2">
      <c r="A1276" s="8" t="s">
        <v>56</v>
      </c>
      <c r="B1276" s="8" t="s">
        <v>68</v>
      </c>
      <c r="C1276" s="8" t="s">
        <v>1396</v>
      </c>
      <c r="D1276" s="8" t="s">
        <v>1397</v>
      </c>
      <c r="E1276" s="8" t="s">
        <v>1398</v>
      </c>
      <c r="F1276" s="8">
        <v>2.8431665399999999</v>
      </c>
      <c r="G1276" s="8">
        <v>-1.2205706999999999</v>
      </c>
      <c r="H1276" s="6" t="str">
        <f t="shared" si="10"/>
        <v>Inverse</v>
      </c>
      <c r="I1276" s="8" t="s">
        <v>50</v>
      </c>
      <c r="J1276" s="8" t="s">
        <v>1399</v>
      </c>
    </row>
    <row r="1277" spans="1:10" x14ac:dyDescent="0.2">
      <c r="A1277" s="8" t="s">
        <v>56</v>
      </c>
      <c r="B1277" s="8" t="s">
        <v>68</v>
      </c>
      <c r="C1277" s="8" t="s">
        <v>4089</v>
      </c>
      <c r="D1277" s="8" t="s">
        <v>4090</v>
      </c>
      <c r="E1277" s="8" t="s">
        <v>4091</v>
      </c>
      <c r="F1277" s="8">
        <v>1.02742321</v>
      </c>
      <c r="G1277" s="8">
        <v>1.0056645799999999</v>
      </c>
      <c r="H1277" s="6" t="str">
        <f t="shared" ref="H1277:H1531" si="11">IF(OR(AND(F1277&gt;0,G1277&gt;0),AND(F1277&lt;0,G1277&lt;0)),"Direct","Inverse")</f>
        <v>Direct</v>
      </c>
      <c r="I1277" s="8" t="s">
        <v>859</v>
      </c>
      <c r="J1277" s="8" t="s">
        <v>859</v>
      </c>
    </row>
    <row r="1278" spans="1:10" x14ac:dyDescent="0.2">
      <c r="A1278" s="8" t="s">
        <v>56</v>
      </c>
      <c r="B1278" s="8" t="s">
        <v>68</v>
      </c>
      <c r="C1278" s="8" t="s">
        <v>4092</v>
      </c>
      <c r="D1278" s="8" t="s">
        <v>4093</v>
      </c>
      <c r="E1278" s="8" t="s">
        <v>4094</v>
      </c>
      <c r="F1278" s="8">
        <v>1.2131710200000001</v>
      </c>
      <c r="G1278" s="8">
        <v>1.5532327100000001</v>
      </c>
      <c r="H1278" s="6" t="str">
        <f t="shared" si="11"/>
        <v>Direct</v>
      </c>
      <c r="I1278" s="8" t="s">
        <v>2216</v>
      </c>
      <c r="J1278" s="8" t="s">
        <v>2216</v>
      </c>
    </row>
    <row r="1279" spans="1:10" x14ac:dyDescent="0.2">
      <c r="A1279" s="8" t="s">
        <v>56</v>
      </c>
      <c r="B1279" s="8" t="s">
        <v>68</v>
      </c>
      <c r="C1279" s="8" t="s">
        <v>4095</v>
      </c>
      <c r="D1279" s="8" t="s">
        <v>4096</v>
      </c>
      <c r="E1279" s="8" t="s">
        <v>4097</v>
      </c>
      <c r="F1279" s="8">
        <v>1.1937677099999999</v>
      </c>
      <c r="G1279" s="8">
        <v>1.3625895800000001</v>
      </c>
      <c r="H1279" s="6" t="str">
        <f t="shared" si="11"/>
        <v>Direct</v>
      </c>
      <c r="I1279" s="8" t="s">
        <v>2216</v>
      </c>
      <c r="J1279" s="8" t="s">
        <v>2216</v>
      </c>
    </row>
    <row r="1280" spans="1:10" x14ac:dyDescent="0.2">
      <c r="A1280" s="8" t="s">
        <v>56</v>
      </c>
      <c r="B1280" s="8" t="s">
        <v>68</v>
      </c>
      <c r="C1280" s="8" t="s">
        <v>1657</v>
      </c>
      <c r="D1280" s="8" t="s">
        <v>1658</v>
      </c>
      <c r="E1280" s="8" t="s">
        <v>1659</v>
      </c>
      <c r="F1280" s="8">
        <v>-2.6639482000000001</v>
      </c>
      <c r="G1280" s="8">
        <v>-1.2198798</v>
      </c>
      <c r="H1280" s="6" t="str">
        <f t="shared" si="11"/>
        <v>Direct</v>
      </c>
      <c r="I1280" s="8" t="s">
        <v>1660</v>
      </c>
      <c r="J1280" s="8" t="s">
        <v>1660</v>
      </c>
    </row>
    <row r="1281" spans="1:10" x14ac:dyDescent="0.2">
      <c r="A1281" s="8" t="s">
        <v>56</v>
      </c>
      <c r="B1281" s="8" t="s">
        <v>68</v>
      </c>
      <c r="C1281" s="8" t="s">
        <v>4098</v>
      </c>
      <c r="D1281" s="8" t="s">
        <v>4099</v>
      </c>
      <c r="E1281" s="8" t="s">
        <v>4100</v>
      </c>
      <c r="F1281" s="8">
        <v>-1.1937677</v>
      </c>
      <c r="G1281" s="8">
        <v>1.3145652800000001</v>
      </c>
      <c r="H1281" s="6" t="str">
        <f t="shared" si="11"/>
        <v>Inverse</v>
      </c>
      <c r="I1281" s="8" t="s">
        <v>445</v>
      </c>
      <c r="J1281" s="8" t="s">
        <v>4101</v>
      </c>
    </row>
    <row r="1282" spans="1:10" x14ac:dyDescent="0.2">
      <c r="A1282" s="8" t="s">
        <v>56</v>
      </c>
      <c r="B1282" s="8" t="s">
        <v>68</v>
      </c>
      <c r="C1282" s="8" t="s">
        <v>1696</v>
      </c>
      <c r="D1282" s="8" t="s">
        <v>1697</v>
      </c>
      <c r="E1282" s="8" t="s">
        <v>1698</v>
      </c>
      <c r="F1282" s="8">
        <v>1.49062191</v>
      </c>
      <c r="G1282" s="8">
        <v>2.0163131500000002</v>
      </c>
      <c r="H1282" s="6" t="str">
        <f t="shared" si="11"/>
        <v>Direct</v>
      </c>
      <c r="I1282" s="8" t="s">
        <v>1699</v>
      </c>
      <c r="J1282" s="8" t="s">
        <v>55</v>
      </c>
    </row>
    <row r="1283" spans="1:10" x14ac:dyDescent="0.2">
      <c r="A1283" s="8" t="s">
        <v>56</v>
      </c>
      <c r="B1283" s="8" t="s">
        <v>68</v>
      </c>
      <c r="C1283" s="8" t="s">
        <v>2798</v>
      </c>
      <c r="D1283" s="8" t="s">
        <v>2799</v>
      </c>
      <c r="E1283" s="8" t="s">
        <v>2800</v>
      </c>
      <c r="F1283" s="8">
        <v>1.7389452999999999</v>
      </c>
      <c r="G1283" s="8">
        <v>2.5840181200000001</v>
      </c>
      <c r="H1283" s="6" t="str">
        <f t="shared" si="11"/>
        <v>Direct</v>
      </c>
      <c r="I1283" s="8" t="s">
        <v>2801</v>
      </c>
      <c r="J1283" s="8" t="s">
        <v>2802</v>
      </c>
    </row>
    <row r="1284" spans="1:10" x14ac:dyDescent="0.2">
      <c r="A1284" s="8" t="s">
        <v>56</v>
      </c>
      <c r="B1284" s="8" t="s">
        <v>68</v>
      </c>
      <c r="C1284" s="8" t="s">
        <v>4102</v>
      </c>
      <c r="D1284" s="8" t="s">
        <v>4103</v>
      </c>
      <c r="E1284" s="8" t="s">
        <v>4104</v>
      </c>
      <c r="F1284" s="8">
        <v>1.1753504299999999</v>
      </c>
      <c r="G1284" s="8">
        <v>1.0572678900000001</v>
      </c>
      <c r="H1284" s="6" t="str">
        <f t="shared" si="11"/>
        <v>Direct</v>
      </c>
      <c r="I1284" s="8" t="s">
        <v>1449</v>
      </c>
      <c r="J1284" s="8" t="s">
        <v>1449</v>
      </c>
    </row>
    <row r="1285" spans="1:10" x14ac:dyDescent="0.2">
      <c r="A1285" s="8" t="s">
        <v>56</v>
      </c>
      <c r="B1285" s="8" t="s">
        <v>68</v>
      </c>
      <c r="C1285" s="8" t="s">
        <v>2931</v>
      </c>
      <c r="D1285" s="8" t="s">
        <v>2932</v>
      </c>
      <c r="E1285" s="8" t="s">
        <v>2933</v>
      </c>
      <c r="F1285" s="8">
        <v>1.4495057899999999</v>
      </c>
      <c r="G1285" s="8">
        <v>1.87128334</v>
      </c>
      <c r="H1285" s="6" t="str">
        <f t="shared" si="11"/>
        <v>Direct</v>
      </c>
      <c r="I1285" s="8" t="s">
        <v>50</v>
      </c>
      <c r="J1285" s="8" t="s">
        <v>2934</v>
      </c>
    </row>
    <row r="1286" spans="1:10" x14ac:dyDescent="0.2">
      <c r="A1286" s="8" t="s">
        <v>56</v>
      </c>
      <c r="B1286" s="8" t="s">
        <v>68</v>
      </c>
      <c r="C1286" s="8" t="s">
        <v>4105</v>
      </c>
      <c r="D1286" s="8" t="s">
        <v>4106</v>
      </c>
      <c r="E1286" s="8" t="s">
        <v>4107</v>
      </c>
      <c r="F1286" s="8">
        <v>1.56634797</v>
      </c>
      <c r="G1286" s="8">
        <v>1.7522056699999999</v>
      </c>
      <c r="H1286" s="6" t="str">
        <f t="shared" si="11"/>
        <v>Direct</v>
      </c>
      <c r="I1286" s="8" t="s">
        <v>4108</v>
      </c>
      <c r="J1286" s="8" t="s">
        <v>4109</v>
      </c>
    </row>
    <row r="1287" spans="1:10" x14ac:dyDescent="0.2">
      <c r="A1287" s="8" t="s">
        <v>56</v>
      </c>
      <c r="B1287" s="8" t="s">
        <v>68</v>
      </c>
      <c r="C1287" s="8" t="s">
        <v>4110</v>
      </c>
      <c r="D1287" s="8" t="s">
        <v>4111</v>
      </c>
      <c r="E1287" s="8" t="s">
        <v>4112</v>
      </c>
      <c r="F1287" s="8">
        <v>-2.379489</v>
      </c>
      <c r="G1287" s="8">
        <v>-1.7818559</v>
      </c>
      <c r="H1287" s="6" t="str">
        <f t="shared" si="11"/>
        <v>Direct</v>
      </c>
      <c r="I1287" s="8" t="s">
        <v>4113</v>
      </c>
      <c r="J1287" s="8" t="s">
        <v>4114</v>
      </c>
    </row>
    <row r="1288" spans="1:10" x14ac:dyDescent="0.2">
      <c r="A1288" s="8" t="s">
        <v>56</v>
      </c>
      <c r="B1288" s="8" t="s">
        <v>68</v>
      </c>
      <c r="C1288" s="8" t="s">
        <v>4115</v>
      </c>
      <c r="D1288" s="8" t="s">
        <v>4116</v>
      </c>
      <c r="E1288" s="8" t="s">
        <v>4117</v>
      </c>
      <c r="F1288" s="8">
        <v>-1.4466844000000001</v>
      </c>
      <c r="G1288" s="8">
        <v>1.1005289</v>
      </c>
      <c r="H1288" s="6" t="str">
        <f t="shared" si="11"/>
        <v>Inverse</v>
      </c>
      <c r="I1288" s="8" t="s">
        <v>4118</v>
      </c>
      <c r="J1288" s="8" t="s">
        <v>4118</v>
      </c>
    </row>
    <row r="1289" spans="1:10" x14ac:dyDescent="0.2">
      <c r="A1289" s="8" t="s">
        <v>56</v>
      </c>
      <c r="B1289" s="8" t="s">
        <v>68</v>
      </c>
      <c r="C1289" s="8" t="s">
        <v>4119</v>
      </c>
      <c r="D1289" s="8" t="s">
        <v>4120</v>
      </c>
      <c r="E1289" s="8" t="s">
        <v>4121</v>
      </c>
      <c r="F1289" s="8">
        <v>-1.4630044</v>
      </c>
      <c r="G1289" s="8">
        <v>1.00207237</v>
      </c>
      <c r="H1289" s="6" t="str">
        <f t="shared" si="11"/>
        <v>Inverse</v>
      </c>
      <c r="I1289" s="8" t="s">
        <v>4122</v>
      </c>
      <c r="J1289" s="8" t="s">
        <v>4122</v>
      </c>
    </row>
    <row r="1290" spans="1:10" x14ac:dyDescent="0.2">
      <c r="A1290" s="8" t="s">
        <v>56</v>
      </c>
      <c r="B1290" s="8" t="s">
        <v>68</v>
      </c>
      <c r="C1290" s="8" t="s">
        <v>3043</v>
      </c>
      <c r="D1290" s="8" t="s">
        <v>3044</v>
      </c>
      <c r="E1290" s="8" t="s">
        <v>3045</v>
      </c>
      <c r="F1290" s="8">
        <v>2.5061378300000001</v>
      </c>
      <c r="G1290" s="8">
        <v>1.00681891</v>
      </c>
      <c r="H1290" s="6" t="str">
        <f t="shared" si="11"/>
        <v>Direct</v>
      </c>
      <c r="I1290" s="8" t="s">
        <v>3046</v>
      </c>
      <c r="J1290" s="8" t="s">
        <v>3046</v>
      </c>
    </row>
    <row r="1291" spans="1:10" x14ac:dyDescent="0.2">
      <c r="A1291" s="8" t="s">
        <v>56</v>
      </c>
      <c r="B1291" s="8" t="s">
        <v>68</v>
      </c>
      <c r="C1291" s="8" t="s">
        <v>4123</v>
      </c>
      <c r="D1291" s="8" t="s">
        <v>4124</v>
      </c>
      <c r="E1291" s="8" t="s">
        <v>4125</v>
      </c>
      <c r="F1291" s="8">
        <v>-1.5156670999999999</v>
      </c>
      <c r="G1291" s="8">
        <v>1.00076079</v>
      </c>
      <c r="H1291" s="6" t="str">
        <f t="shared" si="11"/>
        <v>Inverse</v>
      </c>
      <c r="I1291" s="8" t="s">
        <v>50</v>
      </c>
      <c r="J1291" s="8" t="s">
        <v>2431</v>
      </c>
    </row>
    <row r="1292" spans="1:10" x14ac:dyDescent="0.2">
      <c r="A1292" s="8" t="s">
        <v>56</v>
      </c>
      <c r="B1292" s="8" t="s">
        <v>68</v>
      </c>
      <c r="C1292" s="8" t="s">
        <v>3099</v>
      </c>
      <c r="D1292" s="8" t="s">
        <v>3100</v>
      </c>
      <c r="E1292" s="8" t="s">
        <v>3101</v>
      </c>
      <c r="F1292" s="8">
        <v>2.0105677499999999</v>
      </c>
      <c r="G1292" s="8">
        <v>2.52792752</v>
      </c>
      <c r="H1292" s="6" t="str">
        <f t="shared" si="11"/>
        <v>Direct</v>
      </c>
      <c r="I1292" s="8" t="s">
        <v>3102</v>
      </c>
      <c r="J1292" s="8" t="s">
        <v>3102</v>
      </c>
    </row>
    <row r="1293" spans="1:10" x14ac:dyDescent="0.2">
      <c r="A1293" s="8" t="s">
        <v>56</v>
      </c>
      <c r="B1293" s="8" t="s">
        <v>68</v>
      </c>
      <c r="C1293" s="8" t="s">
        <v>3118</v>
      </c>
      <c r="D1293" s="8" t="s">
        <v>3119</v>
      </c>
      <c r="E1293" s="8" t="s">
        <v>3120</v>
      </c>
      <c r="F1293" s="8">
        <v>2.09913528</v>
      </c>
      <c r="G1293" s="8">
        <v>1.27892728</v>
      </c>
      <c r="H1293" s="6" t="str">
        <f t="shared" si="11"/>
        <v>Direct</v>
      </c>
      <c r="I1293" s="8" t="s">
        <v>3121</v>
      </c>
      <c r="J1293" s="8" t="s">
        <v>3121</v>
      </c>
    </row>
    <row r="1294" spans="1:10" x14ac:dyDescent="0.2">
      <c r="A1294" s="8" t="s">
        <v>56</v>
      </c>
      <c r="B1294" s="8" t="s">
        <v>68</v>
      </c>
      <c r="C1294" s="8" t="s">
        <v>3138</v>
      </c>
      <c r="D1294" s="8" t="s">
        <v>3139</v>
      </c>
      <c r="E1294" s="8" t="s">
        <v>3140</v>
      </c>
      <c r="F1294" s="8">
        <v>-2.0991352999999999</v>
      </c>
      <c r="G1294" s="8">
        <v>-1.9167460999999999</v>
      </c>
      <c r="H1294" s="6" t="str">
        <f t="shared" si="11"/>
        <v>Direct</v>
      </c>
      <c r="I1294" s="8" t="s">
        <v>3141</v>
      </c>
      <c r="J1294" s="8" t="s">
        <v>3141</v>
      </c>
    </row>
    <row r="1295" spans="1:10" x14ac:dyDescent="0.2">
      <c r="A1295" s="8" t="s">
        <v>56</v>
      </c>
      <c r="B1295" s="8" t="s">
        <v>68</v>
      </c>
      <c r="C1295" s="8" t="s">
        <v>2015</v>
      </c>
      <c r="D1295" s="8" t="s">
        <v>2016</v>
      </c>
      <c r="E1295" s="8" t="s">
        <v>2017</v>
      </c>
      <c r="F1295" s="8">
        <v>-1.6859761</v>
      </c>
      <c r="G1295" s="8">
        <v>1.4068614500000001</v>
      </c>
      <c r="H1295" s="6" t="str">
        <f t="shared" si="11"/>
        <v>Inverse</v>
      </c>
      <c r="I1295" s="8" t="s">
        <v>2018</v>
      </c>
      <c r="J1295" s="8" t="s">
        <v>2018</v>
      </c>
    </row>
    <row r="1296" spans="1:10" x14ac:dyDescent="0.2">
      <c r="A1296" s="8" t="s">
        <v>56</v>
      </c>
      <c r="B1296" s="8" t="s">
        <v>68</v>
      </c>
      <c r="C1296" s="8" t="s">
        <v>4126</v>
      </c>
      <c r="D1296" s="8" t="s">
        <v>4127</v>
      </c>
      <c r="E1296" s="8" t="s">
        <v>4128</v>
      </c>
      <c r="F1296" s="8">
        <v>-1.8404632999999999</v>
      </c>
      <c r="G1296" s="8">
        <v>1.57999574</v>
      </c>
      <c r="H1296" s="6" t="str">
        <f t="shared" si="11"/>
        <v>Inverse</v>
      </c>
      <c r="I1296" s="8" t="s">
        <v>2431</v>
      </c>
      <c r="J1296" s="8" t="s">
        <v>2431</v>
      </c>
    </row>
    <row r="1297" spans="1:10" x14ac:dyDescent="0.2">
      <c r="A1297" s="8" t="s">
        <v>56</v>
      </c>
      <c r="B1297" s="8" t="s">
        <v>68</v>
      </c>
      <c r="C1297" s="8" t="s">
        <v>3235</v>
      </c>
      <c r="D1297" s="8" t="s">
        <v>3236</v>
      </c>
      <c r="E1297" s="8" t="s">
        <v>3237</v>
      </c>
      <c r="F1297" s="8">
        <v>2.0762282500000002</v>
      </c>
      <c r="G1297" s="8">
        <v>1.7964053499999999</v>
      </c>
      <c r="H1297" s="6" t="str">
        <f t="shared" si="11"/>
        <v>Direct</v>
      </c>
      <c r="I1297" s="8" t="s">
        <v>1572</v>
      </c>
      <c r="J1297" s="8" t="s">
        <v>1572</v>
      </c>
    </row>
    <row r="1298" spans="1:10" x14ac:dyDescent="0.2">
      <c r="A1298" s="8" t="s">
        <v>56</v>
      </c>
      <c r="B1298" s="8" t="s">
        <v>68</v>
      </c>
      <c r="C1298" s="8" t="s">
        <v>2144</v>
      </c>
      <c r="D1298" s="8" t="s">
        <v>2145</v>
      </c>
      <c r="E1298" s="8" t="s">
        <v>2146</v>
      </c>
      <c r="F1298" s="8">
        <v>-2.5027183000000002</v>
      </c>
      <c r="G1298" s="8">
        <v>1.21814289</v>
      </c>
      <c r="H1298" s="6" t="str">
        <f t="shared" si="11"/>
        <v>Inverse</v>
      </c>
      <c r="I1298" s="8" t="s">
        <v>2147</v>
      </c>
      <c r="J1298" s="8" t="s">
        <v>2147</v>
      </c>
    </row>
    <row r="1299" spans="1:10" x14ac:dyDescent="0.2">
      <c r="A1299" s="8" t="s">
        <v>56</v>
      </c>
      <c r="B1299" s="8" t="s">
        <v>68</v>
      </c>
      <c r="C1299" s="8" t="s">
        <v>4129</v>
      </c>
      <c r="D1299" s="8" t="s">
        <v>4130</v>
      </c>
      <c r="E1299" s="8" t="s">
        <v>4131</v>
      </c>
      <c r="F1299" s="8">
        <v>1.6551252599999999</v>
      </c>
      <c r="G1299" s="8">
        <v>1.7473904499999999</v>
      </c>
      <c r="H1299" s="6" t="str">
        <f t="shared" si="11"/>
        <v>Direct</v>
      </c>
      <c r="I1299" s="8" t="s">
        <v>3046</v>
      </c>
      <c r="J1299" s="8" t="s">
        <v>3046</v>
      </c>
    </row>
    <row r="1300" spans="1:10" x14ac:dyDescent="0.2">
      <c r="A1300" s="8" t="s">
        <v>56</v>
      </c>
      <c r="B1300" s="8" t="s">
        <v>68</v>
      </c>
      <c r="C1300" s="8" t="s">
        <v>3489</v>
      </c>
      <c r="D1300" s="8" t="s">
        <v>3490</v>
      </c>
      <c r="E1300" s="8" t="s">
        <v>3491</v>
      </c>
      <c r="F1300" s="8">
        <v>1.59744475</v>
      </c>
      <c r="G1300" s="8">
        <v>-1.0886765</v>
      </c>
      <c r="H1300" s="6" t="str">
        <f t="shared" si="11"/>
        <v>Inverse</v>
      </c>
      <c r="I1300" s="8" t="s">
        <v>116</v>
      </c>
      <c r="J1300" s="8" t="s">
        <v>116</v>
      </c>
    </row>
    <row r="1301" spans="1:10" x14ac:dyDescent="0.2">
      <c r="A1301" s="8" t="s">
        <v>56</v>
      </c>
      <c r="B1301" s="8" t="s">
        <v>68</v>
      </c>
      <c r="C1301" s="8" t="s">
        <v>591</v>
      </c>
      <c r="D1301" s="8" t="s">
        <v>592</v>
      </c>
      <c r="E1301" s="8" t="s">
        <v>593</v>
      </c>
      <c r="F1301" s="8">
        <v>1.6672407199999999</v>
      </c>
      <c r="G1301" s="8">
        <v>1.2792270800000001</v>
      </c>
      <c r="H1301" s="6" t="str">
        <f t="shared" si="11"/>
        <v>Direct</v>
      </c>
      <c r="I1301" s="8" t="s">
        <v>594</v>
      </c>
      <c r="J1301" s="8" t="s">
        <v>112</v>
      </c>
    </row>
    <row r="1302" spans="1:10" x14ac:dyDescent="0.2">
      <c r="A1302" s="8" t="s">
        <v>56</v>
      </c>
      <c r="B1302" s="8" t="s">
        <v>68</v>
      </c>
      <c r="C1302" s="8" t="s">
        <v>3621</v>
      </c>
      <c r="D1302" s="8" t="s">
        <v>3622</v>
      </c>
      <c r="E1302" s="8" t="s">
        <v>3623</v>
      </c>
      <c r="F1302" s="8">
        <v>-1.6124366999999999</v>
      </c>
      <c r="G1302" s="8">
        <v>1.0888219400000001</v>
      </c>
      <c r="H1302" s="6" t="str">
        <f t="shared" si="11"/>
        <v>Inverse</v>
      </c>
      <c r="I1302" s="8" t="s">
        <v>3624</v>
      </c>
      <c r="J1302" s="8" t="s">
        <v>3624</v>
      </c>
    </row>
    <row r="1303" spans="1:10" x14ac:dyDescent="0.2">
      <c r="A1303" s="8" t="s">
        <v>56</v>
      </c>
      <c r="B1303" s="8" t="s">
        <v>68</v>
      </c>
      <c r="C1303" s="8" t="s">
        <v>3696</v>
      </c>
      <c r="D1303" s="8" t="s">
        <v>3697</v>
      </c>
      <c r="E1303" s="8" t="s">
        <v>3698</v>
      </c>
      <c r="F1303" s="8">
        <v>1.46844551</v>
      </c>
      <c r="G1303" s="8">
        <v>1.66671682</v>
      </c>
      <c r="H1303" s="6" t="str">
        <f t="shared" si="11"/>
        <v>Direct</v>
      </c>
      <c r="I1303" s="8" t="s">
        <v>55</v>
      </c>
      <c r="J1303" s="8" t="s">
        <v>55</v>
      </c>
    </row>
    <row r="1304" spans="1:10" x14ac:dyDescent="0.2">
      <c r="A1304" s="8" t="s">
        <v>56</v>
      </c>
      <c r="B1304" s="8" t="s">
        <v>68</v>
      </c>
      <c r="C1304" s="8" t="s">
        <v>2377</v>
      </c>
      <c r="D1304" s="8" t="s">
        <v>2378</v>
      </c>
      <c r="E1304" s="8" t="s">
        <v>2379</v>
      </c>
      <c r="F1304" s="8">
        <v>2.7364300500000001</v>
      </c>
      <c r="G1304" s="8">
        <v>4.6398010000000003</v>
      </c>
      <c r="H1304" s="6" t="str">
        <f t="shared" si="11"/>
        <v>Direct</v>
      </c>
      <c r="I1304" s="8" t="s">
        <v>2380</v>
      </c>
      <c r="J1304" s="8" t="s">
        <v>2380</v>
      </c>
    </row>
    <row r="1305" spans="1:10" x14ac:dyDescent="0.2">
      <c r="A1305" s="8" t="s">
        <v>56</v>
      </c>
      <c r="B1305" s="8" t="s">
        <v>68</v>
      </c>
      <c r="C1305" s="8" t="s">
        <v>4132</v>
      </c>
      <c r="D1305" s="8" t="s">
        <v>4133</v>
      </c>
      <c r="E1305" s="8" t="s">
        <v>4134</v>
      </c>
      <c r="F1305" s="8">
        <v>1.07844019</v>
      </c>
      <c r="G1305" s="8">
        <v>1.0381205099999999</v>
      </c>
      <c r="H1305" s="6" t="str">
        <f t="shared" si="11"/>
        <v>Direct</v>
      </c>
      <c r="I1305" s="8" t="s">
        <v>3447</v>
      </c>
      <c r="J1305" s="8" t="s">
        <v>3447</v>
      </c>
    </row>
    <row r="1306" spans="1:10" x14ac:dyDescent="0.2">
      <c r="A1306" s="8" t="s">
        <v>56</v>
      </c>
      <c r="B1306" s="8" t="s">
        <v>68</v>
      </c>
      <c r="C1306" s="8" t="s">
        <v>4135</v>
      </c>
      <c r="D1306" s="8" t="s">
        <v>4136</v>
      </c>
      <c r="E1306" s="8" t="s">
        <v>4137</v>
      </c>
      <c r="F1306" s="8">
        <v>-1.0288413999999999</v>
      </c>
      <c r="G1306" s="8">
        <v>1.25925625</v>
      </c>
      <c r="H1306" s="6" t="str">
        <f t="shared" si="11"/>
        <v>Inverse</v>
      </c>
      <c r="I1306" s="8" t="s">
        <v>4138</v>
      </c>
      <c r="J1306" s="8" t="s">
        <v>4138</v>
      </c>
    </row>
    <row r="1307" spans="1:10" x14ac:dyDescent="0.2">
      <c r="A1307" s="8" t="s">
        <v>56</v>
      </c>
      <c r="B1307" s="8" t="s">
        <v>68</v>
      </c>
      <c r="C1307" s="8" t="s">
        <v>4015</v>
      </c>
      <c r="D1307" s="8" t="s">
        <v>4016</v>
      </c>
      <c r="E1307" s="8" t="s">
        <v>4017</v>
      </c>
      <c r="F1307" s="8">
        <v>1.21830186</v>
      </c>
      <c r="G1307" s="8">
        <v>1.1342766799999999</v>
      </c>
      <c r="H1307" s="6" t="str">
        <f t="shared" si="11"/>
        <v>Direct</v>
      </c>
      <c r="I1307" s="8" t="s">
        <v>87</v>
      </c>
      <c r="J1307" s="8" t="s">
        <v>87</v>
      </c>
    </row>
    <row r="1308" spans="1:10" x14ac:dyDescent="0.2">
      <c r="A1308" s="8" t="s">
        <v>56</v>
      </c>
      <c r="B1308" s="8" t="s">
        <v>68</v>
      </c>
      <c r="C1308" s="8" t="s">
        <v>4139</v>
      </c>
      <c r="D1308" s="8" t="s">
        <v>4140</v>
      </c>
      <c r="E1308" s="8" t="s">
        <v>4141</v>
      </c>
      <c r="F1308" s="8">
        <v>-1.452493</v>
      </c>
      <c r="G1308" s="8">
        <v>-1.0807453</v>
      </c>
      <c r="H1308" s="6" t="str">
        <f t="shared" si="11"/>
        <v>Direct</v>
      </c>
      <c r="I1308" s="8" t="s">
        <v>4142</v>
      </c>
      <c r="J1308" s="8" t="s">
        <v>4142</v>
      </c>
    </row>
    <row r="1309" spans="1:10" x14ac:dyDescent="0.2">
      <c r="A1309" s="8" t="s">
        <v>56</v>
      </c>
      <c r="B1309" s="8" t="s">
        <v>73</v>
      </c>
      <c r="C1309" s="8" t="s">
        <v>1605</v>
      </c>
      <c r="D1309" s="8" t="s">
        <v>1606</v>
      </c>
      <c r="E1309" s="8" t="s">
        <v>1607</v>
      </c>
      <c r="F1309" s="8">
        <v>-4.0614926000000002</v>
      </c>
      <c r="G1309" s="8">
        <v>-4.3184671000000003</v>
      </c>
      <c r="H1309" s="6" t="str">
        <f t="shared" si="11"/>
        <v>Direct</v>
      </c>
      <c r="I1309" s="8" t="s">
        <v>1608</v>
      </c>
      <c r="J1309" s="8" t="s">
        <v>459</v>
      </c>
    </row>
    <row r="1310" spans="1:10" x14ac:dyDescent="0.2">
      <c r="A1310" s="8" t="s">
        <v>56</v>
      </c>
      <c r="B1310" s="8" t="s">
        <v>73</v>
      </c>
      <c r="C1310" s="8" t="s">
        <v>4143</v>
      </c>
      <c r="D1310" s="8" t="s">
        <v>4144</v>
      </c>
      <c r="E1310" s="8" t="s">
        <v>4145</v>
      </c>
      <c r="F1310" s="8">
        <v>-1.1825904</v>
      </c>
      <c r="G1310" s="8">
        <v>-1.9974278999999999</v>
      </c>
      <c r="H1310" s="6" t="str">
        <f t="shared" si="11"/>
        <v>Direct</v>
      </c>
      <c r="I1310" s="8" t="s">
        <v>1422</v>
      </c>
      <c r="J1310" s="8" t="s">
        <v>1422</v>
      </c>
    </row>
    <row r="1311" spans="1:10" x14ac:dyDescent="0.2">
      <c r="A1311" s="8" t="s">
        <v>56</v>
      </c>
      <c r="B1311" s="8" t="s">
        <v>73</v>
      </c>
      <c r="C1311" s="8" t="s">
        <v>1509</v>
      </c>
      <c r="D1311" s="8" t="s">
        <v>1510</v>
      </c>
      <c r="E1311" s="8" t="s">
        <v>1511</v>
      </c>
      <c r="F1311" s="8">
        <v>-3.7938177999999998</v>
      </c>
      <c r="G1311" s="8">
        <v>-1.4252081999999999</v>
      </c>
      <c r="H1311" s="6" t="str">
        <f t="shared" si="11"/>
        <v>Direct</v>
      </c>
      <c r="I1311" s="8" t="s">
        <v>50</v>
      </c>
      <c r="J1311" s="8" t="s">
        <v>50</v>
      </c>
    </row>
    <row r="1312" spans="1:10" x14ac:dyDescent="0.2">
      <c r="A1312" s="8" t="s">
        <v>56</v>
      </c>
      <c r="B1312" s="8" t="s">
        <v>73</v>
      </c>
      <c r="C1312" s="8" t="s">
        <v>1614</v>
      </c>
      <c r="D1312" s="8" t="s">
        <v>1615</v>
      </c>
      <c r="E1312" s="8" t="s">
        <v>1616</v>
      </c>
      <c r="F1312" s="8">
        <v>3.0194234600000001</v>
      </c>
      <c r="G1312" s="8">
        <v>1.4020097199999999</v>
      </c>
      <c r="H1312" s="6" t="str">
        <f t="shared" si="11"/>
        <v>Direct</v>
      </c>
      <c r="I1312" s="8" t="s">
        <v>1617</v>
      </c>
      <c r="J1312" s="8" t="s">
        <v>1617</v>
      </c>
    </row>
    <row r="1313" spans="1:10" x14ac:dyDescent="0.2">
      <c r="A1313" s="8" t="s">
        <v>56</v>
      </c>
      <c r="B1313" s="8" t="s">
        <v>73</v>
      </c>
      <c r="C1313" s="8" t="s">
        <v>1618</v>
      </c>
      <c r="D1313" s="8" t="s">
        <v>1619</v>
      </c>
      <c r="E1313" s="8" t="s">
        <v>1620</v>
      </c>
      <c r="F1313" s="8">
        <v>-1.8513793999999999</v>
      </c>
      <c r="G1313" s="8">
        <v>-1.2221445</v>
      </c>
      <c r="H1313" s="6" t="str">
        <f t="shared" si="11"/>
        <v>Direct</v>
      </c>
      <c r="I1313" s="8" t="s">
        <v>50</v>
      </c>
      <c r="J1313" s="8" t="s">
        <v>1621</v>
      </c>
    </row>
    <row r="1314" spans="1:10" x14ac:dyDescent="0.2">
      <c r="A1314" s="8" t="s">
        <v>56</v>
      </c>
      <c r="B1314" s="8" t="s">
        <v>73</v>
      </c>
      <c r="C1314" s="8" t="s">
        <v>4146</v>
      </c>
      <c r="D1314" s="8" t="s">
        <v>4147</v>
      </c>
      <c r="E1314" s="8" t="s">
        <v>4148</v>
      </c>
      <c r="F1314" s="8">
        <v>1.8203087600000001</v>
      </c>
      <c r="G1314" s="8">
        <v>2.1177941100000002</v>
      </c>
      <c r="H1314" s="6" t="str">
        <f t="shared" si="11"/>
        <v>Direct</v>
      </c>
      <c r="I1314" s="8" t="s">
        <v>2541</v>
      </c>
      <c r="J1314" s="8" t="s">
        <v>2541</v>
      </c>
    </row>
    <row r="1315" spans="1:10" x14ac:dyDescent="0.2">
      <c r="A1315" s="8" t="s">
        <v>56</v>
      </c>
      <c r="B1315" s="8" t="s">
        <v>73</v>
      </c>
      <c r="C1315" s="8" t="s">
        <v>4149</v>
      </c>
      <c r="D1315" s="8" t="s">
        <v>4150</v>
      </c>
      <c r="E1315" s="8" t="s">
        <v>4151</v>
      </c>
      <c r="F1315" s="8">
        <v>-1.6457586</v>
      </c>
      <c r="G1315" s="8">
        <v>2.6718590999999998</v>
      </c>
      <c r="H1315" s="6" t="str">
        <f t="shared" si="11"/>
        <v>Inverse</v>
      </c>
      <c r="I1315" s="8" t="s">
        <v>116</v>
      </c>
      <c r="J1315" s="8" t="s">
        <v>4152</v>
      </c>
    </row>
    <row r="1316" spans="1:10" x14ac:dyDescent="0.2">
      <c r="A1316" s="8" t="s">
        <v>56</v>
      </c>
      <c r="B1316" s="8" t="s">
        <v>73</v>
      </c>
      <c r="C1316" s="8" t="s">
        <v>4153</v>
      </c>
      <c r="D1316" s="8" t="s">
        <v>4154</v>
      </c>
      <c r="E1316" s="8" t="s">
        <v>4155</v>
      </c>
      <c r="F1316" s="8">
        <v>-2.1134659</v>
      </c>
      <c r="G1316" s="8">
        <v>-3.0907122999999999</v>
      </c>
      <c r="H1316" s="6" t="str">
        <f t="shared" si="11"/>
        <v>Direct</v>
      </c>
      <c r="I1316" s="8" t="s">
        <v>871</v>
      </c>
      <c r="J1316" s="8" t="s">
        <v>871</v>
      </c>
    </row>
    <row r="1317" spans="1:10" x14ac:dyDescent="0.2">
      <c r="A1317" s="8" t="s">
        <v>56</v>
      </c>
      <c r="B1317" s="8" t="s">
        <v>73</v>
      </c>
      <c r="C1317" s="8" t="s">
        <v>4156</v>
      </c>
      <c r="D1317" s="8" t="s">
        <v>4157</v>
      </c>
      <c r="E1317" s="8" t="s">
        <v>4158</v>
      </c>
      <c r="F1317" s="8">
        <v>-1.7562173000000001</v>
      </c>
      <c r="G1317" s="8">
        <v>2.10166187</v>
      </c>
      <c r="H1317" s="6" t="str">
        <f t="shared" si="11"/>
        <v>Inverse</v>
      </c>
      <c r="I1317" s="8" t="s">
        <v>4159</v>
      </c>
      <c r="J1317" s="8" t="s">
        <v>4159</v>
      </c>
    </row>
    <row r="1318" spans="1:10" x14ac:dyDescent="0.2">
      <c r="A1318" s="8" t="s">
        <v>56</v>
      </c>
      <c r="B1318" s="8" t="s">
        <v>73</v>
      </c>
      <c r="C1318" s="8" t="s">
        <v>99</v>
      </c>
      <c r="D1318" s="8" t="s">
        <v>100</v>
      </c>
      <c r="E1318" s="8" t="s">
        <v>101</v>
      </c>
      <c r="F1318" s="8">
        <v>-1.1906737999999999</v>
      </c>
      <c r="G1318" s="8">
        <v>-9.2704845999999996</v>
      </c>
      <c r="H1318" s="6" t="str">
        <f t="shared" si="11"/>
        <v>Direct</v>
      </c>
      <c r="I1318" s="8" t="s">
        <v>102</v>
      </c>
      <c r="J1318" s="8" t="s">
        <v>102</v>
      </c>
    </row>
    <row r="1319" spans="1:10" x14ac:dyDescent="0.2">
      <c r="A1319" s="8" t="s">
        <v>56</v>
      </c>
      <c r="B1319" s="8" t="s">
        <v>73</v>
      </c>
      <c r="C1319" s="8" t="s">
        <v>1622</v>
      </c>
      <c r="D1319" s="8" t="s">
        <v>1623</v>
      </c>
      <c r="E1319" s="8" t="s">
        <v>1624</v>
      </c>
      <c r="F1319" s="8">
        <v>1.9113573500000001</v>
      </c>
      <c r="G1319" s="8">
        <v>3.3328521499999999</v>
      </c>
      <c r="H1319" s="6" t="str">
        <f t="shared" si="11"/>
        <v>Direct</v>
      </c>
      <c r="I1319" s="8" t="s">
        <v>1625</v>
      </c>
      <c r="J1319" s="8" t="s">
        <v>1626</v>
      </c>
    </row>
    <row r="1320" spans="1:10" x14ac:dyDescent="0.2">
      <c r="A1320" s="8" t="s">
        <v>56</v>
      </c>
      <c r="B1320" s="8" t="s">
        <v>73</v>
      </c>
      <c r="C1320" s="8" t="s">
        <v>103</v>
      </c>
      <c r="D1320" s="8" t="s">
        <v>104</v>
      </c>
      <c r="E1320" s="8" t="s">
        <v>105</v>
      </c>
      <c r="F1320" s="8">
        <v>1.51079922</v>
      </c>
      <c r="G1320" s="8">
        <v>2.7286585900000002</v>
      </c>
      <c r="H1320" s="6" t="str">
        <f t="shared" si="11"/>
        <v>Direct</v>
      </c>
      <c r="I1320" s="8" t="s">
        <v>106</v>
      </c>
      <c r="J1320" s="8" t="s">
        <v>107</v>
      </c>
    </row>
    <row r="1321" spans="1:10" x14ac:dyDescent="0.2">
      <c r="A1321" s="8" t="s">
        <v>56</v>
      </c>
      <c r="B1321" s="8" t="s">
        <v>73</v>
      </c>
      <c r="C1321" s="8" t="s">
        <v>1627</v>
      </c>
      <c r="D1321" s="8" t="s">
        <v>1628</v>
      </c>
      <c r="E1321" s="8" t="s">
        <v>1629</v>
      </c>
      <c r="F1321" s="8">
        <v>-5.9443973000000003</v>
      </c>
      <c r="G1321" s="8">
        <v>-8.1037371</v>
      </c>
      <c r="H1321" s="6" t="str">
        <f t="shared" si="11"/>
        <v>Direct</v>
      </c>
      <c r="I1321" s="8" t="s">
        <v>1630</v>
      </c>
      <c r="J1321" s="8" t="s">
        <v>1630</v>
      </c>
    </row>
    <row r="1322" spans="1:10" x14ac:dyDescent="0.2">
      <c r="A1322" s="8" t="s">
        <v>56</v>
      </c>
      <c r="B1322" s="8" t="s">
        <v>73</v>
      </c>
      <c r="C1322" s="8" t="s">
        <v>1631</v>
      </c>
      <c r="D1322" s="8" t="s">
        <v>1632</v>
      </c>
      <c r="E1322" s="8" t="s">
        <v>1633</v>
      </c>
      <c r="F1322" s="8">
        <v>-4.6051307000000001</v>
      </c>
      <c r="G1322" s="8">
        <v>-1.5305306999999999</v>
      </c>
      <c r="H1322" s="6" t="str">
        <f t="shared" si="11"/>
        <v>Direct</v>
      </c>
      <c r="I1322" s="8" t="s">
        <v>459</v>
      </c>
      <c r="J1322" s="8" t="s">
        <v>459</v>
      </c>
    </row>
    <row r="1323" spans="1:10" x14ac:dyDescent="0.2">
      <c r="A1323" s="8" t="s">
        <v>56</v>
      </c>
      <c r="B1323" s="8" t="s">
        <v>73</v>
      </c>
      <c r="C1323" s="8" t="s">
        <v>1634</v>
      </c>
      <c r="D1323" s="8" t="s">
        <v>1635</v>
      </c>
      <c r="E1323" s="8" t="s">
        <v>1636</v>
      </c>
      <c r="F1323" s="8">
        <v>-3.2706903000000001</v>
      </c>
      <c r="G1323" s="8">
        <v>-1.1184871999999999</v>
      </c>
      <c r="H1323" s="6" t="str">
        <f t="shared" si="11"/>
        <v>Direct</v>
      </c>
      <c r="I1323" s="8" t="s">
        <v>1637</v>
      </c>
      <c r="J1323" s="8" t="s">
        <v>1637</v>
      </c>
    </row>
    <row r="1324" spans="1:10" x14ac:dyDescent="0.2">
      <c r="A1324" s="8" t="s">
        <v>56</v>
      </c>
      <c r="B1324" s="8" t="s">
        <v>73</v>
      </c>
      <c r="C1324" s="8" t="s">
        <v>4160</v>
      </c>
      <c r="D1324" s="8" t="s">
        <v>4161</v>
      </c>
      <c r="E1324" s="8" t="s">
        <v>4162</v>
      </c>
      <c r="F1324" s="8">
        <v>-7.279496</v>
      </c>
      <c r="G1324" s="8">
        <v>-2.8002115000000001</v>
      </c>
      <c r="H1324" s="6" t="str">
        <f t="shared" si="11"/>
        <v>Direct</v>
      </c>
      <c r="I1324" s="8" t="s">
        <v>4163</v>
      </c>
      <c r="J1324" s="8" t="s">
        <v>4163</v>
      </c>
    </row>
    <row r="1325" spans="1:10" x14ac:dyDescent="0.2">
      <c r="A1325" s="8" t="s">
        <v>56</v>
      </c>
      <c r="B1325" s="8" t="s">
        <v>73</v>
      </c>
      <c r="C1325" s="8" t="s">
        <v>4164</v>
      </c>
      <c r="D1325" s="8" t="s">
        <v>4165</v>
      </c>
      <c r="E1325" s="8" t="s">
        <v>4166</v>
      </c>
      <c r="F1325" s="8">
        <v>-2.0625529999999999</v>
      </c>
      <c r="G1325" s="8">
        <v>-1.9498396</v>
      </c>
      <c r="H1325" s="6" t="str">
        <f t="shared" si="11"/>
        <v>Direct</v>
      </c>
      <c r="I1325" s="8" t="s">
        <v>1413</v>
      </c>
      <c r="J1325" s="8" t="s">
        <v>1039</v>
      </c>
    </row>
    <row r="1326" spans="1:10" x14ac:dyDescent="0.2">
      <c r="A1326" s="8" t="s">
        <v>56</v>
      </c>
      <c r="B1326" s="8" t="s">
        <v>73</v>
      </c>
      <c r="C1326" s="8" t="s">
        <v>4167</v>
      </c>
      <c r="D1326" s="8" t="s">
        <v>4168</v>
      </c>
      <c r="E1326" s="8" t="s">
        <v>4169</v>
      </c>
      <c r="F1326" s="8">
        <v>-1.5724351000000001</v>
      </c>
      <c r="G1326" s="8">
        <v>2.0910757599999998</v>
      </c>
      <c r="H1326" s="6" t="str">
        <f t="shared" si="11"/>
        <v>Inverse</v>
      </c>
      <c r="I1326" s="8" t="s">
        <v>4170</v>
      </c>
      <c r="J1326" s="8" t="s">
        <v>4170</v>
      </c>
    </row>
    <row r="1327" spans="1:10" x14ac:dyDescent="0.2">
      <c r="A1327" s="8" t="s">
        <v>56</v>
      </c>
      <c r="B1327" s="8" t="s">
        <v>73</v>
      </c>
      <c r="C1327" s="8" t="s">
        <v>1519</v>
      </c>
      <c r="D1327" s="8" t="s">
        <v>1520</v>
      </c>
      <c r="E1327" s="8" t="s">
        <v>1521</v>
      </c>
      <c r="F1327" s="8">
        <v>1.1425035800000001</v>
      </c>
      <c r="G1327" s="8">
        <v>2.2749203599999999</v>
      </c>
      <c r="H1327" s="6" t="str">
        <f t="shared" si="11"/>
        <v>Direct</v>
      </c>
      <c r="I1327" s="8" t="s">
        <v>50</v>
      </c>
      <c r="J1327" s="8" t="s">
        <v>1522</v>
      </c>
    </row>
    <row r="1328" spans="1:10" x14ac:dyDescent="0.2">
      <c r="A1328" s="8" t="s">
        <v>56</v>
      </c>
      <c r="B1328" s="8" t="s">
        <v>73</v>
      </c>
      <c r="C1328" s="8" t="s">
        <v>1638</v>
      </c>
      <c r="D1328" s="8" t="s">
        <v>1639</v>
      </c>
      <c r="E1328" s="8" t="s">
        <v>1640</v>
      </c>
      <c r="F1328" s="8">
        <v>-3.5277816</v>
      </c>
      <c r="G1328" s="8">
        <v>-2.5992917000000002</v>
      </c>
      <c r="H1328" s="6" t="str">
        <f t="shared" si="11"/>
        <v>Direct</v>
      </c>
      <c r="I1328" s="8" t="s">
        <v>567</v>
      </c>
      <c r="J1328" s="8" t="s">
        <v>1641</v>
      </c>
    </row>
    <row r="1329" spans="1:10" x14ac:dyDescent="0.2">
      <c r="A1329" s="8" t="s">
        <v>56</v>
      </c>
      <c r="B1329" s="8" t="s">
        <v>73</v>
      </c>
      <c r="C1329" s="8" t="s">
        <v>2658</v>
      </c>
      <c r="D1329" s="8" t="s">
        <v>2659</v>
      </c>
      <c r="E1329" s="8" t="s">
        <v>2660</v>
      </c>
      <c r="F1329" s="8">
        <v>-1.7515202000000001</v>
      </c>
      <c r="G1329" s="8">
        <v>9.7545456399999999</v>
      </c>
      <c r="H1329" s="6" t="str">
        <f t="shared" si="11"/>
        <v>Inverse</v>
      </c>
      <c r="I1329" s="8" t="s">
        <v>2661</v>
      </c>
      <c r="J1329" s="8" t="s">
        <v>449</v>
      </c>
    </row>
    <row r="1330" spans="1:10" x14ac:dyDescent="0.2">
      <c r="A1330" s="8" t="s">
        <v>56</v>
      </c>
      <c r="B1330" s="8" t="s">
        <v>73</v>
      </c>
      <c r="C1330" s="8" t="s">
        <v>1642</v>
      </c>
      <c r="D1330" s="8" t="s">
        <v>1643</v>
      </c>
      <c r="E1330" s="8" t="s">
        <v>1644</v>
      </c>
      <c r="F1330" s="8">
        <v>-3.0696249999999998</v>
      </c>
      <c r="G1330" s="8">
        <v>-2.2110219</v>
      </c>
      <c r="H1330" s="6" t="str">
        <f t="shared" si="11"/>
        <v>Direct</v>
      </c>
      <c r="I1330" s="8" t="s">
        <v>1184</v>
      </c>
      <c r="J1330" s="8" t="s">
        <v>1645</v>
      </c>
    </row>
    <row r="1331" spans="1:10" x14ac:dyDescent="0.2">
      <c r="A1331" s="8" t="s">
        <v>56</v>
      </c>
      <c r="B1331" s="8" t="s">
        <v>73</v>
      </c>
      <c r="C1331" s="8" t="s">
        <v>1646</v>
      </c>
      <c r="D1331" s="8" t="s">
        <v>1647</v>
      </c>
      <c r="E1331" s="8" t="s">
        <v>1648</v>
      </c>
      <c r="F1331" s="8">
        <v>-1.5992983000000001</v>
      </c>
      <c r="G1331" s="8">
        <v>-2.0130599999999998</v>
      </c>
      <c r="H1331" s="6" t="str">
        <f t="shared" si="11"/>
        <v>Direct</v>
      </c>
      <c r="I1331" s="8" t="s">
        <v>1649</v>
      </c>
      <c r="J1331" s="8" t="s">
        <v>1649</v>
      </c>
    </row>
    <row r="1332" spans="1:10" x14ac:dyDescent="0.2">
      <c r="A1332" s="8" t="s">
        <v>56</v>
      </c>
      <c r="B1332" s="8" t="s">
        <v>73</v>
      </c>
      <c r="C1332" s="8" t="s">
        <v>1650</v>
      </c>
      <c r="D1332" s="8" t="s">
        <v>1651</v>
      </c>
      <c r="E1332" s="8" t="s">
        <v>1652</v>
      </c>
      <c r="F1332" s="8">
        <v>1.3328892400000001</v>
      </c>
      <c r="G1332" s="8">
        <v>7.3517337899999999</v>
      </c>
      <c r="H1332" s="6" t="str">
        <f t="shared" si="11"/>
        <v>Direct</v>
      </c>
      <c r="I1332" s="8" t="s">
        <v>50</v>
      </c>
      <c r="J1332" s="8" t="s">
        <v>107</v>
      </c>
    </row>
    <row r="1333" spans="1:10" x14ac:dyDescent="0.2">
      <c r="A1333" s="8" t="s">
        <v>56</v>
      </c>
      <c r="B1333" s="8" t="s">
        <v>73</v>
      </c>
      <c r="C1333" s="8" t="s">
        <v>1653</v>
      </c>
      <c r="D1333" s="8" t="s">
        <v>1654</v>
      </c>
      <c r="E1333" s="8" t="s">
        <v>1655</v>
      </c>
      <c r="F1333" s="8">
        <v>1.9465352199999999</v>
      </c>
      <c r="G1333" s="8">
        <v>-3.1237648999999998</v>
      </c>
      <c r="H1333" s="6" t="str">
        <f t="shared" si="11"/>
        <v>Inverse</v>
      </c>
      <c r="I1333" s="8" t="s">
        <v>1656</v>
      </c>
      <c r="J1333" s="8" t="s">
        <v>1656</v>
      </c>
    </row>
    <row r="1334" spans="1:10" x14ac:dyDescent="0.2">
      <c r="A1334" s="8" t="s">
        <v>56</v>
      </c>
      <c r="B1334" s="8" t="s">
        <v>73</v>
      </c>
      <c r="C1334" s="8" t="s">
        <v>2681</v>
      </c>
      <c r="D1334" s="8" t="s">
        <v>4171</v>
      </c>
      <c r="E1334" s="8" t="s">
        <v>4172</v>
      </c>
      <c r="F1334" s="8">
        <v>-1.0324888000000001</v>
      </c>
      <c r="G1334" s="8">
        <v>-8.1931221999999995</v>
      </c>
      <c r="H1334" s="6" t="str">
        <f t="shared" si="11"/>
        <v>Direct</v>
      </c>
      <c r="I1334" s="8" t="s">
        <v>2684</v>
      </c>
      <c r="J1334" s="8" t="s">
        <v>2684</v>
      </c>
    </row>
    <row r="1335" spans="1:10" x14ac:dyDescent="0.2">
      <c r="A1335" s="8" t="s">
        <v>56</v>
      </c>
      <c r="B1335" s="8" t="s">
        <v>73</v>
      </c>
      <c r="C1335" s="8" t="s">
        <v>1657</v>
      </c>
      <c r="D1335" s="8" t="s">
        <v>1658</v>
      </c>
      <c r="E1335" s="8" t="s">
        <v>1659</v>
      </c>
      <c r="F1335" s="8">
        <v>-2.5034470999999998</v>
      </c>
      <c r="G1335" s="8">
        <v>-2.6435759000000001</v>
      </c>
      <c r="H1335" s="6" t="str">
        <f t="shared" si="11"/>
        <v>Direct</v>
      </c>
      <c r="I1335" s="8" t="s">
        <v>1660</v>
      </c>
      <c r="J1335" s="8" t="s">
        <v>1660</v>
      </c>
    </row>
    <row r="1336" spans="1:10" x14ac:dyDescent="0.2">
      <c r="A1336" s="8" t="s">
        <v>56</v>
      </c>
      <c r="B1336" s="8" t="s">
        <v>73</v>
      </c>
      <c r="C1336" s="8" t="s">
        <v>4173</v>
      </c>
      <c r="D1336" s="8" t="s">
        <v>4174</v>
      </c>
      <c r="E1336" s="8" t="s">
        <v>4175</v>
      </c>
      <c r="F1336" s="8">
        <v>1.76116607</v>
      </c>
      <c r="G1336" s="8">
        <v>-1.2462856</v>
      </c>
      <c r="H1336" s="6" t="str">
        <f t="shared" si="11"/>
        <v>Inverse</v>
      </c>
      <c r="I1336" s="8" t="s">
        <v>4176</v>
      </c>
      <c r="J1336" s="8" t="s">
        <v>4176</v>
      </c>
    </row>
    <row r="1337" spans="1:10" x14ac:dyDescent="0.2">
      <c r="A1337" s="8" t="s">
        <v>56</v>
      </c>
      <c r="B1337" s="8" t="s">
        <v>73</v>
      </c>
      <c r="C1337" s="8" t="s">
        <v>2712</v>
      </c>
      <c r="D1337" s="8" t="s">
        <v>2713</v>
      </c>
      <c r="E1337" s="8" t="s">
        <v>2714</v>
      </c>
      <c r="F1337" s="8">
        <v>-2.5352621000000002</v>
      </c>
      <c r="G1337" s="8">
        <v>-6.9994677000000003</v>
      </c>
      <c r="H1337" s="6" t="str">
        <f t="shared" si="11"/>
        <v>Direct</v>
      </c>
      <c r="I1337" s="8" t="s">
        <v>2715</v>
      </c>
      <c r="J1337" s="8" t="s">
        <v>2715</v>
      </c>
    </row>
    <row r="1338" spans="1:10" x14ac:dyDescent="0.2">
      <c r="A1338" s="8" t="s">
        <v>56</v>
      </c>
      <c r="B1338" s="8" t="s">
        <v>73</v>
      </c>
      <c r="C1338" s="8" t="s">
        <v>2728</v>
      </c>
      <c r="D1338" s="8" t="s">
        <v>2729</v>
      </c>
      <c r="E1338" s="8" t="s">
        <v>2730</v>
      </c>
      <c r="F1338" s="8">
        <v>-6.9305494999999997</v>
      </c>
      <c r="G1338" s="8">
        <v>-2.7747027000000002</v>
      </c>
      <c r="H1338" s="6" t="str">
        <f t="shared" si="11"/>
        <v>Direct</v>
      </c>
      <c r="I1338" s="8" t="s">
        <v>2731</v>
      </c>
      <c r="J1338" s="8" t="s">
        <v>2731</v>
      </c>
    </row>
    <row r="1339" spans="1:10" x14ac:dyDescent="0.2">
      <c r="A1339" s="8" t="s">
        <v>56</v>
      </c>
      <c r="B1339" s="8" t="s">
        <v>73</v>
      </c>
      <c r="C1339" s="8" t="s">
        <v>4177</v>
      </c>
      <c r="D1339" s="8" t="s">
        <v>4178</v>
      </c>
      <c r="E1339" s="8" t="s">
        <v>4179</v>
      </c>
      <c r="F1339" s="8">
        <v>-1.0320776</v>
      </c>
      <c r="G1339" s="8">
        <v>2.13305225</v>
      </c>
      <c r="H1339" s="6" t="str">
        <f t="shared" si="11"/>
        <v>Inverse</v>
      </c>
      <c r="I1339" s="8" t="s">
        <v>4180</v>
      </c>
      <c r="J1339" s="8" t="s">
        <v>4180</v>
      </c>
    </row>
    <row r="1340" spans="1:10" x14ac:dyDescent="0.2">
      <c r="A1340" s="8" t="s">
        <v>56</v>
      </c>
      <c r="B1340" s="8" t="s">
        <v>73</v>
      </c>
      <c r="C1340" s="8" t="s">
        <v>4181</v>
      </c>
      <c r="D1340" s="8" t="s">
        <v>4182</v>
      </c>
      <c r="E1340" s="8" t="s">
        <v>4183</v>
      </c>
      <c r="F1340" s="8">
        <v>-4.4493612000000002</v>
      </c>
      <c r="G1340" s="8">
        <v>1.0124122600000001</v>
      </c>
      <c r="H1340" s="6" t="str">
        <f t="shared" si="11"/>
        <v>Inverse</v>
      </c>
      <c r="I1340" s="8" t="s">
        <v>4184</v>
      </c>
      <c r="J1340" s="8" t="s">
        <v>4184</v>
      </c>
    </row>
    <row r="1341" spans="1:10" x14ac:dyDescent="0.2">
      <c r="A1341" s="8" t="s">
        <v>56</v>
      </c>
      <c r="B1341" s="8" t="s">
        <v>73</v>
      </c>
      <c r="C1341" s="8" t="s">
        <v>1673</v>
      </c>
      <c r="D1341" s="8" t="s">
        <v>1674</v>
      </c>
      <c r="E1341" s="8" t="s">
        <v>1675</v>
      </c>
      <c r="F1341" s="8">
        <v>-4.5492904000000003</v>
      </c>
      <c r="G1341" s="8">
        <v>-5.1481580999999998</v>
      </c>
      <c r="H1341" s="6" t="str">
        <f t="shared" si="11"/>
        <v>Direct</v>
      </c>
      <c r="I1341" s="8" t="s">
        <v>1676</v>
      </c>
      <c r="J1341" s="8" t="s">
        <v>1676</v>
      </c>
    </row>
    <row r="1342" spans="1:10" x14ac:dyDescent="0.2">
      <c r="A1342" s="8" t="s">
        <v>56</v>
      </c>
      <c r="B1342" s="8" t="s">
        <v>73</v>
      </c>
      <c r="C1342" s="8" t="s">
        <v>1677</v>
      </c>
      <c r="D1342" s="8" t="s">
        <v>1678</v>
      </c>
      <c r="E1342" s="8" t="s">
        <v>1679</v>
      </c>
      <c r="F1342" s="8">
        <v>1.6337493599999999</v>
      </c>
      <c r="G1342" s="8">
        <v>3.6898435100000002</v>
      </c>
      <c r="H1342" s="6" t="str">
        <f t="shared" si="11"/>
        <v>Direct</v>
      </c>
      <c r="I1342" s="8" t="s">
        <v>1343</v>
      </c>
      <c r="J1342" s="8" t="s">
        <v>1343</v>
      </c>
    </row>
    <row r="1343" spans="1:10" x14ac:dyDescent="0.2">
      <c r="A1343" s="8" t="s">
        <v>56</v>
      </c>
      <c r="B1343" s="8" t="s">
        <v>73</v>
      </c>
      <c r="C1343" s="8" t="s">
        <v>4185</v>
      </c>
      <c r="D1343" s="8" t="s">
        <v>4186</v>
      </c>
      <c r="E1343" s="8" t="s">
        <v>4187</v>
      </c>
      <c r="F1343" s="8">
        <v>-2.4244458999999998</v>
      </c>
      <c r="G1343" s="8">
        <v>-2.8994411000000002</v>
      </c>
      <c r="H1343" s="6" t="str">
        <f t="shared" si="11"/>
        <v>Direct</v>
      </c>
      <c r="I1343" s="8" t="s">
        <v>4188</v>
      </c>
      <c r="J1343" s="8" t="s">
        <v>4188</v>
      </c>
    </row>
    <row r="1344" spans="1:10" x14ac:dyDescent="0.2">
      <c r="A1344" s="8" t="s">
        <v>56</v>
      </c>
      <c r="B1344" s="8" t="s">
        <v>73</v>
      </c>
      <c r="C1344" s="8" t="s">
        <v>1684</v>
      </c>
      <c r="D1344" s="8" t="s">
        <v>1685</v>
      </c>
      <c r="E1344" s="8" t="s">
        <v>1686</v>
      </c>
      <c r="F1344" s="8">
        <v>-13.189048</v>
      </c>
      <c r="G1344" s="8">
        <v>-23.515083000000001</v>
      </c>
      <c r="H1344" s="6" t="str">
        <f t="shared" si="11"/>
        <v>Direct</v>
      </c>
      <c r="I1344" s="8" t="s">
        <v>1687</v>
      </c>
      <c r="J1344" s="8" t="s">
        <v>1687</v>
      </c>
    </row>
    <row r="1345" spans="1:10" x14ac:dyDescent="0.2">
      <c r="A1345" s="8" t="s">
        <v>56</v>
      </c>
      <c r="B1345" s="8" t="s">
        <v>73</v>
      </c>
      <c r="C1345" s="8" t="s">
        <v>4189</v>
      </c>
      <c r="D1345" s="8" t="s">
        <v>4190</v>
      </c>
      <c r="E1345" s="8" t="s">
        <v>4191</v>
      </c>
      <c r="F1345" s="8">
        <v>-1.4667564</v>
      </c>
      <c r="G1345" s="8">
        <v>-1.1280762</v>
      </c>
      <c r="H1345" s="6" t="str">
        <f t="shared" si="11"/>
        <v>Direct</v>
      </c>
      <c r="I1345" s="8" t="s">
        <v>445</v>
      </c>
      <c r="J1345" s="8" t="s">
        <v>445</v>
      </c>
    </row>
    <row r="1346" spans="1:10" x14ac:dyDescent="0.2">
      <c r="A1346" s="8" t="s">
        <v>56</v>
      </c>
      <c r="B1346" s="8" t="s">
        <v>73</v>
      </c>
      <c r="C1346" s="8" t="s">
        <v>1696</v>
      </c>
      <c r="D1346" s="8" t="s">
        <v>1697</v>
      </c>
      <c r="E1346" s="8" t="s">
        <v>1698</v>
      </c>
      <c r="F1346" s="8">
        <v>-4.4670538999999998</v>
      </c>
      <c r="G1346" s="8">
        <v>4.6928096300000002</v>
      </c>
      <c r="H1346" s="6" t="str">
        <f t="shared" si="11"/>
        <v>Inverse</v>
      </c>
      <c r="I1346" s="8" t="s">
        <v>1699</v>
      </c>
      <c r="J1346" s="8" t="s">
        <v>55</v>
      </c>
    </row>
    <row r="1347" spans="1:10" x14ac:dyDescent="0.2">
      <c r="A1347" s="8" t="s">
        <v>56</v>
      </c>
      <c r="B1347" s="8" t="s">
        <v>73</v>
      </c>
      <c r="C1347" s="8" t="s">
        <v>1704</v>
      </c>
      <c r="D1347" s="8" t="s">
        <v>1705</v>
      </c>
      <c r="E1347" s="8" t="s">
        <v>1706</v>
      </c>
      <c r="F1347" s="8">
        <v>-1.5654151000000001</v>
      </c>
      <c r="G1347" s="8">
        <v>2.3998890500000001</v>
      </c>
      <c r="H1347" s="6" t="str">
        <f t="shared" si="11"/>
        <v>Inverse</v>
      </c>
      <c r="I1347" s="8" t="s">
        <v>1707</v>
      </c>
      <c r="J1347" s="8" t="s">
        <v>1449</v>
      </c>
    </row>
    <row r="1348" spans="1:10" x14ac:dyDescent="0.2">
      <c r="A1348" s="8" t="s">
        <v>56</v>
      </c>
      <c r="B1348" s="8" t="s">
        <v>73</v>
      </c>
      <c r="C1348" s="8" t="s">
        <v>4192</v>
      </c>
      <c r="D1348" s="8" t="s">
        <v>4193</v>
      </c>
      <c r="E1348" s="8" t="s">
        <v>4194</v>
      </c>
      <c r="F1348" s="8">
        <v>-13.189048</v>
      </c>
      <c r="G1348" s="8">
        <v>-1.6168682999999999</v>
      </c>
      <c r="H1348" s="6" t="str">
        <f t="shared" si="11"/>
        <v>Direct</v>
      </c>
      <c r="I1348" s="8" t="s">
        <v>1843</v>
      </c>
      <c r="J1348" s="8" t="s">
        <v>1843</v>
      </c>
    </row>
    <row r="1349" spans="1:10" x14ac:dyDescent="0.2">
      <c r="A1349" s="8" t="s">
        <v>56</v>
      </c>
      <c r="B1349" s="8" t="s">
        <v>73</v>
      </c>
      <c r="C1349" s="8" t="s">
        <v>1712</v>
      </c>
      <c r="D1349" s="8" t="s">
        <v>1713</v>
      </c>
      <c r="E1349" s="8" t="s">
        <v>1714</v>
      </c>
      <c r="F1349" s="8">
        <v>1.54631253</v>
      </c>
      <c r="G1349" s="8">
        <v>3.3534937299999998</v>
      </c>
      <c r="H1349" s="6" t="str">
        <f t="shared" si="11"/>
        <v>Direct</v>
      </c>
      <c r="I1349" s="8" t="s">
        <v>1715</v>
      </c>
      <c r="J1349" s="8" t="s">
        <v>1715</v>
      </c>
    </row>
    <row r="1350" spans="1:10" x14ac:dyDescent="0.2">
      <c r="A1350" s="8" t="s">
        <v>56</v>
      </c>
      <c r="B1350" s="8" t="s">
        <v>73</v>
      </c>
      <c r="C1350" s="8" t="s">
        <v>1720</v>
      </c>
      <c r="D1350" s="8" t="s">
        <v>1721</v>
      </c>
      <c r="E1350" s="8" t="s">
        <v>1722</v>
      </c>
      <c r="F1350" s="8">
        <v>-4.5829693999999996</v>
      </c>
      <c r="G1350" s="8">
        <v>-2.4545808</v>
      </c>
      <c r="H1350" s="6" t="str">
        <f t="shared" si="11"/>
        <v>Direct</v>
      </c>
      <c r="I1350" s="8" t="s">
        <v>1723</v>
      </c>
      <c r="J1350" s="8" t="s">
        <v>1723</v>
      </c>
    </row>
    <row r="1351" spans="1:10" x14ac:dyDescent="0.2">
      <c r="A1351" s="8" t="s">
        <v>56</v>
      </c>
      <c r="B1351" s="8" t="s">
        <v>73</v>
      </c>
      <c r="C1351" s="8" t="s">
        <v>1724</v>
      </c>
      <c r="D1351" s="8" t="s">
        <v>1725</v>
      </c>
      <c r="E1351" s="8" t="s">
        <v>1726</v>
      </c>
      <c r="F1351" s="8">
        <v>4.6145729199999996</v>
      </c>
      <c r="G1351" s="8">
        <v>1.30237446</v>
      </c>
      <c r="H1351" s="6" t="str">
        <f t="shared" si="11"/>
        <v>Direct</v>
      </c>
      <c r="I1351" s="8" t="s">
        <v>1422</v>
      </c>
      <c r="J1351" s="8" t="s">
        <v>1727</v>
      </c>
    </row>
    <row r="1352" spans="1:10" x14ac:dyDescent="0.2">
      <c r="A1352" s="8" t="s">
        <v>56</v>
      </c>
      <c r="B1352" s="8" t="s">
        <v>73</v>
      </c>
      <c r="C1352" s="8" t="s">
        <v>2807</v>
      </c>
      <c r="D1352" s="8" t="s">
        <v>2808</v>
      </c>
      <c r="E1352" s="8" t="s">
        <v>2809</v>
      </c>
      <c r="F1352" s="8">
        <v>-3.0171576999999998</v>
      </c>
      <c r="G1352" s="8">
        <v>-1.5250212999999999</v>
      </c>
      <c r="H1352" s="6" t="str">
        <f t="shared" si="11"/>
        <v>Direct</v>
      </c>
      <c r="I1352" s="8" t="s">
        <v>2810</v>
      </c>
      <c r="J1352" s="8" t="s">
        <v>2810</v>
      </c>
    </row>
    <row r="1353" spans="1:10" x14ac:dyDescent="0.2">
      <c r="A1353" s="8" t="s">
        <v>56</v>
      </c>
      <c r="B1353" s="8" t="s">
        <v>73</v>
      </c>
      <c r="C1353" s="8" t="s">
        <v>4195</v>
      </c>
      <c r="D1353" s="8" t="s">
        <v>4196</v>
      </c>
      <c r="E1353" s="8" t="s">
        <v>4197</v>
      </c>
      <c r="F1353" s="8">
        <v>-1.8871355000000001</v>
      </c>
      <c r="G1353" s="8">
        <v>1.4851652</v>
      </c>
      <c r="H1353" s="6" t="str">
        <f t="shared" si="11"/>
        <v>Inverse</v>
      </c>
      <c r="I1353" s="8" t="s">
        <v>4198</v>
      </c>
      <c r="J1353" s="8" t="s">
        <v>4198</v>
      </c>
    </row>
    <row r="1354" spans="1:10" x14ac:dyDescent="0.2">
      <c r="A1354" s="8" t="s">
        <v>56</v>
      </c>
      <c r="B1354" s="8" t="s">
        <v>73</v>
      </c>
      <c r="C1354" s="8" t="s">
        <v>4199</v>
      </c>
      <c r="D1354" s="8" t="s">
        <v>4200</v>
      </c>
      <c r="E1354" s="8" t="s">
        <v>4201</v>
      </c>
      <c r="F1354" s="8">
        <v>1.5189690600000001</v>
      </c>
      <c r="G1354" s="8">
        <v>1.0307805000000001</v>
      </c>
      <c r="H1354" s="6" t="str">
        <f t="shared" si="11"/>
        <v>Direct</v>
      </c>
      <c r="I1354" s="8" t="s">
        <v>542</v>
      </c>
      <c r="J1354" s="8" t="s">
        <v>4202</v>
      </c>
    </row>
    <row r="1355" spans="1:10" x14ac:dyDescent="0.2">
      <c r="A1355" s="8" t="s">
        <v>56</v>
      </c>
      <c r="B1355" s="8" t="s">
        <v>73</v>
      </c>
      <c r="C1355" s="8" t="s">
        <v>1728</v>
      </c>
      <c r="D1355" s="8" t="s">
        <v>1729</v>
      </c>
      <c r="E1355" s="8" t="s">
        <v>1730</v>
      </c>
      <c r="F1355" s="8">
        <v>-1.8292908999999999</v>
      </c>
      <c r="G1355" s="8">
        <v>-6.2350108999999998</v>
      </c>
      <c r="H1355" s="6" t="str">
        <f t="shared" si="11"/>
        <v>Direct</v>
      </c>
      <c r="I1355" s="8" t="s">
        <v>1731</v>
      </c>
      <c r="J1355" s="8" t="s">
        <v>1731</v>
      </c>
    </row>
    <row r="1356" spans="1:10" x14ac:dyDescent="0.2">
      <c r="A1356" s="8" t="s">
        <v>56</v>
      </c>
      <c r="B1356" s="8" t="s">
        <v>73</v>
      </c>
      <c r="C1356" s="8" t="s">
        <v>1732</v>
      </c>
      <c r="D1356" s="8" t="s">
        <v>1733</v>
      </c>
      <c r="E1356" s="8" t="s">
        <v>1734</v>
      </c>
      <c r="F1356" s="8">
        <v>-2.4244458999999998</v>
      </c>
      <c r="G1356" s="8">
        <v>1.26476561</v>
      </c>
      <c r="H1356" s="6" t="str">
        <f t="shared" si="11"/>
        <v>Inverse</v>
      </c>
      <c r="I1356" s="8" t="s">
        <v>1735</v>
      </c>
      <c r="J1356" s="8" t="s">
        <v>1735</v>
      </c>
    </row>
    <row r="1357" spans="1:10" x14ac:dyDescent="0.2">
      <c r="A1357" s="8" t="s">
        <v>56</v>
      </c>
      <c r="B1357" s="8" t="s">
        <v>73</v>
      </c>
      <c r="C1357" s="8" t="s">
        <v>4203</v>
      </c>
      <c r="D1357" s="8" t="s">
        <v>4204</v>
      </c>
      <c r="E1357" s="8" t="s">
        <v>4205</v>
      </c>
      <c r="F1357" s="8">
        <v>2.6197863199999998</v>
      </c>
      <c r="G1357" s="8">
        <v>1.67382294</v>
      </c>
      <c r="H1357" s="6" t="str">
        <f t="shared" si="11"/>
        <v>Direct</v>
      </c>
      <c r="I1357" s="8" t="s">
        <v>4206</v>
      </c>
      <c r="J1357" s="8" t="s">
        <v>4206</v>
      </c>
    </row>
    <row r="1358" spans="1:10" x14ac:dyDescent="0.2">
      <c r="A1358" s="8" t="s">
        <v>56</v>
      </c>
      <c r="B1358" s="8" t="s">
        <v>73</v>
      </c>
      <c r="C1358" s="8" t="s">
        <v>4207</v>
      </c>
      <c r="D1358" s="8" t="s">
        <v>4208</v>
      </c>
      <c r="E1358" s="8" t="s">
        <v>4209</v>
      </c>
      <c r="F1358" s="8">
        <v>-2.9359487999999998</v>
      </c>
      <c r="G1358" s="8">
        <v>-2.0866794999999998</v>
      </c>
      <c r="H1358" s="6" t="str">
        <f t="shared" si="11"/>
        <v>Direct</v>
      </c>
      <c r="I1358" s="8" t="s">
        <v>4210</v>
      </c>
      <c r="J1358" s="8" t="s">
        <v>4210</v>
      </c>
    </row>
    <row r="1359" spans="1:10" x14ac:dyDescent="0.2">
      <c r="A1359" s="8" t="s">
        <v>56</v>
      </c>
      <c r="B1359" s="8" t="s">
        <v>73</v>
      </c>
      <c r="C1359" s="8" t="s">
        <v>4211</v>
      </c>
      <c r="D1359" s="8" t="s">
        <v>4212</v>
      </c>
      <c r="E1359" s="8" t="s">
        <v>4213</v>
      </c>
      <c r="F1359" s="8">
        <v>1.0051100799999999</v>
      </c>
      <c r="G1359" s="8">
        <v>1.8502858</v>
      </c>
      <c r="H1359" s="6" t="str">
        <f t="shared" si="11"/>
        <v>Direct</v>
      </c>
      <c r="I1359" s="8" t="s">
        <v>50</v>
      </c>
      <c r="J1359" s="8" t="s">
        <v>3129</v>
      </c>
    </row>
    <row r="1360" spans="1:10" x14ac:dyDescent="0.2">
      <c r="A1360" s="8" t="s">
        <v>56</v>
      </c>
      <c r="B1360" s="8" t="s">
        <v>73</v>
      </c>
      <c r="C1360" s="8" t="s">
        <v>4214</v>
      </c>
      <c r="D1360" s="8" t="s">
        <v>4215</v>
      </c>
      <c r="E1360" s="8" t="s">
        <v>4216</v>
      </c>
      <c r="F1360" s="8">
        <v>2.3192574800000001</v>
      </c>
      <c r="G1360" s="8">
        <v>-3.2266682000000002</v>
      </c>
      <c r="H1360" s="6" t="str">
        <f t="shared" si="11"/>
        <v>Inverse</v>
      </c>
      <c r="I1360" s="8" t="s">
        <v>4217</v>
      </c>
      <c r="J1360" s="8" t="s">
        <v>4217</v>
      </c>
    </row>
    <row r="1361" spans="1:10" x14ac:dyDescent="0.2">
      <c r="A1361" s="8" t="s">
        <v>56</v>
      </c>
      <c r="B1361" s="8" t="s">
        <v>73</v>
      </c>
      <c r="C1361" s="8" t="s">
        <v>312</v>
      </c>
      <c r="D1361" s="8" t="s">
        <v>313</v>
      </c>
      <c r="E1361" s="8" t="s">
        <v>314</v>
      </c>
      <c r="F1361" s="8">
        <v>-8.1753595000000008</v>
      </c>
      <c r="G1361" s="8">
        <v>-10.264139999999999</v>
      </c>
      <c r="H1361" s="6" t="str">
        <f t="shared" si="11"/>
        <v>Direct</v>
      </c>
      <c r="I1361" s="8" t="s">
        <v>315</v>
      </c>
      <c r="J1361" s="8" t="s">
        <v>315</v>
      </c>
    </row>
    <row r="1362" spans="1:10" x14ac:dyDescent="0.2">
      <c r="A1362" s="8" t="s">
        <v>56</v>
      </c>
      <c r="B1362" s="8" t="s">
        <v>73</v>
      </c>
      <c r="C1362" s="8" t="s">
        <v>2854</v>
      </c>
      <c r="D1362" s="8" t="s">
        <v>2855</v>
      </c>
      <c r="E1362" s="8" t="s">
        <v>2856</v>
      </c>
      <c r="F1362" s="8">
        <v>-2.6753610000000001</v>
      </c>
      <c r="G1362" s="8">
        <v>-2.0671259000000002</v>
      </c>
      <c r="H1362" s="6" t="str">
        <f t="shared" si="11"/>
        <v>Direct</v>
      </c>
      <c r="I1362" s="8" t="s">
        <v>2857</v>
      </c>
      <c r="J1362" s="8" t="s">
        <v>2857</v>
      </c>
    </row>
    <row r="1363" spans="1:10" x14ac:dyDescent="0.2">
      <c r="A1363" s="8" t="s">
        <v>56</v>
      </c>
      <c r="B1363" s="8" t="s">
        <v>73</v>
      </c>
      <c r="C1363" s="8" t="s">
        <v>1760</v>
      </c>
      <c r="D1363" s="8" t="s">
        <v>1761</v>
      </c>
      <c r="E1363" s="8" t="s">
        <v>1762</v>
      </c>
      <c r="F1363" s="8">
        <v>3.1514753899999999</v>
      </c>
      <c r="G1363" s="8">
        <v>9.7820974799999991</v>
      </c>
      <c r="H1363" s="6" t="str">
        <f t="shared" si="11"/>
        <v>Direct</v>
      </c>
      <c r="I1363" s="8" t="s">
        <v>1763</v>
      </c>
      <c r="J1363" s="8" t="s">
        <v>1764</v>
      </c>
    </row>
    <row r="1364" spans="1:10" x14ac:dyDescent="0.2">
      <c r="A1364" s="8" t="s">
        <v>56</v>
      </c>
      <c r="B1364" s="8" t="s">
        <v>73</v>
      </c>
      <c r="C1364" s="8" t="s">
        <v>1765</v>
      </c>
      <c r="D1364" s="8" t="s">
        <v>1766</v>
      </c>
      <c r="E1364" s="8" t="s">
        <v>1767</v>
      </c>
      <c r="F1364" s="8">
        <v>-2.6710311999999998</v>
      </c>
      <c r="G1364" s="8">
        <v>-2.8063221</v>
      </c>
      <c r="H1364" s="6" t="str">
        <f t="shared" si="11"/>
        <v>Direct</v>
      </c>
      <c r="I1364" s="8" t="s">
        <v>1768</v>
      </c>
      <c r="J1364" s="8" t="s">
        <v>1768</v>
      </c>
    </row>
    <row r="1365" spans="1:10" x14ac:dyDescent="0.2">
      <c r="A1365" s="8" t="s">
        <v>56</v>
      </c>
      <c r="B1365" s="8" t="s">
        <v>73</v>
      </c>
      <c r="C1365" s="8" t="s">
        <v>4218</v>
      </c>
      <c r="D1365" s="8" t="s">
        <v>4219</v>
      </c>
      <c r="E1365" s="8" t="s">
        <v>4220</v>
      </c>
      <c r="F1365" s="8">
        <v>-1.4340109999999999</v>
      </c>
      <c r="G1365" s="8">
        <v>-1.6586167999999999</v>
      </c>
      <c r="H1365" s="6" t="str">
        <f t="shared" si="11"/>
        <v>Direct</v>
      </c>
      <c r="I1365" s="8" t="s">
        <v>3495</v>
      </c>
      <c r="J1365" s="8" t="s">
        <v>3495</v>
      </c>
    </row>
    <row r="1366" spans="1:10" x14ac:dyDescent="0.2">
      <c r="A1366" s="8" t="s">
        <v>56</v>
      </c>
      <c r="B1366" s="8" t="s">
        <v>73</v>
      </c>
      <c r="C1366" s="8" t="s">
        <v>1773</v>
      </c>
      <c r="D1366" s="8" t="s">
        <v>1774</v>
      </c>
      <c r="E1366" s="8" t="s">
        <v>1775</v>
      </c>
      <c r="F1366" s="8">
        <v>-5.1379805000000003</v>
      </c>
      <c r="G1366" s="8">
        <v>-5.6480458000000002</v>
      </c>
      <c r="H1366" s="6" t="str">
        <f t="shared" si="11"/>
        <v>Direct</v>
      </c>
      <c r="I1366" s="8" t="s">
        <v>1776</v>
      </c>
      <c r="J1366" s="8" t="s">
        <v>1776</v>
      </c>
    </row>
    <row r="1367" spans="1:10" x14ac:dyDescent="0.2">
      <c r="A1367" s="8" t="s">
        <v>56</v>
      </c>
      <c r="B1367" s="8" t="s">
        <v>73</v>
      </c>
      <c r="C1367" s="8" t="s">
        <v>1777</v>
      </c>
      <c r="D1367" s="8" t="s">
        <v>1778</v>
      </c>
      <c r="E1367" s="8" t="s">
        <v>1779</v>
      </c>
      <c r="F1367" s="8">
        <v>3.5468106800000001</v>
      </c>
      <c r="G1367" s="8">
        <v>4.69369105</v>
      </c>
      <c r="H1367" s="6" t="str">
        <f t="shared" si="11"/>
        <v>Direct</v>
      </c>
      <c r="I1367" s="8" t="s">
        <v>1780</v>
      </c>
      <c r="J1367" s="8" t="s">
        <v>1780</v>
      </c>
    </row>
    <row r="1368" spans="1:10" x14ac:dyDescent="0.2">
      <c r="A1368" s="8" t="s">
        <v>56</v>
      </c>
      <c r="B1368" s="8" t="s">
        <v>73</v>
      </c>
      <c r="C1368" s="8" t="s">
        <v>1781</v>
      </c>
      <c r="D1368" s="8" t="s">
        <v>1782</v>
      </c>
      <c r="E1368" s="8" t="s">
        <v>1783</v>
      </c>
      <c r="F1368" s="8">
        <v>-1.3518889999999999</v>
      </c>
      <c r="G1368" s="8">
        <v>-1.9242699000000001</v>
      </c>
      <c r="H1368" s="6" t="str">
        <f t="shared" si="11"/>
        <v>Direct</v>
      </c>
      <c r="I1368" s="8" t="s">
        <v>50</v>
      </c>
      <c r="J1368" s="8" t="s">
        <v>1784</v>
      </c>
    </row>
    <row r="1369" spans="1:10" x14ac:dyDescent="0.2">
      <c r="A1369" s="8" t="s">
        <v>56</v>
      </c>
      <c r="B1369" s="8" t="s">
        <v>73</v>
      </c>
      <c r="C1369" s="8" t="s">
        <v>4221</v>
      </c>
      <c r="D1369" s="8" t="s">
        <v>4222</v>
      </c>
      <c r="E1369" s="8" t="s">
        <v>4223</v>
      </c>
      <c r="F1369" s="8">
        <v>-1.918126</v>
      </c>
      <c r="G1369" s="8">
        <v>-4.1167144000000002</v>
      </c>
      <c r="H1369" s="6" t="str">
        <f t="shared" si="11"/>
        <v>Direct</v>
      </c>
      <c r="I1369" s="8" t="s">
        <v>4224</v>
      </c>
      <c r="J1369" s="8" t="s">
        <v>4224</v>
      </c>
    </row>
    <row r="1370" spans="1:10" x14ac:dyDescent="0.2">
      <c r="A1370" s="8" t="s">
        <v>56</v>
      </c>
      <c r="B1370" s="8" t="s">
        <v>73</v>
      </c>
      <c r="C1370" s="8" t="s">
        <v>2884</v>
      </c>
      <c r="D1370" s="8" t="s">
        <v>2885</v>
      </c>
      <c r="E1370" s="8" t="s">
        <v>2886</v>
      </c>
      <c r="F1370" s="8">
        <v>-1.6696518</v>
      </c>
      <c r="G1370" s="8">
        <v>-1.3455037000000001</v>
      </c>
      <c r="H1370" s="6" t="str">
        <f t="shared" si="11"/>
        <v>Direct</v>
      </c>
      <c r="I1370" s="8" t="s">
        <v>2887</v>
      </c>
      <c r="J1370" s="8" t="s">
        <v>2887</v>
      </c>
    </row>
    <row r="1371" spans="1:10" x14ac:dyDescent="0.2">
      <c r="A1371" s="8" t="s">
        <v>56</v>
      </c>
      <c r="B1371" s="8" t="s">
        <v>73</v>
      </c>
      <c r="C1371" s="8" t="s">
        <v>1789</v>
      </c>
      <c r="D1371" s="8" t="s">
        <v>1790</v>
      </c>
      <c r="E1371" s="8" t="s">
        <v>1791</v>
      </c>
      <c r="F1371" s="8">
        <v>-2.8013031000000002</v>
      </c>
      <c r="G1371" s="8">
        <v>-1.6508347000000001</v>
      </c>
      <c r="H1371" s="6" t="str">
        <f t="shared" si="11"/>
        <v>Direct</v>
      </c>
      <c r="I1371" s="8" t="s">
        <v>1792</v>
      </c>
      <c r="J1371" s="8" t="s">
        <v>1792</v>
      </c>
    </row>
    <row r="1372" spans="1:10" x14ac:dyDescent="0.2">
      <c r="A1372" s="8" t="s">
        <v>56</v>
      </c>
      <c r="B1372" s="8" t="s">
        <v>73</v>
      </c>
      <c r="C1372" s="8" t="s">
        <v>4225</v>
      </c>
      <c r="D1372" s="8" t="s">
        <v>4226</v>
      </c>
      <c r="E1372" s="8" t="s">
        <v>4227</v>
      </c>
      <c r="F1372" s="8">
        <v>-1.0051101</v>
      </c>
      <c r="G1372" s="8">
        <v>-2.1756068000000002</v>
      </c>
      <c r="H1372" s="6" t="str">
        <f t="shared" si="11"/>
        <v>Direct</v>
      </c>
      <c r="I1372" s="8" t="s">
        <v>4228</v>
      </c>
      <c r="J1372" s="8" t="s">
        <v>4228</v>
      </c>
    </row>
    <row r="1373" spans="1:10" x14ac:dyDescent="0.2">
      <c r="A1373" s="8" t="s">
        <v>56</v>
      </c>
      <c r="B1373" s="8" t="s">
        <v>73</v>
      </c>
      <c r="C1373" s="8" t="s">
        <v>1797</v>
      </c>
      <c r="D1373" s="8" t="s">
        <v>1798</v>
      </c>
      <c r="E1373" s="8" t="s">
        <v>1799</v>
      </c>
      <c r="F1373" s="8">
        <v>-2.5103412999999999</v>
      </c>
      <c r="G1373" s="8">
        <v>-5.1159730999999997</v>
      </c>
      <c r="H1373" s="6" t="str">
        <f t="shared" si="11"/>
        <v>Direct</v>
      </c>
      <c r="I1373" s="8" t="s">
        <v>1800</v>
      </c>
      <c r="J1373" s="8" t="s">
        <v>1800</v>
      </c>
    </row>
    <row r="1374" spans="1:10" x14ac:dyDescent="0.2">
      <c r="A1374" s="8" t="s">
        <v>56</v>
      </c>
      <c r="B1374" s="8" t="s">
        <v>73</v>
      </c>
      <c r="C1374" s="8" t="s">
        <v>1801</v>
      </c>
      <c r="D1374" s="8" t="s">
        <v>1802</v>
      </c>
      <c r="E1374" s="8" t="s">
        <v>1803</v>
      </c>
      <c r="F1374" s="8">
        <v>-2.7852356</v>
      </c>
      <c r="G1374" s="8">
        <v>-13.243069999999999</v>
      </c>
      <c r="H1374" s="6" t="str">
        <f t="shared" si="11"/>
        <v>Direct</v>
      </c>
      <c r="I1374" s="8" t="s">
        <v>1804</v>
      </c>
      <c r="J1374" s="8" t="s">
        <v>1804</v>
      </c>
    </row>
    <row r="1375" spans="1:10" x14ac:dyDescent="0.2">
      <c r="A1375" s="8" t="s">
        <v>56</v>
      </c>
      <c r="B1375" s="8" t="s">
        <v>73</v>
      </c>
      <c r="C1375" s="8" t="s">
        <v>4229</v>
      </c>
      <c r="D1375" s="8" t="s">
        <v>4230</v>
      </c>
      <c r="E1375" s="8" t="s">
        <v>4231</v>
      </c>
      <c r="F1375" s="8">
        <v>1.00850102</v>
      </c>
      <c r="G1375" s="8">
        <v>2.38144271</v>
      </c>
      <c r="H1375" s="6" t="str">
        <f t="shared" si="11"/>
        <v>Direct</v>
      </c>
      <c r="I1375" s="8" t="s">
        <v>2973</v>
      </c>
      <c r="J1375" s="8" t="s">
        <v>2973</v>
      </c>
    </row>
    <row r="1376" spans="1:10" x14ac:dyDescent="0.2">
      <c r="A1376" s="8" t="s">
        <v>56</v>
      </c>
      <c r="B1376" s="8" t="s">
        <v>73</v>
      </c>
      <c r="C1376" s="8" t="s">
        <v>1805</v>
      </c>
      <c r="D1376" s="8" t="s">
        <v>1806</v>
      </c>
      <c r="E1376" s="8" t="s">
        <v>1807</v>
      </c>
      <c r="F1376" s="8">
        <v>-3.0932018000000001</v>
      </c>
      <c r="G1376" s="8">
        <v>-2.1890206000000001</v>
      </c>
      <c r="H1376" s="6" t="str">
        <f t="shared" si="11"/>
        <v>Direct</v>
      </c>
      <c r="I1376" s="8" t="s">
        <v>1808</v>
      </c>
      <c r="J1376" s="8" t="s">
        <v>1808</v>
      </c>
    </row>
    <row r="1377" spans="1:10" x14ac:dyDescent="0.2">
      <c r="A1377" s="8" t="s">
        <v>56</v>
      </c>
      <c r="B1377" s="8" t="s">
        <v>73</v>
      </c>
      <c r="C1377" s="8" t="s">
        <v>1809</v>
      </c>
      <c r="D1377" s="8" t="s">
        <v>1810</v>
      </c>
      <c r="E1377" s="8" t="s">
        <v>1811</v>
      </c>
      <c r="F1377" s="8">
        <v>6.1348121799999999</v>
      </c>
      <c r="G1377" s="8">
        <v>3.6943607900000002</v>
      </c>
      <c r="H1377" s="6" t="str">
        <f t="shared" si="11"/>
        <v>Direct</v>
      </c>
      <c r="I1377" s="8" t="s">
        <v>1812</v>
      </c>
      <c r="J1377" s="8" t="s">
        <v>1812</v>
      </c>
    </row>
    <row r="1378" spans="1:10" x14ac:dyDescent="0.2">
      <c r="A1378" s="8" t="s">
        <v>56</v>
      </c>
      <c r="B1378" s="8" t="s">
        <v>73</v>
      </c>
      <c r="C1378" s="8" t="s">
        <v>1813</v>
      </c>
      <c r="D1378" s="8" t="s">
        <v>1814</v>
      </c>
      <c r="E1378" s="8" t="s">
        <v>1815</v>
      </c>
      <c r="F1378" s="8">
        <v>6.4285548300000004</v>
      </c>
      <c r="G1378" s="8">
        <v>4.8547546800000001</v>
      </c>
      <c r="H1378" s="6" t="str">
        <f t="shared" si="11"/>
        <v>Direct</v>
      </c>
      <c r="I1378" s="8" t="s">
        <v>1719</v>
      </c>
      <c r="J1378" s="8" t="s">
        <v>1719</v>
      </c>
    </row>
    <row r="1379" spans="1:10" x14ac:dyDescent="0.2">
      <c r="A1379" s="8" t="s">
        <v>56</v>
      </c>
      <c r="B1379" s="8" t="s">
        <v>73</v>
      </c>
      <c r="C1379" s="8" t="s">
        <v>1816</v>
      </c>
      <c r="D1379" s="8" t="s">
        <v>1817</v>
      </c>
      <c r="E1379" s="8" t="s">
        <v>1818</v>
      </c>
      <c r="F1379" s="8">
        <v>-2.4936718</v>
      </c>
      <c r="G1379" s="8">
        <v>-2.3439638</v>
      </c>
      <c r="H1379" s="6" t="str">
        <f t="shared" si="11"/>
        <v>Direct</v>
      </c>
      <c r="I1379" s="8" t="s">
        <v>1819</v>
      </c>
      <c r="J1379" s="8" t="s">
        <v>1819</v>
      </c>
    </row>
    <row r="1380" spans="1:10" x14ac:dyDescent="0.2">
      <c r="A1380" s="8" t="s">
        <v>56</v>
      </c>
      <c r="B1380" s="8" t="s">
        <v>73</v>
      </c>
      <c r="C1380" s="8" t="s">
        <v>1820</v>
      </c>
      <c r="D1380" s="8" t="s">
        <v>1821</v>
      </c>
      <c r="E1380" s="8" t="s">
        <v>1822</v>
      </c>
      <c r="F1380" s="8">
        <v>2.6836485200000002</v>
      </c>
      <c r="G1380" s="8">
        <v>3.5022227400000001</v>
      </c>
      <c r="H1380" s="6" t="str">
        <f t="shared" si="11"/>
        <v>Direct</v>
      </c>
      <c r="I1380" s="8" t="s">
        <v>1823</v>
      </c>
      <c r="J1380" s="8" t="s">
        <v>1823</v>
      </c>
    </row>
    <row r="1381" spans="1:10" x14ac:dyDescent="0.2">
      <c r="A1381" s="8" t="s">
        <v>56</v>
      </c>
      <c r="B1381" s="8" t="s">
        <v>73</v>
      </c>
      <c r="C1381" s="8" t="s">
        <v>1824</v>
      </c>
      <c r="D1381" s="8" t="s">
        <v>1825</v>
      </c>
      <c r="E1381" s="8" t="s">
        <v>1826</v>
      </c>
      <c r="F1381" s="8">
        <v>-3.5140226999999999</v>
      </c>
      <c r="G1381" s="8">
        <v>-5.1942542999999999</v>
      </c>
      <c r="H1381" s="6" t="str">
        <f t="shared" si="11"/>
        <v>Direct</v>
      </c>
      <c r="I1381" s="8" t="s">
        <v>50</v>
      </c>
      <c r="J1381" s="8" t="s">
        <v>1827</v>
      </c>
    </row>
    <row r="1382" spans="1:10" x14ac:dyDescent="0.2">
      <c r="A1382" s="8" t="s">
        <v>56</v>
      </c>
      <c r="B1382" s="8" t="s">
        <v>73</v>
      </c>
      <c r="C1382" s="8" t="s">
        <v>4232</v>
      </c>
      <c r="D1382" s="8" t="s">
        <v>4233</v>
      </c>
      <c r="E1382" s="8" t="s">
        <v>4234</v>
      </c>
      <c r="F1382" s="8">
        <v>1.2411387199999999</v>
      </c>
      <c r="G1382" s="8">
        <v>1.30930137</v>
      </c>
      <c r="H1382" s="6" t="str">
        <f t="shared" si="11"/>
        <v>Direct</v>
      </c>
      <c r="I1382" s="8" t="s">
        <v>1500</v>
      </c>
      <c r="J1382" s="8" t="s">
        <v>4235</v>
      </c>
    </row>
    <row r="1383" spans="1:10" x14ac:dyDescent="0.2">
      <c r="A1383" s="8" t="s">
        <v>56</v>
      </c>
      <c r="B1383" s="8" t="s">
        <v>73</v>
      </c>
      <c r="C1383" s="8" t="s">
        <v>1828</v>
      </c>
      <c r="D1383" s="8" t="s">
        <v>1829</v>
      </c>
      <c r="E1383" s="8" t="s">
        <v>1830</v>
      </c>
      <c r="F1383" s="8">
        <v>1.60896218</v>
      </c>
      <c r="G1383" s="8">
        <v>1.0243781199999999</v>
      </c>
      <c r="H1383" s="6" t="str">
        <f t="shared" si="11"/>
        <v>Direct</v>
      </c>
      <c r="I1383" s="8" t="s">
        <v>50</v>
      </c>
      <c r="J1383" s="8" t="s">
        <v>1831</v>
      </c>
    </row>
    <row r="1384" spans="1:10" x14ac:dyDescent="0.2">
      <c r="A1384" s="8" t="s">
        <v>56</v>
      </c>
      <c r="B1384" s="8" t="s">
        <v>73</v>
      </c>
      <c r="C1384" s="8" t="s">
        <v>1836</v>
      </c>
      <c r="D1384" s="8" t="s">
        <v>1837</v>
      </c>
      <c r="E1384" s="8" t="s">
        <v>1838</v>
      </c>
      <c r="F1384" s="8">
        <v>2.8623474400000002</v>
      </c>
      <c r="G1384" s="8">
        <v>3.7331735400000001</v>
      </c>
      <c r="H1384" s="6" t="str">
        <f t="shared" si="11"/>
        <v>Direct</v>
      </c>
      <c r="I1384" s="8" t="s">
        <v>1839</v>
      </c>
      <c r="J1384" s="8" t="s">
        <v>1839</v>
      </c>
    </row>
    <row r="1385" spans="1:10" x14ac:dyDescent="0.2">
      <c r="A1385" s="8" t="s">
        <v>56</v>
      </c>
      <c r="B1385" s="8" t="s">
        <v>73</v>
      </c>
      <c r="C1385" s="8" t="s">
        <v>4236</v>
      </c>
      <c r="D1385" s="8" t="s">
        <v>4237</v>
      </c>
      <c r="E1385" s="8" t="s">
        <v>4238</v>
      </c>
      <c r="F1385" s="8">
        <v>-1.7162649999999999</v>
      </c>
      <c r="G1385" s="8">
        <v>-1.1101179000000001</v>
      </c>
      <c r="H1385" s="6" t="str">
        <f t="shared" si="11"/>
        <v>Direct</v>
      </c>
      <c r="I1385" s="8" t="s">
        <v>4239</v>
      </c>
      <c r="J1385" s="8" t="s">
        <v>4240</v>
      </c>
    </row>
    <row r="1386" spans="1:10" x14ac:dyDescent="0.2">
      <c r="A1386" s="8" t="s">
        <v>56</v>
      </c>
      <c r="B1386" s="8" t="s">
        <v>73</v>
      </c>
      <c r="C1386" s="8" t="s">
        <v>1844</v>
      </c>
      <c r="D1386" s="8" t="s">
        <v>1845</v>
      </c>
      <c r="E1386" s="8" t="s">
        <v>1846</v>
      </c>
      <c r="F1386" s="8">
        <v>-9.9973877000000009</v>
      </c>
      <c r="G1386" s="8">
        <v>-13.552839000000001</v>
      </c>
      <c r="H1386" s="6" t="str">
        <f t="shared" si="11"/>
        <v>Direct</v>
      </c>
      <c r="I1386" s="8" t="s">
        <v>459</v>
      </c>
      <c r="J1386" s="8" t="s">
        <v>459</v>
      </c>
    </row>
    <row r="1387" spans="1:10" x14ac:dyDescent="0.2">
      <c r="A1387" s="8" t="s">
        <v>56</v>
      </c>
      <c r="B1387" s="8" t="s">
        <v>73</v>
      </c>
      <c r="C1387" s="8" t="s">
        <v>1847</v>
      </c>
      <c r="D1387" s="8" t="s">
        <v>1848</v>
      </c>
      <c r="E1387" s="8" t="s">
        <v>1849</v>
      </c>
      <c r="F1387" s="8">
        <v>-7.0600246999999996</v>
      </c>
      <c r="G1387" s="8">
        <v>-2.4677874000000002</v>
      </c>
      <c r="H1387" s="6" t="str">
        <f t="shared" si="11"/>
        <v>Direct</v>
      </c>
      <c r="I1387" s="8" t="s">
        <v>1850</v>
      </c>
      <c r="J1387" s="8" t="s">
        <v>1850</v>
      </c>
    </row>
    <row r="1388" spans="1:10" x14ac:dyDescent="0.2">
      <c r="A1388" s="8" t="s">
        <v>56</v>
      </c>
      <c r="B1388" s="8" t="s">
        <v>73</v>
      </c>
      <c r="C1388" s="8" t="s">
        <v>1851</v>
      </c>
      <c r="D1388" s="8" t="s">
        <v>1852</v>
      </c>
      <c r="E1388" s="8" t="s">
        <v>1853</v>
      </c>
      <c r="F1388" s="8">
        <v>2.15887648</v>
      </c>
      <c r="G1388" s="8">
        <v>1.7235596900000001</v>
      </c>
      <c r="H1388" s="6" t="str">
        <f t="shared" si="11"/>
        <v>Direct</v>
      </c>
      <c r="I1388" s="8" t="s">
        <v>1854</v>
      </c>
      <c r="J1388" s="8" t="s">
        <v>1854</v>
      </c>
    </row>
    <row r="1389" spans="1:10" x14ac:dyDescent="0.2">
      <c r="A1389" s="8" t="s">
        <v>56</v>
      </c>
      <c r="B1389" s="8" t="s">
        <v>73</v>
      </c>
      <c r="C1389" s="8" t="s">
        <v>1855</v>
      </c>
      <c r="D1389" s="8" t="s">
        <v>1856</v>
      </c>
      <c r="E1389" s="8" t="s">
        <v>1857</v>
      </c>
      <c r="F1389" s="8">
        <v>1.9584574800000001</v>
      </c>
      <c r="G1389" s="8">
        <v>3.3554442099999999</v>
      </c>
      <c r="H1389" s="6" t="str">
        <f t="shared" si="11"/>
        <v>Direct</v>
      </c>
      <c r="I1389" s="8" t="s">
        <v>1858</v>
      </c>
      <c r="J1389" s="8" t="s">
        <v>1858</v>
      </c>
    </row>
    <row r="1390" spans="1:10" x14ac:dyDescent="0.2">
      <c r="A1390" s="8" t="s">
        <v>56</v>
      </c>
      <c r="B1390" s="8" t="s">
        <v>73</v>
      </c>
      <c r="C1390" s="8" t="s">
        <v>1859</v>
      </c>
      <c r="D1390" s="8" t="s">
        <v>1860</v>
      </c>
      <c r="E1390" s="8" t="s">
        <v>1861</v>
      </c>
      <c r="F1390" s="8">
        <v>2.7685712499999999</v>
      </c>
      <c r="G1390" s="8">
        <v>1.78292155</v>
      </c>
      <c r="H1390" s="6" t="str">
        <f t="shared" si="11"/>
        <v>Direct</v>
      </c>
      <c r="I1390" s="8" t="s">
        <v>1747</v>
      </c>
      <c r="J1390" s="8" t="s">
        <v>1747</v>
      </c>
    </row>
    <row r="1391" spans="1:10" x14ac:dyDescent="0.2">
      <c r="A1391" s="8" t="s">
        <v>56</v>
      </c>
      <c r="B1391" s="8" t="s">
        <v>73</v>
      </c>
      <c r="C1391" s="8" t="s">
        <v>4110</v>
      </c>
      <c r="D1391" s="8" t="s">
        <v>4111</v>
      </c>
      <c r="E1391" s="8" t="s">
        <v>4112</v>
      </c>
      <c r="F1391" s="8">
        <v>-5.5793366000000004</v>
      </c>
      <c r="G1391" s="8">
        <v>-2.4189177000000002</v>
      </c>
      <c r="H1391" s="6" t="str">
        <f t="shared" si="11"/>
        <v>Direct</v>
      </c>
      <c r="I1391" s="8" t="s">
        <v>4113</v>
      </c>
      <c r="J1391" s="8" t="s">
        <v>4114</v>
      </c>
    </row>
    <row r="1392" spans="1:10" x14ac:dyDescent="0.2">
      <c r="A1392" s="8" t="s">
        <v>56</v>
      </c>
      <c r="B1392" s="8" t="s">
        <v>73</v>
      </c>
      <c r="C1392" s="8" t="s">
        <v>4241</v>
      </c>
      <c r="D1392" s="8" t="s">
        <v>4242</v>
      </c>
      <c r="E1392" s="8" t="s">
        <v>4243</v>
      </c>
      <c r="F1392" s="8">
        <v>-3.7912124999999999</v>
      </c>
      <c r="G1392" s="8">
        <v>-1.3955498</v>
      </c>
      <c r="H1392" s="6" t="str">
        <f t="shared" si="11"/>
        <v>Direct</v>
      </c>
      <c r="I1392" s="8" t="s">
        <v>4244</v>
      </c>
      <c r="J1392" s="8" t="s">
        <v>4244</v>
      </c>
    </row>
    <row r="1393" spans="1:10" x14ac:dyDescent="0.2">
      <c r="A1393" s="8" t="s">
        <v>56</v>
      </c>
      <c r="B1393" s="8" t="s">
        <v>73</v>
      </c>
      <c r="C1393" s="8" t="s">
        <v>4245</v>
      </c>
      <c r="D1393" s="8" t="s">
        <v>4246</v>
      </c>
      <c r="E1393" s="8" t="s">
        <v>4247</v>
      </c>
      <c r="F1393" s="8">
        <v>-1.9865330000000001</v>
      </c>
      <c r="G1393" s="8">
        <v>-1.1020175999999999</v>
      </c>
      <c r="H1393" s="6" t="str">
        <f t="shared" si="11"/>
        <v>Direct</v>
      </c>
      <c r="I1393" s="8" t="s">
        <v>4248</v>
      </c>
      <c r="J1393" s="8" t="s">
        <v>4248</v>
      </c>
    </row>
    <row r="1394" spans="1:10" x14ac:dyDescent="0.2">
      <c r="A1394" s="8" t="s">
        <v>56</v>
      </c>
      <c r="B1394" s="8" t="s">
        <v>73</v>
      </c>
      <c r="C1394" s="8" t="s">
        <v>2996</v>
      </c>
      <c r="D1394" s="8" t="s">
        <v>2997</v>
      </c>
      <c r="E1394" s="8" t="s">
        <v>2998</v>
      </c>
      <c r="F1394" s="8">
        <v>-9.8755729999999993</v>
      </c>
      <c r="G1394" s="8">
        <v>-1.124457</v>
      </c>
      <c r="H1394" s="6" t="str">
        <f t="shared" si="11"/>
        <v>Direct</v>
      </c>
      <c r="I1394" s="8" t="s">
        <v>822</v>
      </c>
      <c r="J1394" s="8" t="s">
        <v>822</v>
      </c>
    </row>
    <row r="1395" spans="1:10" x14ac:dyDescent="0.2">
      <c r="A1395" s="8" t="s">
        <v>56</v>
      </c>
      <c r="B1395" s="8" t="s">
        <v>73</v>
      </c>
      <c r="C1395" s="8" t="s">
        <v>2999</v>
      </c>
      <c r="D1395" s="8" t="s">
        <v>3000</v>
      </c>
      <c r="E1395" s="8" t="s">
        <v>3001</v>
      </c>
      <c r="F1395" s="8">
        <v>2.0750095800000001</v>
      </c>
      <c r="G1395" s="8">
        <v>-2.6044432</v>
      </c>
      <c r="H1395" s="6" t="str">
        <f t="shared" si="11"/>
        <v>Inverse</v>
      </c>
      <c r="I1395" s="8" t="s">
        <v>3002</v>
      </c>
      <c r="J1395" s="8" t="s">
        <v>3002</v>
      </c>
    </row>
    <row r="1396" spans="1:10" x14ac:dyDescent="0.2">
      <c r="A1396" s="8" t="s">
        <v>56</v>
      </c>
      <c r="B1396" s="8" t="s">
        <v>73</v>
      </c>
      <c r="C1396" s="8" t="s">
        <v>3003</v>
      </c>
      <c r="D1396" s="8" t="s">
        <v>3004</v>
      </c>
      <c r="E1396" s="8" t="s">
        <v>3005</v>
      </c>
      <c r="F1396" s="8">
        <v>-1.8396412</v>
      </c>
      <c r="G1396" s="8">
        <v>-1.9031777000000001</v>
      </c>
      <c r="H1396" s="6" t="str">
        <f t="shared" si="11"/>
        <v>Direct</v>
      </c>
      <c r="I1396" s="8" t="s">
        <v>3006</v>
      </c>
      <c r="J1396" s="8" t="s">
        <v>3006</v>
      </c>
    </row>
    <row r="1397" spans="1:10" x14ac:dyDescent="0.2">
      <c r="A1397" s="8" t="s">
        <v>56</v>
      </c>
      <c r="B1397" s="8" t="s">
        <v>73</v>
      </c>
      <c r="C1397" s="8" t="s">
        <v>4249</v>
      </c>
      <c r="D1397" s="8" t="s">
        <v>4250</v>
      </c>
      <c r="E1397" s="8" t="s">
        <v>4251</v>
      </c>
      <c r="F1397" s="8">
        <v>-2.6021502000000001</v>
      </c>
      <c r="G1397" s="8">
        <v>1.7543920799999999</v>
      </c>
      <c r="H1397" s="6" t="str">
        <f t="shared" si="11"/>
        <v>Inverse</v>
      </c>
      <c r="I1397" s="8" t="s">
        <v>4252</v>
      </c>
      <c r="J1397" s="8" t="s">
        <v>4252</v>
      </c>
    </row>
    <row r="1398" spans="1:10" x14ac:dyDescent="0.2">
      <c r="A1398" s="8" t="s">
        <v>56</v>
      </c>
      <c r="B1398" s="8" t="s">
        <v>73</v>
      </c>
      <c r="C1398" s="8" t="s">
        <v>1869</v>
      </c>
      <c r="D1398" s="8" t="s">
        <v>1870</v>
      </c>
      <c r="E1398" s="8" t="s">
        <v>1871</v>
      </c>
      <c r="F1398" s="8">
        <v>8.5616012599999998</v>
      </c>
      <c r="G1398" s="8">
        <v>4.5156356400000002</v>
      </c>
      <c r="H1398" s="6" t="str">
        <f t="shared" si="11"/>
        <v>Direct</v>
      </c>
      <c r="I1398" s="8" t="s">
        <v>1872</v>
      </c>
      <c r="J1398" s="8" t="s">
        <v>1872</v>
      </c>
    </row>
    <row r="1399" spans="1:10" x14ac:dyDescent="0.2">
      <c r="A1399" s="8" t="s">
        <v>56</v>
      </c>
      <c r="B1399" s="8" t="s">
        <v>73</v>
      </c>
      <c r="C1399" s="8" t="s">
        <v>3012</v>
      </c>
      <c r="D1399" s="8" t="s">
        <v>3013</v>
      </c>
      <c r="E1399" s="8" t="s">
        <v>3014</v>
      </c>
      <c r="F1399" s="8">
        <v>-4.4174265999999998</v>
      </c>
      <c r="G1399" s="8">
        <v>-1.8597243000000001</v>
      </c>
      <c r="H1399" s="6" t="str">
        <f t="shared" si="11"/>
        <v>Direct</v>
      </c>
      <c r="I1399" s="8" t="s">
        <v>2155</v>
      </c>
      <c r="J1399" s="8" t="s">
        <v>2155</v>
      </c>
    </row>
    <row r="1400" spans="1:10" x14ac:dyDescent="0.2">
      <c r="A1400" s="8" t="s">
        <v>56</v>
      </c>
      <c r="B1400" s="8" t="s">
        <v>73</v>
      </c>
      <c r="C1400" s="8" t="s">
        <v>4253</v>
      </c>
      <c r="D1400" s="8" t="s">
        <v>4254</v>
      </c>
      <c r="E1400" s="8" t="s">
        <v>4255</v>
      </c>
      <c r="F1400" s="8">
        <v>-1.0702691</v>
      </c>
      <c r="G1400" s="8">
        <v>-1.606101</v>
      </c>
      <c r="H1400" s="6" t="str">
        <f t="shared" si="11"/>
        <v>Direct</v>
      </c>
      <c r="I1400" s="8" t="s">
        <v>2853</v>
      </c>
      <c r="J1400" s="8" t="s">
        <v>2853</v>
      </c>
    </row>
    <row r="1401" spans="1:10" x14ac:dyDescent="0.2">
      <c r="A1401" s="8" t="s">
        <v>56</v>
      </c>
      <c r="B1401" s="8" t="s">
        <v>73</v>
      </c>
      <c r="C1401" s="8" t="s">
        <v>1878</v>
      </c>
      <c r="D1401" s="8" t="s">
        <v>1879</v>
      </c>
      <c r="E1401" s="8" t="s">
        <v>1880</v>
      </c>
      <c r="F1401" s="8">
        <v>-2.5875759</v>
      </c>
      <c r="G1401" s="8">
        <v>-2.1407137999999999</v>
      </c>
      <c r="H1401" s="6" t="str">
        <f t="shared" si="11"/>
        <v>Direct</v>
      </c>
      <c r="I1401" s="8" t="s">
        <v>1881</v>
      </c>
      <c r="J1401" s="8" t="s">
        <v>1881</v>
      </c>
    </row>
    <row r="1402" spans="1:10" x14ac:dyDescent="0.2">
      <c r="A1402" s="8" t="s">
        <v>56</v>
      </c>
      <c r="B1402" s="8" t="s">
        <v>73</v>
      </c>
      <c r="C1402" s="8" t="s">
        <v>1882</v>
      </c>
      <c r="D1402" s="8" t="s">
        <v>1883</v>
      </c>
      <c r="E1402" s="8" t="s">
        <v>1884</v>
      </c>
      <c r="F1402" s="8">
        <v>3.1433656299999999</v>
      </c>
      <c r="G1402" s="8">
        <v>3.8914950199999998</v>
      </c>
      <c r="H1402" s="6" t="str">
        <f t="shared" si="11"/>
        <v>Direct</v>
      </c>
      <c r="I1402" s="8" t="s">
        <v>50</v>
      </c>
      <c r="J1402" s="8" t="s">
        <v>743</v>
      </c>
    </row>
    <row r="1403" spans="1:10" x14ac:dyDescent="0.2">
      <c r="A1403" s="8" t="s">
        <v>56</v>
      </c>
      <c r="B1403" s="8" t="s">
        <v>73</v>
      </c>
      <c r="C1403" s="8" t="s">
        <v>4256</v>
      </c>
      <c r="D1403" s="8" t="s">
        <v>4257</v>
      </c>
      <c r="E1403" s="8" t="s">
        <v>4258</v>
      </c>
      <c r="F1403" s="8">
        <v>-1.2146520000000001</v>
      </c>
      <c r="G1403" s="8">
        <v>-1.1583878000000001</v>
      </c>
      <c r="H1403" s="6" t="str">
        <f t="shared" si="11"/>
        <v>Direct</v>
      </c>
      <c r="I1403" s="8" t="s">
        <v>4259</v>
      </c>
      <c r="J1403" s="8" t="s">
        <v>4260</v>
      </c>
    </row>
    <row r="1404" spans="1:10" x14ac:dyDescent="0.2">
      <c r="A1404" s="8" t="s">
        <v>56</v>
      </c>
      <c r="B1404" s="8" t="s">
        <v>73</v>
      </c>
      <c r="C1404" s="8" t="s">
        <v>1890</v>
      </c>
      <c r="D1404" s="8" t="s">
        <v>1891</v>
      </c>
      <c r="E1404" s="8" t="s">
        <v>1892</v>
      </c>
      <c r="F1404" s="8">
        <v>-21.638473000000001</v>
      </c>
      <c r="G1404" s="8">
        <v>-1.6178195</v>
      </c>
      <c r="H1404" s="6" t="str">
        <f t="shared" si="11"/>
        <v>Direct</v>
      </c>
      <c r="I1404" s="8" t="s">
        <v>1893</v>
      </c>
      <c r="J1404" s="8" t="s">
        <v>1894</v>
      </c>
    </row>
    <row r="1405" spans="1:10" x14ac:dyDescent="0.2">
      <c r="A1405" s="8" t="s">
        <v>56</v>
      </c>
      <c r="B1405" s="8" t="s">
        <v>73</v>
      </c>
      <c r="C1405" s="8" t="s">
        <v>3040</v>
      </c>
      <c r="D1405" s="8" t="s">
        <v>3041</v>
      </c>
      <c r="E1405" s="8" t="s">
        <v>3042</v>
      </c>
      <c r="F1405" s="8">
        <v>-3.5691198000000002</v>
      </c>
      <c r="G1405" s="8">
        <v>-2.6043816</v>
      </c>
      <c r="H1405" s="6" t="str">
        <f t="shared" si="11"/>
        <v>Direct</v>
      </c>
      <c r="I1405" s="8" t="s">
        <v>227</v>
      </c>
      <c r="J1405" s="8" t="s">
        <v>227</v>
      </c>
    </row>
    <row r="1406" spans="1:10" x14ac:dyDescent="0.2">
      <c r="A1406" s="8" t="s">
        <v>56</v>
      </c>
      <c r="B1406" s="8" t="s">
        <v>73</v>
      </c>
      <c r="C1406" s="8" t="s">
        <v>4261</v>
      </c>
      <c r="D1406" s="8" t="s">
        <v>4262</v>
      </c>
      <c r="E1406" s="8" t="s">
        <v>4263</v>
      </c>
      <c r="F1406" s="8">
        <v>-1.6229217</v>
      </c>
      <c r="G1406" s="8">
        <v>-1.2042120999999999</v>
      </c>
      <c r="H1406" s="6" t="str">
        <f t="shared" si="11"/>
        <v>Direct</v>
      </c>
      <c r="I1406" s="8" t="s">
        <v>4264</v>
      </c>
      <c r="J1406" s="8" t="s">
        <v>4264</v>
      </c>
    </row>
    <row r="1407" spans="1:10" x14ac:dyDescent="0.2">
      <c r="A1407" s="8" t="s">
        <v>56</v>
      </c>
      <c r="B1407" s="8" t="s">
        <v>73</v>
      </c>
      <c r="C1407" s="8" t="s">
        <v>4265</v>
      </c>
      <c r="D1407" s="8" t="s">
        <v>4266</v>
      </c>
      <c r="E1407" s="8" t="s">
        <v>4267</v>
      </c>
      <c r="F1407" s="8">
        <v>-1.6582262000000001</v>
      </c>
      <c r="G1407" s="8">
        <v>-2.7954279999999998</v>
      </c>
      <c r="H1407" s="6" t="str">
        <f t="shared" si="11"/>
        <v>Direct</v>
      </c>
      <c r="I1407" s="8" t="s">
        <v>2183</v>
      </c>
      <c r="J1407" s="8" t="s">
        <v>2183</v>
      </c>
    </row>
    <row r="1408" spans="1:10" x14ac:dyDescent="0.2">
      <c r="A1408" s="8" t="s">
        <v>56</v>
      </c>
      <c r="B1408" s="8" t="s">
        <v>73</v>
      </c>
      <c r="C1408" s="8" t="s">
        <v>1900</v>
      </c>
      <c r="D1408" s="8" t="s">
        <v>1901</v>
      </c>
      <c r="E1408" s="8" t="s">
        <v>1902</v>
      </c>
      <c r="F1408" s="8">
        <v>-3.9231310000000001</v>
      </c>
      <c r="G1408" s="8">
        <v>-6.1368935000000002</v>
      </c>
      <c r="H1408" s="6" t="str">
        <f t="shared" si="11"/>
        <v>Direct</v>
      </c>
      <c r="I1408" s="8" t="s">
        <v>1903</v>
      </c>
      <c r="J1408" s="8" t="s">
        <v>1903</v>
      </c>
    </row>
    <row r="1409" spans="1:10" x14ac:dyDescent="0.2">
      <c r="A1409" s="8" t="s">
        <v>56</v>
      </c>
      <c r="B1409" s="8" t="s">
        <v>73</v>
      </c>
      <c r="C1409" s="8" t="s">
        <v>1904</v>
      </c>
      <c r="D1409" s="8" t="s">
        <v>1905</v>
      </c>
      <c r="E1409" s="8" t="s">
        <v>1906</v>
      </c>
      <c r="F1409" s="8">
        <v>-3.8229120000000001</v>
      </c>
      <c r="G1409" s="8">
        <v>-1.5336521999999999</v>
      </c>
      <c r="H1409" s="6" t="str">
        <f t="shared" si="11"/>
        <v>Direct</v>
      </c>
      <c r="I1409" s="8" t="s">
        <v>1907</v>
      </c>
      <c r="J1409" s="8" t="s">
        <v>1907</v>
      </c>
    </row>
    <row r="1410" spans="1:10" x14ac:dyDescent="0.2">
      <c r="A1410" s="8" t="s">
        <v>56</v>
      </c>
      <c r="B1410" s="8" t="s">
        <v>73</v>
      </c>
      <c r="C1410" s="8" t="s">
        <v>1908</v>
      </c>
      <c r="D1410" s="8" t="s">
        <v>1909</v>
      </c>
      <c r="E1410" s="8" t="s">
        <v>1910</v>
      </c>
      <c r="F1410" s="8">
        <v>-1.0969628</v>
      </c>
      <c r="G1410" s="8">
        <v>-1.2474517000000001</v>
      </c>
      <c r="H1410" s="6" t="str">
        <f t="shared" si="11"/>
        <v>Direct</v>
      </c>
      <c r="I1410" s="8" t="s">
        <v>1911</v>
      </c>
      <c r="J1410" s="8" t="s">
        <v>1911</v>
      </c>
    </row>
    <row r="1411" spans="1:10" x14ac:dyDescent="0.2">
      <c r="A1411" s="8" t="s">
        <v>56</v>
      </c>
      <c r="B1411" s="8" t="s">
        <v>73</v>
      </c>
      <c r="C1411" s="8" t="s">
        <v>1912</v>
      </c>
      <c r="D1411" s="8" t="s">
        <v>1913</v>
      </c>
      <c r="E1411" s="8" t="s">
        <v>1914</v>
      </c>
      <c r="F1411" s="8">
        <v>-3.4785808</v>
      </c>
      <c r="G1411" s="8">
        <v>-2.2341418000000002</v>
      </c>
      <c r="H1411" s="6" t="str">
        <f t="shared" si="11"/>
        <v>Direct</v>
      </c>
      <c r="I1411" s="8" t="s">
        <v>1915</v>
      </c>
      <c r="J1411" s="8" t="s">
        <v>1915</v>
      </c>
    </row>
    <row r="1412" spans="1:10" x14ac:dyDescent="0.2">
      <c r="A1412" s="8" t="s">
        <v>56</v>
      </c>
      <c r="B1412" s="8" t="s">
        <v>73</v>
      </c>
      <c r="C1412" s="8" t="s">
        <v>4268</v>
      </c>
      <c r="D1412" s="8" t="s">
        <v>4269</v>
      </c>
      <c r="E1412" s="8" t="s">
        <v>4270</v>
      </c>
      <c r="F1412" s="8">
        <v>-6.9089273999999996</v>
      </c>
      <c r="G1412" s="8">
        <v>-1.1249647</v>
      </c>
      <c r="H1412" s="6" t="str">
        <f t="shared" si="11"/>
        <v>Direct</v>
      </c>
      <c r="I1412" s="8" t="s">
        <v>4271</v>
      </c>
      <c r="J1412" s="8" t="s">
        <v>4272</v>
      </c>
    </row>
    <row r="1413" spans="1:10" x14ac:dyDescent="0.2">
      <c r="A1413" s="8" t="s">
        <v>56</v>
      </c>
      <c r="B1413" s="8" t="s">
        <v>73</v>
      </c>
      <c r="C1413" s="8" t="s">
        <v>1919</v>
      </c>
      <c r="D1413" s="8" t="s">
        <v>1920</v>
      </c>
      <c r="E1413" s="8" t="s">
        <v>1921</v>
      </c>
      <c r="F1413" s="8">
        <v>2.5253434000000001</v>
      </c>
      <c r="G1413" s="8">
        <v>3.22765038</v>
      </c>
      <c r="H1413" s="6" t="str">
        <f t="shared" si="11"/>
        <v>Direct</v>
      </c>
      <c r="I1413" s="8" t="s">
        <v>1922</v>
      </c>
      <c r="J1413" s="8" t="s">
        <v>1923</v>
      </c>
    </row>
    <row r="1414" spans="1:10" x14ac:dyDescent="0.2">
      <c r="A1414" s="8" t="s">
        <v>56</v>
      </c>
      <c r="B1414" s="8" t="s">
        <v>73</v>
      </c>
      <c r="C1414" s="8" t="s">
        <v>1924</v>
      </c>
      <c r="D1414" s="8" t="s">
        <v>1925</v>
      </c>
      <c r="E1414" s="8" t="s">
        <v>1926</v>
      </c>
      <c r="F1414" s="8">
        <v>-2.0346104999999999</v>
      </c>
      <c r="G1414" s="8">
        <v>-2.0656661999999999</v>
      </c>
      <c r="H1414" s="6" t="str">
        <f t="shared" si="11"/>
        <v>Direct</v>
      </c>
      <c r="I1414" s="8" t="s">
        <v>1927</v>
      </c>
      <c r="J1414" s="8" t="s">
        <v>1927</v>
      </c>
    </row>
    <row r="1415" spans="1:10" x14ac:dyDescent="0.2">
      <c r="A1415" s="8" t="s">
        <v>56</v>
      </c>
      <c r="B1415" s="8" t="s">
        <v>73</v>
      </c>
      <c r="C1415" s="8" t="s">
        <v>1928</v>
      </c>
      <c r="D1415" s="8" t="s">
        <v>1929</v>
      </c>
      <c r="E1415" s="8" t="s">
        <v>1930</v>
      </c>
      <c r="F1415" s="8">
        <v>1.0737585300000001</v>
      </c>
      <c r="G1415" s="8">
        <v>-3.7263543000000001</v>
      </c>
      <c r="H1415" s="6" t="str">
        <f t="shared" si="11"/>
        <v>Inverse</v>
      </c>
      <c r="I1415" s="8" t="s">
        <v>1931</v>
      </c>
      <c r="J1415" s="8" t="s">
        <v>1931</v>
      </c>
    </row>
    <row r="1416" spans="1:10" x14ac:dyDescent="0.2">
      <c r="A1416" s="8" t="s">
        <v>56</v>
      </c>
      <c r="B1416" s="8" t="s">
        <v>73</v>
      </c>
      <c r="C1416" s="8" t="s">
        <v>4273</v>
      </c>
      <c r="D1416" s="8" t="s">
        <v>4274</v>
      </c>
      <c r="E1416" s="8" t="s">
        <v>4275</v>
      </c>
      <c r="F1416" s="8">
        <v>4.9531387999999996</v>
      </c>
      <c r="G1416" s="8">
        <v>2.4671289199999999</v>
      </c>
      <c r="H1416" s="6" t="str">
        <f t="shared" si="11"/>
        <v>Direct</v>
      </c>
      <c r="I1416" s="8" t="s">
        <v>4276</v>
      </c>
      <c r="J1416" s="8" t="s">
        <v>4277</v>
      </c>
    </row>
    <row r="1417" spans="1:10" x14ac:dyDescent="0.2">
      <c r="A1417" s="8" t="s">
        <v>56</v>
      </c>
      <c r="B1417" s="8" t="s">
        <v>73</v>
      </c>
      <c r="C1417" s="8" t="s">
        <v>4278</v>
      </c>
      <c r="D1417" s="8" t="s">
        <v>4279</v>
      </c>
      <c r="E1417" s="8" t="s">
        <v>4280</v>
      </c>
      <c r="F1417" s="8">
        <v>-3.3890060000000002</v>
      </c>
      <c r="G1417" s="8">
        <v>-1.0329225</v>
      </c>
      <c r="H1417" s="6" t="str">
        <f t="shared" si="11"/>
        <v>Direct</v>
      </c>
      <c r="I1417" s="8" t="s">
        <v>4281</v>
      </c>
      <c r="J1417" s="8" t="s">
        <v>4281</v>
      </c>
    </row>
    <row r="1418" spans="1:10" x14ac:dyDescent="0.2">
      <c r="A1418" s="8" t="s">
        <v>56</v>
      </c>
      <c r="B1418" s="8" t="s">
        <v>73</v>
      </c>
      <c r="C1418" s="8" t="s">
        <v>1936</v>
      </c>
      <c r="D1418" s="8" t="s">
        <v>1937</v>
      </c>
      <c r="E1418" s="8" t="s">
        <v>1938</v>
      </c>
      <c r="F1418" s="8">
        <v>-1.9011544</v>
      </c>
      <c r="G1418" s="8">
        <v>-4.1824303</v>
      </c>
      <c r="H1418" s="6" t="str">
        <f t="shared" si="11"/>
        <v>Direct</v>
      </c>
      <c r="I1418" s="8" t="s">
        <v>1939</v>
      </c>
      <c r="J1418" s="8" t="s">
        <v>1939</v>
      </c>
    </row>
    <row r="1419" spans="1:10" x14ac:dyDescent="0.2">
      <c r="A1419" s="8" t="s">
        <v>56</v>
      </c>
      <c r="B1419" s="8" t="s">
        <v>73</v>
      </c>
      <c r="C1419" s="8" t="s">
        <v>1940</v>
      </c>
      <c r="D1419" s="8" t="s">
        <v>1941</v>
      </c>
      <c r="E1419" s="8" t="s">
        <v>1942</v>
      </c>
      <c r="F1419" s="8">
        <v>2.2766642300000002</v>
      </c>
      <c r="G1419" s="8">
        <v>4.8389048299999997</v>
      </c>
      <c r="H1419" s="6" t="str">
        <f t="shared" si="11"/>
        <v>Direct</v>
      </c>
      <c r="I1419" s="8" t="s">
        <v>1943</v>
      </c>
      <c r="J1419" s="8" t="s">
        <v>1943</v>
      </c>
    </row>
    <row r="1420" spans="1:10" x14ac:dyDescent="0.2">
      <c r="A1420" s="8" t="s">
        <v>56</v>
      </c>
      <c r="B1420" s="8" t="s">
        <v>73</v>
      </c>
      <c r="C1420" s="8" t="s">
        <v>1948</v>
      </c>
      <c r="D1420" s="8" t="s">
        <v>1949</v>
      </c>
      <c r="E1420" s="8" t="s">
        <v>1950</v>
      </c>
      <c r="F1420" s="8">
        <v>-1.0738097</v>
      </c>
      <c r="G1420" s="8">
        <v>-2.9805492</v>
      </c>
      <c r="H1420" s="6" t="str">
        <f t="shared" si="11"/>
        <v>Direct</v>
      </c>
      <c r="I1420" s="8" t="s">
        <v>1951</v>
      </c>
      <c r="J1420" s="8" t="s">
        <v>1951</v>
      </c>
    </row>
    <row r="1421" spans="1:10" x14ac:dyDescent="0.2">
      <c r="A1421" s="8" t="s">
        <v>56</v>
      </c>
      <c r="B1421" s="8" t="s">
        <v>73</v>
      </c>
      <c r="C1421" s="8" t="s">
        <v>4282</v>
      </c>
      <c r="D1421" s="8" t="s">
        <v>4283</v>
      </c>
      <c r="E1421" s="8" t="s">
        <v>4284</v>
      </c>
      <c r="F1421" s="8">
        <v>-1.6798005</v>
      </c>
      <c r="G1421" s="8">
        <v>-1.7076127000000001</v>
      </c>
      <c r="H1421" s="6" t="str">
        <f t="shared" si="11"/>
        <v>Direct</v>
      </c>
      <c r="I1421" s="8" t="s">
        <v>2086</v>
      </c>
      <c r="J1421" s="8" t="s">
        <v>2086</v>
      </c>
    </row>
    <row r="1422" spans="1:10" x14ac:dyDescent="0.2">
      <c r="A1422" s="8" t="s">
        <v>56</v>
      </c>
      <c r="B1422" s="8" t="s">
        <v>73</v>
      </c>
      <c r="C1422" s="8" t="s">
        <v>1956</v>
      </c>
      <c r="D1422" s="8" t="s">
        <v>1957</v>
      </c>
      <c r="E1422" s="8" t="s">
        <v>1958</v>
      </c>
      <c r="F1422" s="8">
        <v>1.86254732</v>
      </c>
      <c r="G1422" s="8">
        <v>-3.0717778999999998</v>
      </c>
      <c r="H1422" s="6" t="str">
        <f t="shared" si="11"/>
        <v>Inverse</v>
      </c>
      <c r="I1422" s="8" t="s">
        <v>1959</v>
      </c>
      <c r="J1422" s="8" t="s">
        <v>1960</v>
      </c>
    </row>
    <row r="1423" spans="1:10" x14ac:dyDescent="0.2">
      <c r="A1423" s="8" t="s">
        <v>56</v>
      </c>
      <c r="B1423" s="8" t="s">
        <v>73</v>
      </c>
      <c r="C1423" s="8" t="s">
        <v>1965</v>
      </c>
      <c r="D1423" s="8" t="s">
        <v>1966</v>
      </c>
      <c r="E1423" s="8" t="s">
        <v>1967</v>
      </c>
      <c r="F1423" s="8">
        <v>-6.7089473000000002</v>
      </c>
      <c r="G1423" s="8">
        <v>-1.5450284000000001</v>
      </c>
      <c r="H1423" s="6" t="str">
        <f t="shared" si="11"/>
        <v>Direct</v>
      </c>
      <c r="I1423" s="8" t="s">
        <v>1968</v>
      </c>
      <c r="J1423" s="8" t="s">
        <v>1968</v>
      </c>
    </row>
    <row r="1424" spans="1:10" x14ac:dyDescent="0.2">
      <c r="A1424" s="8" t="s">
        <v>56</v>
      </c>
      <c r="B1424" s="8" t="s">
        <v>73</v>
      </c>
      <c r="C1424" s="8" t="s">
        <v>1969</v>
      </c>
      <c r="D1424" s="8" t="s">
        <v>1970</v>
      </c>
      <c r="E1424" s="8" t="s">
        <v>1971</v>
      </c>
      <c r="F1424" s="8">
        <v>-2.8539734000000001</v>
      </c>
      <c r="G1424" s="8">
        <v>3.3168943299999998</v>
      </c>
      <c r="H1424" s="6" t="str">
        <f t="shared" si="11"/>
        <v>Inverse</v>
      </c>
      <c r="I1424" s="8" t="s">
        <v>1972</v>
      </c>
      <c r="J1424" s="8" t="s">
        <v>1972</v>
      </c>
    </row>
    <row r="1425" spans="1:10" x14ac:dyDescent="0.2">
      <c r="A1425" s="8" t="s">
        <v>56</v>
      </c>
      <c r="B1425" s="8" t="s">
        <v>73</v>
      </c>
      <c r="C1425" s="8" t="s">
        <v>1973</v>
      </c>
      <c r="D1425" s="8" t="s">
        <v>1974</v>
      </c>
      <c r="E1425" s="8" t="s">
        <v>1975</v>
      </c>
      <c r="F1425" s="8">
        <v>-3.5116143000000002</v>
      </c>
      <c r="G1425" s="8">
        <v>1.54358704</v>
      </c>
      <c r="H1425" s="6" t="str">
        <f t="shared" si="11"/>
        <v>Inverse</v>
      </c>
      <c r="I1425" s="8" t="s">
        <v>1976</v>
      </c>
      <c r="J1425" s="8" t="s">
        <v>1976</v>
      </c>
    </row>
    <row r="1426" spans="1:10" x14ac:dyDescent="0.2">
      <c r="A1426" s="8" t="s">
        <v>56</v>
      </c>
      <c r="B1426" s="8" t="s">
        <v>73</v>
      </c>
      <c r="C1426" s="8" t="s">
        <v>1977</v>
      </c>
      <c r="D1426" s="8" t="s">
        <v>1978</v>
      </c>
      <c r="E1426" s="8" t="s">
        <v>1979</v>
      </c>
      <c r="F1426" s="8">
        <v>-6.3962653999999999</v>
      </c>
      <c r="G1426" s="8">
        <v>-3.2266682000000002</v>
      </c>
      <c r="H1426" s="6" t="str">
        <f t="shared" si="11"/>
        <v>Direct</v>
      </c>
      <c r="I1426" s="8" t="s">
        <v>1980</v>
      </c>
      <c r="J1426" s="8" t="s">
        <v>1980</v>
      </c>
    </row>
    <row r="1427" spans="1:10" x14ac:dyDescent="0.2">
      <c r="A1427" s="8" t="s">
        <v>56</v>
      </c>
      <c r="B1427" s="8" t="s">
        <v>73</v>
      </c>
      <c r="C1427" s="8" t="s">
        <v>1981</v>
      </c>
      <c r="D1427" s="8" t="s">
        <v>1982</v>
      </c>
      <c r="E1427" s="8" t="s">
        <v>1983</v>
      </c>
      <c r="F1427" s="8">
        <v>2.2134284800000001</v>
      </c>
      <c r="G1427" s="8">
        <v>3.46341908</v>
      </c>
      <c r="H1427" s="6" t="str">
        <f t="shared" si="11"/>
        <v>Direct</v>
      </c>
      <c r="I1427" s="8" t="s">
        <v>1984</v>
      </c>
      <c r="J1427" s="8" t="s">
        <v>1984</v>
      </c>
    </row>
    <row r="1428" spans="1:10" x14ac:dyDescent="0.2">
      <c r="A1428" s="8" t="s">
        <v>56</v>
      </c>
      <c r="B1428" s="8" t="s">
        <v>73</v>
      </c>
      <c r="C1428" s="8" t="s">
        <v>1985</v>
      </c>
      <c r="D1428" s="8" t="s">
        <v>1986</v>
      </c>
      <c r="E1428" s="8" t="s">
        <v>1987</v>
      </c>
      <c r="F1428" s="8">
        <v>1.74772065</v>
      </c>
      <c r="G1428" s="8">
        <v>2.8233503799999999</v>
      </c>
      <c r="H1428" s="6" t="str">
        <f t="shared" si="11"/>
        <v>Direct</v>
      </c>
      <c r="I1428" s="8" t="s">
        <v>1500</v>
      </c>
      <c r="J1428" s="8" t="s">
        <v>1500</v>
      </c>
    </row>
    <row r="1429" spans="1:10" x14ac:dyDescent="0.2">
      <c r="A1429" s="8" t="s">
        <v>56</v>
      </c>
      <c r="B1429" s="8" t="s">
        <v>73</v>
      </c>
      <c r="C1429" s="8" t="s">
        <v>1992</v>
      </c>
      <c r="D1429" s="8" t="s">
        <v>1993</v>
      </c>
      <c r="E1429" s="8" t="s">
        <v>1994</v>
      </c>
      <c r="F1429" s="8">
        <v>-2.6904010999999999</v>
      </c>
      <c r="G1429" s="8">
        <v>-22.301555</v>
      </c>
      <c r="H1429" s="6" t="str">
        <f t="shared" si="11"/>
        <v>Direct</v>
      </c>
      <c r="I1429" s="8" t="s">
        <v>1390</v>
      </c>
      <c r="J1429" s="8" t="s">
        <v>1390</v>
      </c>
    </row>
    <row r="1430" spans="1:10" x14ac:dyDescent="0.2">
      <c r="A1430" s="8" t="s">
        <v>56</v>
      </c>
      <c r="B1430" s="8" t="s">
        <v>73</v>
      </c>
      <c r="C1430" s="8" t="s">
        <v>1995</v>
      </c>
      <c r="D1430" s="8" t="s">
        <v>1996</v>
      </c>
      <c r="E1430" s="8" t="s">
        <v>1997</v>
      </c>
      <c r="F1430" s="8">
        <v>1.9158952600000001</v>
      </c>
      <c r="G1430" s="8">
        <v>2.3059641399999999</v>
      </c>
      <c r="H1430" s="6" t="str">
        <f t="shared" si="11"/>
        <v>Direct</v>
      </c>
      <c r="I1430" s="8" t="s">
        <v>1998</v>
      </c>
      <c r="J1430" s="8" t="s">
        <v>1998</v>
      </c>
    </row>
    <row r="1431" spans="1:10" x14ac:dyDescent="0.2">
      <c r="A1431" s="8" t="s">
        <v>56</v>
      </c>
      <c r="B1431" s="8" t="s">
        <v>73</v>
      </c>
      <c r="C1431" s="8" t="s">
        <v>3154</v>
      </c>
      <c r="D1431" s="8" t="s">
        <v>3155</v>
      </c>
      <c r="E1431" s="8" t="s">
        <v>3156</v>
      </c>
      <c r="F1431" s="8">
        <v>-2.4384527</v>
      </c>
      <c r="G1431" s="8">
        <v>-1.2532114000000001</v>
      </c>
      <c r="H1431" s="6" t="str">
        <f t="shared" si="11"/>
        <v>Direct</v>
      </c>
      <c r="I1431" s="8" t="s">
        <v>3157</v>
      </c>
      <c r="J1431" s="8" t="s">
        <v>3157</v>
      </c>
    </row>
    <row r="1432" spans="1:10" x14ac:dyDescent="0.2">
      <c r="A1432" s="8" t="s">
        <v>56</v>
      </c>
      <c r="B1432" s="8" t="s">
        <v>73</v>
      </c>
      <c r="C1432" s="8" t="s">
        <v>4285</v>
      </c>
      <c r="D1432" s="8" t="s">
        <v>4286</v>
      </c>
      <c r="E1432" s="8" t="s">
        <v>4287</v>
      </c>
      <c r="F1432" s="8">
        <v>-2.1584203</v>
      </c>
      <c r="G1432" s="8">
        <v>1.13309294</v>
      </c>
      <c r="H1432" s="6" t="str">
        <f t="shared" si="11"/>
        <v>Inverse</v>
      </c>
      <c r="I1432" s="8" t="s">
        <v>4288</v>
      </c>
      <c r="J1432" s="8" t="s">
        <v>4288</v>
      </c>
    </row>
    <row r="1433" spans="1:10" x14ac:dyDescent="0.2">
      <c r="A1433" s="8" t="s">
        <v>56</v>
      </c>
      <c r="B1433" s="8" t="s">
        <v>73</v>
      </c>
      <c r="C1433" s="8" t="s">
        <v>2003</v>
      </c>
      <c r="D1433" s="8" t="s">
        <v>2004</v>
      </c>
      <c r="E1433" s="8" t="s">
        <v>2005</v>
      </c>
      <c r="F1433" s="8">
        <v>4.0059216500000003</v>
      </c>
      <c r="G1433" s="8">
        <v>5.9164154599999996</v>
      </c>
      <c r="H1433" s="6" t="str">
        <f t="shared" si="11"/>
        <v>Direct</v>
      </c>
      <c r="I1433" s="8" t="s">
        <v>2006</v>
      </c>
      <c r="J1433" s="8" t="s">
        <v>2006</v>
      </c>
    </row>
    <row r="1434" spans="1:10" x14ac:dyDescent="0.2">
      <c r="A1434" s="8" t="s">
        <v>56</v>
      </c>
      <c r="B1434" s="8" t="s">
        <v>73</v>
      </c>
      <c r="C1434" s="8" t="s">
        <v>2007</v>
      </c>
      <c r="D1434" s="8" t="s">
        <v>2008</v>
      </c>
      <c r="E1434" s="8" t="s">
        <v>2009</v>
      </c>
      <c r="F1434" s="8">
        <v>-1.4292771</v>
      </c>
      <c r="G1434" s="8">
        <v>1.31352256</v>
      </c>
      <c r="H1434" s="6" t="str">
        <f t="shared" si="11"/>
        <v>Inverse</v>
      </c>
      <c r="I1434" s="8" t="s">
        <v>2010</v>
      </c>
      <c r="J1434" s="8" t="s">
        <v>2010</v>
      </c>
    </row>
    <row r="1435" spans="1:10" x14ac:dyDescent="0.2">
      <c r="A1435" s="8" t="s">
        <v>56</v>
      </c>
      <c r="B1435" s="8" t="s">
        <v>73</v>
      </c>
      <c r="C1435" s="8" t="s">
        <v>2011</v>
      </c>
      <c r="D1435" s="8" t="s">
        <v>2012</v>
      </c>
      <c r="E1435" s="8" t="s">
        <v>2013</v>
      </c>
      <c r="F1435" s="8">
        <v>-3.3538934999999999</v>
      </c>
      <c r="G1435" s="8">
        <v>-2.5796176000000002</v>
      </c>
      <c r="H1435" s="6" t="str">
        <f t="shared" si="11"/>
        <v>Direct</v>
      </c>
      <c r="I1435" s="8" t="s">
        <v>2014</v>
      </c>
      <c r="J1435" s="8" t="s">
        <v>2014</v>
      </c>
    </row>
    <row r="1436" spans="1:10" x14ac:dyDescent="0.2">
      <c r="A1436" s="8" t="s">
        <v>56</v>
      </c>
      <c r="B1436" s="8" t="s">
        <v>73</v>
      </c>
      <c r="C1436" s="8" t="s">
        <v>468</v>
      </c>
      <c r="D1436" s="8" t="s">
        <v>469</v>
      </c>
      <c r="E1436" s="8" t="s">
        <v>470</v>
      </c>
      <c r="F1436" s="8">
        <v>-11.137223000000001</v>
      </c>
      <c r="G1436" s="8">
        <v>-23.040637</v>
      </c>
      <c r="H1436" s="6" t="str">
        <f t="shared" si="11"/>
        <v>Direct</v>
      </c>
      <c r="I1436" s="8" t="s">
        <v>471</v>
      </c>
      <c r="J1436" s="8" t="s">
        <v>472</v>
      </c>
    </row>
    <row r="1437" spans="1:10" x14ac:dyDescent="0.2">
      <c r="A1437" s="8" t="s">
        <v>56</v>
      </c>
      <c r="B1437" s="8" t="s">
        <v>73</v>
      </c>
      <c r="C1437" s="8" t="s">
        <v>2028</v>
      </c>
      <c r="D1437" s="8" t="s">
        <v>2029</v>
      </c>
      <c r="E1437" s="8" t="s">
        <v>2030</v>
      </c>
      <c r="F1437" s="8">
        <v>-3.3984296000000001</v>
      </c>
      <c r="G1437" s="8">
        <v>10.794172</v>
      </c>
      <c r="H1437" s="6" t="str">
        <f t="shared" si="11"/>
        <v>Inverse</v>
      </c>
      <c r="I1437" s="8" t="s">
        <v>2031</v>
      </c>
      <c r="J1437" s="8" t="s">
        <v>2031</v>
      </c>
    </row>
    <row r="1438" spans="1:10" x14ac:dyDescent="0.2">
      <c r="A1438" s="8" t="s">
        <v>56</v>
      </c>
      <c r="B1438" s="8" t="s">
        <v>73</v>
      </c>
      <c r="C1438" s="8" t="s">
        <v>3188</v>
      </c>
      <c r="D1438" s="8" t="s">
        <v>3189</v>
      </c>
      <c r="E1438" s="8" t="s">
        <v>3190</v>
      </c>
      <c r="F1438" s="8">
        <v>-1.1259809999999999</v>
      </c>
      <c r="G1438" s="8">
        <v>-1.7808453</v>
      </c>
      <c r="H1438" s="6" t="str">
        <f t="shared" si="11"/>
        <v>Direct</v>
      </c>
      <c r="I1438" s="8" t="s">
        <v>3191</v>
      </c>
      <c r="J1438" s="8" t="s">
        <v>3191</v>
      </c>
    </row>
    <row r="1439" spans="1:10" x14ac:dyDescent="0.2">
      <c r="A1439" s="8" t="s">
        <v>56</v>
      </c>
      <c r="B1439" s="8" t="s">
        <v>73</v>
      </c>
      <c r="C1439" s="8" t="s">
        <v>2032</v>
      </c>
      <c r="D1439" s="8" t="s">
        <v>2033</v>
      </c>
      <c r="E1439" s="8" t="s">
        <v>2034</v>
      </c>
      <c r="F1439" s="8">
        <v>-7.1717915999999997</v>
      </c>
      <c r="G1439" s="8">
        <v>-6.5636517999999997</v>
      </c>
      <c r="H1439" s="6" t="str">
        <f t="shared" si="11"/>
        <v>Direct</v>
      </c>
      <c r="I1439" s="8" t="s">
        <v>2035</v>
      </c>
      <c r="J1439" s="8" t="s">
        <v>2035</v>
      </c>
    </row>
    <row r="1440" spans="1:10" x14ac:dyDescent="0.2">
      <c r="A1440" s="8" t="s">
        <v>56</v>
      </c>
      <c r="B1440" s="8" t="s">
        <v>73</v>
      </c>
      <c r="C1440" s="8" t="s">
        <v>4289</v>
      </c>
      <c r="D1440" s="8" t="s">
        <v>4290</v>
      </c>
      <c r="E1440" s="8" t="s">
        <v>4291</v>
      </c>
      <c r="F1440" s="8">
        <v>1.3771374300000001</v>
      </c>
      <c r="G1440" s="8">
        <v>-1.4703738</v>
      </c>
      <c r="H1440" s="6" t="str">
        <f t="shared" si="11"/>
        <v>Inverse</v>
      </c>
      <c r="I1440" s="8" t="s">
        <v>4292</v>
      </c>
      <c r="J1440" s="8" t="s">
        <v>4292</v>
      </c>
    </row>
    <row r="1441" spans="1:10" x14ac:dyDescent="0.2">
      <c r="A1441" s="8" t="s">
        <v>56</v>
      </c>
      <c r="B1441" s="8" t="s">
        <v>73</v>
      </c>
      <c r="C1441" s="8" t="s">
        <v>4293</v>
      </c>
      <c r="D1441" s="8" t="s">
        <v>4294</v>
      </c>
      <c r="E1441" s="8" t="s">
        <v>4295</v>
      </c>
      <c r="F1441" s="8">
        <v>-3.9434942999999998</v>
      </c>
      <c r="G1441" s="8">
        <v>-1.9954559000000001</v>
      </c>
      <c r="H1441" s="6" t="str">
        <f t="shared" si="11"/>
        <v>Direct</v>
      </c>
      <c r="I1441" s="8" t="s">
        <v>4296</v>
      </c>
      <c r="J1441" s="8" t="s">
        <v>4296</v>
      </c>
    </row>
    <row r="1442" spans="1:10" x14ac:dyDescent="0.2">
      <c r="A1442" s="8" t="s">
        <v>56</v>
      </c>
      <c r="B1442" s="8" t="s">
        <v>73</v>
      </c>
      <c r="C1442" s="8" t="s">
        <v>4297</v>
      </c>
      <c r="D1442" s="8" t="s">
        <v>4298</v>
      </c>
      <c r="E1442" s="8" t="s">
        <v>4299</v>
      </c>
      <c r="F1442" s="8">
        <v>-1.6779363</v>
      </c>
      <c r="G1442" s="8">
        <v>-1.0103260000000001</v>
      </c>
      <c r="H1442" s="6" t="str">
        <f t="shared" si="11"/>
        <v>Direct</v>
      </c>
      <c r="I1442" s="8" t="s">
        <v>4300</v>
      </c>
      <c r="J1442" s="8" t="s">
        <v>4301</v>
      </c>
    </row>
    <row r="1443" spans="1:10" x14ac:dyDescent="0.2">
      <c r="A1443" s="8" t="s">
        <v>56</v>
      </c>
      <c r="B1443" s="8" t="s">
        <v>73</v>
      </c>
      <c r="C1443" s="8" t="s">
        <v>2041</v>
      </c>
      <c r="D1443" s="8" t="s">
        <v>2042</v>
      </c>
      <c r="E1443" s="8" t="s">
        <v>2043</v>
      </c>
      <c r="F1443" s="8">
        <v>-1.7466107</v>
      </c>
      <c r="G1443" s="8">
        <v>7.9938418599999999</v>
      </c>
      <c r="H1443" s="6" t="str">
        <f t="shared" si="11"/>
        <v>Inverse</v>
      </c>
      <c r="I1443" s="8" t="s">
        <v>315</v>
      </c>
      <c r="J1443" s="8" t="s">
        <v>315</v>
      </c>
    </row>
    <row r="1444" spans="1:10" x14ac:dyDescent="0.2">
      <c r="A1444" s="8" t="s">
        <v>56</v>
      </c>
      <c r="B1444" s="8" t="s">
        <v>73</v>
      </c>
      <c r="C1444" s="8" t="s">
        <v>2044</v>
      </c>
      <c r="D1444" s="8" t="s">
        <v>2045</v>
      </c>
      <c r="E1444" s="8" t="s">
        <v>2046</v>
      </c>
      <c r="F1444" s="8">
        <v>-1.6679908999999999</v>
      </c>
      <c r="G1444" s="8">
        <v>-1.6522935000000001</v>
      </c>
      <c r="H1444" s="6" t="str">
        <f t="shared" si="11"/>
        <v>Direct</v>
      </c>
      <c r="I1444" s="8" t="s">
        <v>2047</v>
      </c>
      <c r="J1444" s="8" t="s">
        <v>2047</v>
      </c>
    </row>
    <row r="1445" spans="1:10" x14ac:dyDescent="0.2">
      <c r="A1445" s="8" t="s">
        <v>56</v>
      </c>
      <c r="B1445" s="8" t="s">
        <v>73</v>
      </c>
      <c r="C1445" s="8" t="s">
        <v>2051</v>
      </c>
      <c r="D1445" s="8" t="s">
        <v>2052</v>
      </c>
      <c r="E1445" s="8" t="s">
        <v>2053</v>
      </c>
      <c r="F1445" s="8">
        <v>31.8750386</v>
      </c>
      <c r="G1445" s="8">
        <v>39.2362903</v>
      </c>
      <c r="H1445" s="6" t="str">
        <f t="shared" si="11"/>
        <v>Direct</v>
      </c>
      <c r="I1445" s="8" t="s">
        <v>445</v>
      </c>
      <c r="J1445" s="8" t="s">
        <v>2054</v>
      </c>
    </row>
    <row r="1446" spans="1:10" x14ac:dyDescent="0.2">
      <c r="A1446" s="8" t="s">
        <v>56</v>
      </c>
      <c r="B1446" s="8" t="s">
        <v>73</v>
      </c>
      <c r="C1446" s="8" t="s">
        <v>2055</v>
      </c>
      <c r="D1446" s="8" t="s">
        <v>2056</v>
      </c>
      <c r="E1446" s="8" t="s">
        <v>2057</v>
      </c>
      <c r="F1446" s="8">
        <v>-2.3639554</v>
      </c>
      <c r="G1446" s="8">
        <v>-1.0075373999999999</v>
      </c>
      <c r="H1446" s="6" t="str">
        <f t="shared" si="11"/>
        <v>Direct</v>
      </c>
      <c r="I1446" s="8" t="s">
        <v>2058</v>
      </c>
      <c r="J1446" s="8" t="s">
        <v>2058</v>
      </c>
    </row>
    <row r="1447" spans="1:10" x14ac:dyDescent="0.2">
      <c r="A1447" s="8" t="s">
        <v>56</v>
      </c>
      <c r="B1447" s="8" t="s">
        <v>73</v>
      </c>
      <c r="C1447" s="8" t="s">
        <v>4302</v>
      </c>
      <c r="D1447" s="8" t="s">
        <v>4303</v>
      </c>
      <c r="E1447" s="8" t="s">
        <v>4304</v>
      </c>
      <c r="F1447" s="8">
        <v>1.39242299</v>
      </c>
      <c r="G1447" s="8">
        <v>1.14089979</v>
      </c>
      <c r="H1447" s="6" t="str">
        <f t="shared" si="11"/>
        <v>Direct</v>
      </c>
      <c r="I1447" s="8" t="s">
        <v>4305</v>
      </c>
      <c r="J1447" s="8" t="s">
        <v>4305</v>
      </c>
    </row>
    <row r="1448" spans="1:10" x14ac:dyDescent="0.2">
      <c r="A1448" s="8" t="s">
        <v>56</v>
      </c>
      <c r="B1448" s="8" t="s">
        <v>73</v>
      </c>
      <c r="C1448" s="8" t="s">
        <v>2059</v>
      </c>
      <c r="D1448" s="8" t="s">
        <v>2060</v>
      </c>
      <c r="E1448" s="8" t="s">
        <v>2061</v>
      </c>
      <c r="F1448" s="8">
        <v>-3.5084051000000001</v>
      </c>
      <c r="G1448" s="8">
        <v>-7.8165791999999996</v>
      </c>
      <c r="H1448" s="6" t="str">
        <f t="shared" si="11"/>
        <v>Direct</v>
      </c>
      <c r="I1448" s="8" t="s">
        <v>2062</v>
      </c>
      <c r="J1448" s="8" t="s">
        <v>2062</v>
      </c>
    </row>
    <row r="1449" spans="1:10" x14ac:dyDescent="0.2">
      <c r="A1449" s="8" t="s">
        <v>56</v>
      </c>
      <c r="B1449" s="8" t="s">
        <v>73</v>
      </c>
      <c r="C1449" s="8" t="s">
        <v>4306</v>
      </c>
      <c r="D1449" s="8" t="s">
        <v>4307</v>
      </c>
      <c r="E1449" s="8" t="s">
        <v>4308</v>
      </c>
      <c r="F1449" s="8">
        <v>-3.9487409000000002</v>
      </c>
      <c r="G1449" s="8">
        <v>-6.1487857000000004</v>
      </c>
      <c r="H1449" s="6" t="str">
        <f t="shared" si="11"/>
        <v>Direct</v>
      </c>
      <c r="I1449" s="8" t="s">
        <v>4309</v>
      </c>
      <c r="J1449" s="8" t="s">
        <v>4309</v>
      </c>
    </row>
    <row r="1450" spans="1:10" x14ac:dyDescent="0.2">
      <c r="A1450" s="8" t="s">
        <v>56</v>
      </c>
      <c r="B1450" s="8" t="s">
        <v>73</v>
      </c>
      <c r="C1450" s="8" t="s">
        <v>2075</v>
      </c>
      <c r="D1450" s="8" t="s">
        <v>2076</v>
      </c>
      <c r="E1450" s="8" t="s">
        <v>2077</v>
      </c>
      <c r="F1450" s="8">
        <v>-9.8743104000000006</v>
      </c>
      <c r="G1450" s="8">
        <v>-3.4327022999999999</v>
      </c>
      <c r="H1450" s="6" t="str">
        <f t="shared" si="11"/>
        <v>Direct</v>
      </c>
      <c r="I1450" s="8" t="s">
        <v>2078</v>
      </c>
      <c r="J1450" s="8" t="s">
        <v>2078</v>
      </c>
    </row>
    <row r="1451" spans="1:10" x14ac:dyDescent="0.2">
      <c r="A1451" s="8" t="s">
        <v>56</v>
      </c>
      <c r="B1451" s="8" t="s">
        <v>73</v>
      </c>
      <c r="C1451" s="8" t="s">
        <v>2079</v>
      </c>
      <c r="D1451" s="8" t="s">
        <v>2080</v>
      </c>
      <c r="E1451" s="8" t="s">
        <v>2081</v>
      </c>
      <c r="F1451" s="8">
        <v>-2.4139550000000001</v>
      </c>
      <c r="G1451" s="8">
        <v>-3.8636417999999999</v>
      </c>
      <c r="H1451" s="6" t="str">
        <f t="shared" si="11"/>
        <v>Direct</v>
      </c>
      <c r="I1451" s="8" t="s">
        <v>2082</v>
      </c>
      <c r="J1451" s="8" t="s">
        <v>2082</v>
      </c>
    </row>
    <row r="1452" spans="1:10" x14ac:dyDescent="0.2">
      <c r="A1452" s="8" t="s">
        <v>56</v>
      </c>
      <c r="B1452" s="8" t="s">
        <v>73</v>
      </c>
      <c r="C1452" s="8" t="s">
        <v>4310</v>
      </c>
      <c r="D1452" s="8" t="s">
        <v>4311</v>
      </c>
      <c r="E1452" s="8" t="s">
        <v>4312</v>
      </c>
      <c r="F1452" s="8">
        <v>-1.1210519999999999</v>
      </c>
      <c r="G1452" s="8">
        <v>-1.6924741000000001</v>
      </c>
      <c r="H1452" s="6" t="str">
        <f t="shared" si="11"/>
        <v>Direct</v>
      </c>
      <c r="I1452" s="8" t="s">
        <v>4313</v>
      </c>
      <c r="J1452" s="8" t="s">
        <v>4313</v>
      </c>
    </row>
    <row r="1453" spans="1:10" x14ac:dyDescent="0.2">
      <c r="A1453" s="8" t="s">
        <v>56</v>
      </c>
      <c r="B1453" s="8" t="s">
        <v>73</v>
      </c>
      <c r="C1453" s="8" t="s">
        <v>4314</v>
      </c>
      <c r="D1453" s="8" t="s">
        <v>4315</v>
      </c>
      <c r="E1453" s="8" t="s">
        <v>4316</v>
      </c>
      <c r="F1453" s="8">
        <v>1.32569293</v>
      </c>
      <c r="G1453" s="8">
        <v>1.0937480500000001</v>
      </c>
      <c r="H1453" s="6" t="str">
        <f t="shared" si="11"/>
        <v>Direct</v>
      </c>
      <c r="I1453" s="8" t="s">
        <v>4317</v>
      </c>
      <c r="J1453" s="8" t="s">
        <v>4317</v>
      </c>
    </row>
    <row r="1454" spans="1:10" x14ac:dyDescent="0.2">
      <c r="A1454" s="8" t="s">
        <v>56</v>
      </c>
      <c r="B1454" s="8" t="s">
        <v>73</v>
      </c>
      <c r="C1454" s="8" t="s">
        <v>3243</v>
      </c>
      <c r="D1454" s="8" t="s">
        <v>3244</v>
      </c>
      <c r="E1454" s="8" t="s">
        <v>3245</v>
      </c>
      <c r="F1454" s="8">
        <v>-7.1696667999999999</v>
      </c>
      <c r="G1454" s="8">
        <v>-1.1358528000000001</v>
      </c>
      <c r="H1454" s="6" t="str">
        <f t="shared" si="11"/>
        <v>Direct</v>
      </c>
      <c r="I1454" s="8" t="s">
        <v>3246</v>
      </c>
      <c r="J1454" s="8" t="s">
        <v>3246</v>
      </c>
    </row>
    <row r="1455" spans="1:10" x14ac:dyDescent="0.2">
      <c r="A1455" s="8" t="s">
        <v>56</v>
      </c>
      <c r="B1455" s="8" t="s">
        <v>73</v>
      </c>
      <c r="C1455" s="8" t="s">
        <v>2083</v>
      </c>
      <c r="D1455" s="8" t="s">
        <v>2084</v>
      </c>
      <c r="E1455" s="8" t="s">
        <v>2085</v>
      </c>
      <c r="F1455" s="8">
        <v>3.1123965999999998</v>
      </c>
      <c r="G1455" s="8">
        <v>4.5696714099999998</v>
      </c>
      <c r="H1455" s="6" t="str">
        <f t="shared" si="11"/>
        <v>Direct</v>
      </c>
      <c r="I1455" s="8" t="s">
        <v>1931</v>
      </c>
      <c r="J1455" s="8" t="s">
        <v>2086</v>
      </c>
    </row>
    <row r="1456" spans="1:10" x14ac:dyDescent="0.2">
      <c r="A1456" s="8" t="s">
        <v>56</v>
      </c>
      <c r="B1456" s="8" t="s">
        <v>73</v>
      </c>
      <c r="C1456" s="8" t="s">
        <v>2087</v>
      </c>
      <c r="D1456" s="8" t="s">
        <v>2088</v>
      </c>
      <c r="E1456" s="8" t="s">
        <v>2089</v>
      </c>
      <c r="F1456" s="8">
        <v>1.6944823099999999</v>
      </c>
      <c r="G1456" s="8">
        <v>3.70659765</v>
      </c>
      <c r="H1456" s="6" t="str">
        <f t="shared" si="11"/>
        <v>Direct</v>
      </c>
      <c r="I1456" s="8" t="s">
        <v>2090</v>
      </c>
      <c r="J1456" s="8" t="s">
        <v>2091</v>
      </c>
    </row>
    <row r="1457" spans="1:10" x14ac:dyDescent="0.2">
      <c r="A1457" s="8" t="s">
        <v>56</v>
      </c>
      <c r="B1457" s="8" t="s">
        <v>73</v>
      </c>
      <c r="C1457" s="8" t="s">
        <v>4318</v>
      </c>
      <c r="D1457" s="8" t="s">
        <v>4319</v>
      </c>
      <c r="E1457" s="8" t="s">
        <v>4320</v>
      </c>
      <c r="F1457" s="8">
        <v>-2.0862847000000002</v>
      </c>
      <c r="G1457" s="8">
        <v>-1.5168645999999999</v>
      </c>
      <c r="H1457" s="6" t="str">
        <f t="shared" si="11"/>
        <v>Direct</v>
      </c>
      <c r="I1457" s="8" t="s">
        <v>4321</v>
      </c>
      <c r="J1457" s="8" t="s">
        <v>4321</v>
      </c>
    </row>
    <row r="1458" spans="1:10" x14ac:dyDescent="0.2">
      <c r="A1458" s="8" t="s">
        <v>56</v>
      </c>
      <c r="B1458" s="8" t="s">
        <v>73</v>
      </c>
      <c r="C1458" s="8" t="s">
        <v>2092</v>
      </c>
      <c r="D1458" s="8" t="s">
        <v>2093</v>
      </c>
      <c r="E1458" s="8" t="s">
        <v>2094</v>
      </c>
      <c r="F1458" s="8">
        <v>-2.038656</v>
      </c>
      <c r="G1458" s="8">
        <v>-2.2341418000000002</v>
      </c>
      <c r="H1458" s="6" t="str">
        <f t="shared" si="11"/>
        <v>Direct</v>
      </c>
      <c r="I1458" s="8" t="s">
        <v>2095</v>
      </c>
      <c r="J1458" s="8" t="s">
        <v>2095</v>
      </c>
    </row>
    <row r="1459" spans="1:10" x14ac:dyDescent="0.2">
      <c r="A1459" s="8" t="s">
        <v>56</v>
      </c>
      <c r="B1459" s="8" t="s">
        <v>73</v>
      </c>
      <c r="C1459" s="8" t="s">
        <v>2100</v>
      </c>
      <c r="D1459" s="8" t="s">
        <v>2101</v>
      </c>
      <c r="E1459" s="8" t="s">
        <v>2102</v>
      </c>
      <c r="F1459" s="8">
        <v>-1.1370178</v>
      </c>
      <c r="G1459" s="8">
        <v>-1.9683101999999999</v>
      </c>
      <c r="H1459" s="6" t="str">
        <f t="shared" si="11"/>
        <v>Direct</v>
      </c>
      <c r="I1459" s="8" t="s">
        <v>2103</v>
      </c>
      <c r="J1459" s="8" t="s">
        <v>2103</v>
      </c>
    </row>
    <row r="1460" spans="1:10" x14ac:dyDescent="0.2">
      <c r="A1460" s="8" t="s">
        <v>56</v>
      </c>
      <c r="B1460" s="8" t="s">
        <v>73</v>
      </c>
      <c r="C1460" s="8" t="s">
        <v>2104</v>
      </c>
      <c r="D1460" s="8" t="s">
        <v>2105</v>
      </c>
      <c r="E1460" s="8" t="s">
        <v>2106</v>
      </c>
      <c r="F1460" s="8">
        <v>1.1282560699999999</v>
      </c>
      <c r="G1460" s="8">
        <v>-3.1528879999999999</v>
      </c>
      <c r="H1460" s="6" t="str">
        <f t="shared" si="11"/>
        <v>Inverse</v>
      </c>
      <c r="I1460" s="8" t="s">
        <v>2107</v>
      </c>
      <c r="J1460" s="8" t="s">
        <v>2107</v>
      </c>
    </row>
    <row r="1461" spans="1:10" x14ac:dyDescent="0.2">
      <c r="A1461" s="8" t="s">
        <v>56</v>
      </c>
      <c r="B1461" s="8" t="s">
        <v>73</v>
      </c>
      <c r="C1461" s="8" t="s">
        <v>2108</v>
      </c>
      <c r="D1461" s="8" t="s">
        <v>2109</v>
      </c>
      <c r="E1461" s="8" t="s">
        <v>2110</v>
      </c>
      <c r="F1461" s="8">
        <v>-1.6025841999999999</v>
      </c>
      <c r="G1461" s="8">
        <v>1.6079761299999999</v>
      </c>
      <c r="H1461" s="6" t="str">
        <f t="shared" si="11"/>
        <v>Inverse</v>
      </c>
      <c r="I1461" s="8" t="s">
        <v>2111</v>
      </c>
      <c r="J1461" s="8" t="s">
        <v>2111</v>
      </c>
    </row>
    <row r="1462" spans="1:10" x14ac:dyDescent="0.2">
      <c r="A1462" s="8" t="s">
        <v>56</v>
      </c>
      <c r="B1462" s="8" t="s">
        <v>73</v>
      </c>
      <c r="C1462" s="8" t="s">
        <v>2112</v>
      </c>
      <c r="D1462" s="8" t="s">
        <v>2113</v>
      </c>
      <c r="E1462" s="8" t="s">
        <v>2114</v>
      </c>
      <c r="F1462" s="8">
        <v>-3.5736726999999999</v>
      </c>
      <c r="G1462" s="8">
        <v>-5.0273636000000002</v>
      </c>
      <c r="H1462" s="6" t="str">
        <f t="shared" si="11"/>
        <v>Direct</v>
      </c>
      <c r="I1462" s="8" t="s">
        <v>2115</v>
      </c>
      <c r="J1462" s="8" t="s">
        <v>2115</v>
      </c>
    </row>
    <row r="1463" spans="1:10" x14ac:dyDescent="0.2">
      <c r="A1463" s="8" t="s">
        <v>56</v>
      </c>
      <c r="B1463" s="8" t="s">
        <v>73</v>
      </c>
      <c r="C1463" s="8" t="s">
        <v>2116</v>
      </c>
      <c r="D1463" s="8" t="s">
        <v>2117</v>
      </c>
      <c r="E1463" s="8" t="s">
        <v>2118</v>
      </c>
      <c r="F1463" s="8">
        <v>-7.1826040000000004</v>
      </c>
      <c r="G1463" s="8">
        <v>-1.0156875000000001</v>
      </c>
      <c r="H1463" s="6" t="str">
        <f t="shared" si="11"/>
        <v>Direct</v>
      </c>
      <c r="I1463" s="8" t="s">
        <v>2119</v>
      </c>
      <c r="J1463" s="8" t="s">
        <v>2119</v>
      </c>
    </row>
    <row r="1464" spans="1:10" x14ac:dyDescent="0.2">
      <c r="A1464" s="8" t="s">
        <v>56</v>
      </c>
      <c r="B1464" s="8" t="s">
        <v>73</v>
      </c>
      <c r="C1464" s="8" t="s">
        <v>4322</v>
      </c>
      <c r="D1464" s="8" t="s">
        <v>4323</v>
      </c>
      <c r="E1464" s="8" t="s">
        <v>4324</v>
      </c>
      <c r="F1464" s="8">
        <v>1.0714411699999999</v>
      </c>
      <c r="G1464" s="8">
        <v>2.0372283000000002</v>
      </c>
      <c r="H1464" s="6" t="str">
        <f t="shared" si="11"/>
        <v>Direct</v>
      </c>
      <c r="I1464" s="8" t="s">
        <v>2836</v>
      </c>
      <c r="J1464" s="8" t="s">
        <v>2836</v>
      </c>
    </row>
    <row r="1465" spans="1:10" x14ac:dyDescent="0.2">
      <c r="A1465" s="8" t="s">
        <v>56</v>
      </c>
      <c r="B1465" s="8" t="s">
        <v>73</v>
      </c>
      <c r="C1465" s="8" t="s">
        <v>2120</v>
      </c>
      <c r="D1465" s="8" t="s">
        <v>2121</v>
      </c>
      <c r="E1465" s="8" t="s">
        <v>2122</v>
      </c>
      <c r="F1465" s="8">
        <v>-2.3991804000000001</v>
      </c>
      <c r="G1465" s="8">
        <v>-2.0671259000000002</v>
      </c>
      <c r="H1465" s="6" t="str">
        <f t="shared" si="11"/>
        <v>Direct</v>
      </c>
      <c r="I1465" s="8" t="s">
        <v>2123</v>
      </c>
      <c r="J1465" s="8" t="s">
        <v>2123</v>
      </c>
    </row>
    <row r="1466" spans="1:10" x14ac:dyDescent="0.2">
      <c r="A1466" s="8" t="s">
        <v>56</v>
      </c>
      <c r="B1466" s="8" t="s">
        <v>73</v>
      </c>
      <c r="C1466" s="8" t="s">
        <v>4325</v>
      </c>
      <c r="D1466" s="8" t="s">
        <v>4326</v>
      </c>
      <c r="E1466" s="8" t="s">
        <v>4327</v>
      </c>
      <c r="F1466" s="8">
        <v>-1.3411261000000001</v>
      </c>
      <c r="G1466" s="8">
        <v>-1.7603544</v>
      </c>
      <c r="H1466" s="6" t="str">
        <f t="shared" si="11"/>
        <v>Direct</v>
      </c>
      <c r="I1466" s="8" t="s">
        <v>4328</v>
      </c>
      <c r="J1466" s="8" t="s">
        <v>4328</v>
      </c>
    </row>
    <row r="1467" spans="1:10" x14ac:dyDescent="0.2">
      <c r="A1467" s="8" t="s">
        <v>56</v>
      </c>
      <c r="B1467" s="8" t="s">
        <v>73</v>
      </c>
      <c r="C1467" s="8" t="s">
        <v>3293</v>
      </c>
      <c r="D1467" s="8" t="s">
        <v>3294</v>
      </c>
      <c r="E1467" s="8" t="s">
        <v>3295</v>
      </c>
      <c r="F1467" s="8">
        <v>-3.0387754</v>
      </c>
      <c r="G1467" s="8">
        <v>-1.4206671</v>
      </c>
      <c r="H1467" s="6" t="str">
        <f t="shared" si="11"/>
        <v>Direct</v>
      </c>
      <c r="I1467" s="8" t="s">
        <v>3296</v>
      </c>
      <c r="J1467" s="8" t="s">
        <v>3296</v>
      </c>
    </row>
    <row r="1468" spans="1:10" x14ac:dyDescent="0.2">
      <c r="A1468" s="8" t="s">
        <v>56</v>
      </c>
      <c r="B1468" s="8" t="s">
        <v>73</v>
      </c>
      <c r="C1468" s="8" t="s">
        <v>971</v>
      </c>
      <c r="D1468" s="8" t="s">
        <v>972</v>
      </c>
      <c r="E1468" s="8" t="s">
        <v>973</v>
      </c>
      <c r="F1468" s="8">
        <v>1.74110751</v>
      </c>
      <c r="G1468" s="8">
        <v>1.4018009899999999</v>
      </c>
      <c r="H1468" s="6" t="str">
        <f t="shared" si="11"/>
        <v>Direct</v>
      </c>
      <c r="I1468" s="8" t="s">
        <v>974</v>
      </c>
      <c r="J1468" s="8" t="s">
        <v>974</v>
      </c>
    </row>
    <row r="1469" spans="1:10" x14ac:dyDescent="0.2">
      <c r="A1469" s="8" t="s">
        <v>56</v>
      </c>
      <c r="B1469" s="8" t="s">
        <v>73</v>
      </c>
      <c r="C1469" s="8" t="s">
        <v>4329</v>
      </c>
      <c r="D1469" s="8" t="s">
        <v>4330</v>
      </c>
      <c r="E1469" s="8" t="s">
        <v>4331</v>
      </c>
      <c r="F1469" s="8">
        <v>2.4620991999999999</v>
      </c>
      <c r="G1469" s="8">
        <v>1.45647343</v>
      </c>
      <c r="H1469" s="6" t="str">
        <f t="shared" si="11"/>
        <v>Direct</v>
      </c>
      <c r="I1469" s="8" t="s">
        <v>4332</v>
      </c>
      <c r="J1469" s="8" t="s">
        <v>4332</v>
      </c>
    </row>
    <row r="1470" spans="1:10" x14ac:dyDescent="0.2">
      <c r="A1470" s="8" t="s">
        <v>56</v>
      </c>
      <c r="B1470" s="8" t="s">
        <v>73</v>
      </c>
      <c r="C1470" s="8" t="s">
        <v>4333</v>
      </c>
      <c r="D1470" s="8" t="s">
        <v>4334</v>
      </c>
      <c r="E1470" s="8" t="s">
        <v>4335</v>
      </c>
      <c r="F1470" s="8">
        <v>-1.3359593999999999</v>
      </c>
      <c r="G1470" s="8">
        <v>-1.7611379</v>
      </c>
      <c r="H1470" s="6" t="str">
        <f t="shared" si="11"/>
        <v>Direct</v>
      </c>
      <c r="I1470" s="8" t="s">
        <v>4336</v>
      </c>
      <c r="J1470" s="8" t="s">
        <v>4336</v>
      </c>
    </row>
    <row r="1471" spans="1:10" x14ac:dyDescent="0.2">
      <c r="A1471" s="8" t="s">
        <v>56</v>
      </c>
      <c r="B1471" s="8" t="s">
        <v>73</v>
      </c>
      <c r="C1471" s="8" t="s">
        <v>2136</v>
      </c>
      <c r="D1471" s="8" t="s">
        <v>2137</v>
      </c>
      <c r="E1471" s="8" t="s">
        <v>2138</v>
      </c>
      <c r="F1471" s="8">
        <v>-1.5778368</v>
      </c>
      <c r="G1471" s="8">
        <v>2.5349406800000001</v>
      </c>
      <c r="H1471" s="6" t="str">
        <f t="shared" si="11"/>
        <v>Inverse</v>
      </c>
      <c r="I1471" s="8" t="s">
        <v>2139</v>
      </c>
      <c r="J1471" s="8" t="s">
        <v>2139</v>
      </c>
    </row>
    <row r="1472" spans="1:10" x14ac:dyDescent="0.2">
      <c r="A1472" s="8" t="s">
        <v>56</v>
      </c>
      <c r="B1472" s="8" t="s">
        <v>73</v>
      </c>
      <c r="C1472" s="8" t="s">
        <v>2140</v>
      </c>
      <c r="D1472" s="8" t="s">
        <v>2141</v>
      </c>
      <c r="E1472" s="8" t="s">
        <v>2142</v>
      </c>
      <c r="F1472" s="8">
        <v>-3.2681086000000001</v>
      </c>
      <c r="G1472" s="8">
        <v>-2.6194747</v>
      </c>
      <c r="H1472" s="6" t="str">
        <f t="shared" si="11"/>
        <v>Direct</v>
      </c>
      <c r="I1472" s="8" t="s">
        <v>2143</v>
      </c>
      <c r="J1472" s="8" t="s">
        <v>2143</v>
      </c>
    </row>
    <row r="1473" spans="1:10" x14ac:dyDescent="0.2">
      <c r="A1473" s="8" t="s">
        <v>56</v>
      </c>
      <c r="B1473" s="8" t="s">
        <v>73</v>
      </c>
      <c r="C1473" s="8" t="s">
        <v>2144</v>
      </c>
      <c r="D1473" s="8" t="s">
        <v>2145</v>
      </c>
      <c r="E1473" s="8" t="s">
        <v>2146</v>
      </c>
      <c r="F1473" s="8">
        <v>-4.2433977000000001</v>
      </c>
      <c r="G1473" s="8">
        <v>4.9887077599999996</v>
      </c>
      <c r="H1473" s="6" t="str">
        <f t="shared" si="11"/>
        <v>Inverse</v>
      </c>
      <c r="I1473" s="8" t="s">
        <v>2147</v>
      </c>
      <c r="J1473" s="8" t="s">
        <v>2147</v>
      </c>
    </row>
    <row r="1474" spans="1:10" x14ac:dyDescent="0.2">
      <c r="A1474" s="8" t="s">
        <v>56</v>
      </c>
      <c r="B1474" s="8" t="s">
        <v>73</v>
      </c>
      <c r="C1474" s="8" t="s">
        <v>3324</v>
      </c>
      <c r="D1474" s="8" t="s">
        <v>3325</v>
      </c>
      <c r="E1474" s="8" t="s">
        <v>3326</v>
      </c>
      <c r="F1474" s="8">
        <v>-1.7143113999999999</v>
      </c>
      <c r="G1474" s="8">
        <v>-14.691401000000001</v>
      </c>
      <c r="H1474" s="6" t="str">
        <f t="shared" si="11"/>
        <v>Direct</v>
      </c>
      <c r="I1474" s="8" t="s">
        <v>3327</v>
      </c>
      <c r="J1474" s="8" t="s">
        <v>3327</v>
      </c>
    </row>
    <row r="1475" spans="1:10" x14ac:dyDescent="0.2">
      <c r="A1475" s="8" t="s">
        <v>56</v>
      </c>
      <c r="B1475" s="8" t="s">
        <v>73</v>
      </c>
      <c r="C1475" s="8" t="s">
        <v>2148</v>
      </c>
      <c r="D1475" s="8" t="s">
        <v>2149</v>
      </c>
      <c r="E1475" s="8" t="s">
        <v>2150</v>
      </c>
      <c r="F1475" s="8">
        <v>-3.6851945000000002</v>
      </c>
      <c r="G1475" s="8">
        <v>-2.6758196999999999</v>
      </c>
      <c r="H1475" s="6" t="str">
        <f t="shared" si="11"/>
        <v>Direct</v>
      </c>
      <c r="I1475" s="8" t="s">
        <v>2151</v>
      </c>
      <c r="J1475" s="8" t="s">
        <v>2151</v>
      </c>
    </row>
    <row r="1476" spans="1:10" x14ac:dyDescent="0.2">
      <c r="A1476" s="8" t="s">
        <v>56</v>
      </c>
      <c r="B1476" s="8" t="s">
        <v>73</v>
      </c>
      <c r="C1476" s="8" t="s">
        <v>4337</v>
      </c>
      <c r="D1476" s="8" t="s">
        <v>4338</v>
      </c>
      <c r="E1476" s="8" t="s">
        <v>4339</v>
      </c>
      <c r="F1476" s="8">
        <v>1.19815498</v>
      </c>
      <c r="G1476" s="8">
        <v>-1.6081941</v>
      </c>
      <c r="H1476" s="6" t="str">
        <f t="shared" si="11"/>
        <v>Inverse</v>
      </c>
      <c r="I1476" s="8" t="s">
        <v>4340</v>
      </c>
      <c r="J1476" s="8" t="s">
        <v>4340</v>
      </c>
    </row>
    <row r="1477" spans="1:10" x14ac:dyDescent="0.2">
      <c r="A1477" s="8" t="s">
        <v>56</v>
      </c>
      <c r="B1477" s="8" t="s">
        <v>73</v>
      </c>
      <c r="C1477" s="8" t="s">
        <v>3328</v>
      </c>
      <c r="D1477" s="8" t="s">
        <v>3329</v>
      </c>
      <c r="E1477" s="8" t="s">
        <v>3330</v>
      </c>
      <c r="F1477" s="8">
        <v>-4.2775762999999998</v>
      </c>
      <c r="G1477" s="8">
        <v>-1.2842534999999999</v>
      </c>
      <c r="H1477" s="6" t="str">
        <f t="shared" si="11"/>
        <v>Direct</v>
      </c>
      <c r="I1477" s="8" t="s">
        <v>3331</v>
      </c>
      <c r="J1477" s="8" t="s">
        <v>3331</v>
      </c>
    </row>
    <row r="1478" spans="1:10" x14ac:dyDescent="0.2">
      <c r="A1478" s="8" t="s">
        <v>56</v>
      </c>
      <c r="B1478" s="8" t="s">
        <v>73</v>
      </c>
      <c r="C1478" s="8" t="s">
        <v>2152</v>
      </c>
      <c r="D1478" s="8" t="s">
        <v>2153</v>
      </c>
      <c r="E1478" s="8" t="s">
        <v>2154</v>
      </c>
      <c r="F1478" s="8">
        <v>-4.7352473000000002</v>
      </c>
      <c r="G1478" s="8">
        <v>-7.4546884000000002</v>
      </c>
      <c r="H1478" s="6" t="str">
        <f t="shared" si="11"/>
        <v>Direct</v>
      </c>
      <c r="I1478" s="8" t="s">
        <v>2155</v>
      </c>
      <c r="J1478" s="8" t="s">
        <v>2155</v>
      </c>
    </row>
    <row r="1479" spans="1:10" x14ac:dyDescent="0.2">
      <c r="A1479" s="8" t="s">
        <v>56</v>
      </c>
      <c r="B1479" s="8" t="s">
        <v>73</v>
      </c>
      <c r="C1479" s="8" t="s">
        <v>2156</v>
      </c>
      <c r="D1479" s="8" t="s">
        <v>2157</v>
      </c>
      <c r="E1479" s="8" t="s">
        <v>2158</v>
      </c>
      <c r="F1479" s="8">
        <v>-6.6025841999999999</v>
      </c>
      <c r="G1479" s="8">
        <v>-5.1151681</v>
      </c>
      <c r="H1479" s="6" t="str">
        <f t="shared" si="11"/>
        <v>Direct</v>
      </c>
      <c r="I1479" s="8" t="s">
        <v>2159</v>
      </c>
      <c r="J1479" s="8" t="s">
        <v>2159</v>
      </c>
    </row>
    <row r="1480" spans="1:10" x14ac:dyDescent="0.2">
      <c r="A1480" s="8" t="s">
        <v>56</v>
      </c>
      <c r="B1480" s="8" t="s">
        <v>73</v>
      </c>
      <c r="C1480" s="8" t="s">
        <v>3351</v>
      </c>
      <c r="D1480" s="8" t="s">
        <v>3352</v>
      </c>
      <c r="E1480" s="8" t="s">
        <v>3353</v>
      </c>
      <c r="F1480" s="8">
        <v>-4.4935308000000003</v>
      </c>
      <c r="G1480" s="8">
        <v>-1.2200666</v>
      </c>
      <c r="H1480" s="6" t="str">
        <f t="shared" si="11"/>
        <v>Direct</v>
      </c>
      <c r="I1480" s="8" t="s">
        <v>2183</v>
      </c>
      <c r="J1480" s="8" t="s">
        <v>2183</v>
      </c>
    </row>
    <row r="1481" spans="1:10" x14ac:dyDescent="0.2">
      <c r="A1481" s="8" t="s">
        <v>56</v>
      </c>
      <c r="B1481" s="8" t="s">
        <v>73</v>
      </c>
      <c r="C1481" s="8" t="s">
        <v>2160</v>
      </c>
      <c r="D1481" s="8" t="s">
        <v>2161</v>
      </c>
      <c r="E1481" s="8" t="s">
        <v>2162</v>
      </c>
      <c r="F1481" s="8">
        <v>2.4155219899999998</v>
      </c>
      <c r="G1481" s="8">
        <v>2.1262220200000002</v>
      </c>
      <c r="H1481" s="6" t="str">
        <f t="shared" si="11"/>
        <v>Direct</v>
      </c>
      <c r="I1481" s="8" t="s">
        <v>2163</v>
      </c>
      <c r="J1481" s="8" t="s">
        <v>668</v>
      </c>
    </row>
    <row r="1482" spans="1:10" x14ac:dyDescent="0.2">
      <c r="A1482" s="8" t="s">
        <v>56</v>
      </c>
      <c r="B1482" s="8" t="s">
        <v>73</v>
      </c>
      <c r="C1482" s="8" t="s">
        <v>2164</v>
      </c>
      <c r="D1482" s="8" t="s">
        <v>2165</v>
      </c>
      <c r="E1482" s="8" t="s">
        <v>2166</v>
      </c>
      <c r="F1482" s="8">
        <v>-3.2132179999999999</v>
      </c>
      <c r="G1482" s="8">
        <v>-3.9829482</v>
      </c>
      <c r="H1482" s="6" t="str">
        <f t="shared" si="11"/>
        <v>Direct</v>
      </c>
      <c r="I1482" s="8" t="s">
        <v>2167</v>
      </c>
      <c r="J1482" s="8" t="s">
        <v>2167</v>
      </c>
    </row>
    <row r="1483" spans="1:10" x14ac:dyDescent="0.2">
      <c r="A1483" s="8" t="s">
        <v>56</v>
      </c>
      <c r="B1483" s="8" t="s">
        <v>73</v>
      </c>
      <c r="C1483" s="8" t="s">
        <v>3374</v>
      </c>
      <c r="D1483" s="8" t="s">
        <v>3375</v>
      </c>
      <c r="E1483" s="8" t="s">
        <v>3376</v>
      </c>
      <c r="F1483" s="8">
        <v>-2.1357433000000001</v>
      </c>
      <c r="G1483" s="8">
        <v>-1.1358528000000001</v>
      </c>
      <c r="H1483" s="6" t="str">
        <f t="shared" si="11"/>
        <v>Direct</v>
      </c>
      <c r="I1483" s="8" t="s">
        <v>3377</v>
      </c>
      <c r="J1483" s="8" t="s">
        <v>3378</v>
      </c>
    </row>
    <row r="1484" spans="1:10" x14ac:dyDescent="0.2">
      <c r="A1484" s="8" t="s">
        <v>56</v>
      </c>
      <c r="B1484" s="8" t="s">
        <v>73</v>
      </c>
      <c r="C1484" s="8" t="s">
        <v>3383</v>
      </c>
      <c r="D1484" s="8" t="s">
        <v>3384</v>
      </c>
      <c r="E1484" s="8" t="s">
        <v>3385</v>
      </c>
      <c r="F1484" s="8">
        <v>-2.3042069999999999</v>
      </c>
      <c r="G1484" s="8">
        <v>-1.9930570000000001</v>
      </c>
      <c r="H1484" s="6" t="str">
        <f t="shared" si="11"/>
        <v>Direct</v>
      </c>
      <c r="I1484" s="8" t="s">
        <v>3386</v>
      </c>
      <c r="J1484" s="8" t="s">
        <v>3386</v>
      </c>
    </row>
    <row r="1485" spans="1:10" x14ac:dyDescent="0.2">
      <c r="A1485" s="8" t="s">
        <v>56</v>
      </c>
      <c r="B1485" s="8" t="s">
        <v>73</v>
      </c>
      <c r="C1485" s="8" t="s">
        <v>2172</v>
      </c>
      <c r="D1485" s="8" t="s">
        <v>2173</v>
      </c>
      <c r="E1485" s="8" t="s">
        <v>2174</v>
      </c>
      <c r="F1485" s="8">
        <v>1.00010186</v>
      </c>
      <c r="G1485" s="8">
        <v>1.46516311</v>
      </c>
      <c r="H1485" s="6" t="str">
        <f t="shared" si="11"/>
        <v>Direct</v>
      </c>
      <c r="I1485" s="8" t="s">
        <v>50</v>
      </c>
      <c r="J1485" s="8" t="s">
        <v>2175</v>
      </c>
    </row>
    <row r="1486" spans="1:10" x14ac:dyDescent="0.2">
      <c r="A1486" s="8" t="s">
        <v>56</v>
      </c>
      <c r="B1486" s="8" t="s">
        <v>73</v>
      </c>
      <c r="C1486" s="8" t="s">
        <v>4341</v>
      </c>
      <c r="D1486" s="8" t="s">
        <v>4342</v>
      </c>
      <c r="E1486" s="8" t="s">
        <v>4343</v>
      </c>
      <c r="F1486" s="8">
        <v>-1.1687145000000001</v>
      </c>
      <c r="G1486" s="8">
        <v>-1.0779998</v>
      </c>
      <c r="H1486" s="6" t="str">
        <f t="shared" si="11"/>
        <v>Direct</v>
      </c>
      <c r="I1486" s="8" t="s">
        <v>4344</v>
      </c>
      <c r="J1486" s="8" t="s">
        <v>4344</v>
      </c>
    </row>
    <row r="1487" spans="1:10" x14ac:dyDescent="0.2">
      <c r="A1487" s="8" t="s">
        <v>56</v>
      </c>
      <c r="B1487" s="8" t="s">
        <v>73</v>
      </c>
      <c r="C1487" s="8" t="s">
        <v>3394</v>
      </c>
      <c r="D1487" s="8" t="s">
        <v>3395</v>
      </c>
      <c r="E1487" s="8" t="s">
        <v>3396</v>
      </c>
      <c r="F1487" s="8">
        <v>-2.1334032999999999</v>
      </c>
      <c r="G1487" s="8">
        <v>-4.2492073000000001</v>
      </c>
      <c r="H1487" s="6" t="str">
        <f t="shared" si="11"/>
        <v>Direct</v>
      </c>
      <c r="I1487" s="8" t="s">
        <v>660</v>
      </c>
      <c r="J1487" s="8" t="s">
        <v>660</v>
      </c>
    </row>
    <row r="1488" spans="1:10" x14ac:dyDescent="0.2">
      <c r="A1488" s="8" t="s">
        <v>56</v>
      </c>
      <c r="B1488" s="8" t="s">
        <v>73</v>
      </c>
      <c r="C1488" s="8" t="s">
        <v>2180</v>
      </c>
      <c r="D1488" s="8" t="s">
        <v>2181</v>
      </c>
      <c r="E1488" s="8" t="s">
        <v>2182</v>
      </c>
      <c r="F1488" s="8">
        <v>-4.0575580999999996</v>
      </c>
      <c r="G1488" s="8">
        <v>-3.2482872999999999</v>
      </c>
      <c r="H1488" s="6" t="str">
        <f t="shared" si="11"/>
        <v>Direct</v>
      </c>
      <c r="I1488" s="8" t="s">
        <v>2183</v>
      </c>
      <c r="J1488" s="8" t="s">
        <v>2183</v>
      </c>
    </row>
    <row r="1489" spans="1:10" x14ac:dyDescent="0.2">
      <c r="A1489" s="8" t="s">
        <v>56</v>
      </c>
      <c r="B1489" s="8" t="s">
        <v>73</v>
      </c>
      <c r="C1489" s="8" t="s">
        <v>2187</v>
      </c>
      <c r="D1489" s="8" t="s">
        <v>2188</v>
      </c>
      <c r="E1489" s="8" t="s">
        <v>2189</v>
      </c>
      <c r="F1489" s="8">
        <v>-2.1099154000000002</v>
      </c>
      <c r="G1489" s="8">
        <v>-6.4486552000000001</v>
      </c>
      <c r="H1489" s="6" t="str">
        <f t="shared" si="11"/>
        <v>Direct</v>
      </c>
      <c r="I1489" s="8" t="s">
        <v>1763</v>
      </c>
      <c r="J1489" s="8" t="s">
        <v>1763</v>
      </c>
    </row>
    <row r="1490" spans="1:10" x14ac:dyDescent="0.2">
      <c r="A1490" s="8" t="s">
        <v>56</v>
      </c>
      <c r="B1490" s="8" t="s">
        <v>73</v>
      </c>
      <c r="C1490" s="8" t="s">
        <v>4345</v>
      </c>
      <c r="D1490" s="8" t="s">
        <v>4346</v>
      </c>
      <c r="E1490" s="8" t="s">
        <v>4347</v>
      </c>
      <c r="F1490" s="8">
        <v>1.1892381299999999</v>
      </c>
      <c r="G1490" s="8">
        <v>-1.2712151</v>
      </c>
      <c r="H1490" s="6" t="str">
        <f t="shared" si="11"/>
        <v>Inverse</v>
      </c>
      <c r="I1490" s="8" t="s">
        <v>4348</v>
      </c>
      <c r="J1490" s="8" t="s">
        <v>4348</v>
      </c>
    </row>
    <row r="1491" spans="1:10" x14ac:dyDescent="0.2">
      <c r="A1491" s="8" t="s">
        <v>56</v>
      </c>
      <c r="B1491" s="8" t="s">
        <v>73</v>
      </c>
      <c r="C1491" s="8" t="s">
        <v>2190</v>
      </c>
      <c r="D1491" s="8" t="s">
        <v>2191</v>
      </c>
      <c r="E1491" s="8" t="s">
        <v>2192</v>
      </c>
      <c r="F1491" s="8">
        <v>-1.4781023</v>
      </c>
      <c r="G1491" s="8">
        <v>-3.3720178000000001</v>
      </c>
      <c r="H1491" s="6" t="str">
        <f t="shared" si="11"/>
        <v>Direct</v>
      </c>
      <c r="I1491" s="8" t="s">
        <v>2193</v>
      </c>
      <c r="J1491" s="8" t="s">
        <v>2193</v>
      </c>
    </row>
    <row r="1492" spans="1:10" x14ac:dyDescent="0.2">
      <c r="A1492" s="8" t="s">
        <v>56</v>
      </c>
      <c r="B1492" s="8" t="s">
        <v>73</v>
      </c>
      <c r="C1492" s="8" t="s">
        <v>4349</v>
      </c>
      <c r="D1492" s="8" t="s">
        <v>4350</v>
      </c>
      <c r="E1492" s="8" t="s">
        <v>4351</v>
      </c>
      <c r="F1492" s="8">
        <v>2.6753609699999998</v>
      </c>
      <c r="G1492" s="8">
        <v>1.4195508699999999</v>
      </c>
      <c r="H1492" s="6" t="str">
        <f t="shared" si="11"/>
        <v>Direct</v>
      </c>
      <c r="I1492" s="8" t="s">
        <v>4352</v>
      </c>
      <c r="J1492" s="8" t="s">
        <v>4352</v>
      </c>
    </row>
    <row r="1493" spans="1:10" x14ac:dyDescent="0.2">
      <c r="A1493" s="8" t="s">
        <v>56</v>
      </c>
      <c r="B1493" s="8" t="s">
        <v>73</v>
      </c>
      <c r="C1493" s="8" t="s">
        <v>4353</v>
      </c>
      <c r="D1493" s="8" t="s">
        <v>4354</v>
      </c>
      <c r="E1493" s="8" t="s">
        <v>4355</v>
      </c>
      <c r="F1493" s="8">
        <v>3.81185843</v>
      </c>
      <c r="G1493" s="8">
        <v>1.1249647199999999</v>
      </c>
      <c r="H1493" s="6" t="str">
        <f t="shared" si="11"/>
        <v>Direct</v>
      </c>
      <c r="I1493" s="8" t="s">
        <v>2281</v>
      </c>
      <c r="J1493" s="8" t="s">
        <v>2281</v>
      </c>
    </row>
    <row r="1494" spans="1:10" x14ac:dyDescent="0.2">
      <c r="A1494" s="8" t="s">
        <v>56</v>
      </c>
      <c r="B1494" s="8" t="s">
        <v>73</v>
      </c>
      <c r="C1494" s="8" t="s">
        <v>3418</v>
      </c>
      <c r="D1494" s="8" t="s">
        <v>3419</v>
      </c>
      <c r="E1494" s="8" t="s">
        <v>3420</v>
      </c>
      <c r="F1494" s="8">
        <v>-3.7720853000000001</v>
      </c>
      <c r="G1494" s="8">
        <v>-1.2866173000000001</v>
      </c>
      <c r="H1494" s="6" t="str">
        <f t="shared" si="11"/>
        <v>Direct</v>
      </c>
      <c r="I1494" s="8" t="s">
        <v>3421</v>
      </c>
      <c r="J1494" s="8" t="s">
        <v>3421</v>
      </c>
    </row>
    <row r="1495" spans="1:10" x14ac:dyDescent="0.2">
      <c r="A1495" s="8" t="s">
        <v>56</v>
      </c>
      <c r="B1495" s="8" t="s">
        <v>73</v>
      </c>
      <c r="C1495" s="8" t="s">
        <v>4129</v>
      </c>
      <c r="D1495" s="8" t="s">
        <v>4130</v>
      </c>
      <c r="E1495" s="8" t="s">
        <v>4131</v>
      </c>
      <c r="F1495" s="8">
        <v>1.0907027600000001</v>
      </c>
      <c r="G1495" s="8">
        <v>1.1109686999999999</v>
      </c>
      <c r="H1495" s="6" t="str">
        <f t="shared" si="11"/>
        <v>Direct</v>
      </c>
      <c r="I1495" s="8" t="s">
        <v>3046</v>
      </c>
      <c r="J1495" s="8" t="s">
        <v>3046</v>
      </c>
    </row>
    <row r="1496" spans="1:10" x14ac:dyDescent="0.2">
      <c r="A1496" s="8" t="s">
        <v>56</v>
      </c>
      <c r="B1496" s="8" t="s">
        <v>73</v>
      </c>
      <c r="C1496" s="8" t="s">
        <v>3422</v>
      </c>
      <c r="D1496" s="8" t="s">
        <v>3423</v>
      </c>
      <c r="E1496" s="8" t="s">
        <v>3424</v>
      </c>
      <c r="F1496" s="8">
        <v>3.9679333300000001</v>
      </c>
      <c r="G1496" s="8">
        <v>1.2240441900000001</v>
      </c>
      <c r="H1496" s="6" t="str">
        <f t="shared" si="11"/>
        <v>Direct</v>
      </c>
      <c r="I1496" s="8" t="s">
        <v>3425</v>
      </c>
      <c r="J1496" s="8" t="s">
        <v>3425</v>
      </c>
    </row>
    <row r="1497" spans="1:10" x14ac:dyDescent="0.2">
      <c r="A1497" s="8" t="s">
        <v>56</v>
      </c>
      <c r="B1497" s="8" t="s">
        <v>73</v>
      </c>
      <c r="C1497" s="8" t="s">
        <v>2198</v>
      </c>
      <c r="D1497" s="8" t="s">
        <v>2199</v>
      </c>
      <c r="E1497" s="8" t="s">
        <v>2200</v>
      </c>
      <c r="F1497" s="8">
        <v>-4.5334013999999998</v>
      </c>
      <c r="G1497" s="8">
        <v>-2.9449193</v>
      </c>
      <c r="H1497" s="6" t="str">
        <f t="shared" si="11"/>
        <v>Direct</v>
      </c>
      <c r="I1497" s="8" t="s">
        <v>1972</v>
      </c>
      <c r="J1497" s="8" t="s">
        <v>1972</v>
      </c>
    </row>
    <row r="1498" spans="1:10" x14ac:dyDescent="0.2">
      <c r="A1498" s="8" t="s">
        <v>56</v>
      </c>
      <c r="B1498" s="8" t="s">
        <v>73</v>
      </c>
      <c r="C1498" s="8" t="s">
        <v>2201</v>
      </c>
      <c r="D1498" s="8" t="s">
        <v>2202</v>
      </c>
      <c r="E1498" s="8" t="s">
        <v>2203</v>
      </c>
      <c r="F1498" s="8">
        <v>-2.7939484999999999</v>
      </c>
      <c r="G1498" s="8">
        <v>-1.9683101999999999</v>
      </c>
      <c r="H1498" s="6" t="str">
        <f t="shared" si="11"/>
        <v>Direct</v>
      </c>
      <c r="I1498" s="8" t="s">
        <v>2204</v>
      </c>
      <c r="J1498" s="8" t="s">
        <v>2204</v>
      </c>
    </row>
    <row r="1499" spans="1:10" x14ac:dyDescent="0.2">
      <c r="A1499" s="8" t="s">
        <v>56</v>
      </c>
      <c r="B1499" s="8" t="s">
        <v>73</v>
      </c>
      <c r="C1499" s="8" t="s">
        <v>547</v>
      </c>
      <c r="D1499" s="8" t="s">
        <v>548</v>
      </c>
      <c r="E1499" s="8" t="s">
        <v>549</v>
      </c>
      <c r="F1499" s="8">
        <v>-6.8003114</v>
      </c>
      <c r="G1499" s="8">
        <v>-1.0733716</v>
      </c>
      <c r="H1499" s="6" t="str">
        <f t="shared" si="11"/>
        <v>Direct</v>
      </c>
      <c r="I1499" s="8" t="s">
        <v>550</v>
      </c>
      <c r="J1499" s="8" t="s">
        <v>550</v>
      </c>
    </row>
    <row r="1500" spans="1:10" x14ac:dyDescent="0.2">
      <c r="A1500" s="8" t="s">
        <v>56</v>
      </c>
      <c r="B1500" s="8" t="s">
        <v>73</v>
      </c>
      <c r="C1500" s="8" t="s">
        <v>4356</v>
      </c>
      <c r="D1500" s="8" t="s">
        <v>4357</v>
      </c>
      <c r="E1500" s="8" t="s">
        <v>4358</v>
      </c>
      <c r="F1500" s="8">
        <v>-1.3681302</v>
      </c>
      <c r="G1500" s="8">
        <v>-2.1665516</v>
      </c>
      <c r="H1500" s="6" t="str">
        <f t="shared" si="11"/>
        <v>Direct</v>
      </c>
      <c r="I1500" s="8" t="s">
        <v>4359</v>
      </c>
      <c r="J1500" s="8" t="s">
        <v>4359</v>
      </c>
    </row>
    <row r="1501" spans="1:10" x14ac:dyDescent="0.2">
      <c r="A1501" s="8" t="s">
        <v>56</v>
      </c>
      <c r="B1501" s="8" t="s">
        <v>73</v>
      </c>
      <c r="C1501" s="8" t="s">
        <v>2205</v>
      </c>
      <c r="D1501" s="8" t="s">
        <v>2206</v>
      </c>
      <c r="E1501" s="8" t="s">
        <v>2207</v>
      </c>
      <c r="F1501" s="8">
        <v>-11.046903</v>
      </c>
      <c r="G1501" s="8">
        <v>-1.6552191999999999</v>
      </c>
      <c r="H1501" s="6" t="str">
        <f t="shared" si="11"/>
        <v>Direct</v>
      </c>
      <c r="I1501" s="8" t="s">
        <v>2208</v>
      </c>
      <c r="J1501" s="8" t="s">
        <v>2208</v>
      </c>
    </row>
    <row r="1502" spans="1:10" x14ac:dyDescent="0.2">
      <c r="A1502" s="8" t="s">
        <v>56</v>
      </c>
      <c r="B1502" s="8" t="s">
        <v>73</v>
      </c>
      <c r="C1502" s="8" t="s">
        <v>2209</v>
      </c>
      <c r="D1502" s="8" t="s">
        <v>2210</v>
      </c>
      <c r="E1502" s="8" t="s">
        <v>2211</v>
      </c>
      <c r="F1502" s="8">
        <v>1.2298669099999999</v>
      </c>
      <c r="G1502" s="8">
        <v>2.3274293799999999</v>
      </c>
      <c r="H1502" s="6" t="str">
        <f t="shared" si="11"/>
        <v>Direct</v>
      </c>
      <c r="I1502" s="8" t="s">
        <v>2212</v>
      </c>
      <c r="J1502" s="8" t="s">
        <v>2212</v>
      </c>
    </row>
    <row r="1503" spans="1:10" x14ac:dyDescent="0.2">
      <c r="A1503" s="8" t="s">
        <v>56</v>
      </c>
      <c r="B1503" s="8" t="s">
        <v>73</v>
      </c>
      <c r="C1503" s="8" t="s">
        <v>2213</v>
      </c>
      <c r="D1503" s="8" t="s">
        <v>2214</v>
      </c>
      <c r="E1503" s="8" t="s">
        <v>2215</v>
      </c>
      <c r="F1503" s="8">
        <v>-4.9131106000000004</v>
      </c>
      <c r="G1503" s="8">
        <v>1.83495637</v>
      </c>
      <c r="H1503" s="6" t="str">
        <f t="shared" si="11"/>
        <v>Inverse</v>
      </c>
      <c r="I1503" s="8" t="s">
        <v>2216</v>
      </c>
      <c r="J1503" s="8" t="s">
        <v>859</v>
      </c>
    </row>
    <row r="1504" spans="1:10" x14ac:dyDescent="0.2">
      <c r="A1504" s="8" t="s">
        <v>56</v>
      </c>
      <c r="B1504" s="8" t="s">
        <v>73</v>
      </c>
      <c r="C1504" s="8" t="s">
        <v>564</v>
      </c>
      <c r="D1504" s="8" t="s">
        <v>565</v>
      </c>
      <c r="E1504" s="8" t="s">
        <v>566</v>
      </c>
      <c r="F1504" s="8">
        <v>-4.813536</v>
      </c>
      <c r="G1504" s="8">
        <v>-1.1664201000000001</v>
      </c>
      <c r="H1504" s="6" t="str">
        <f t="shared" si="11"/>
        <v>Direct</v>
      </c>
      <c r="I1504" s="8" t="s">
        <v>567</v>
      </c>
      <c r="J1504" s="8" t="s">
        <v>567</v>
      </c>
    </row>
    <row r="1505" spans="1:10" x14ac:dyDescent="0.2">
      <c r="A1505" s="8" t="s">
        <v>56</v>
      </c>
      <c r="B1505" s="8" t="s">
        <v>73</v>
      </c>
      <c r="C1505" s="8" t="s">
        <v>2217</v>
      </c>
      <c r="D1505" s="8" t="s">
        <v>2218</v>
      </c>
      <c r="E1505" s="8" t="s">
        <v>2219</v>
      </c>
      <c r="F1505" s="8">
        <v>-5.7048078000000002</v>
      </c>
      <c r="G1505" s="8">
        <v>-1.2178112999999999</v>
      </c>
      <c r="H1505" s="6" t="str">
        <f t="shared" si="11"/>
        <v>Direct</v>
      </c>
      <c r="I1505" s="8" t="s">
        <v>288</v>
      </c>
      <c r="J1505" s="8" t="s">
        <v>288</v>
      </c>
    </row>
    <row r="1506" spans="1:10" x14ac:dyDescent="0.2">
      <c r="A1506" s="8" t="s">
        <v>56</v>
      </c>
      <c r="B1506" s="8" t="s">
        <v>73</v>
      </c>
      <c r="C1506" s="8" t="s">
        <v>2220</v>
      </c>
      <c r="D1506" s="8" t="s">
        <v>2221</v>
      </c>
      <c r="E1506" s="8" t="s">
        <v>2222</v>
      </c>
      <c r="F1506" s="8">
        <v>1.9666331800000001</v>
      </c>
      <c r="G1506" s="8">
        <v>4.0893666399999997</v>
      </c>
      <c r="H1506" s="6" t="str">
        <f t="shared" si="11"/>
        <v>Direct</v>
      </c>
      <c r="I1506" s="8" t="s">
        <v>2223</v>
      </c>
      <c r="J1506" s="8" t="s">
        <v>2223</v>
      </c>
    </row>
    <row r="1507" spans="1:10" x14ac:dyDescent="0.2">
      <c r="A1507" s="8" t="s">
        <v>56</v>
      </c>
      <c r="B1507" s="8" t="s">
        <v>73</v>
      </c>
      <c r="C1507" s="8" t="s">
        <v>4360</v>
      </c>
      <c r="D1507" s="8" t="s">
        <v>4361</v>
      </c>
      <c r="E1507" s="8" t="s">
        <v>4362</v>
      </c>
      <c r="F1507" s="8">
        <v>-4.7530767000000003</v>
      </c>
      <c r="G1507" s="8">
        <v>-1.7148783999999999</v>
      </c>
      <c r="H1507" s="6" t="str">
        <f t="shared" si="11"/>
        <v>Direct</v>
      </c>
      <c r="I1507" s="8" t="s">
        <v>4363</v>
      </c>
      <c r="J1507" s="8" t="s">
        <v>4363</v>
      </c>
    </row>
    <row r="1508" spans="1:10" x14ac:dyDescent="0.2">
      <c r="A1508" s="8" t="s">
        <v>56</v>
      </c>
      <c r="B1508" s="8" t="s">
        <v>73</v>
      </c>
      <c r="C1508" s="8" t="s">
        <v>4364</v>
      </c>
      <c r="D1508" s="8" t="s">
        <v>4365</v>
      </c>
      <c r="E1508" s="8" t="s">
        <v>4366</v>
      </c>
      <c r="F1508" s="8">
        <v>-1.8645148</v>
      </c>
      <c r="G1508" s="8">
        <v>-1.5983858</v>
      </c>
      <c r="H1508" s="6" t="str">
        <f t="shared" si="11"/>
        <v>Direct</v>
      </c>
      <c r="I1508" s="8" t="s">
        <v>4367</v>
      </c>
      <c r="J1508" s="8" t="s">
        <v>4367</v>
      </c>
    </row>
    <row r="1509" spans="1:10" x14ac:dyDescent="0.2">
      <c r="A1509" s="8" t="s">
        <v>56</v>
      </c>
      <c r="B1509" s="8" t="s">
        <v>73</v>
      </c>
      <c r="C1509" s="8" t="s">
        <v>3485</v>
      </c>
      <c r="D1509" s="8" t="s">
        <v>3486</v>
      </c>
      <c r="E1509" s="8" t="s">
        <v>3487</v>
      </c>
      <c r="F1509" s="8">
        <v>-3.9353889999999998</v>
      </c>
      <c r="G1509" s="8">
        <v>-2.3651875000000002</v>
      </c>
      <c r="H1509" s="6" t="str">
        <f t="shared" si="11"/>
        <v>Direct</v>
      </c>
      <c r="I1509" s="8" t="s">
        <v>3488</v>
      </c>
      <c r="J1509" s="8" t="s">
        <v>3488</v>
      </c>
    </row>
    <row r="1510" spans="1:10" x14ac:dyDescent="0.2">
      <c r="A1510" s="8" t="s">
        <v>56</v>
      </c>
      <c r="B1510" s="8" t="s">
        <v>73</v>
      </c>
      <c r="C1510" s="8" t="s">
        <v>2227</v>
      </c>
      <c r="D1510" s="8" t="s">
        <v>2228</v>
      </c>
      <c r="E1510" s="8" t="s">
        <v>2229</v>
      </c>
      <c r="F1510" s="8">
        <v>9.9425992599999997</v>
      </c>
      <c r="G1510" s="8">
        <v>5.8272161599999999</v>
      </c>
      <c r="H1510" s="6" t="str">
        <f t="shared" si="11"/>
        <v>Direct</v>
      </c>
      <c r="I1510" s="8" t="s">
        <v>445</v>
      </c>
      <c r="J1510" s="8" t="s">
        <v>445</v>
      </c>
    </row>
    <row r="1511" spans="1:10" x14ac:dyDescent="0.2">
      <c r="A1511" s="8" t="s">
        <v>56</v>
      </c>
      <c r="B1511" s="8" t="s">
        <v>73</v>
      </c>
      <c r="C1511" s="8" t="s">
        <v>2230</v>
      </c>
      <c r="D1511" s="8" t="s">
        <v>2231</v>
      </c>
      <c r="E1511" s="8" t="s">
        <v>2232</v>
      </c>
      <c r="F1511" s="8">
        <v>-9.1903717</v>
      </c>
      <c r="G1511" s="8">
        <v>-1.5250212999999999</v>
      </c>
      <c r="H1511" s="6" t="str">
        <f t="shared" si="11"/>
        <v>Direct</v>
      </c>
      <c r="I1511" s="8" t="s">
        <v>2233</v>
      </c>
      <c r="J1511" s="8" t="s">
        <v>2233</v>
      </c>
    </row>
    <row r="1512" spans="1:10" x14ac:dyDescent="0.2">
      <c r="A1512" s="8" t="s">
        <v>56</v>
      </c>
      <c r="B1512" s="8" t="s">
        <v>73</v>
      </c>
      <c r="C1512" s="8" t="s">
        <v>2234</v>
      </c>
      <c r="D1512" s="8" t="s">
        <v>2235</v>
      </c>
      <c r="E1512" s="8" t="s">
        <v>2236</v>
      </c>
      <c r="F1512" s="8">
        <v>-8.4940181999999993</v>
      </c>
      <c r="G1512" s="8">
        <v>-12.849026</v>
      </c>
      <c r="H1512" s="6" t="str">
        <f t="shared" si="11"/>
        <v>Direct</v>
      </c>
      <c r="I1512" s="8" t="s">
        <v>2237</v>
      </c>
      <c r="J1512" s="8" t="s">
        <v>2237</v>
      </c>
    </row>
    <row r="1513" spans="1:10" x14ac:dyDescent="0.2">
      <c r="A1513" s="8" t="s">
        <v>56</v>
      </c>
      <c r="B1513" s="8" t="s">
        <v>73</v>
      </c>
      <c r="C1513" s="8" t="s">
        <v>4368</v>
      </c>
      <c r="D1513" s="8" t="s">
        <v>4369</v>
      </c>
      <c r="E1513" s="8" t="s">
        <v>4370</v>
      </c>
      <c r="F1513" s="8">
        <v>1.24942617</v>
      </c>
      <c r="G1513" s="8">
        <v>-1.2174061</v>
      </c>
      <c r="H1513" s="6" t="str">
        <f t="shared" si="11"/>
        <v>Inverse</v>
      </c>
      <c r="I1513" s="8" t="s">
        <v>4371</v>
      </c>
      <c r="J1513" s="8" t="s">
        <v>4371</v>
      </c>
    </row>
    <row r="1514" spans="1:10" x14ac:dyDescent="0.2">
      <c r="A1514" s="8" t="s">
        <v>56</v>
      </c>
      <c r="B1514" s="8" t="s">
        <v>73</v>
      </c>
      <c r="C1514" s="8" t="s">
        <v>2238</v>
      </c>
      <c r="D1514" s="8" t="s">
        <v>2239</v>
      </c>
      <c r="E1514" s="8" t="s">
        <v>2240</v>
      </c>
      <c r="F1514" s="8">
        <v>1.62417072</v>
      </c>
      <c r="G1514" s="8">
        <v>14.6434598</v>
      </c>
      <c r="H1514" s="6" t="str">
        <f t="shared" si="11"/>
        <v>Direct</v>
      </c>
      <c r="I1514" s="8" t="s">
        <v>2241</v>
      </c>
      <c r="J1514" s="8" t="s">
        <v>2241</v>
      </c>
    </row>
    <row r="1515" spans="1:10" x14ac:dyDescent="0.2">
      <c r="A1515" s="8" t="s">
        <v>56</v>
      </c>
      <c r="B1515" s="8" t="s">
        <v>73</v>
      </c>
      <c r="C1515" s="8" t="s">
        <v>4372</v>
      </c>
      <c r="D1515" s="8" t="s">
        <v>4373</v>
      </c>
      <c r="E1515" s="8" t="s">
        <v>4374</v>
      </c>
      <c r="F1515" s="8">
        <v>-2.1721336999999998</v>
      </c>
      <c r="G1515" s="8">
        <v>-2.4308817</v>
      </c>
      <c r="H1515" s="6" t="str">
        <f t="shared" si="11"/>
        <v>Direct</v>
      </c>
      <c r="I1515" s="8" t="s">
        <v>4375</v>
      </c>
      <c r="J1515" s="8" t="s">
        <v>4375</v>
      </c>
    </row>
    <row r="1516" spans="1:10" x14ac:dyDescent="0.2">
      <c r="A1516" s="8" t="s">
        <v>56</v>
      </c>
      <c r="B1516" s="8" t="s">
        <v>73</v>
      </c>
      <c r="C1516" s="8" t="s">
        <v>2242</v>
      </c>
      <c r="D1516" s="8" t="s">
        <v>2243</v>
      </c>
      <c r="E1516" s="8" t="s">
        <v>2244</v>
      </c>
      <c r="F1516" s="8">
        <v>-3.2406207999999999</v>
      </c>
      <c r="G1516" s="8">
        <v>-3.7783514</v>
      </c>
      <c r="H1516" s="6" t="str">
        <f t="shared" si="11"/>
        <v>Direct</v>
      </c>
      <c r="I1516" s="8" t="s">
        <v>2245</v>
      </c>
      <c r="J1516" s="8" t="s">
        <v>1246</v>
      </c>
    </row>
    <row r="1517" spans="1:10" x14ac:dyDescent="0.2">
      <c r="A1517" s="8" t="s">
        <v>56</v>
      </c>
      <c r="B1517" s="8" t="s">
        <v>73</v>
      </c>
      <c r="C1517" s="8" t="s">
        <v>4376</v>
      </c>
      <c r="D1517" s="8" t="s">
        <v>4377</v>
      </c>
      <c r="E1517" s="8" t="s">
        <v>4378</v>
      </c>
      <c r="F1517" s="8">
        <v>-3.4477077</v>
      </c>
      <c r="G1517" s="8">
        <v>-1.1155396</v>
      </c>
      <c r="H1517" s="6" t="str">
        <f t="shared" si="11"/>
        <v>Direct</v>
      </c>
      <c r="I1517" s="8" t="s">
        <v>4379</v>
      </c>
      <c r="J1517" s="8" t="s">
        <v>4379</v>
      </c>
    </row>
    <row r="1518" spans="1:10" x14ac:dyDescent="0.2">
      <c r="A1518" s="8" t="s">
        <v>56</v>
      </c>
      <c r="B1518" s="8" t="s">
        <v>73</v>
      </c>
      <c r="C1518" s="8" t="s">
        <v>4380</v>
      </c>
      <c r="D1518" s="8" t="s">
        <v>4381</v>
      </c>
      <c r="E1518" s="8" t="s">
        <v>4382</v>
      </c>
      <c r="F1518" s="8">
        <v>-1.0946214000000001</v>
      </c>
      <c r="G1518" s="8">
        <v>-1.5795973000000001</v>
      </c>
      <c r="H1518" s="6" t="str">
        <f t="shared" si="11"/>
        <v>Direct</v>
      </c>
      <c r="I1518" s="8" t="s">
        <v>2749</v>
      </c>
      <c r="J1518" s="8" t="s">
        <v>2749</v>
      </c>
    </row>
    <row r="1519" spans="1:10" x14ac:dyDescent="0.2">
      <c r="A1519" s="8" t="s">
        <v>56</v>
      </c>
      <c r="B1519" s="8" t="s">
        <v>73</v>
      </c>
      <c r="C1519" s="8" t="s">
        <v>2257</v>
      </c>
      <c r="D1519" s="8" t="s">
        <v>2258</v>
      </c>
      <c r="E1519" s="8" t="s">
        <v>2259</v>
      </c>
      <c r="F1519" s="8">
        <v>4.2987015900000003</v>
      </c>
      <c r="G1519" s="8">
        <v>2.0524462699999999</v>
      </c>
      <c r="H1519" s="6" t="str">
        <f t="shared" si="11"/>
        <v>Direct</v>
      </c>
      <c r="I1519" s="8" t="s">
        <v>2260</v>
      </c>
      <c r="J1519" s="8" t="s">
        <v>2261</v>
      </c>
    </row>
    <row r="1520" spans="1:10" x14ac:dyDescent="0.2">
      <c r="A1520" s="8" t="s">
        <v>56</v>
      </c>
      <c r="B1520" s="8" t="s">
        <v>73</v>
      </c>
      <c r="C1520" s="8" t="s">
        <v>4383</v>
      </c>
      <c r="D1520" s="8" t="s">
        <v>4384</v>
      </c>
      <c r="E1520" s="8" t="s">
        <v>4385</v>
      </c>
      <c r="F1520" s="8">
        <v>-2.9149310000000002</v>
      </c>
      <c r="G1520" s="8">
        <v>-6.8506385999999999</v>
      </c>
      <c r="H1520" s="6" t="str">
        <f t="shared" si="11"/>
        <v>Direct</v>
      </c>
      <c r="I1520" s="8" t="s">
        <v>4386</v>
      </c>
      <c r="J1520" s="8" t="s">
        <v>4386</v>
      </c>
    </row>
    <row r="1521" spans="1:10" x14ac:dyDescent="0.2">
      <c r="A1521" s="8" t="s">
        <v>56</v>
      </c>
      <c r="B1521" s="8" t="s">
        <v>73</v>
      </c>
      <c r="C1521" s="8" t="s">
        <v>4387</v>
      </c>
      <c r="D1521" s="8" t="s">
        <v>4388</v>
      </c>
      <c r="E1521" s="8" t="s">
        <v>4389</v>
      </c>
      <c r="F1521" s="8">
        <v>-2.6268767</v>
      </c>
      <c r="G1521" s="8">
        <v>1.1482667600000001</v>
      </c>
      <c r="H1521" s="6" t="str">
        <f t="shared" si="11"/>
        <v>Inverse</v>
      </c>
      <c r="I1521" s="8" t="s">
        <v>3447</v>
      </c>
      <c r="J1521" s="8" t="s">
        <v>3447</v>
      </c>
    </row>
    <row r="1522" spans="1:10" x14ac:dyDescent="0.2">
      <c r="A1522" s="8" t="s">
        <v>56</v>
      </c>
      <c r="B1522" s="8" t="s">
        <v>73</v>
      </c>
      <c r="C1522" s="8" t="s">
        <v>3544</v>
      </c>
      <c r="D1522" s="8" t="s">
        <v>3545</v>
      </c>
      <c r="E1522" s="8" t="s">
        <v>3546</v>
      </c>
      <c r="F1522" s="8">
        <v>-5.7099938000000003</v>
      </c>
      <c r="G1522" s="8">
        <v>-2.2493254</v>
      </c>
      <c r="H1522" s="6" t="str">
        <f t="shared" si="11"/>
        <v>Direct</v>
      </c>
      <c r="I1522" s="8" t="s">
        <v>3547</v>
      </c>
      <c r="J1522" s="8" t="s">
        <v>3547</v>
      </c>
    </row>
    <row r="1523" spans="1:10" x14ac:dyDescent="0.2">
      <c r="A1523" s="8" t="s">
        <v>56</v>
      </c>
      <c r="B1523" s="8" t="s">
        <v>73</v>
      </c>
      <c r="C1523" s="8" t="s">
        <v>2262</v>
      </c>
      <c r="D1523" s="8" t="s">
        <v>2263</v>
      </c>
      <c r="E1523" s="8" t="s">
        <v>2264</v>
      </c>
      <c r="F1523" s="8">
        <v>-4.0389153999999996</v>
      </c>
      <c r="G1523" s="8">
        <v>-2.8815692999999998</v>
      </c>
      <c r="H1523" s="6" t="str">
        <f t="shared" si="11"/>
        <v>Direct</v>
      </c>
      <c r="I1523" s="8" t="s">
        <v>2265</v>
      </c>
      <c r="J1523" s="8" t="s">
        <v>2265</v>
      </c>
    </row>
    <row r="1524" spans="1:10" x14ac:dyDescent="0.2">
      <c r="A1524" s="8" t="s">
        <v>56</v>
      </c>
      <c r="B1524" s="8" t="s">
        <v>73</v>
      </c>
      <c r="C1524" s="8" t="s">
        <v>4390</v>
      </c>
      <c r="D1524" s="8" t="s">
        <v>4391</v>
      </c>
      <c r="E1524" s="8" t="s">
        <v>4392</v>
      </c>
      <c r="F1524" s="8">
        <v>-1.1756438</v>
      </c>
      <c r="G1524" s="8">
        <v>-1.3923837999999999</v>
      </c>
      <c r="H1524" s="6" t="str">
        <f t="shared" si="11"/>
        <v>Direct</v>
      </c>
      <c r="I1524" s="8" t="s">
        <v>4393</v>
      </c>
      <c r="J1524" s="8" t="s">
        <v>4393</v>
      </c>
    </row>
    <row r="1525" spans="1:10" x14ac:dyDescent="0.2">
      <c r="A1525" s="8" t="s">
        <v>56</v>
      </c>
      <c r="B1525" s="8" t="s">
        <v>73</v>
      </c>
      <c r="C1525" s="8" t="s">
        <v>4394</v>
      </c>
      <c r="D1525" s="8" t="s">
        <v>4395</v>
      </c>
      <c r="E1525" s="8" t="s">
        <v>4396</v>
      </c>
      <c r="F1525" s="8">
        <v>-1.4486565</v>
      </c>
      <c r="G1525" s="8">
        <v>1.03161451</v>
      </c>
      <c r="H1525" s="6" t="str">
        <f t="shared" si="11"/>
        <v>Inverse</v>
      </c>
      <c r="I1525" s="8" t="s">
        <v>4397</v>
      </c>
      <c r="J1525" s="8" t="s">
        <v>918</v>
      </c>
    </row>
    <row r="1526" spans="1:10" x14ac:dyDescent="0.2">
      <c r="A1526" s="8" t="s">
        <v>56</v>
      </c>
      <c r="B1526" s="8" t="s">
        <v>73</v>
      </c>
      <c r="C1526" s="8" t="s">
        <v>4398</v>
      </c>
      <c r="D1526" s="8" t="s">
        <v>4399</v>
      </c>
      <c r="E1526" s="8" t="s">
        <v>4400</v>
      </c>
      <c r="F1526" s="8">
        <v>-1.1444447</v>
      </c>
      <c r="G1526" s="8">
        <v>3.6164189499999999</v>
      </c>
      <c r="H1526" s="6" t="str">
        <f t="shared" si="11"/>
        <v>Inverse</v>
      </c>
      <c r="I1526" s="8" t="s">
        <v>4401</v>
      </c>
      <c r="J1526" s="8" t="s">
        <v>4402</v>
      </c>
    </row>
    <row r="1527" spans="1:10" x14ac:dyDescent="0.2">
      <c r="A1527" s="8" t="s">
        <v>56</v>
      </c>
      <c r="B1527" s="8" t="s">
        <v>73</v>
      </c>
      <c r="C1527" s="8" t="s">
        <v>4403</v>
      </c>
      <c r="D1527" s="8" t="s">
        <v>4404</v>
      </c>
      <c r="E1527" s="8" t="s">
        <v>4405</v>
      </c>
      <c r="F1527" s="8">
        <v>1.0386246100000001</v>
      </c>
      <c r="G1527" s="8">
        <v>1.60877107</v>
      </c>
      <c r="H1527" s="6" t="str">
        <f t="shared" si="11"/>
        <v>Direct</v>
      </c>
      <c r="I1527" s="8" t="s">
        <v>4406</v>
      </c>
      <c r="J1527" s="8" t="s">
        <v>4406</v>
      </c>
    </row>
    <row r="1528" spans="1:10" x14ac:dyDescent="0.2">
      <c r="A1528" s="8" t="s">
        <v>56</v>
      </c>
      <c r="B1528" s="8" t="s">
        <v>73</v>
      </c>
      <c r="C1528" s="8" t="s">
        <v>3565</v>
      </c>
      <c r="D1528" s="8" t="s">
        <v>3566</v>
      </c>
      <c r="E1528" s="8" t="s">
        <v>3567</v>
      </c>
      <c r="F1528" s="8">
        <v>-2.0496728000000002</v>
      </c>
      <c r="G1528" s="8">
        <v>-1.6702623999999999</v>
      </c>
      <c r="H1528" s="6" t="str">
        <f t="shared" si="11"/>
        <v>Direct</v>
      </c>
      <c r="I1528" s="8" t="s">
        <v>3568</v>
      </c>
      <c r="J1528" s="8" t="s">
        <v>3568</v>
      </c>
    </row>
    <row r="1529" spans="1:10" x14ac:dyDescent="0.2">
      <c r="A1529" s="8" t="s">
        <v>56</v>
      </c>
      <c r="B1529" s="8" t="s">
        <v>73</v>
      </c>
      <c r="C1529" s="8" t="s">
        <v>2266</v>
      </c>
      <c r="D1529" s="8" t="s">
        <v>2267</v>
      </c>
      <c r="E1529" s="8" t="s">
        <v>2268</v>
      </c>
      <c r="F1529" s="8">
        <v>-4.0303547000000002</v>
      </c>
      <c r="G1529" s="8">
        <v>-2.784624</v>
      </c>
      <c r="H1529" s="6" t="str">
        <f t="shared" si="11"/>
        <v>Direct</v>
      </c>
      <c r="I1529" s="8" t="s">
        <v>2269</v>
      </c>
      <c r="J1529" s="8" t="s">
        <v>2269</v>
      </c>
    </row>
    <row r="1530" spans="1:10" x14ac:dyDescent="0.2">
      <c r="A1530" s="8" t="s">
        <v>56</v>
      </c>
      <c r="B1530" s="8" t="s">
        <v>73</v>
      </c>
      <c r="C1530" s="8" t="s">
        <v>2270</v>
      </c>
      <c r="D1530" s="8" t="s">
        <v>2271</v>
      </c>
      <c r="E1530" s="8" t="s">
        <v>2272</v>
      </c>
      <c r="F1530" s="8">
        <v>1.39637049</v>
      </c>
      <c r="G1530" s="8">
        <v>-6.5609368000000003</v>
      </c>
      <c r="H1530" s="6" t="str">
        <f t="shared" si="11"/>
        <v>Inverse</v>
      </c>
      <c r="I1530" s="8" t="s">
        <v>944</v>
      </c>
      <c r="J1530" s="8" t="s">
        <v>2273</v>
      </c>
    </row>
    <row r="1531" spans="1:10" x14ac:dyDescent="0.2">
      <c r="A1531" s="8" t="s">
        <v>56</v>
      </c>
      <c r="B1531" s="8" t="s">
        <v>73</v>
      </c>
      <c r="C1531" s="8" t="s">
        <v>2274</v>
      </c>
      <c r="D1531" s="8" t="s">
        <v>2275</v>
      </c>
      <c r="E1531" s="8" t="s">
        <v>2276</v>
      </c>
      <c r="F1531" s="8">
        <v>-2.1237917999999998</v>
      </c>
      <c r="G1531" s="8">
        <v>-3.3125594999999999</v>
      </c>
      <c r="H1531" s="6" t="str">
        <f t="shared" si="11"/>
        <v>Direct</v>
      </c>
      <c r="I1531" s="8" t="s">
        <v>2277</v>
      </c>
      <c r="J1531" s="8" t="s">
        <v>2277</v>
      </c>
    </row>
    <row r="1532" spans="1:10" x14ac:dyDescent="0.2">
      <c r="A1532" s="8" t="s">
        <v>56</v>
      </c>
      <c r="B1532" s="8" t="s">
        <v>73</v>
      </c>
      <c r="C1532" s="8" t="s">
        <v>4407</v>
      </c>
      <c r="D1532" s="8" t="s">
        <v>4408</v>
      </c>
      <c r="E1532" s="8" t="s">
        <v>4409</v>
      </c>
      <c r="F1532" s="8">
        <v>-1.9666332</v>
      </c>
      <c r="G1532" s="8">
        <v>-1.6845422999999999</v>
      </c>
      <c r="H1532" s="6" t="str">
        <f t="shared" ref="H1532:H1786" si="12">IF(OR(AND(F1532&gt;0,G1532&gt;0),AND(F1532&lt;0,G1532&lt;0)),"Direct","Inverse")</f>
        <v>Direct</v>
      </c>
      <c r="I1532" s="8" t="s">
        <v>4410</v>
      </c>
      <c r="J1532" s="8" t="s">
        <v>4410</v>
      </c>
    </row>
    <row r="1533" spans="1:10" x14ac:dyDescent="0.2">
      <c r="A1533" s="8" t="s">
        <v>56</v>
      </c>
      <c r="B1533" s="8" t="s">
        <v>73</v>
      </c>
      <c r="C1533" s="8" t="s">
        <v>1044</v>
      </c>
      <c r="D1533" s="8" t="s">
        <v>1045</v>
      </c>
      <c r="E1533" s="8" t="s">
        <v>1046</v>
      </c>
      <c r="F1533" s="8">
        <v>3.5797470200000001</v>
      </c>
      <c r="G1533" s="8">
        <v>9.0343189600000002</v>
      </c>
      <c r="H1533" s="6" t="str">
        <f t="shared" si="12"/>
        <v>Direct</v>
      </c>
      <c r="I1533" s="8" t="s">
        <v>1047</v>
      </c>
      <c r="J1533" s="8" t="s">
        <v>1047</v>
      </c>
    </row>
    <row r="1534" spans="1:10" x14ac:dyDescent="0.2">
      <c r="A1534" s="8" t="s">
        <v>56</v>
      </c>
      <c r="B1534" s="8" t="s">
        <v>73</v>
      </c>
      <c r="C1534" s="8" t="s">
        <v>2282</v>
      </c>
      <c r="D1534" s="8" t="s">
        <v>2283</v>
      </c>
      <c r="E1534" s="8" t="s">
        <v>2284</v>
      </c>
      <c r="F1534" s="8">
        <v>-2.2977405000000002</v>
      </c>
      <c r="G1534" s="8">
        <v>-3.7943129</v>
      </c>
      <c r="H1534" s="6" t="str">
        <f t="shared" si="12"/>
        <v>Direct</v>
      </c>
      <c r="I1534" s="8" t="s">
        <v>2285</v>
      </c>
      <c r="J1534" s="8" t="s">
        <v>2285</v>
      </c>
    </row>
    <row r="1535" spans="1:10" x14ac:dyDescent="0.2">
      <c r="A1535" s="8" t="s">
        <v>56</v>
      </c>
      <c r="B1535" s="8" t="s">
        <v>73</v>
      </c>
      <c r="C1535" s="8" t="s">
        <v>3586</v>
      </c>
      <c r="D1535" s="8" t="s">
        <v>3587</v>
      </c>
      <c r="E1535" s="8" t="s">
        <v>3588</v>
      </c>
      <c r="F1535" s="8">
        <v>-3.4198005</v>
      </c>
      <c r="G1535" s="8">
        <v>-1.1330929000000001</v>
      </c>
      <c r="H1535" s="6" t="str">
        <f t="shared" si="12"/>
        <v>Direct</v>
      </c>
      <c r="I1535" s="8" t="s">
        <v>3589</v>
      </c>
      <c r="J1535" s="8" t="s">
        <v>3589</v>
      </c>
    </row>
    <row r="1536" spans="1:10" x14ac:dyDescent="0.2">
      <c r="A1536" s="8" t="s">
        <v>56</v>
      </c>
      <c r="B1536" s="8" t="s">
        <v>73</v>
      </c>
      <c r="C1536" s="8" t="s">
        <v>4411</v>
      </c>
      <c r="D1536" s="8" t="s">
        <v>4412</v>
      </c>
      <c r="E1536" s="8" t="s">
        <v>4413</v>
      </c>
      <c r="F1536" s="8">
        <v>-3.3864689000000001</v>
      </c>
      <c r="G1536" s="8">
        <v>1.28546114</v>
      </c>
      <c r="H1536" s="6" t="str">
        <f t="shared" si="12"/>
        <v>Inverse</v>
      </c>
      <c r="I1536" s="8" t="s">
        <v>4414</v>
      </c>
      <c r="J1536" s="8" t="s">
        <v>4414</v>
      </c>
    </row>
    <row r="1537" spans="1:10" x14ac:dyDescent="0.2">
      <c r="A1537" s="8" t="s">
        <v>56</v>
      </c>
      <c r="B1537" s="8" t="s">
        <v>73</v>
      </c>
      <c r="C1537" s="8" t="s">
        <v>2286</v>
      </c>
      <c r="D1537" s="8" t="s">
        <v>2287</v>
      </c>
      <c r="E1537" s="8" t="s">
        <v>2288</v>
      </c>
      <c r="F1537" s="8">
        <v>-5.2239899999999997</v>
      </c>
      <c r="G1537" s="8">
        <v>-1.1038633</v>
      </c>
      <c r="H1537" s="6" t="str">
        <f t="shared" si="12"/>
        <v>Direct</v>
      </c>
      <c r="I1537" s="8" t="s">
        <v>794</v>
      </c>
      <c r="J1537" s="8" t="s">
        <v>794</v>
      </c>
    </row>
    <row r="1538" spans="1:10" x14ac:dyDescent="0.2">
      <c r="A1538" s="8" t="s">
        <v>56</v>
      </c>
      <c r="B1538" s="8" t="s">
        <v>73</v>
      </c>
      <c r="C1538" s="8" t="s">
        <v>4415</v>
      </c>
      <c r="D1538" s="8" t="s">
        <v>4416</v>
      </c>
      <c r="E1538" s="8" t="s">
        <v>4417</v>
      </c>
      <c r="F1538" s="8">
        <v>-4.9511038000000003</v>
      </c>
      <c r="G1538" s="8">
        <v>-1.0661242</v>
      </c>
      <c r="H1538" s="6" t="str">
        <f t="shared" si="12"/>
        <v>Direct</v>
      </c>
      <c r="I1538" s="8" t="s">
        <v>1343</v>
      </c>
      <c r="J1538" s="8" t="s">
        <v>1343</v>
      </c>
    </row>
    <row r="1539" spans="1:10" x14ac:dyDescent="0.2">
      <c r="A1539" s="8" t="s">
        <v>56</v>
      </c>
      <c r="B1539" s="8" t="s">
        <v>73</v>
      </c>
      <c r="C1539" s="8" t="s">
        <v>2289</v>
      </c>
      <c r="D1539" s="8" t="s">
        <v>2290</v>
      </c>
      <c r="E1539" s="8" t="s">
        <v>2291</v>
      </c>
      <c r="F1539" s="8">
        <v>-1.2393592</v>
      </c>
      <c r="G1539" s="8">
        <v>1.33501874</v>
      </c>
      <c r="H1539" s="6" t="str">
        <f t="shared" si="12"/>
        <v>Inverse</v>
      </c>
      <c r="I1539" s="8" t="s">
        <v>520</v>
      </c>
      <c r="J1539" s="8" t="s">
        <v>520</v>
      </c>
    </row>
    <row r="1540" spans="1:10" x14ac:dyDescent="0.2">
      <c r="A1540" s="8" t="s">
        <v>56</v>
      </c>
      <c r="B1540" s="8" t="s">
        <v>73</v>
      </c>
      <c r="C1540" s="8" t="s">
        <v>4418</v>
      </c>
      <c r="D1540" s="8" t="s">
        <v>4419</v>
      </c>
      <c r="E1540" s="8" t="s">
        <v>4420</v>
      </c>
      <c r="F1540" s="8">
        <v>-3.9704457999999998</v>
      </c>
      <c r="G1540" s="8">
        <v>-3.8927934</v>
      </c>
      <c r="H1540" s="6" t="str">
        <f t="shared" si="12"/>
        <v>Direct</v>
      </c>
      <c r="I1540" s="8" t="s">
        <v>4421</v>
      </c>
      <c r="J1540" s="8" t="s">
        <v>4421</v>
      </c>
    </row>
    <row r="1541" spans="1:10" x14ac:dyDescent="0.2">
      <c r="A1541" s="8" t="s">
        <v>56</v>
      </c>
      <c r="B1541" s="8" t="s">
        <v>73</v>
      </c>
      <c r="C1541" s="8" t="s">
        <v>2296</v>
      </c>
      <c r="D1541" s="8" t="s">
        <v>2297</v>
      </c>
      <c r="E1541" s="8" t="s">
        <v>2298</v>
      </c>
      <c r="F1541" s="8">
        <v>3.9752328299999999</v>
      </c>
      <c r="G1541" s="8">
        <v>-2.3474461</v>
      </c>
      <c r="H1541" s="6" t="str">
        <f t="shared" si="12"/>
        <v>Inverse</v>
      </c>
      <c r="I1541" s="8" t="s">
        <v>2299</v>
      </c>
      <c r="J1541" s="8" t="s">
        <v>2299</v>
      </c>
    </row>
    <row r="1542" spans="1:10" x14ac:dyDescent="0.2">
      <c r="A1542" s="8" t="s">
        <v>56</v>
      </c>
      <c r="B1542" s="8" t="s">
        <v>73</v>
      </c>
      <c r="C1542" s="8" t="s">
        <v>4422</v>
      </c>
      <c r="D1542" s="8" t="s">
        <v>4423</v>
      </c>
      <c r="E1542" s="8" t="s">
        <v>4424</v>
      </c>
      <c r="F1542" s="8">
        <v>-3.0929649000000001</v>
      </c>
      <c r="G1542" s="8">
        <v>-2.3166296000000002</v>
      </c>
      <c r="H1542" s="6" t="str">
        <f t="shared" si="12"/>
        <v>Direct</v>
      </c>
      <c r="I1542" s="8" t="s">
        <v>4425</v>
      </c>
      <c r="J1542" s="8" t="s">
        <v>4425</v>
      </c>
    </row>
    <row r="1543" spans="1:10" x14ac:dyDescent="0.2">
      <c r="A1543" s="8" t="s">
        <v>56</v>
      </c>
      <c r="B1543" s="8" t="s">
        <v>73</v>
      </c>
      <c r="C1543" s="8" t="s">
        <v>2300</v>
      </c>
      <c r="D1543" s="8" t="s">
        <v>2301</v>
      </c>
      <c r="E1543" s="8" t="s">
        <v>2302</v>
      </c>
      <c r="F1543" s="8">
        <v>5.7932906300000004</v>
      </c>
      <c r="G1543" s="8">
        <v>2.2743298699999999</v>
      </c>
      <c r="H1543" s="6" t="str">
        <f t="shared" si="12"/>
        <v>Direct</v>
      </c>
      <c r="I1543" s="8" t="s">
        <v>2303</v>
      </c>
      <c r="J1543" s="8" t="s">
        <v>2303</v>
      </c>
    </row>
    <row r="1544" spans="1:10" x14ac:dyDescent="0.2">
      <c r="A1544" s="8" t="s">
        <v>56</v>
      </c>
      <c r="B1544" s="8" t="s">
        <v>73</v>
      </c>
      <c r="C1544" s="8" t="s">
        <v>2304</v>
      </c>
      <c r="D1544" s="8" t="s">
        <v>2305</v>
      </c>
      <c r="E1544" s="8" t="s">
        <v>2306</v>
      </c>
      <c r="F1544" s="8">
        <v>-1.2852136000000001</v>
      </c>
      <c r="G1544" s="8">
        <v>-1.8851015</v>
      </c>
      <c r="H1544" s="6" t="str">
        <f t="shared" si="12"/>
        <v>Direct</v>
      </c>
      <c r="I1544" s="8" t="s">
        <v>2307</v>
      </c>
      <c r="J1544" s="8" t="s">
        <v>2307</v>
      </c>
    </row>
    <row r="1545" spans="1:10" x14ac:dyDescent="0.2">
      <c r="A1545" s="8" t="s">
        <v>56</v>
      </c>
      <c r="B1545" s="8" t="s">
        <v>73</v>
      </c>
      <c r="C1545" s="8" t="s">
        <v>4426</v>
      </c>
      <c r="D1545" s="8" t="s">
        <v>4427</v>
      </c>
      <c r="E1545" s="8" t="s">
        <v>4428</v>
      </c>
      <c r="F1545" s="8">
        <v>-1.6351882</v>
      </c>
      <c r="G1545" s="8">
        <v>1.9251463900000001</v>
      </c>
      <c r="H1545" s="6" t="str">
        <f t="shared" si="12"/>
        <v>Inverse</v>
      </c>
      <c r="I1545" s="8" t="s">
        <v>4429</v>
      </c>
      <c r="J1545" s="8" t="s">
        <v>4429</v>
      </c>
    </row>
    <row r="1546" spans="1:10" x14ac:dyDescent="0.2">
      <c r="A1546" s="8" t="s">
        <v>56</v>
      </c>
      <c r="B1546" s="8" t="s">
        <v>73</v>
      </c>
      <c r="C1546" s="8" t="s">
        <v>4430</v>
      </c>
      <c r="D1546" s="8" t="s">
        <v>4431</v>
      </c>
      <c r="E1546" s="8" t="s">
        <v>4432</v>
      </c>
      <c r="F1546" s="8">
        <v>-1.8186937000000001</v>
      </c>
      <c r="G1546" s="8">
        <v>-1.7262841</v>
      </c>
      <c r="H1546" s="6" t="str">
        <f t="shared" si="12"/>
        <v>Direct</v>
      </c>
      <c r="I1546" s="8" t="s">
        <v>4433</v>
      </c>
      <c r="J1546" s="8" t="s">
        <v>4433</v>
      </c>
    </row>
    <row r="1547" spans="1:10" x14ac:dyDescent="0.2">
      <c r="A1547" s="8" t="s">
        <v>56</v>
      </c>
      <c r="B1547" s="8" t="s">
        <v>73</v>
      </c>
      <c r="C1547" s="8" t="s">
        <v>4434</v>
      </c>
      <c r="D1547" s="8" t="s">
        <v>4435</v>
      </c>
      <c r="E1547" s="8" t="s">
        <v>4436</v>
      </c>
      <c r="F1547" s="8">
        <v>1.0841222800000001</v>
      </c>
      <c r="G1547" s="8">
        <v>1.3051068699999999</v>
      </c>
      <c r="H1547" s="6" t="str">
        <f t="shared" si="12"/>
        <v>Direct</v>
      </c>
      <c r="I1547" s="8" t="s">
        <v>4437</v>
      </c>
      <c r="J1547" s="8" t="s">
        <v>4437</v>
      </c>
    </row>
    <row r="1548" spans="1:10" x14ac:dyDescent="0.2">
      <c r="A1548" s="8" t="s">
        <v>56</v>
      </c>
      <c r="B1548" s="8" t="s">
        <v>73</v>
      </c>
      <c r="C1548" s="8" t="s">
        <v>2316</v>
      </c>
      <c r="D1548" s="8" t="s">
        <v>2317</v>
      </c>
      <c r="E1548" s="8" t="s">
        <v>2318</v>
      </c>
      <c r="F1548" s="8">
        <v>-4.0709732000000001</v>
      </c>
      <c r="G1548" s="8">
        <v>-6.2303924000000004</v>
      </c>
      <c r="H1548" s="6" t="str">
        <f t="shared" si="12"/>
        <v>Direct</v>
      </c>
      <c r="I1548" s="8" t="s">
        <v>2319</v>
      </c>
      <c r="J1548" s="8" t="s">
        <v>2319</v>
      </c>
    </row>
    <row r="1549" spans="1:10" x14ac:dyDescent="0.2">
      <c r="A1549" s="8" t="s">
        <v>56</v>
      </c>
      <c r="B1549" s="8" t="s">
        <v>73</v>
      </c>
      <c r="C1549" s="8" t="s">
        <v>3653</v>
      </c>
      <c r="D1549" s="8" t="s">
        <v>3654</v>
      </c>
      <c r="E1549" s="8" t="s">
        <v>3655</v>
      </c>
      <c r="F1549" s="8">
        <v>1.07188269</v>
      </c>
      <c r="G1549" s="8">
        <v>-1.1125509</v>
      </c>
      <c r="H1549" s="6" t="str">
        <f t="shared" si="12"/>
        <v>Inverse</v>
      </c>
      <c r="I1549" s="8" t="s">
        <v>3656</v>
      </c>
      <c r="J1549" s="8" t="s">
        <v>3656</v>
      </c>
    </row>
    <row r="1550" spans="1:10" x14ac:dyDescent="0.2">
      <c r="A1550" s="8" t="s">
        <v>56</v>
      </c>
      <c r="B1550" s="8" t="s">
        <v>73</v>
      </c>
      <c r="C1550" s="8" t="s">
        <v>4438</v>
      </c>
      <c r="D1550" s="8" t="s">
        <v>4439</v>
      </c>
      <c r="E1550" s="8" t="s">
        <v>4440</v>
      </c>
      <c r="F1550" s="8">
        <v>-1.4570921999999999</v>
      </c>
      <c r="G1550" s="8">
        <v>-1.5701535</v>
      </c>
      <c r="H1550" s="6" t="str">
        <f t="shared" si="12"/>
        <v>Direct</v>
      </c>
      <c r="I1550" s="8" t="s">
        <v>4441</v>
      </c>
      <c r="J1550" s="8" t="s">
        <v>4441</v>
      </c>
    </row>
    <row r="1551" spans="1:10" x14ac:dyDescent="0.2">
      <c r="A1551" s="8" t="s">
        <v>56</v>
      </c>
      <c r="B1551" s="8" t="s">
        <v>73</v>
      </c>
      <c r="C1551" s="8" t="s">
        <v>2320</v>
      </c>
      <c r="D1551" s="8" t="s">
        <v>2321</v>
      </c>
      <c r="E1551" s="8" t="s">
        <v>2322</v>
      </c>
      <c r="F1551" s="8">
        <v>3.9847040499999999</v>
      </c>
      <c r="G1551" s="8">
        <v>2.0900383499999999</v>
      </c>
      <c r="H1551" s="6" t="str">
        <f t="shared" si="12"/>
        <v>Direct</v>
      </c>
      <c r="I1551" s="8" t="s">
        <v>2323</v>
      </c>
      <c r="J1551" s="8" t="s">
        <v>2323</v>
      </c>
    </row>
    <row r="1552" spans="1:10" x14ac:dyDescent="0.2">
      <c r="A1552" s="8" t="s">
        <v>56</v>
      </c>
      <c r="B1552" s="8" t="s">
        <v>73</v>
      </c>
      <c r="C1552" s="8" t="s">
        <v>4442</v>
      </c>
      <c r="D1552" s="8" t="s">
        <v>4443</v>
      </c>
      <c r="E1552" s="8" t="s">
        <v>4444</v>
      </c>
      <c r="F1552" s="8">
        <v>-2.4421048000000001</v>
      </c>
      <c r="G1552" s="8">
        <v>-1.4686728</v>
      </c>
      <c r="H1552" s="6" t="str">
        <f t="shared" si="12"/>
        <v>Direct</v>
      </c>
      <c r="I1552" s="8" t="s">
        <v>4445</v>
      </c>
      <c r="J1552" s="8" t="s">
        <v>4445</v>
      </c>
    </row>
    <row r="1553" spans="1:10" x14ac:dyDescent="0.2">
      <c r="A1553" s="8" t="s">
        <v>56</v>
      </c>
      <c r="B1553" s="8" t="s">
        <v>73</v>
      </c>
      <c r="C1553" s="8" t="s">
        <v>4446</v>
      </c>
      <c r="D1553" s="8" t="s">
        <v>4447</v>
      </c>
      <c r="E1553" s="8" t="s">
        <v>4448</v>
      </c>
      <c r="F1553" s="8">
        <v>-1.3619676000000001</v>
      </c>
      <c r="G1553" s="8">
        <v>1.7936016299999999</v>
      </c>
      <c r="H1553" s="6" t="str">
        <f t="shared" si="12"/>
        <v>Inverse</v>
      </c>
      <c r="I1553" s="8" t="s">
        <v>4449</v>
      </c>
      <c r="J1553" s="8" t="s">
        <v>4449</v>
      </c>
    </row>
    <row r="1554" spans="1:10" x14ac:dyDescent="0.2">
      <c r="A1554" s="8" t="s">
        <v>56</v>
      </c>
      <c r="B1554" s="8" t="s">
        <v>73</v>
      </c>
      <c r="C1554" s="8" t="s">
        <v>4450</v>
      </c>
      <c r="D1554" s="8" t="s">
        <v>4451</v>
      </c>
      <c r="E1554" s="8" t="s">
        <v>4452</v>
      </c>
      <c r="F1554" s="8">
        <v>-1.1082789</v>
      </c>
      <c r="G1554" s="8">
        <v>-3.2443922000000001</v>
      </c>
      <c r="H1554" s="6" t="str">
        <f t="shared" si="12"/>
        <v>Direct</v>
      </c>
      <c r="I1554" s="8" t="s">
        <v>4453</v>
      </c>
      <c r="J1554" s="8" t="s">
        <v>4453</v>
      </c>
    </row>
    <row r="1555" spans="1:10" x14ac:dyDescent="0.2">
      <c r="A1555" s="8" t="s">
        <v>56</v>
      </c>
      <c r="B1555" s="8" t="s">
        <v>73</v>
      </c>
      <c r="C1555" s="8" t="s">
        <v>2324</v>
      </c>
      <c r="D1555" s="8" t="s">
        <v>2325</v>
      </c>
      <c r="E1555" s="8" t="s">
        <v>2326</v>
      </c>
      <c r="F1555" s="8">
        <v>-1.9696077999999999</v>
      </c>
      <c r="G1555" s="8">
        <v>-4.5198543000000004</v>
      </c>
      <c r="H1555" s="6" t="str">
        <f t="shared" si="12"/>
        <v>Direct</v>
      </c>
      <c r="I1555" s="8" t="s">
        <v>1572</v>
      </c>
      <c r="J1555" s="8" t="s">
        <v>1572</v>
      </c>
    </row>
    <row r="1556" spans="1:10" x14ac:dyDescent="0.2">
      <c r="A1556" s="8" t="s">
        <v>56</v>
      </c>
      <c r="B1556" s="8" t="s">
        <v>73</v>
      </c>
      <c r="C1556" s="8" t="s">
        <v>3684</v>
      </c>
      <c r="D1556" s="8" t="s">
        <v>3685</v>
      </c>
      <c r="E1556" s="8" t="s">
        <v>3686</v>
      </c>
      <c r="F1556" s="8">
        <v>-3.9352209999999999</v>
      </c>
      <c r="G1556" s="8">
        <v>-1.5769643</v>
      </c>
      <c r="H1556" s="6" t="str">
        <f t="shared" si="12"/>
        <v>Direct</v>
      </c>
      <c r="I1556" s="8" t="s">
        <v>3687</v>
      </c>
      <c r="J1556" s="8" t="s">
        <v>3687</v>
      </c>
    </row>
    <row r="1557" spans="1:10" x14ac:dyDescent="0.2">
      <c r="A1557" s="8" t="s">
        <v>56</v>
      </c>
      <c r="B1557" s="8" t="s">
        <v>73</v>
      </c>
      <c r="C1557" s="8" t="s">
        <v>2330</v>
      </c>
      <c r="D1557" s="8" t="s">
        <v>2331</v>
      </c>
      <c r="E1557" s="8" t="s">
        <v>2332</v>
      </c>
      <c r="F1557" s="8">
        <v>-7.3416259000000004</v>
      </c>
      <c r="G1557" s="8">
        <v>-4.7115074000000003</v>
      </c>
      <c r="H1557" s="6" t="str">
        <f t="shared" si="12"/>
        <v>Direct</v>
      </c>
      <c r="I1557" s="8" t="s">
        <v>2333</v>
      </c>
      <c r="J1557" s="8" t="s">
        <v>2333</v>
      </c>
    </row>
    <row r="1558" spans="1:10" x14ac:dyDescent="0.2">
      <c r="A1558" s="8" t="s">
        <v>56</v>
      </c>
      <c r="B1558" s="8" t="s">
        <v>73</v>
      </c>
      <c r="C1558" s="8" t="s">
        <v>2338</v>
      </c>
      <c r="D1558" s="8" t="s">
        <v>2339</v>
      </c>
      <c r="E1558" s="8" t="s">
        <v>2340</v>
      </c>
      <c r="F1558" s="8">
        <v>-1.6156337999999999</v>
      </c>
      <c r="G1558" s="8">
        <v>1.19338799</v>
      </c>
      <c r="H1558" s="6" t="str">
        <f t="shared" si="12"/>
        <v>Inverse</v>
      </c>
      <c r="I1558" s="8" t="s">
        <v>818</v>
      </c>
      <c r="J1558" s="8" t="s">
        <v>818</v>
      </c>
    </row>
    <row r="1559" spans="1:10" x14ac:dyDescent="0.2">
      <c r="A1559" s="8" t="s">
        <v>56</v>
      </c>
      <c r="B1559" s="8" t="s">
        <v>73</v>
      </c>
      <c r="C1559" s="8" t="s">
        <v>2341</v>
      </c>
      <c r="D1559" s="8" t="s">
        <v>2342</v>
      </c>
      <c r="E1559" s="8" t="s">
        <v>2343</v>
      </c>
      <c r="F1559" s="8">
        <v>-5.8017557999999996</v>
      </c>
      <c r="G1559" s="8">
        <v>-12.451983</v>
      </c>
      <c r="H1559" s="6" t="str">
        <f t="shared" si="12"/>
        <v>Direct</v>
      </c>
      <c r="I1559" s="8" t="s">
        <v>2344</v>
      </c>
      <c r="J1559" s="8" t="s">
        <v>2344</v>
      </c>
    </row>
    <row r="1560" spans="1:10" x14ac:dyDescent="0.2">
      <c r="A1560" s="8" t="s">
        <v>56</v>
      </c>
      <c r="B1560" s="8" t="s">
        <v>73</v>
      </c>
      <c r="C1560" s="8" t="s">
        <v>3714</v>
      </c>
      <c r="D1560" s="8" t="s">
        <v>3715</v>
      </c>
      <c r="E1560" s="8" t="s">
        <v>3716</v>
      </c>
      <c r="F1560" s="8">
        <v>-4.1626951999999999</v>
      </c>
      <c r="G1560" s="8">
        <v>-1.5101891000000001</v>
      </c>
      <c r="H1560" s="6" t="str">
        <f t="shared" si="12"/>
        <v>Direct</v>
      </c>
      <c r="I1560" s="8" t="s">
        <v>2193</v>
      </c>
      <c r="J1560" s="8" t="s">
        <v>2193</v>
      </c>
    </row>
    <row r="1561" spans="1:10" x14ac:dyDescent="0.2">
      <c r="A1561" s="8" t="s">
        <v>56</v>
      </c>
      <c r="B1561" s="8" t="s">
        <v>73</v>
      </c>
      <c r="C1561" s="8" t="s">
        <v>2345</v>
      </c>
      <c r="D1561" s="8" t="s">
        <v>2346</v>
      </c>
      <c r="E1561" s="8" t="s">
        <v>2347</v>
      </c>
      <c r="F1561" s="8">
        <v>2.2497198799999998</v>
      </c>
      <c r="G1561" s="8">
        <v>1.66867656</v>
      </c>
      <c r="H1561" s="6" t="str">
        <f t="shared" si="12"/>
        <v>Direct</v>
      </c>
      <c r="I1561" s="8" t="s">
        <v>2348</v>
      </c>
      <c r="J1561" s="8" t="s">
        <v>2348</v>
      </c>
    </row>
    <row r="1562" spans="1:10" x14ac:dyDescent="0.2">
      <c r="A1562" s="8" t="s">
        <v>56</v>
      </c>
      <c r="B1562" s="8" t="s">
        <v>73</v>
      </c>
      <c r="C1562" s="8" t="s">
        <v>4454</v>
      </c>
      <c r="D1562" s="8" t="s">
        <v>4455</v>
      </c>
      <c r="E1562" s="8" t="s">
        <v>4456</v>
      </c>
      <c r="F1562" s="8">
        <v>1.00803329</v>
      </c>
      <c r="G1562" s="8">
        <v>1.27206409</v>
      </c>
      <c r="H1562" s="6" t="str">
        <f t="shared" si="12"/>
        <v>Direct</v>
      </c>
      <c r="I1562" s="8" t="s">
        <v>50</v>
      </c>
      <c r="J1562" s="8" t="s">
        <v>4457</v>
      </c>
    </row>
    <row r="1563" spans="1:10" x14ac:dyDescent="0.2">
      <c r="A1563" s="8" t="s">
        <v>56</v>
      </c>
      <c r="B1563" s="8" t="s">
        <v>73</v>
      </c>
      <c r="C1563" s="8" t="s">
        <v>2349</v>
      </c>
      <c r="D1563" s="8" t="s">
        <v>2350</v>
      </c>
      <c r="E1563" s="8" t="s">
        <v>2351</v>
      </c>
      <c r="F1563" s="8">
        <v>3.7720852800000002</v>
      </c>
      <c r="G1563" s="8">
        <v>2.7659637799999999</v>
      </c>
      <c r="H1563" s="6" t="str">
        <f t="shared" si="12"/>
        <v>Direct</v>
      </c>
      <c r="I1563" s="8" t="s">
        <v>2352</v>
      </c>
      <c r="J1563" s="8" t="s">
        <v>2352</v>
      </c>
    </row>
    <row r="1564" spans="1:10" x14ac:dyDescent="0.2">
      <c r="A1564" s="8" t="s">
        <v>56</v>
      </c>
      <c r="B1564" s="8" t="s">
        <v>73</v>
      </c>
      <c r="C1564" s="8" t="s">
        <v>3728</v>
      </c>
      <c r="D1564" s="8" t="s">
        <v>3729</v>
      </c>
      <c r="E1564" s="8" t="s">
        <v>3730</v>
      </c>
      <c r="F1564" s="8">
        <v>-3.4064059000000002</v>
      </c>
      <c r="G1564" s="8">
        <v>-1.2525137</v>
      </c>
      <c r="H1564" s="6" t="str">
        <f t="shared" si="12"/>
        <v>Direct</v>
      </c>
      <c r="I1564" s="8" t="s">
        <v>3149</v>
      </c>
      <c r="J1564" s="8" t="s">
        <v>3149</v>
      </c>
    </row>
    <row r="1565" spans="1:10" x14ac:dyDescent="0.2">
      <c r="A1565" s="8" t="s">
        <v>56</v>
      </c>
      <c r="B1565" s="8" t="s">
        <v>73</v>
      </c>
      <c r="C1565" s="8" t="s">
        <v>2353</v>
      </c>
      <c r="D1565" s="8" t="s">
        <v>2354</v>
      </c>
      <c r="E1565" s="8" t="s">
        <v>2355</v>
      </c>
      <c r="F1565" s="8">
        <v>1.8228641400000001</v>
      </c>
      <c r="G1565" s="8">
        <v>1.4171634900000001</v>
      </c>
      <c r="H1565" s="6" t="str">
        <f t="shared" si="12"/>
        <v>Direct</v>
      </c>
      <c r="I1565" s="8" t="s">
        <v>2356</v>
      </c>
      <c r="J1565" s="8" t="s">
        <v>2357</v>
      </c>
    </row>
    <row r="1566" spans="1:10" x14ac:dyDescent="0.2">
      <c r="A1566" s="8" t="s">
        <v>56</v>
      </c>
      <c r="B1566" s="8" t="s">
        <v>73</v>
      </c>
      <c r="C1566" s="8" t="s">
        <v>3735</v>
      </c>
      <c r="D1566" s="8" t="s">
        <v>3736</v>
      </c>
      <c r="E1566" s="8" t="s">
        <v>3737</v>
      </c>
      <c r="F1566" s="8">
        <v>5.8460180499999996</v>
      </c>
      <c r="G1566" s="8">
        <v>1.0518475</v>
      </c>
      <c r="H1566" s="6" t="str">
        <f t="shared" si="12"/>
        <v>Direct</v>
      </c>
      <c r="I1566" s="8" t="s">
        <v>50</v>
      </c>
      <c r="J1566" s="8" t="s">
        <v>918</v>
      </c>
    </row>
    <row r="1567" spans="1:10" x14ac:dyDescent="0.2">
      <c r="A1567" s="8" t="s">
        <v>56</v>
      </c>
      <c r="B1567" s="8" t="s">
        <v>73</v>
      </c>
      <c r="C1567" s="8" t="s">
        <v>2358</v>
      </c>
      <c r="D1567" s="8" t="s">
        <v>2359</v>
      </c>
      <c r="E1567" s="8" t="s">
        <v>2360</v>
      </c>
      <c r="F1567" s="8">
        <v>-5.0535182000000001</v>
      </c>
      <c r="G1567" s="8">
        <v>-2.8082381000000001</v>
      </c>
      <c r="H1567" s="6" t="str">
        <f t="shared" si="12"/>
        <v>Direct</v>
      </c>
      <c r="I1567" s="8" t="s">
        <v>2361</v>
      </c>
      <c r="J1567" s="8" t="s">
        <v>2361</v>
      </c>
    </row>
    <row r="1568" spans="1:10" x14ac:dyDescent="0.2">
      <c r="A1568" s="8" t="s">
        <v>56</v>
      </c>
      <c r="B1568" s="8" t="s">
        <v>73</v>
      </c>
      <c r="C1568" s="8" t="s">
        <v>4458</v>
      </c>
      <c r="D1568" s="8" t="s">
        <v>4459</v>
      </c>
      <c r="E1568" s="8" t="s">
        <v>4460</v>
      </c>
      <c r="F1568" s="8">
        <v>1.1115951100000001</v>
      </c>
      <c r="G1568" s="8">
        <v>4.9511832599999996</v>
      </c>
      <c r="H1568" s="6" t="str">
        <f t="shared" si="12"/>
        <v>Direct</v>
      </c>
      <c r="I1568" s="8" t="s">
        <v>4461</v>
      </c>
      <c r="J1568" s="8" t="s">
        <v>4462</v>
      </c>
    </row>
    <row r="1569" spans="1:10" x14ac:dyDescent="0.2">
      <c r="A1569" s="8" t="s">
        <v>56</v>
      </c>
      <c r="B1569" s="8" t="s">
        <v>73</v>
      </c>
      <c r="C1569" s="8" t="s">
        <v>4463</v>
      </c>
      <c r="D1569" s="8" t="s">
        <v>4464</v>
      </c>
      <c r="E1569" s="8" t="s">
        <v>4465</v>
      </c>
      <c r="F1569" s="8">
        <v>-1.0732250000000001</v>
      </c>
      <c r="G1569" s="8">
        <v>-1.7571625</v>
      </c>
      <c r="H1569" s="6" t="str">
        <f t="shared" si="12"/>
        <v>Direct</v>
      </c>
      <c r="I1569" s="8" t="s">
        <v>4466</v>
      </c>
      <c r="J1569" s="8" t="s">
        <v>4466</v>
      </c>
    </row>
    <row r="1570" spans="1:10" x14ac:dyDescent="0.2">
      <c r="A1570" s="8" t="s">
        <v>56</v>
      </c>
      <c r="B1570" s="8" t="s">
        <v>73</v>
      </c>
      <c r="C1570" s="8" t="s">
        <v>2362</v>
      </c>
      <c r="D1570" s="8" t="s">
        <v>2363</v>
      </c>
      <c r="E1570" s="8" t="s">
        <v>2364</v>
      </c>
      <c r="F1570" s="8">
        <v>-7.7717226999999998</v>
      </c>
      <c r="G1570" s="8">
        <v>-7.2305524999999999</v>
      </c>
      <c r="H1570" s="6" t="str">
        <f t="shared" si="12"/>
        <v>Direct</v>
      </c>
      <c r="I1570" s="8" t="s">
        <v>2365</v>
      </c>
      <c r="J1570" s="8" t="s">
        <v>2365</v>
      </c>
    </row>
    <row r="1571" spans="1:10" x14ac:dyDescent="0.2">
      <c r="A1571" s="8" t="s">
        <v>56</v>
      </c>
      <c r="B1571" s="8" t="s">
        <v>73</v>
      </c>
      <c r="C1571" s="8" t="s">
        <v>2366</v>
      </c>
      <c r="D1571" s="8" t="s">
        <v>2367</v>
      </c>
      <c r="E1571" s="8" t="s">
        <v>2368</v>
      </c>
      <c r="F1571" s="8">
        <v>-1.3086996</v>
      </c>
      <c r="G1571" s="8">
        <v>-1.0998365000000001</v>
      </c>
      <c r="H1571" s="6" t="str">
        <f t="shared" si="12"/>
        <v>Direct</v>
      </c>
      <c r="I1571" s="8" t="s">
        <v>2369</v>
      </c>
      <c r="J1571" s="8" t="s">
        <v>2369</v>
      </c>
    </row>
    <row r="1572" spans="1:10" x14ac:dyDescent="0.2">
      <c r="A1572" s="8" t="s">
        <v>56</v>
      </c>
      <c r="B1572" s="8" t="s">
        <v>73</v>
      </c>
      <c r="C1572" s="8" t="s">
        <v>2370</v>
      </c>
      <c r="D1572" s="8" t="s">
        <v>2371</v>
      </c>
      <c r="E1572" s="8" t="s">
        <v>2372</v>
      </c>
      <c r="F1572" s="8">
        <v>-7.1991563000000003</v>
      </c>
      <c r="G1572" s="8">
        <v>-1.3409949999999999</v>
      </c>
      <c r="H1572" s="6" t="str">
        <f t="shared" si="12"/>
        <v>Direct</v>
      </c>
      <c r="I1572" s="8" t="s">
        <v>50</v>
      </c>
      <c r="J1572" s="8" t="s">
        <v>2373</v>
      </c>
    </row>
    <row r="1573" spans="1:10" x14ac:dyDescent="0.2">
      <c r="A1573" s="8" t="s">
        <v>56</v>
      </c>
      <c r="B1573" s="8" t="s">
        <v>73</v>
      </c>
      <c r="C1573" s="8" t="s">
        <v>3747</v>
      </c>
      <c r="D1573" s="8" t="s">
        <v>3748</v>
      </c>
      <c r="E1573" s="8" t="s">
        <v>3749</v>
      </c>
      <c r="F1573" s="8">
        <v>-6.5391484999999996</v>
      </c>
      <c r="G1573" s="8">
        <v>-1.6522935000000001</v>
      </c>
      <c r="H1573" s="6" t="str">
        <f t="shared" si="12"/>
        <v>Direct</v>
      </c>
      <c r="I1573" s="8" t="s">
        <v>3750</v>
      </c>
      <c r="J1573" s="8" t="s">
        <v>3750</v>
      </c>
    </row>
    <row r="1574" spans="1:10" x14ac:dyDescent="0.2">
      <c r="A1574" s="8" t="s">
        <v>56</v>
      </c>
      <c r="B1574" s="8" t="s">
        <v>73</v>
      </c>
      <c r="C1574" s="8" t="s">
        <v>4467</v>
      </c>
      <c r="D1574" s="8" t="s">
        <v>4468</v>
      </c>
      <c r="E1574" s="8" t="s">
        <v>4469</v>
      </c>
      <c r="F1574" s="8">
        <v>1.36353233</v>
      </c>
      <c r="G1574" s="8">
        <v>-4.9227014000000002</v>
      </c>
      <c r="H1574" s="6" t="str">
        <f t="shared" si="12"/>
        <v>Inverse</v>
      </c>
      <c r="I1574" s="8" t="s">
        <v>4470</v>
      </c>
      <c r="J1574" s="8" t="s">
        <v>4470</v>
      </c>
    </row>
    <row r="1575" spans="1:10" x14ac:dyDescent="0.2">
      <c r="A1575" s="8" t="s">
        <v>56</v>
      </c>
      <c r="B1575" s="8" t="s">
        <v>73</v>
      </c>
      <c r="C1575" s="8" t="s">
        <v>2374</v>
      </c>
      <c r="D1575" s="8" t="s">
        <v>2375</v>
      </c>
      <c r="E1575" s="8" t="s">
        <v>2376</v>
      </c>
      <c r="F1575" s="8">
        <v>-2.2209528999999999</v>
      </c>
      <c r="G1575" s="8">
        <v>-2.3645752999999998</v>
      </c>
      <c r="H1575" s="6" t="str">
        <f t="shared" si="12"/>
        <v>Direct</v>
      </c>
      <c r="I1575" s="8" t="s">
        <v>2193</v>
      </c>
      <c r="J1575" s="8" t="s">
        <v>2193</v>
      </c>
    </row>
    <row r="1576" spans="1:10" x14ac:dyDescent="0.2">
      <c r="A1576" s="8" t="s">
        <v>56</v>
      </c>
      <c r="B1576" s="8" t="s">
        <v>73</v>
      </c>
      <c r="C1576" s="8" t="s">
        <v>3755</v>
      </c>
      <c r="D1576" s="8" t="s">
        <v>3756</v>
      </c>
      <c r="E1576" s="8" t="s">
        <v>3757</v>
      </c>
      <c r="F1576" s="8">
        <v>-6.9617737000000002</v>
      </c>
      <c r="G1576" s="8">
        <v>-1.2715228000000001</v>
      </c>
      <c r="H1576" s="6" t="str">
        <f t="shared" si="12"/>
        <v>Direct</v>
      </c>
      <c r="I1576" s="8" t="s">
        <v>2183</v>
      </c>
      <c r="J1576" s="8" t="s">
        <v>2183</v>
      </c>
    </row>
    <row r="1577" spans="1:10" x14ac:dyDescent="0.2">
      <c r="A1577" s="8" t="s">
        <v>56</v>
      </c>
      <c r="B1577" s="8" t="s">
        <v>73</v>
      </c>
      <c r="C1577" s="8" t="s">
        <v>4471</v>
      </c>
      <c r="D1577" s="8" t="s">
        <v>4472</v>
      </c>
      <c r="E1577" s="8" t="s">
        <v>4473</v>
      </c>
      <c r="F1577" s="8">
        <v>1.1606368</v>
      </c>
      <c r="G1577" s="8">
        <v>-1.1257477</v>
      </c>
      <c r="H1577" s="6" t="str">
        <f t="shared" si="12"/>
        <v>Inverse</v>
      </c>
      <c r="I1577" s="8" t="s">
        <v>1660</v>
      </c>
      <c r="J1577" s="8" t="s">
        <v>1660</v>
      </c>
    </row>
    <row r="1578" spans="1:10" x14ac:dyDescent="0.2">
      <c r="A1578" s="8" t="s">
        <v>56</v>
      </c>
      <c r="B1578" s="8" t="s">
        <v>73</v>
      </c>
      <c r="C1578" s="8" t="s">
        <v>2385</v>
      </c>
      <c r="D1578" s="8" t="s">
        <v>2386</v>
      </c>
      <c r="E1578" s="8" t="s">
        <v>2387</v>
      </c>
      <c r="F1578" s="8">
        <v>-1.3332344</v>
      </c>
      <c r="G1578" s="8">
        <v>-4.2818962000000003</v>
      </c>
      <c r="H1578" s="6" t="str">
        <f t="shared" si="12"/>
        <v>Direct</v>
      </c>
      <c r="I1578" s="8" t="s">
        <v>2388</v>
      </c>
      <c r="J1578" s="8" t="s">
        <v>2389</v>
      </c>
    </row>
    <row r="1579" spans="1:10" x14ac:dyDescent="0.2">
      <c r="A1579" s="8" t="s">
        <v>56</v>
      </c>
      <c r="B1579" s="8" t="s">
        <v>73</v>
      </c>
      <c r="C1579" s="8" t="s">
        <v>4474</v>
      </c>
      <c r="D1579" s="8" t="s">
        <v>4475</v>
      </c>
      <c r="E1579" s="8" t="s">
        <v>4476</v>
      </c>
      <c r="F1579" s="8">
        <v>1.2506971</v>
      </c>
      <c r="G1579" s="8">
        <v>1.3712875</v>
      </c>
      <c r="H1579" s="6" t="str">
        <f t="shared" si="12"/>
        <v>Direct</v>
      </c>
      <c r="I1579" s="8" t="s">
        <v>4477</v>
      </c>
      <c r="J1579" s="8" t="s">
        <v>4477</v>
      </c>
    </row>
    <row r="1580" spans="1:10" x14ac:dyDescent="0.2">
      <c r="A1580" s="8" t="s">
        <v>56</v>
      </c>
      <c r="B1580" s="8" t="s">
        <v>73</v>
      </c>
      <c r="C1580" s="8" t="s">
        <v>3763</v>
      </c>
      <c r="D1580" s="8" t="s">
        <v>3764</v>
      </c>
      <c r="E1580" s="8" t="s">
        <v>3765</v>
      </c>
      <c r="F1580" s="8">
        <v>-4.9531387999999996</v>
      </c>
      <c r="G1580" s="8">
        <v>-1.2329095000000001</v>
      </c>
      <c r="H1580" s="6" t="str">
        <f t="shared" si="12"/>
        <v>Direct</v>
      </c>
      <c r="I1580" s="8" t="s">
        <v>3766</v>
      </c>
      <c r="J1580" s="8" t="s">
        <v>3767</v>
      </c>
    </row>
    <row r="1581" spans="1:10" x14ac:dyDescent="0.2">
      <c r="A1581" s="8" t="s">
        <v>56</v>
      </c>
      <c r="B1581" s="8" t="s">
        <v>73</v>
      </c>
      <c r="C1581" s="8" t="s">
        <v>3771</v>
      </c>
      <c r="D1581" s="8" t="s">
        <v>3772</v>
      </c>
      <c r="E1581" s="8" t="s">
        <v>3773</v>
      </c>
      <c r="F1581" s="8">
        <v>-6.3002044000000001</v>
      </c>
      <c r="G1581" s="8">
        <v>-1.3114946999999999</v>
      </c>
      <c r="H1581" s="6" t="str">
        <f t="shared" si="12"/>
        <v>Direct</v>
      </c>
      <c r="I1581" s="8" t="s">
        <v>3774</v>
      </c>
      <c r="J1581" s="8" t="s">
        <v>3774</v>
      </c>
    </row>
    <row r="1582" spans="1:10" x14ac:dyDescent="0.2">
      <c r="A1582" s="8" t="s">
        <v>56</v>
      </c>
      <c r="B1582" s="8" t="s">
        <v>73</v>
      </c>
      <c r="C1582" s="8" t="s">
        <v>2395</v>
      </c>
      <c r="D1582" s="8" t="s">
        <v>2396</v>
      </c>
      <c r="E1582" s="8" t="s">
        <v>2397</v>
      </c>
      <c r="F1582" s="8">
        <v>-2.7962695000000002</v>
      </c>
      <c r="G1582" s="8">
        <v>-1.0580426000000001</v>
      </c>
      <c r="H1582" s="6" t="str">
        <f t="shared" si="12"/>
        <v>Direct</v>
      </c>
      <c r="I1582" s="8" t="s">
        <v>2398</v>
      </c>
      <c r="J1582" s="8" t="s">
        <v>2398</v>
      </c>
    </row>
    <row r="1583" spans="1:10" x14ac:dyDescent="0.2">
      <c r="A1583" s="8" t="s">
        <v>56</v>
      </c>
      <c r="B1583" s="8" t="s">
        <v>73</v>
      </c>
      <c r="C1583" s="8" t="s">
        <v>3779</v>
      </c>
      <c r="D1583" s="8" t="s">
        <v>3780</v>
      </c>
      <c r="E1583" s="8" t="s">
        <v>3781</v>
      </c>
      <c r="F1583" s="8">
        <v>-1.1808031000000001</v>
      </c>
      <c r="G1583" s="8">
        <v>-1.8195764999999999</v>
      </c>
      <c r="H1583" s="6" t="str">
        <f t="shared" si="12"/>
        <v>Direct</v>
      </c>
      <c r="I1583" s="8" t="s">
        <v>3782</v>
      </c>
      <c r="J1583" s="8" t="s">
        <v>3782</v>
      </c>
    </row>
    <row r="1584" spans="1:10" x14ac:dyDescent="0.2">
      <c r="A1584" s="8" t="s">
        <v>56</v>
      </c>
      <c r="B1584" s="8" t="s">
        <v>73</v>
      </c>
      <c r="C1584" s="8" t="s">
        <v>2399</v>
      </c>
      <c r="D1584" s="8" t="s">
        <v>2400</v>
      </c>
      <c r="E1584" s="8" t="s">
        <v>2401</v>
      </c>
      <c r="F1584" s="8">
        <v>-1.01328</v>
      </c>
      <c r="G1584" s="8">
        <v>1.24024661</v>
      </c>
      <c r="H1584" s="6" t="str">
        <f t="shared" si="12"/>
        <v>Inverse</v>
      </c>
      <c r="I1584" s="8" t="s">
        <v>2402</v>
      </c>
      <c r="J1584" s="8" t="s">
        <v>2402</v>
      </c>
    </row>
    <row r="1585" spans="1:10" x14ac:dyDescent="0.2">
      <c r="A1585" s="8" t="s">
        <v>56</v>
      </c>
      <c r="B1585" s="8" t="s">
        <v>73</v>
      </c>
      <c r="C1585" s="8" t="s">
        <v>4478</v>
      </c>
      <c r="D1585" s="8" t="s">
        <v>4479</v>
      </c>
      <c r="E1585" s="8" t="s">
        <v>4480</v>
      </c>
      <c r="F1585" s="8">
        <v>-1.4529802000000001</v>
      </c>
      <c r="G1585" s="8">
        <v>-6.8623241000000004</v>
      </c>
      <c r="H1585" s="6" t="str">
        <f t="shared" si="12"/>
        <v>Direct</v>
      </c>
      <c r="I1585" s="8" t="s">
        <v>4481</v>
      </c>
      <c r="J1585" s="8" t="s">
        <v>4481</v>
      </c>
    </row>
    <row r="1586" spans="1:10" x14ac:dyDescent="0.2">
      <c r="A1586" s="8" t="s">
        <v>56</v>
      </c>
      <c r="B1586" s="8" t="s">
        <v>73</v>
      </c>
      <c r="C1586" s="8" t="s">
        <v>4482</v>
      </c>
      <c r="D1586" s="8" t="s">
        <v>4483</v>
      </c>
      <c r="E1586" s="8" t="s">
        <v>4484</v>
      </c>
      <c r="F1586" s="8">
        <v>2.17213368</v>
      </c>
      <c r="G1586" s="8">
        <v>-1.072343</v>
      </c>
      <c r="H1586" s="6" t="str">
        <f t="shared" si="12"/>
        <v>Inverse</v>
      </c>
      <c r="I1586" s="8" t="s">
        <v>4485</v>
      </c>
      <c r="J1586" s="8" t="s">
        <v>4485</v>
      </c>
    </row>
    <row r="1587" spans="1:10" x14ac:dyDescent="0.2">
      <c r="A1587" s="8" t="s">
        <v>56</v>
      </c>
      <c r="B1587" s="8" t="s">
        <v>73</v>
      </c>
      <c r="C1587" s="8" t="s">
        <v>4486</v>
      </c>
      <c r="D1587" s="8" t="s">
        <v>4487</v>
      </c>
      <c r="E1587" s="8" t="s">
        <v>4488</v>
      </c>
      <c r="F1587" s="8">
        <v>-1.1401323000000001</v>
      </c>
      <c r="G1587" s="8">
        <v>-2.0589591999999999</v>
      </c>
      <c r="H1587" s="6" t="str">
        <f t="shared" si="12"/>
        <v>Direct</v>
      </c>
      <c r="I1587" s="8" t="s">
        <v>4489</v>
      </c>
      <c r="J1587" s="8" t="s">
        <v>4489</v>
      </c>
    </row>
    <row r="1588" spans="1:10" x14ac:dyDescent="0.2">
      <c r="A1588" s="8" t="s">
        <v>56</v>
      </c>
      <c r="B1588" s="8" t="s">
        <v>73</v>
      </c>
      <c r="C1588" s="8" t="s">
        <v>2411</v>
      </c>
      <c r="D1588" s="8" t="s">
        <v>2412</v>
      </c>
      <c r="E1588" s="8" t="s">
        <v>2413</v>
      </c>
      <c r="F1588" s="8">
        <v>2.7685712499999999</v>
      </c>
      <c r="G1588" s="8">
        <v>-4.9928075999999999</v>
      </c>
      <c r="H1588" s="6" t="str">
        <f t="shared" si="12"/>
        <v>Inverse</v>
      </c>
      <c r="I1588" s="8" t="s">
        <v>50</v>
      </c>
      <c r="J1588" s="8" t="s">
        <v>2414</v>
      </c>
    </row>
    <row r="1589" spans="1:10" x14ac:dyDescent="0.2">
      <c r="A1589" s="8" t="s">
        <v>56</v>
      </c>
      <c r="B1589" s="8" t="s">
        <v>73</v>
      </c>
      <c r="C1589" s="8" t="s">
        <v>4490</v>
      </c>
      <c r="D1589" s="8" t="s">
        <v>4491</v>
      </c>
      <c r="E1589" s="8" t="s">
        <v>4492</v>
      </c>
      <c r="F1589" s="8">
        <v>1.59929185</v>
      </c>
      <c r="G1589" s="8">
        <v>1.6491656699999999</v>
      </c>
      <c r="H1589" s="6" t="str">
        <f t="shared" si="12"/>
        <v>Direct</v>
      </c>
      <c r="I1589" s="8" t="s">
        <v>1898</v>
      </c>
      <c r="J1589" s="8" t="s">
        <v>1898</v>
      </c>
    </row>
    <row r="1590" spans="1:10" x14ac:dyDescent="0.2">
      <c r="A1590" s="8" t="s">
        <v>56</v>
      </c>
      <c r="B1590" s="8" t="s">
        <v>73</v>
      </c>
      <c r="C1590" s="8" t="s">
        <v>4493</v>
      </c>
      <c r="D1590" s="8" t="s">
        <v>4494</v>
      </c>
      <c r="E1590" s="8" t="s">
        <v>4495</v>
      </c>
      <c r="F1590" s="8">
        <v>-1.7162329999999999</v>
      </c>
      <c r="G1590" s="8">
        <v>-3.5901231</v>
      </c>
      <c r="H1590" s="6" t="str">
        <f t="shared" si="12"/>
        <v>Direct</v>
      </c>
      <c r="I1590" s="8" t="s">
        <v>4496</v>
      </c>
      <c r="J1590" s="8" t="s">
        <v>4497</v>
      </c>
    </row>
    <row r="1591" spans="1:10" x14ac:dyDescent="0.2">
      <c r="A1591" s="8" t="s">
        <v>56</v>
      </c>
      <c r="B1591" s="8" t="s">
        <v>73</v>
      </c>
      <c r="C1591" s="8" t="s">
        <v>2425</v>
      </c>
      <c r="D1591" s="8" t="s">
        <v>2426</v>
      </c>
      <c r="E1591" s="8" t="s">
        <v>2427</v>
      </c>
      <c r="F1591" s="8">
        <v>-2.5660731999999999</v>
      </c>
      <c r="G1591" s="8">
        <v>1.69031475</v>
      </c>
      <c r="H1591" s="6" t="str">
        <f t="shared" si="12"/>
        <v>Inverse</v>
      </c>
      <c r="I1591" s="8" t="s">
        <v>50</v>
      </c>
      <c r="J1591" s="8" t="s">
        <v>50</v>
      </c>
    </row>
    <row r="1592" spans="1:10" x14ac:dyDescent="0.2">
      <c r="A1592" s="8" t="s">
        <v>56</v>
      </c>
      <c r="B1592" s="8" t="s">
        <v>73</v>
      </c>
      <c r="C1592" s="8" t="s">
        <v>3813</v>
      </c>
      <c r="D1592" s="8" t="s">
        <v>3814</v>
      </c>
      <c r="E1592" s="8" t="s">
        <v>3815</v>
      </c>
      <c r="F1592" s="8">
        <v>-2.0879238999999998</v>
      </c>
      <c r="G1592" s="8">
        <v>-1.2037495</v>
      </c>
      <c r="H1592" s="6" t="str">
        <f t="shared" si="12"/>
        <v>Direct</v>
      </c>
      <c r="I1592" s="8" t="s">
        <v>3386</v>
      </c>
      <c r="J1592" s="8" t="s">
        <v>3386</v>
      </c>
    </row>
    <row r="1593" spans="1:10" x14ac:dyDescent="0.2">
      <c r="A1593" s="8" t="s">
        <v>56</v>
      </c>
      <c r="B1593" s="8" t="s">
        <v>73</v>
      </c>
      <c r="C1593" s="8" t="s">
        <v>2432</v>
      </c>
      <c r="D1593" s="8" t="s">
        <v>2433</v>
      </c>
      <c r="E1593" s="8" t="s">
        <v>2434</v>
      </c>
      <c r="F1593" s="8">
        <v>-13.537568</v>
      </c>
      <c r="G1593" s="8">
        <v>-6.4486552000000001</v>
      </c>
      <c r="H1593" s="6" t="str">
        <f t="shared" si="12"/>
        <v>Direct</v>
      </c>
      <c r="I1593" s="8" t="s">
        <v>2435</v>
      </c>
      <c r="J1593" s="8" t="s">
        <v>2435</v>
      </c>
    </row>
    <row r="1594" spans="1:10" x14ac:dyDescent="0.2">
      <c r="A1594" s="8" t="s">
        <v>56</v>
      </c>
      <c r="B1594" s="8" t="s">
        <v>73</v>
      </c>
      <c r="C1594" s="8" t="s">
        <v>4498</v>
      </c>
      <c r="D1594" s="8" t="s">
        <v>4499</v>
      </c>
      <c r="E1594" s="8" t="s">
        <v>4500</v>
      </c>
      <c r="F1594" s="8">
        <v>-2.6285460999999999</v>
      </c>
      <c r="G1594" s="8">
        <v>-1.0051444</v>
      </c>
      <c r="H1594" s="6" t="str">
        <f t="shared" si="12"/>
        <v>Direct</v>
      </c>
      <c r="I1594" s="8" t="s">
        <v>2853</v>
      </c>
      <c r="J1594" s="8" t="s">
        <v>2853</v>
      </c>
    </row>
    <row r="1595" spans="1:10" x14ac:dyDescent="0.2">
      <c r="A1595" s="8" t="s">
        <v>56</v>
      </c>
      <c r="B1595" s="8" t="s">
        <v>73</v>
      </c>
      <c r="C1595" s="8" t="s">
        <v>2440</v>
      </c>
      <c r="D1595" s="8" t="s">
        <v>2441</v>
      </c>
      <c r="E1595" s="8" t="s">
        <v>2442</v>
      </c>
      <c r="F1595" s="8">
        <v>-3.4024812999999998</v>
      </c>
      <c r="G1595" s="8">
        <v>-3.6242795000000001</v>
      </c>
      <c r="H1595" s="6" t="str">
        <f t="shared" si="12"/>
        <v>Direct</v>
      </c>
      <c r="I1595" s="8" t="s">
        <v>2443</v>
      </c>
      <c r="J1595" s="8" t="s">
        <v>2443</v>
      </c>
    </row>
    <row r="1596" spans="1:10" x14ac:dyDescent="0.2">
      <c r="A1596" s="8" t="s">
        <v>56</v>
      </c>
      <c r="B1596" s="8" t="s">
        <v>73</v>
      </c>
      <c r="C1596" s="8" t="s">
        <v>2444</v>
      </c>
      <c r="D1596" s="8" t="s">
        <v>2445</v>
      </c>
      <c r="E1596" s="8" t="s">
        <v>2446</v>
      </c>
      <c r="F1596" s="8">
        <v>-4.2998981000000001</v>
      </c>
      <c r="G1596" s="8">
        <v>-8.9059729999999995</v>
      </c>
      <c r="H1596" s="6" t="str">
        <f t="shared" si="12"/>
        <v>Direct</v>
      </c>
      <c r="I1596" s="8" t="s">
        <v>2447</v>
      </c>
      <c r="J1596" s="8" t="s">
        <v>2447</v>
      </c>
    </row>
    <row r="1597" spans="1:10" x14ac:dyDescent="0.2">
      <c r="A1597" s="8" t="s">
        <v>56</v>
      </c>
      <c r="B1597" s="8" t="s">
        <v>73</v>
      </c>
      <c r="C1597" s="8" t="s">
        <v>2448</v>
      </c>
      <c r="D1597" s="8" t="s">
        <v>2449</v>
      </c>
      <c r="E1597" s="8" t="s">
        <v>2450</v>
      </c>
      <c r="F1597" s="8">
        <v>-6.0644499999999999</v>
      </c>
      <c r="G1597" s="8">
        <v>-1.9462333000000001</v>
      </c>
      <c r="H1597" s="6" t="str">
        <f t="shared" si="12"/>
        <v>Direct</v>
      </c>
      <c r="I1597" s="8" t="s">
        <v>2451</v>
      </c>
      <c r="J1597" s="8" t="s">
        <v>2452</v>
      </c>
    </row>
    <row r="1598" spans="1:10" x14ac:dyDescent="0.2">
      <c r="A1598" s="8" t="s">
        <v>56</v>
      </c>
      <c r="B1598" s="8" t="s">
        <v>73</v>
      </c>
      <c r="C1598" s="8" t="s">
        <v>2453</v>
      </c>
      <c r="D1598" s="8" t="s">
        <v>2454</v>
      </c>
      <c r="E1598" s="8" t="s">
        <v>2455</v>
      </c>
      <c r="F1598" s="8">
        <v>-1.467565</v>
      </c>
      <c r="G1598" s="8">
        <v>-1.9242699000000001</v>
      </c>
      <c r="H1598" s="6" t="str">
        <f t="shared" si="12"/>
        <v>Direct</v>
      </c>
      <c r="I1598" s="8" t="s">
        <v>2456</v>
      </c>
      <c r="J1598" s="8" t="s">
        <v>2456</v>
      </c>
    </row>
    <row r="1599" spans="1:10" x14ac:dyDescent="0.2">
      <c r="A1599" s="8" t="s">
        <v>56</v>
      </c>
      <c r="B1599" s="8" t="s">
        <v>73</v>
      </c>
      <c r="C1599" s="8" t="s">
        <v>3835</v>
      </c>
      <c r="D1599" s="8" t="s">
        <v>3836</v>
      </c>
      <c r="E1599" s="8" t="s">
        <v>3837</v>
      </c>
      <c r="F1599" s="8">
        <v>-2.5916492</v>
      </c>
      <c r="G1599" s="8">
        <v>-1.7782488999999999</v>
      </c>
      <c r="H1599" s="6" t="str">
        <f t="shared" si="12"/>
        <v>Direct</v>
      </c>
      <c r="I1599" s="8" t="s">
        <v>3149</v>
      </c>
      <c r="J1599" s="8" t="s">
        <v>3149</v>
      </c>
    </row>
    <row r="1600" spans="1:10" x14ac:dyDescent="0.2">
      <c r="A1600" s="8" t="s">
        <v>56</v>
      </c>
      <c r="B1600" s="8" t="s">
        <v>73</v>
      </c>
      <c r="C1600" s="8" t="s">
        <v>2457</v>
      </c>
      <c r="D1600" s="8" t="s">
        <v>2458</v>
      </c>
      <c r="E1600" s="8" t="s">
        <v>2459</v>
      </c>
      <c r="F1600" s="8">
        <v>1.1429774699999999</v>
      </c>
      <c r="G1600" s="8">
        <v>2.3732365400000002</v>
      </c>
      <c r="H1600" s="6" t="str">
        <f t="shared" si="12"/>
        <v>Direct</v>
      </c>
      <c r="I1600" s="8" t="s">
        <v>2460</v>
      </c>
      <c r="J1600" s="8" t="s">
        <v>2460</v>
      </c>
    </row>
    <row r="1601" spans="1:10" x14ac:dyDescent="0.2">
      <c r="A1601" s="8" t="s">
        <v>56</v>
      </c>
      <c r="B1601" s="8" t="s">
        <v>73</v>
      </c>
      <c r="C1601" s="8" t="s">
        <v>3849</v>
      </c>
      <c r="D1601" s="8" t="s">
        <v>3850</v>
      </c>
      <c r="E1601" s="8" t="s">
        <v>3851</v>
      </c>
      <c r="F1601" s="8">
        <v>-5.7666475999999998</v>
      </c>
      <c r="G1601" s="8">
        <v>-2.4613472000000001</v>
      </c>
      <c r="H1601" s="6" t="str">
        <f t="shared" si="12"/>
        <v>Direct</v>
      </c>
      <c r="I1601" s="8" t="s">
        <v>639</v>
      </c>
      <c r="J1601" s="8" t="s">
        <v>639</v>
      </c>
    </row>
    <row r="1602" spans="1:10" x14ac:dyDescent="0.2">
      <c r="A1602" s="8" t="s">
        <v>56</v>
      </c>
      <c r="B1602" s="8" t="s">
        <v>73</v>
      </c>
      <c r="C1602" s="8" t="s">
        <v>4501</v>
      </c>
      <c r="D1602" s="8" t="s">
        <v>4502</v>
      </c>
      <c r="E1602" s="8" t="s">
        <v>4503</v>
      </c>
      <c r="F1602" s="8">
        <v>-1.1500558000000001</v>
      </c>
      <c r="G1602" s="8">
        <v>-1.57579</v>
      </c>
      <c r="H1602" s="6" t="str">
        <f t="shared" si="12"/>
        <v>Direct</v>
      </c>
      <c r="I1602" s="8" t="s">
        <v>463</v>
      </c>
      <c r="J1602" s="8" t="s">
        <v>463</v>
      </c>
    </row>
    <row r="1603" spans="1:10" x14ac:dyDescent="0.2">
      <c r="A1603" s="8" t="s">
        <v>56</v>
      </c>
      <c r="B1603" s="8" t="s">
        <v>73</v>
      </c>
      <c r="C1603" s="8" t="s">
        <v>2465</v>
      </c>
      <c r="D1603" s="8" t="s">
        <v>2466</v>
      </c>
      <c r="E1603" s="8" t="s">
        <v>2467</v>
      </c>
      <c r="F1603" s="8">
        <v>-1.5601278000000001</v>
      </c>
      <c r="G1603" s="8">
        <v>-1.9113553999999999</v>
      </c>
      <c r="H1603" s="6" t="str">
        <f t="shared" si="12"/>
        <v>Direct</v>
      </c>
      <c r="I1603" s="8" t="s">
        <v>1449</v>
      </c>
      <c r="J1603" s="8" t="s">
        <v>1449</v>
      </c>
    </row>
    <row r="1604" spans="1:10" x14ac:dyDescent="0.2">
      <c r="A1604" s="8" t="s">
        <v>56</v>
      </c>
      <c r="B1604" s="8" t="s">
        <v>73</v>
      </c>
      <c r="C1604" s="8" t="s">
        <v>689</v>
      </c>
      <c r="D1604" s="8" t="s">
        <v>690</v>
      </c>
      <c r="E1604" s="8" t="s">
        <v>691</v>
      </c>
      <c r="F1604" s="8">
        <v>-1.7248884</v>
      </c>
      <c r="G1604" s="8">
        <v>2.0093034400000001</v>
      </c>
      <c r="H1604" s="6" t="str">
        <f t="shared" si="12"/>
        <v>Inverse</v>
      </c>
      <c r="I1604" s="8" t="s">
        <v>692</v>
      </c>
      <c r="J1604" s="8" t="s">
        <v>692</v>
      </c>
    </row>
    <row r="1605" spans="1:10" x14ac:dyDescent="0.2">
      <c r="A1605" s="8" t="s">
        <v>56</v>
      </c>
      <c r="B1605" s="8" t="s">
        <v>73</v>
      </c>
      <c r="C1605" s="8" t="s">
        <v>4504</v>
      </c>
      <c r="D1605" s="8" t="s">
        <v>4505</v>
      </c>
      <c r="E1605" s="8" t="s">
        <v>4506</v>
      </c>
      <c r="F1605" s="8">
        <v>-2.3355655</v>
      </c>
      <c r="G1605" s="8">
        <v>-1.1260228999999999</v>
      </c>
      <c r="H1605" s="6" t="str">
        <f t="shared" si="12"/>
        <v>Direct</v>
      </c>
      <c r="I1605" s="8" t="s">
        <v>818</v>
      </c>
      <c r="J1605" s="8" t="s">
        <v>818</v>
      </c>
    </row>
    <row r="1606" spans="1:10" x14ac:dyDescent="0.2">
      <c r="A1606" s="8" t="s">
        <v>56</v>
      </c>
      <c r="B1606" s="8" t="s">
        <v>73</v>
      </c>
      <c r="C1606" s="8" t="s">
        <v>2468</v>
      </c>
      <c r="D1606" s="8" t="s">
        <v>2469</v>
      </c>
      <c r="E1606" s="8" t="s">
        <v>2470</v>
      </c>
      <c r="F1606" s="8">
        <v>-1.5101586</v>
      </c>
      <c r="G1606" s="8">
        <v>2.05873982</v>
      </c>
      <c r="H1606" s="6" t="str">
        <f t="shared" si="12"/>
        <v>Inverse</v>
      </c>
      <c r="I1606" s="8" t="s">
        <v>2471</v>
      </c>
      <c r="J1606" s="8" t="s">
        <v>2471</v>
      </c>
    </row>
    <row r="1607" spans="1:10" x14ac:dyDescent="0.2">
      <c r="A1607" s="8" t="s">
        <v>56</v>
      </c>
      <c r="B1607" s="8" t="s">
        <v>73</v>
      </c>
      <c r="C1607" s="8" t="s">
        <v>2472</v>
      </c>
      <c r="D1607" s="8" t="s">
        <v>2473</v>
      </c>
      <c r="E1607" s="8" t="s">
        <v>2474</v>
      </c>
      <c r="F1607" s="8">
        <v>-1.1356862000000001</v>
      </c>
      <c r="G1607" s="8">
        <v>-1.0376373000000001</v>
      </c>
      <c r="H1607" s="6" t="str">
        <f t="shared" si="12"/>
        <v>Direct</v>
      </c>
      <c r="I1607" s="8" t="s">
        <v>2475</v>
      </c>
      <c r="J1607" s="8" t="s">
        <v>2475</v>
      </c>
    </row>
    <row r="1608" spans="1:10" x14ac:dyDescent="0.2">
      <c r="A1608" s="8" t="s">
        <v>56</v>
      </c>
      <c r="B1608" s="8" t="s">
        <v>73</v>
      </c>
      <c r="C1608" s="8" t="s">
        <v>4507</v>
      </c>
      <c r="D1608" s="8" t="s">
        <v>4508</v>
      </c>
      <c r="E1608" s="8" t="s">
        <v>4509</v>
      </c>
      <c r="F1608" s="8">
        <v>-3.8755413999999999</v>
      </c>
      <c r="G1608" s="8">
        <v>-1.0654764999999999</v>
      </c>
      <c r="H1608" s="6" t="str">
        <f t="shared" si="12"/>
        <v>Direct</v>
      </c>
      <c r="I1608" s="8" t="s">
        <v>4510</v>
      </c>
      <c r="J1608" s="8" t="s">
        <v>4510</v>
      </c>
    </row>
    <row r="1609" spans="1:10" x14ac:dyDescent="0.2">
      <c r="A1609" s="8" t="s">
        <v>56</v>
      </c>
      <c r="B1609" s="8" t="s">
        <v>73</v>
      </c>
      <c r="C1609" s="8" t="s">
        <v>3904</v>
      </c>
      <c r="D1609" s="8" t="s">
        <v>3905</v>
      </c>
      <c r="E1609" s="8" t="s">
        <v>3906</v>
      </c>
      <c r="F1609" s="8">
        <v>2.0889318499999998</v>
      </c>
      <c r="G1609" s="8">
        <v>-1.9974278999999999</v>
      </c>
      <c r="H1609" s="6" t="str">
        <f t="shared" si="12"/>
        <v>Inverse</v>
      </c>
      <c r="I1609" s="8" t="s">
        <v>3907</v>
      </c>
      <c r="J1609" s="8" t="s">
        <v>3907</v>
      </c>
    </row>
    <row r="1610" spans="1:10" x14ac:dyDescent="0.2">
      <c r="A1610" s="8" t="s">
        <v>56</v>
      </c>
      <c r="B1610" s="8" t="s">
        <v>73</v>
      </c>
      <c r="C1610" s="8" t="s">
        <v>3908</v>
      </c>
      <c r="D1610" s="8" t="s">
        <v>3909</v>
      </c>
      <c r="E1610" s="8" t="s">
        <v>3910</v>
      </c>
      <c r="F1610" s="8">
        <v>-1.1958974</v>
      </c>
      <c r="G1610" s="8">
        <v>-2.9540199</v>
      </c>
      <c r="H1610" s="6" t="str">
        <f t="shared" si="12"/>
        <v>Direct</v>
      </c>
      <c r="I1610" s="8" t="s">
        <v>3911</v>
      </c>
      <c r="J1610" s="8" t="s">
        <v>3911</v>
      </c>
    </row>
    <row r="1611" spans="1:10" x14ac:dyDescent="0.2">
      <c r="A1611" s="8" t="s">
        <v>56</v>
      </c>
      <c r="B1611" s="8" t="s">
        <v>73</v>
      </c>
      <c r="C1611" s="8" t="s">
        <v>3915</v>
      </c>
      <c r="D1611" s="8" t="s">
        <v>3916</v>
      </c>
      <c r="E1611" s="8" t="s">
        <v>3917</v>
      </c>
      <c r="F1611" s="8">
        <v>-3.9656175</v>
      </c>
      <c r="G1611" s="8">
        <v>-1.9969957</v>
      </c>
      <c r="H1611" s="6" t="str">
        <f t="shared" si="12"/>
        <v>Direct</v>
      </c>
      <c r="I1611" s="8" t="s">
        <v>3149</v>
      </c>
      <c r="J1611" s="8" t="s">
        <v>3149</v>
      </c>
    </row>
    <row r="1612" spans="1:10" x14ac:dyDescent="0.2">
      <c r="A1612" s="8" t="s">
        <v>56</v>
      </c>
      <c r="B1612" s="8" t="s">
        <v>73</v>
      </c>
      <c r="C1612" s="8" t="s">
        <v>4511</v>
      </c>
      <c r="D1612" s="8" t="s">
        <v>4512</v>
      </c>
      <c r="E1612" s="8" t="s">
        <v>4513</v>
      </c>
      <c r="F1612" s="8">
        <v>1.50607102</v>
      </c>
      <c r="G1612" s="8">
        <v>1.0978740499999999</v>
      </c>
      <c r="H1612" s="6" t="str">
        <f t="shared" si="12"/>
        <v>Direct</v>
      </c>
      <c r="I1612" s="8" t="s">
        <v>44</v>
      </c>
      <c r="J1612" s="8" t="s">
        <v>44</v>
      </c>
    </row>
    <row r="1613" spans="1:10" x14ac:dyDescent="0.2">
      <c r="A1613" s="8" t="s">
        <v>56</v>
      </c>
      <c r="B1613" s="8" t="s">
        <v>73</v>
      </c>
      <c r="C1613" s="8" t="s">
        <v>4514</v>
      </c>
      <c r="D1613" s="8" t="s">
        <v>4515</v>
      </c>
      <c r="E1613" s="8" t="s">
        <v>4516</v>
      </c>
      <c r="F1613" s="8">
        <v>-2.4393435999999999</v>
      </c>
      <c r="G1613" s="8">
        <v>-1.5625407</v>
      </c>
      <c r="H1613" s="6" t="str">
        <f t="shared" si="12"/>
        <v>Direct</v>
      </c>
      <c r="I1613" s="8" t="s">
        <v>4517</v>
      </c>
      <c r="J1613" s="8" t="s">
        <v>4517</v>
      </c>
    </row>
    <row r="1614" spans="1:10" x14ac:dyDescent="0.2">
      <c r="A1614" s="8" t="s">
        <v>56</v>
      </c>
      <c r="B1614" s="8" t="s">
        <v>73</v>
      </c>
      <c r="C1614" s="8" t="s">
        <v>2480</v>
      </c>
      <c r="D1614" s="8" t="s">
        <v>2481</v>
      </c>
      <c r="E1614" s="8" t="s">
        <v>2482</v>
      </c>
      <c r="F1614" s="8">
        <v>-2.0854727</v>
      </c>
      <c r="G1614" s="8">
        <v>-1.7420230999999999</v>
      </c>
      <c r="H1614" s="6" t="str">
        <f t="shared" si="12"/>
        <v>Direct</v>
      </c>
      <c r="I1614" s="8" t="s">
        <v>2483</v>
      </c>
      <c r="J1614" s="8" t="s">
        <v>2483</v>
      </c>
    </row>
    <row r="1615" spans="1:10" x14ac:dyDescent="0.2">
      <c r="A1615" s="8" t="s">
        <v>56</v>
      </c>
      <c r="B1615" s="8" t="s">
        <v>73</v>
      </c>
      <c r="C1615" s="8" t="s">
        <v>4518</v>
      </c>
      <c r="D1615" s="8" t="s">
        <v>4519</v>
      </c>
      <c r="E1615" s="8" t="s">
        <v>4520</v>
      </c>
      <c r="F1615" s="8">
        <v>-1.7558385999999999</v>
      </c>
      <c r="G1615" s="8">
        <v>-1.1294295999999999</v>
      </c>
      <c r="H1615" s="6" t="str">
        <f t="shared" si="12"/>
        <v>Direct</v>
      </c>
      <c r="I1615" s="8" t="s">
        <v>2193</v>
      </c>
      <c r="J1615" s="8" t="s">
        <v>2193</v>
      </c>
    </row>
    <row r="1616" spans="1:10" x14ac:dyDescent="0.2">
      <c r="A1616" s="8" t="s">
        <v>56</v>
      </c>
      <c r="B1616" s="8" t="s">
        <v>73</v>
      </c>
      <c r="C1616" s="8" t="s">
        <v>2484</v>
      </c>
      <c r="D1616" s="8" t="s">
        <v>2485</v>
      </c>
      <c r="E1616" s="8" t="s">
        <v>2486</v>
      </c>
      <c r="F1616" s="8">
        <v>-3.3103343999999999</v>
      </c>
      <c r="G1616" s="8">
        <v>-7.6572506000000002</v>
      </c>
      <c r="H1616" s="6" t="str">
        <f t="shared" si="12"/>
        <v>Direct</v>
      </c>
      <c r="I1616" s="8" t="s">
        <v>2487</v>
      </c>
      <c r="J1616" s="8" t="s">
        <v>2488</v>
      </c>
    </row>
    <row r="1617" spans="1:10" x14ac:dyDescent="0.2">
      <c r="A1617" s="8" t="s">
        <v>56</v>
      </c>
      <c r="B1617" s="8" t="s">
        <v>73</v>
      </c>
      <c r="C1617" s="8" t="s">
        <v>4521</v>
      </c>
      <c r="D1617" s="8" t="s">
        <v>4522</v>
      </c>
      <c r="E1617" s="8" t="s">
        <v>4523</v>
      </c>
      <c r="F1617" s="8">
        <v>1.0351141100000001</v>
      </c>
      <c r="G1617" s="8">
        <v>-1.9498396</v>
      </c>
      <c r="H1617" s="6" t="str">
        <f t="shared" si="12"/>
        <v>Inverse</v>
      </c>
      <c r="I1617" s="8" t="s">
        <v>4524</v>
      </c>
      <c r="J1617" s="8" t="s">
        <v>4524</v>
      </c>
    </row>
    <row r="1618" spans="1:10" x14ac:dyDescent="0.2">
      <c r="A1618" s="8" t="s">
        <v>56</v>
      </c>
      <c r="B1618" s="8" t="s">
        <v>73</v>
      </c>
      <c r="C1618" s="8" t="s">
        <v>4525</v>
      </c>
      <c r="D1618" s="8" t="s">
        <v>4526</v>
      </c>
      <c r="E1618" s="8" t="s">
        <v>4527</v>
      </c>
      <c r="F1618" s="8">
        <v>-1.6740701</v>
      </c>
      <c r="G1618" s="8">
        <v>-1.5947252999999999</v>
      </c>
      <c r="H1618" s="6" t="str">
        <f t="shared" si="12"/>
        <v>Direct</v>
      </c>
      <c r="I1618" s="8" t="s">
        <v>4528</v>
      </c>
      <c r="J1618" s="8" t="s">
        <v>4528</v>
      </c>
    </row>
    <row r="1619" spans="1:10" x14ac:dyDescent="0.2">
      <c r="A1619" s="8" t="s">
        <v>56</v>
      </c>
      <c r="B1619" s="8" t="s">
        <v>73</v>
      </c>
      <c r="C1619" s="8" t="s">
        <v>724</v>
      </c>
      <c r="D1619" s="8" t="s">
        <v>725</v>
      </c>
      <c r="E1619" s="8" t="s">
        <v>726</v>
      </c>
      <c r="F1619" s="8">
        <v>2.7685712499999999</v>
      </c>
      <c r="G1619" s="8">
        <v>16.650311299999998</v>
      </c>
      <c r="H1619" s="6" t="str">
        <f t="shared" si="12"/>
        <v>Direct</v>
      </c>
      <c r="I1619" s="8" t="s">
        <v>727</v>
      </c>
      <c r="J1619" s="8" t="s">
        <v>727</v>
      </c>
    </row>
    <row r="1620" spans="1:10" x14ac:dyDescent="0.2">
      <c r="A1620" s="8" t="s">
        <v>56</v>
      </c>
      <c r="B1620" s="8" t="s">
        <v>73</v>
      </c>
      <c r="C1620" s="8" t="s">
        <v>2497</v>
      </c>
      <c r="D1620" s="8" t="s">
        <v>2498</v>
      </c>
      <c r="E1620" s="8" t="s">
        <v>2499</v>
      </c>
      <c r="F1620" s="8">
        <v>1.3807971400000001</v>
      </c>
      <c r="G1620" s="8">
        <v>1.1545330600000001</v>
      </c>
      <c r="H1620" s="6" t="str">
        <f t="shared" si="12"/>
        <v>Direct</v>
      </c>
      <c r="I1620" s="8" t="s">
        <v>2500</v>
      </c>
      <c r="J1620" s="8" t="s">
        <v>2500</v>
      </c>
    </row>
    <row r="1621" spans="1:10" x14ac:dyDescent="0.2">
      <c r="A1621" s="8" t="s">
        <v>56</v>
      </c>
      <c r="B1621" s="8" t="s">
        <v>73</v>
      </c>
      <c r="C1621" s="8" t="s">
        <v>4529</v>
      </c>
      <c r="D1621" s="8" t="s">
        <v>4530</v>
      </c>
      <c r="E1621" s="8" t="s">
        <v>4531</v>
      </c>
      <c r="F1621" s="8">
        <v>1.22284821</v>
      </c>
      <c r="G1621" s="8">
        <v>-3.6656548999999998</v>
      </c>
      <c r="H1621" s="6" t="str">
        <f t="shared" si="12"/>
        <v>Inverse</v>
      </c>
      <c r="I1621" s="8" t="s">
        <v>4532</v>
      </c>
      <c r="J1621" s="8" t="s">
        <v>4532</v>
      </c>
    </row>
    <row r="1622" spans="1:10" x14ac:dyDescent="0.2">
      <c r="A1622" s="8" t="s">
        <v>56</v>
      </c>
      <c r="B1622" s="8" t="s">
        <v>73</v>
      </c>
      <c r="C1622" s="8" t="s">
        <v>731</v>
      </c>
      <c r="D1622" s="8" t="s">
        <v>732</v>
      </c>
      <c r="E1622" s="8" t="s">
        <v>733</v>
      </c>
      <c r="F1622" s="8">
        <v>-2.8279782</v>
      </c>
      <c r="G1622" s="8">
        <v>-1.0460400000000001</v>
      </c>
      <c r="H1622" s="6" t="str">
        <f t="shared" si="12"/>
        <v>Direct</v>
      </c>
      <c r="I1622" s="8" t="s">
        <v>734</v>
      </c>
      <c r="J1622" s="8" t="s">
        <v>734</v>
      </c>
    </row>
    <row r="1623" spans="1:10" x14ac:dyDescent="0.2">
      <c r="A1623" s="8" t="s">
        <v>56</v>
      </c>
      <c r="B1623" s="8" t="s">
        <v>73</v>
      </c>
      <c r="C1623" s="8" t="s">
        <v>4533</v>
      </c>
      <c r="D1623" s="8" t="s">
        <v>4534</v>
      </c>
      <c r="E1623" s="8" t="s">
        <v>4535</v>
      </c>
      <c r="F1623" s="8">
        <v>-1.2053833</v>
      </c>
      <c r="G1623" s="8">
        <v>-2.3954236999999998</v>
      </c>
      <c r="H1623" s="6" t="str">
        <f t="shared" si="12"/>
        <v>Direct</v>
      </c>
      <c r="I1623" s="8" t="s">
        <v>4536</v>
      </c>
      <c r="J1623" s="8" t="s">
        <v>4536</v>
      </c>
    </row>
    <row r="1624" spans="1:10" x14ac:dyDescent="0.2">
      <c r="A1624" s="8" t="s">
        <v>56</v>
      </c>
      <c r="B1624" s="8" t="s">
        <v>73</v>
      </c>
      <c r="C1624" s="8" t="s">
        <v>2509</v>
      </c>
      <c r="D1624" s="8" t="s">
        <v>2510</v>
      </c>
      <c r="E1624" s="8" t="s">
        <v>2511</v>
      </c>
      <c r="F1624" s="8">
        <v>1.2298669099999999</v>
      </c>
      <c r="G1624" s="8">
        <v>2.5230603299999999</v>
      </c>
      <c r="H1624" s="6" t="str">
        <f t="shared" si="12"/>
        <v>Direct</v>
      </c>
      <c r="I1624" s="8" t="s">
        <v>2512</v>
      </c>
      <c r="J1624" s="8" t="s">
        <v>2513</v>
      </c>
    </row>
    <row r="1625" spans="1:10" x14ac:dyDescent="0.2">
      <c r="A1625" s="8" t="s">
        <v>56</v>
      </c>
      <c r="B1625" s="8" t="s">
        <v>73</v>
      </c>
      <c r="C1625" s="8" t="s">
        <v>3976</v>
      </c>
      <c r="D1625" s="8" t="s">
        <v>3977</v>
      </c>
      <c r="E1625" s="8" t="s">
        <v>3978</v>
      </c>
      <c r="F1625" s="8">
        <v>-5.6402649</v>
      </c>
      <c r="G1625" s="8">
        <v>-4.7188454000000002</v>
      </c>
      <c r="H1625" s="6" t="str">
        <f t="shared" si="12"/>
        <v>Direct</v>
      </c>
      <c r="I1625" s="8" t="s">
        <v>3979</v>
      </c>
      <c r="J1625" s="8" t="s">
        <v>3979</v>
      </c>
    </row>
    <row r="1626" spans="1:10" x14ac:dyDescent="0.2">
      <c r="A1626" s="8" t="s">
        <v>56</v>
      </c>
      <c r="B1626" s="8" t="s">
        <v>73</v>
      </c>
      <c r="C1626" s="8" t="s">
        <v>4537</v>
      </c>
      <c r="D1626" s="8" t="s">
        <v>4538</v>
      </c>
      <c r="E1626" s="8" t="s">
        <v>4539</v>
      </c>
      <c r="F1626" s="8">
        <v>1.0790762</v>
      </c>
      <c r="G1626" s="8">
        <v>-1.0215752</v>
      </c>
      <c r="H1626" s="6" t="str">
        <f t="shared" si="12"/>
        <v>Inverse</v>
      </c>
      <c r="I1626" s="8" t="s">
        <v>50</v>
      </c>
      <c r="J1626" s="8" t="s">
        <v>4540</v>
      </c>
    </row>
    <row r="1627" spans="1:10" x14ac:dyDescent="0.2">
      <c r="A1627" s="8" t="s">
        <v>56</v>
      </c>
      <c r="B1627" s="8" t="s">
        <v>73</v>
      </c>
      <c r="C1627" s="8" t="s">
        <v>2514</v>
      </c>
      <c r="D1627" s="8" t="s">
        <v>2515</v>
      </c>
      <c r="E1627" s="8" t="s">
        <v>2516</v>
      </c>
      <c r="F1627" s="8">
        <v>-2.1369478000000002</v>
      </c>
      <c r="G1627" s="8">
        <v>-4.0748072000000004</v>
      </c>
      <c r="H1627" s="6" t="str">
        <f t="shared" si="12"/>
        <v>Direct</v>
      </c>
      <c r="I1627" s="8" t="s">
        <v>2517</v>
      </c>
      <c r="J1627" s="8" t="s">
        <v>2517</v>
      </c>
    </row>
    <row r="1628" spans="1:10" x14ac:dyDescent="0.2">
      <c r="A1628" s="8" t="s">
        <v>56</v>
      </c>
      <c r="B1628" s="8" t="s">
        <v>73</v>
      </c>
      <c r="C1628" s="8" t="s">
        <v>2522</v>
      </c>
      <c r="D1628" s="8" t="s">
        <v>2523</v>
      </c>
      <c r="E1628" s="8" t="s">
        <v>2524</v>
      </c>
      <c r="F1628" s="8">
        <v>4.95482567</v>
      </c>
      <c r="G1628" s="8">
        <v>2.5967800900000002</v>
      </c>
      <c r="H1628" s="6" t="str">
        <f t="shared" si="12"/>
        <v>Direct</v>
      </c>
      <c r="I1628" s="8" t="s">
        <v>2525</v>
      </c>
      <c r="J1628" s="8" t="s">
        <v>2525</v>
      </c>
    </row>
    <row r="1629" spans="1:10" x14ac:dyDescent="0.2">
      <c r="A1629" s="8" t="s">
        <v>56</v>
      </c>
      <c r="B1629" s="8" t="s">
        <v>73</v>
      </c>
      <c r="C1629" s="8" t="s">
        <v>4541</v>
      </c>
      <c r="D1629" s="8" t="s">
        <v>4542</v>
      </c>
      <c r="E1629" s="8" t="s">
        <v>4543</v>
      </c>
      <c r="F1629" s="8">
        <v>-5.1278819000000002</v>
      </c>
      <c r="G1629" s="8">
        <v>-1.7079129</v>
      </c>
      <c r="H1629" s="6" t="str">
        <f t="shared" si="12"/>
        <v>Direct</v>
      </c>
      <c r="I1629" s="8" t="s">
        <v>4544</v>
      </c>
      <c r="J1629" s="8" t="s">
        <v>4544</v>
      </c>
    </row>
    <row r="1630" spans="1:10" x14ac:dyDescent="0.2">
      <c r="A1630" s="8" t="s">
        <v>56</v>
      </c>
      <c r="B1630" s="8" t="s">
        <v>73</v>
      </c>
      <c r="C1630" s="8" t="s">
        <v>2526</v>
      </c>
      <c r="D1630" s="8" t="s">
        <v>2527</v>
      </c>
      <c r="E1630" s="8" t="s">
        <v>2528</v>
      </c>
      <c r="F1630" s="8">
        <v>-5.4811104999999998</v>
      </c>
      <c r="G1630" s="8">
        <v>-2.1160044999999998</v>
      </c>
      <c r="H1630" s="6" t="str">
        <f t="shared" si="12"/>
        <v>Direct</v>
      </c>
      <c r="I1630" s="8" t="s">
        <v>2529</v>
      </c>
      <c r="J1630" s="8" t="s">
        <v>2530</v>
      </c>
    </row>
    <row r="1631" spans="1:10" x14ac:dyDescent="0.2">
      <c r="A1631" s="8" t="s">
        <v>56</v>
      </c>
      <c r="B1631" s="8" t="s">
        <v>73</v>
      </c>
      <c r="C1631" s="8" t="s">
        <v>2531</v>
      </c>
      <c r="D1631" s="8" t="s">
        <v>2532</v>
      </c>
      <c r="E1631" s="8" t="s">
        <v>2533</v>
      </c>
      <c r="F1631" s="8">
        <v>-2.3220358000000001</v>
      </c>
      <c r="G1631" s="8">
        <v>-2.9548378999999998</v>
      </c>
      <c r="H1631" s="6" t="str">
        <f t="shared" si="12"/>
        <v>Direct</v>
      </c>
      <c r="I1631" s="8" t="s">
        <v>1413</v>
      </c>
      <c r="J1631" s="8" t="s">
        <v>1413</v>
      </c>
    </row>
    <row r="1632" spans="1:10" x14ac:dyDescent="0.2">
      <c r="A1632" s="8" t="s">
        <v>56</v>
      </c>
      <c r="B1632" s="8" t="s">
        <v>73</v>
      </c>
      <c r="C1632" s="8" t="s">
        <v>4545</v>
      </c>
      <c r="D1632" s="8" t="s">
        <v>4546</v>
      </c>
      <c r="E1632" s="8" t="s">
        <v>4547</v>
      </c>
      <c r="F1632" s="8">
        <v>-1.0393758</v>
      </c>
      <c r="G1632" s="8">
        <v>-1.0789074000000001</v>
      </c>
      <c r="H1632" s="6" t="str">
        <f t="shared" si="12"/>
        <v>Direct</v>
      </c>
      <c r="I1632" s="8" t="s">
        <v>2193</v>
      </c>
      <c r="J1632" s="8" t="s">
        <v>2193</v>
      </c>
    </row>
    <row r="1633" spans="1:10" x14ac:dyDescent="0.2">
      <c r="A1633" s="8" t="s">
        <v>56</v>
      </c>
      <c r="B1633" s="8" t="s">
        <v>73</v>
      </c>
      <c r="C1633" s="8" t="s">
        <v>2534</v>
      </c>
      <c r="D1633" s="8" t="s">
        <v>2535</v>
      </c>
      <c r="E1633" s="8" t="s">
        <v>2536</v>
      </c>
      <c r="F1633" s="8">
        <v>-3.4580141000000002</v>
      </c>
      <c r="G1633" s="8">
        <v>-2.5418723000000001</v>
      </c>
      <c r="H1633" s="6" t="str">
        <f t="shared" si="12"/>
        <v>Direct</v>
      </c>
      <c r="I1633" s="8" t="s">
        <v>2537</v>
      </c>
      <c r="J1633" s="8" t="s">
        <v>2537</v>
      </c>
    </row>
    <row r="1634" spans="1:10" x14ac:dyDescent="0.2">
      <c r="A1634" s="8" t="s">
        <v>56</v>
      </c>
      <c r="B1634" s="8" t="s">
        <v>73</v>
      </c>
      <c r="C1634" s="8" t="s">
        <v>2538</v>
      </c>
      <c r="D1634" s="8" t="s">
        <v>2539</v>
      </c>
      <c r="E1634" s="8" t="s">
        <v>2540</v>
      </c>
      <c r="F1634" s="8">
        <v>4.2073721099999997</v>
      </c>
      <c r="G1634" s="8">
        <v>-1.7438720000000001</v>
      </c>
      <c r="H1634" s="6" t="str">
        <f t="shared" si="12"/>
        <v>Inverse</v>
      </c>
      <c r="I1634" s="8" t="s">
        <v>2541</v>
      </c>
      <c r="J1634" s="8" t="s">
        <v>2541</v>
      </c>
    </row>
    <row r="1635" spans="1:10" x14ac:dyDescent="0.2">
      <c r="A1635" s="8" t="s">
        <v>56</v>
      </c>
      <c r="B1635" s="8" t="s">
        <v>73</v>
      </c>
      <c r="C1635" s="8" t="s">
        <v>4548</v>
      </c>
      <c r="D1635" s="8" t="s">
        <v>4549</v>
      </c>
      <c r="E1635" s="8" t="s">
        <v>4550</v>
      </c>
      <c r="F1635" s="8">
        <v>-1.7479104000000001</v>
      </c>
      <c r="G1635" s="8">
        <v>-3.6943608000000001</v>
      </c>
      <c r="H1635" s="6" t="str">
        <f t="shared" si="12"/>
        <v>Direct</v>
      </c>
      <c r="I1635" s="8" t="s">
        <v>4551</v>
      </c>
      <c r="J1635" s="8" t="s">
        <v>4551</v>
      </c>
    </row>
    <row r="1636" spans="1:10" x14ac:dyDescent="0.2">
      <c r="A1636" s="8" t="s">
        <v>56</v>
      </c>
      <c r="B1636" s="8" t="s">
        <v>73</v>
      </c>
      <c r="C1636" s="8" t="s">
        <v>2542</v>
      </c>
      <c r="D1636" s="8" t="s">
        <v>2543</v>
      </c>
      <c r="E1636" s="8" t="s">
        <v>2544</v>
      </c>
      <c r="F1636" s="8">
        <v>-1.5859546</v>
      </c>
      <c r="G1636" s="8">
        <v>-5.5863581</v>
      </c>
      <c r="H1636" s="6" t="str">
        <f t="shared" si="12"/>
        <v>Direct</v>
      </c>
      <c r="I1636" s="8" t="s">
        <v>2545</v>
      </c>
      <c r="J1636" s="8" t="s">
        <v>2545</v>
      </c>
    </row>
    <row r="1637" spans="1:10" x14ac:dyDescent="0.2">
      <c r="A1637" s="8" t="s">
        <v>56</v>
      </c>
      <c r="B1637" s="8" t="s">
        <v>73</v>
      </c>
      <c r="C1637" s="8" t="s">
        <v>2546</v>
      </c>
      <c r="D1637" s="8" t="s">
        <v>2547</v>
      </c>
      <c r="E1637" s="8" t="s">
        <v>2548</v>
      </c>
      <c r="F1637" s="8">
        <v>-6.9626174000000001</v>
      </c>
      <c r="G1637" s="8">
        <v>-6.6224629999999998</v>
      </c>
      <c r="H1637" s="6" t="str">
        <f t="shared" si="12"/>
        <v>Direct</v>
      </c>
      <c r="I1637" s="8" t="s">
        <v>2549</v>
      </c>
      <c r="J1637" s="8" t="s">
        <v>2549</v>
      </c>
    </row>
    <row r="1638" spans="1:10" x14ac:dyDescent="0.2">
      <c r="A1638" s="8" t="s">
        <v>56</v>
      </c>
      <c r="B1638" s="8" t="s">
        <v>73</v>
      </c>
      <c r="C1638" s="8" t="s">
        <v>2558</v>
      </c>
      <c r="D1638" s="8" t="s">
        <v>2559</v>
      </c>
      <c r="E1638" s="8" t="s">
        <v>2560</v>
      </c>
      <c r="F1638" s="8">
        <v>-2.8009594999999998</v>
      </c>
      <c r="G1638" s="8">
        <v>-6.0435144000000003</v>
      </c>
      <c r="H1638" s="6" t="str">
        <f t="shared" si="12"/>
        <v>Direct</v>
      </c>
      <c r="I1638" s="8" t="s">
        <v>2561</v>
      </c>
      <c r="J1638" s="8" t="s">
        <v>2561</v>
      </c>
    </row>
    <row r="1639" spans="1:10" x14ac:dyDescent="0.2">
      <c r="A1639" s="8" t="s">
        <v>56</v>
      </c>
      <c r="B1639" s="8" t="s">
        <v>73</v>
      </c>
      <c r="C1639" s="8" t="s">
        <v>2562</v>
      </c>
      <c r="D1639" s="8" t="s">
        <v>2563</v>
      </c>
      <c r="E1639" s="8" t="s">
        <v>2564</v>
      </c>
      <c r="F1639" s="8">
        <v>4.7281808200000004</v>
      </c>
      <c r="G1639" s="8">
        <v>2.7565912699999999</v>
      </c>
      <c r="H1639" s="6" t="str">
        <f t="shared" si="12"/>
        <v>Direct</v>
      </c>
      <c r="I1639" s="8" t="s">
        <v>2565</v>
      </c>
      <c r="J1639" s="8" t="s">
        <v>2565</v>
      </c>
    </row>
    <row r="1640" spans="1:10" x14ac:dyDescent="0.2">
      <c r="A1640" s="8" t="s">
        <v>56</v>
      </c>
      <c r="B1640" s="8" t="s">
        <v>73</v>
      </c>
      <c r="C1640" s="8" t="s">
        <v>4552</v>
      </c>
      <c r="D1640" s="8" t="s">
        <v>4553</v>
      </c>
      <c r="E1640" s="8" t="s">
        <v>4554</v>
      </c>
      <c r="F1640" s="8">
        <v>-1.104438</v>
      </c>
      <c r="G1640" s="8">
        <v>-2.5084597999999998</v>
      </c>
      <c r="H1640" s="6" t="str">
        <f t="shared" si="12"/>
        <v>Direct</v>
      </c>
      <c r="I1640" s="8" t="s">
        <v>4555</v>
      </c>
      <c r="J1640" s="8" t="s">
        <v>4555</v>
      </c>
    </row>
    <row r="1641" spans="1:10" x14ac:dyDescent="0.2">
      <c r="A1641" s="8" t="s">
        <v>56</v>
      </c>
      <c r="B1641" s="8" t="s">
        <v>73</v>
      </c>
      <c r="C1641" s="8" t="s">
        <v>2570</v>
      </c>
      <c r="D1641" s="8" t="s">
        <v>2571</v>
      </c>
      <c r="E1641" s="8" t="s">
        <v>2572</v>
      </c>
      <c r="F1641" s="8">
        <v>-3.0779155999999999</v>
      </c>
      <c r="G1641" s="8">
        <v>-13.729329999999999</v>
      </c>
      <c r="H1641" s="6" t="str">
        <f t="shared" si="12"/>
        <v>Direct</v>
      </c>
      <c r="I1641" s="8" t="s">
        <v>2573</v>
      </c>
      <c r="J1641" s="8" t="s">
        <v>2573</v>
      </c>
    </row>
    <row r="1642" spans="1:10" x14ac:dyDescent="0.2">
      <c r="A1642" s="8" t="s">
        <v>56</v>
      </c>
      <c r="B1642" s="8" t="s">
        <v>73</v>
      </c>
      <c r="C1642" s="8" t="s">
        <v>4556</v>
      </c>
      <c r="D1642" s="8" t="s">
        <v>4557</v>
      </c>
      <c r="E1642" s="8" t="s">
        <v>4558</v>
      </c>
      <c r="F1642" s="8">
        <v>2.74904087</v>
      </c>
      <c r="G1642" s="8">
        <v>1.5498758100000001</v>
      </c>
      <c r="H1642" s="6" t="str">
        <f t="shared" si="12"/>
        <v>Direct</v>
      </c>
      <c r="I1642" s="8" t="s">
        <v>672</v>
      </c>
      <c r="J1642" s="8" t="s">
        <v>672</v>
      </c>
    </row>
    <row r="1643" spans="1:10" x14ac:dyDescent="0.2">
      <c r="A1643" s="8" t="s">
        <v>56</v>
      </c>
      <c r="B1643" s="8" t="s">
        <v>73</v>
      </c>
      <c r="C1643" s="8" t="s">
        <v>4559</v>
      </c>
      <c r="D1643" s="8" t="s">
        <v>4560</v>
      </c>
      <c r="E1643" s="8" t="s">
        <v>4561</v>
      </c>
      <c r="F1643" s="8">
        <v>5.9332415899999997</v>
      </c>
      <c r="G1643" s="8">
        <v>1.05565978</v>
      </c>
      <c r="H1643" s="6" t="str">
        <f t="shared" si="12"/>
        <v>Direct</v>
      </c>
      <c r="I1643" s="8" t="s">
        <v>4562</v>
      </c>
      <c r="J1643" s="8" t="s">
        <v>4562</v>
      </c>
    </row>
    <row r="1644" spans="1:10" x14ac:dyDescent="0.2">
      <c r="A1644" s="8" t="s">
        <v>56</v>
      </c>
      <c r="B1644" s="8" t="s">
        <v>73</v>
      </c>
      <c r="C1644" s="8" t="s">
        <v>4563</v>
      </c>
      <c r="D1644" s="8" t="s">
        <v>4564</v>
      </c>
      <c r="E1644" s="8" t="s">
        <v>4565</v>
      </c>
      <c r="F1644" s="8">
        <v>-1.203443</v>
      </c>
      <c r="G1644" s="8">
        <v>-1.1406991</v>
      </c>
      <c r="H1644" s="6" t="str">
        <f t="shared" si="12"/>
        <v>Direct</v>
      </c>
      <c r="I1644" s="8" t="s">
        <v>4566</v>
      </c>
      <c r="J1644" s="8" t="s">
        <v>4566</v>
      </c>
    </row>
    <row r="1645" spans="1:10" x14ac:dyDescent="0.2">
      <c r="A1645" s="8" t="s">
        <v>56</v>
      </c>
      <c r="B1645" s="8" t="s">
        <v>73</v>
      </c>
      <c r="C1645" s="8" t="s">
        <v>4567</v>
      </c>
      <c r="D1645" s="8" t="s">
        <v>4568</v>
      </c>
      <c r="E1645" s="8" t="s">
        <v>4569</v>
      </c>
      <c r="F1645" s="8">
        <v>-4.8321873000000002</v>
      </c>
      <c r="G1645" s="8">
        <v>-2.5416680999999999</v>
      </c>
      <c r="H1645" s="6" t="str">
        <f t="shared" si="12"/>
        <v>Direct</v>
      </c>
      <c r="I1645" s="8" t="s">
        <v>4570</v>
      </c>
      <c r="J1645" s="8" t="s">
        <v>4570</v>
      </c>
    </row>
    <row r="1646" spans="1:10" x14ac:dyDescent="0.2">
      <c r="A1646" s="8" t="s">
        <v>56</v>
      </c>
      <c r="B1646" s="8" t="s">
        <v>73</v>
      </c>
      <c r="C1646" s="8" t="s">
        <v>4571</v>
      </c>
      <c r="D1646" s="8" t="s">
        <v>4572</v>
      </c>
      <c r="E1646" s="8" t="s">
        <v>4573</v>
      </c>
      <c r="F1646" s="8">
        <v>-5.7666475999999998</v>
      </c>
      <c r="G1646" s="8">
        <v>-3.4511272000000002</v>
      </c>
      <c r="H1646" s="6" t="str">
        <f t="shared" si="12"/>
        <v>Direct</v>
      </c>
      <c r="I1646" s="8" t="s">
        <v>4574</v>
      </c>
      <c r="J1646" s="8" t="s">
        <v>4574</v>
      </c>
    </row>
    <row r="1647" spans="1:10" x14ac:dyDescent="0.2">
      <c r="A1647" s="8" t="s">
        <v>56</v>
      </c>
      <c r="B1647" s="8" t="s">
        <v>73</v>
      </c>
      <c r="C1647" s="8" t="s">
        <v>2578</v>
      </c>
      <c r="D1647" s="8" t="s">
        <v>2579</v>
      </c>
      <c r="E1647" s="8" t="s">
        <v>2580</v>
      </c>
      <c r="F1647" s="8">
        <v>-1.0583431000000001</v>
      </c>
      <c r="G1647" s="8">
        <v>-1.8070136000000001</v>
      </c>
      <c r="H1647" s="6" t="str">
        <f t="shared" si="12"/>
        <v>Direct</v>
      </c>
      <c r="I1647" s="8" t="s">
        <v>2581</v>
      </c>
      <c r="J1647" s="8" t="s">
        <v>2581</v>
      </c>
    </row>
    <row r="1648" spans="1:10" x14ac:dyDescent="0.2">
      <c r="A1648" s="8" t="s">
        <v>56</v>
      </c>
      <c r="B1648" s="8" t="s">
        <v>73</v>
      </c>
      <c r="C1648" s="8" t="s">
        <v>2586</v>
      </c>
      <c r="D1648" s="8" t="s">
        <v>2587</v>
      </c>
      <c r="E1648" s="8" t="s">
        <v>2588</v>
      </c>
      <c r="F1648" s="8">
        <v>-1.4890428</v>
      </c>
      <c r="G1648" s="8">
        <v>-1.0609538000000001</v>
      </c>
      <c r="H1648" s="6" t="str">
        <f t="shared" si="12"/>
        <v>Direct</v>
      </c>
      <c r="I1648" s="8" t="s">
        <v>2589</v>
      </c>
      <c r="J1648" s="8" t="s">
        <v>2590</v>
      </c>
    </row>
    <row r="1649" spans="1:10" x14ac:dyDescent="0.2">
      <c r="A1649" s="8" t="s">
        <v>56</v>
      </c>
      <c r="B1649" s="8" t="s">
        <v>73</v>
      </c>
      <c r="C1649" s="8" t="s">
        <v>4575</v>
      </c>
      <c r="D1649" s="8" t="s">
        <v>4576</v>
      </c>
      <c r="E1649" s="8" t="s">
        <v>4577</v>
      </c>
      <c r="F1649" s="8">
        <v>-2.1708751999999998</v>
      </c>
      <c r="G1649" s="8">
        <v>-9.6371833000000002</v>
      </c>
      <c r="H1649" s="6" t="str">
        <f t="shared" si="12"/>
        <v>Direct</v>
      </c>
      <c r="I1649" s="8" t="s">
        <v>4578</v>
      </c>
      <c r="J1649" s="8" t="s">
        <v>4578</v>
      </c>
    </row>
    <row r="1650" spans="1:10" x14ac:dyDescent="0.2">
      <c r="A1650" s="8" t="s">
        <v>56</v>
      </c>
      <c r="B1650" s="8" t="s">
        <v>73</v>
      </c>
      <c r="C1650" s="8" t="s">
        <v>2591</v>
      </c>
      <c r="D1650" s="8" t="s">
        <v>2592</v>
      </c>
      <c r="E1650" s="8" t="s">
        <v>2593</v>
      </c>
      <c r="F1650" s="8">
        <v>-2.7710477999999998</v>
      </c>
      <c r="G1650" s="8">
        <v>-2.9659715000000002</v>
      </c>
      <c r="H1650" s="6" t="str">
        <f t="shared" si="12"/>
        <v>Direct</v>
      </c>
      <c r="I1650" s="8" t="s">
        <v>2066</v>
      </c>
      <c r="J1650" s="8" t="s">
        <v>2066</v>
      </c>
    </row>
    <row r="1651" spans="1:10" x14ac:dyDescent="0.2">
      <c r="A1651" s="8" t="s">
        <v>56</v>
      </c>
      <c r="B1651" s="8" t="s">
        <v>73</v>
      </c>
      <c r="C1651" s="8" t="s">
        <v>2594</v>
      </c>
      <c r="D1651" s="8" t="s">
        <v>2595</v>
      </c>
      <c r="E1651" s="8" t="s">
        <v>2596</v>
      </c>
      <c r="F1651" s="8">
        <v>-10.894743999999999</v>
      </c>
      <c r="G1651" s="8">
        <v>-5.2560142000000001</v>
      </c>
      <c r="H1651" s="6" t="str">
        <f t="shared" si="12"/>
        <v>Direct</v>
      </c>
      <c r="I1651" s="8" t="s">
        <v>2597</v>
      </c>
      <c r="J1651" s="8" t="s">
        <v>2597</v>
      </c>
    </row>
    <row r="1652" spans="1:10" x14ac:dyDescent="0.2">
      <c r="A1652" s="8" t="s">
        <v>56</v>
      </c>
      <c r="B1652" s="8" t="s">
        <v>73</v>
      </c>
      <c r="C1652" s="8" t="s">
        <v>2602</v>
      </c>
      <c r="D1652" s="8" t="s">
        <v>2603</v>
      </c>
      <c r="E1652" s="8" t="s">
        <v>2604</v>
      </c>
      <c r="F1652" s="8">
        <v>-1.1401323000000001</v>
      </c>
      <c r="G1652" s="8">
        <v>-3.1322500999999998</v>
      </c>
      <c r="H1652" s="6" t="str">
        <f t="shared" si="12"/>
        <v>Direct</v>
      </c>
      <c r="I1652" s="8" t="s">
        <v>2605</v>
      </c>
      <c r="J1652" s="8" t="s">
        <v>2605</v>
      </c>
    </row>
    <row r="1653" spans="1:10" x14ac:dyDescent="0.2">
      <c r="A1653" s="8" t="s">
        <v>56</v>
      </c>
      <c r="B1653" s="8" t="s">
        <v>73</v>
      </c>
      <c r="C1653" s="8" t="s">
        <v>2606</v>
      </c>
      <c r="D1653" s="8" t="s">
        <v>2607</v>
      </c>
      <c r="E1653" s="8" t="s">
        <v>2608</v>
      </c>
      <c r="F1653" s="8">
        <v>2.4268914700000002</v>
      </c>
      <c r="G1653" s="8">
        <v>1.8390778400000001</v>
      </c>
      <c r="H1653" s="6" t="str">
        <f t="shared" si="12"/>
        <v>Direct</v>
      </c>
      <c r="I1653" s="8" t="s">
        <v>2609</v>
      </c>
      <c r="J1653" s="8" t="s">
        <v>2610</v>
      </c>
    </row>
    <row r="1654" spans="1:10" x14ac:dyDescent="0.2">
      <c r="A1654" s="8" t="s">
        <v>56</v>
      </c>
      <c r="B1654" s="8" t="s">
        <v>73</v>
      </c>
      <c r="C1654" s="8" t="s">
        <v>2611</v>
      </c>
      <c r="D1654" s="8" t="s">
        <v>2612</v>
      </c>
      <c r="E1654" s="8" t="s">
        <v>2613</v>
      </c>
      <c r="F1654" s="8">
        <v>-1.3686654</v>
      </c>
      <c r="G1654" s="8">
        <v>-5.6056533999999996</v>
      </c>
      <c r="H1654" s="6" t="str">
        <f t="shared" si="12"/>
        <v>Direct</v>
      </c>
      <c r="I1654" s="8" t="s">
        <v>2614</v>
      </c>
      <c r="J1654" s="8" t="s">
        <v>2614</v>
      </c>
    </row>
    <row r="1655" spans="1:10" x14ac:dyDescent="0.2">
      <c r="A1655" s="8" t="s">
        <v>56</v>
      </c>
      <c r="B1655" s="8" t="s">
        <v>78</v>
      </c>
      <c r="C1655" s="8" t="s">
        <v>4306</v>
      </c>
      <c r="D1655" s="8" t="s">
        <v>4307</v>
      </c>
      <c r="E1655" s="8" t="s">
        <v>4308</v>
      </c>
      <c r="F1655" s="8">
        <v>-3.7558663000000001</v>
      </c>
      <c r="G1655" s="8">
        <v>-1.9585956</v>
      </c>
      <c r="H1655" s="6" t="str">
        <f t="shared" si="12"/>
        <v>Direct</v>
      </c>
      <c r="I1655" s="8" t="s">
        <v>4309</v>
      </c>
      <c r="J1655" s="8" t="s">
        <v>4309</v>
      </c>
    </row>
    <row r="1656" spans="1:10" x14ac:dyDescent="0.2">
      <c r="A1656" s="8" t="s">
        <v>56</v>
      </c>
      <c r="B1656" s="8" t="s">
        <v>83</v>
      </c>
      <c r="C1656" s="8" t="s">
        <v>1605</v>
      </c>
      <c r="D1656" s="8" t="s">
        <v>1606</v>
      </c>
      <c r="E1656" s="8" t="s">
        <v>1607</v>
      </c>
      <c r="F1656" s="8">
        <v>-3.1142915000000002</v>
      </c>
      <c r="G1656" s="8">
        <v>-2.2177988000000002</v>
      </c>
      <c r="H1656" s="6" t="str">
        <f t="shared" si="12"/>
        <v>Direct</v>
      </c>
      <c r="I1656" s="6" t="s">
        <v>1608</v>
      </c>
      <c r="J1656" s="8" t="s">
        <v>459</v>
      </c>
    </row>
    <row r="1657" spans="1:10" x14ac:dyDescent="0.2">
      <c r="A1657" s="8" t="s">
        <v>56</v>
      </c>
      <c r="B1657" s="8" t="s">
        <v>83</v>
      </c>
      <c r="C1657" s="8" t="s">
        <v>2623</v>
      </c>
      <c r="D1657" s="8" t="s">
        <v>2624</v>
      </c>
      <c r="E1657" s="8" t="s">
        <v>2625</v>
      </c>
      <c r="F1657" s="8">
        <v>1.6121246499999999</v>
      </c>
      <c r="G1657" s="8">
        <v>-1.0867431999999999</v>
      </c>
      <c r="H1657" s="6" t="str">
        <f t="shared" si="12"/>
        <v>Inverse</v>
      </c>
      <c r="I1657" s="6" t="s">
        <v>2626</v>
      </c>
      <c r="J1657" s="8" t="s">
        <v>2626</v>
      </c>
    </row>
    <row r="1658" spans="1:10" x14ac:dyDescent="0.2">
      <c r="A1658" s="8" t="s">
        <v>56</v>
      </c>
      <c r="B1658" s="8" t="s">
        <v>83</v>
      </c>
      <c r="C1658" s="8" t="s">
        <v>4579</v>
      </c>
      <c r="D1658" s="8" t="s">
        <v>4580</v>
      </c>
      <c r="E1658" s="8" t="s">
        <v>4581</v>
      </c>
      <c r="F1658" s="8">
        <v>-1.3807202000000001</v>
      </c>
      <c r="G1658" s="8">
        <v>-1.2302135000000001</v>
      </c>
      <c r="H1658" s="6" t="str">
        <f t="shared" si="12"/>
        <v>Direct</v>
      </c>
      <c r="I1658" s="6" t="s">
        <v>1526</v>
      </c>
      <c r="J1658" s="8" t="s">
        <v>1526</v>
      </c>
    </row>
    <row r="1659" spans="1:10" x14ac:dyDescent="0.2">
      <c r="A1659" s="8" t="s">
        <v>56</v>
      </c>
      <c r="B1659" s="8" t="s">
        <v>83</v>
      </c>
      <c r="C1659" s="8" t="s">
        <v>31</v>
      </c>
      <c r="D1659" s="8" t="s">
        <v>32</v>
      </c>
      <c r="E1659" s="8" t="s">
        <v>33</v>
      </c>
      <c r="F1659" s="8">
        <v>-1.2738406</v>
      </c>
      <c r="G1659" s="8">
        <v>1.6817157300000001</v>
      </c>
      <c r="H1659" s="6" t="str">
        <f t="shared" si="12"/>
        <v>Inverse</v>
      </c>
      <c r="I1659" s="6" t="s">
        <v>34</v>
      </c>
      <c r="J1659" s="8" t="s">
        <v>34</v>
      </c>
    </row>
    <row r="1660" spans="1:10" x14ac:dyDescent="0.2">
      <c r="A1660" s="8" t="s">
        <v>56</v>
      </c>
      <c r="B1660" s="8" t="s">
        <v>83</v>
      </c>
      <c r="C1660" s="8" t="s">
        <v>4582</v>
      </c>
      <c r="D1660" s="8" t="s">
        <v>4583</v>
      </c>
      <c r="E1660" s="8" t="s">
        <v>4584</v>
      </c>
      <c r="F1660" s="8">
        <v>-1.9417169000000001</v>
      </c>
      <c r="G1660" s="8">
        <v>1.0188476399999999</v>
      </c>
      <c r="H1660" s="6" t="str">
        <f t="shared" si="12"/>
        <v>Inverse</v>
      </c>
      <c r="I1660" s="6" t="s">
        <v>4585</v>
      </c>
      <c r="J1660" s="8" t="s">
        <v>4585</v>
      </c>
    </row>
    <row r="1661" spans="1:10" x14ac:dyDescent="0.2">
      <c r="A1661" s="8" t="s">
        <v>56</v>
      </c>
      <c r="B1661" s="8" t="s">
        <v>83</v>
      </c>
      <c r="C1661" s="8" t="s">
        <v>2631</v>
      </c>
      <c r="D1661" s="8" t="s">
        <v>2632</v>
      </c>
      <c r="E1661" s="8" t="s">
        <v>2633</v>
      </c>
      <c r="F1661" s="8">
        <v>-3.0316371000000002</v>
      </c>
      <c r="G1661" s="8">
        <v>1.05089586</v>
      </c>
      <c r="H1661" s="6" t="str">
        <f t="shared" si="12"/>
        <v>Inverse</v>
      </c>
      <c r="I1661" s="6" t="s">
        <v>2634</v>
      </c>
      <c r="J1661" s="8" t="s">
        <v>2337</v>
      </c>
    </row>
    <row r="1662" spans="1:10" x14ac:dyDescent="0.2">
      <c r="A1662" s="8" t="s">
        <v>56</v>
      </c>
      <c r="B1662" s="8" t="s">
        <v>83</v>
      </c>
      <c r="C1662" s="8" t="s">
        <v>4586</v>
      </c>
      <c r="D1662" s="8" t="s">
        <v>4587</v>
      </c>
      <c r="E1662" s="8" t="s">
        <v>4588</v>
      </c>
      <c r="F1662" s="8">
        <v>1.3058057199999999</v>
      </c>
      <c r="G1662" s="8">
        <v>2.2103555899999998</v>
      </c>
      <c r="H1662" s="6" t="str">
        <f t="shared" si="12"/>
        <v>Direct</v>
      </c>
      <c r="I1662" s="6" t="s">
        <v>319</v>
      </c>
      <c r="J1662" s="8" t="s">
        <v>319</v>
      </c>
    </row>
    <row r="1663" spans="1:10" x14ac:dyDescent="0.2">
      <c r="A1663" s="8" t="s">
        <v>56</v>
      </c>
      <c r="B1663" s="8" t="s">
        <v>83</v>
      </c>
      <c r="C1663" s="8" t="s">
        <v>4589</v>
      </c>
      <c r="D1663" s="8" t="s">
        <v>4590</v>
      </c>
      <c r="E1663" s="8" t="s">
        <v>4591</v>
      </c>
      <c r="F1663" s="8">
        <v>1.4514441300000001</v>
      </c>
      <c r="G1663" s="8">
        <v>-2.2326391999999999</v>
      </c>
      <c r="H1663" s="6" t="str">
        <f t="shared" si="12"/>
        <v>Inverse</v>
      </c>
      <c r="I1663" s="6" t="s">
        <v>50</v>
      </c>
      <c r="J1663" s="8" t="s">
        <v>1621</v>
      </c>
    </row>
    <row r="1664" spans="1:10" x14ac:dyDescent="0.2">
      <c r="A1664" s="8" t="s">
        <v>56</v>
      </c>
      <c r="B1664" s="8" t="s">
        <v>83</v>
      </c>
      <c r="C1664" s="8" t="s">
        <v>4592</v>
      </c>
      <c r="D1664" s="8" t="s">
        <v>4593</v>
      </c>
      <c r="E1664" s="8" t="s">
        <v>4594</v>
      </c>
      <c r="F1664" s="8">
        <v>-1.6595655</v>
      </c>
      <c r="G1664" s="8">
        <v>-1.3352695000000001</v>
      </c>
      <c r="H1664" s="6" t="str">
        <f t="shared" si="12"/>
        <v>Direct</v>
      </c>
      <c r="I1664" s="6" t="s">
        <v>4595</v>
      </c>
      <c r="J1664" s="8" t="s">
        <v>4595</v>
      </c>
    </row>
    <row r="1665" spans="1:10" x14ac:dyDescent="0.2">
      <c r="A1665" s="8" t="s">
        <v>56</v>
      </c>
      <c r="B1665" s="8" t="s">
        <v>83</v>
      </c>
      <c r="C1665" s="8" t="s">
        <v>4146</v>
      </c>
      <c r="D1665" s="8" t="s">
        <v>4147</v>
      </c>
      <c r="E1665" s="8" t="s">
        <v>4148</v>
      </c>
      <c r="F1665" s="8">
        <v>1.3135743099999999</v>
      </c>
      <c r="G1665" s="8">
        <v>1.2256968800000001</v>
      </c>
      <c r="H1665" s="6" t="str">
        <f t="shared" si="12"/>
        <v>Direct</v>
      </c>
      <c r="I1665" s="6" t="s">
        <v>2541</v>
      </c>
      <c r="J1665" s="8" t="s">
        <v>2541</v>
      </c>
    </row>
    <row r="1666" spans="1:10" x14ac:dyDescent="0.2">
      <c r="A1666" s="8" t="s">
        <v>56</v>
      </c>
      <c r="B1666" s="8" t="s">
        <v>83</v>
      </c>
      <c r="C1666" s="8" t="s">
        <v>4596</v>
      </c>
      <c r="D1666" s="8" t="s">
        <v>4597</v>
      </c>
      <c r="E1666" s="8" t="s">
        <v>4598</v>
      </c>
      <c r="F1666" s="8">
        <v>1.1175413999999999</v>
      </c>
      <c r="G1666" s="8">
        <v>-2.0300208</v>
      </c>
      <c r="H1666" s="6" t="str">
        <f t="shared" si="12"/>
        <v>Inverse</v>
      </c>
      <c r="I1666" s="6" t="s">
        <v>1039</v>
      </c>
      <c r="J1666" s="8" t="s">
        <v>1039</v>
      </c>
    </row>
    <row r="1667" spans="1:10" x14ac:dyDescent="0.2">
      <c r="A1667" s="8" t="s">
        <v>56</v>
      </c>
      <c r="B1667" s="8" t="s">
        <v>83</v>
      </c>
      <c r="C1667" s="8" t="s">
        <v>4149</v>
      </c>
      <c r="D1667" s="8" t="s">
        <v>4150</v>
      </c>
      <c r="E1667" s="8" t="s">
        <v>4151</v>
      </c>
      <c r="F1667" s="8">
        <v>1.6712267199999999</v>
      </c>
      <c r="G1667" s="8">
        <v>-3.3077586000000001</v>
      </c>
      <c r="H1667" s="6" t="str">
        <f t="shared" si="12"/>
        <v>Inverse</v>
      </c>
      <c r="I1667" s="6" t="s">
        <v>116</v>
      </c>
      <c r="J1667" s="8" t="s">
        <v>4152</v>
      </c>
    </row>
    <row r="1668" spans="1:10" x14ac:dyDescent="0.2">
      <c r="A1668" s="8" t="s">
        <v>56</v>
      </c>
      <c r="B1668" s="8" t="s">
        <v>83</v>
      </c>
      <c r="C1668" s="8" t="s">
        <v>2651</v>
      </c>
      <c r="D1668" s="8" t="s">
        <v>2652</v>
      </c>
      <c r="E1668" s="8" t="s">
        <v>2653</v>
      </c>
      <c r="F1668" s="8">
        <v>1.33664107</v>
      </c>
      <c r="G1668" s="8">
        <v>1.5077383099999999</v>
      </c>
      <c r="H1668" s="6" t="str">
        <f t="shared" si="12"/>
        <v>Direct</v>
      </c>
      <c r="I1668" s="6" t="s">
        <v>2654</v>
      </c>
      <c r="J1668" s="8" t="s">
        <v>2654</v>
      </c>
    </row>
    <row r="1669" spans="1:10" x14ac:dyDescent="0.2">
      <c r="A1669" s="8" t="s">
        <v>56</v>
      </c>
      <c r="B1669" s="8" t="s">
        <v>83</v>
      </c>
      <c r="C1669" s="8" t="s">
        <v>4599</v>
      </c>
      <c r="D1669" s="8" t="s">
        <v>4600</v>
      </c>
      <c r="E1669" s="8" t="s">
        <v>4601</v>
      </c>
      <c r="F1669" s="8">
        <v>-3.1327932999999999</v>
      </c>
      <c r="G1669" s="8">
        <v>1.09135231</v>
      </c>
      <c r="H1669" s="6" t="str">
        <f t="shared" si="12"/>
        <v>Inverse</v>
      </c>
      <c r="I1669" s="6" t="s">
        <v>50</v>
      </c>
      <c r="J1669" s="8" t="s">
        <v>918</v>
      </c>
    </row>
    <row r="1670" spans="1:10" x14ac:dyDescent="0.2">
      <c r="A1670" s="8" t="s">
        <v>56</v>
      </c>
      <c r="B1670" s="8" t="s">
        <v>83</v>
      </c>
      <c r="C1670" s="8" t="s">
        <v>103</v>
      </c>
      <c r="D1670" s="8" t="s">
        <v>104</v>
      </c>
      <c r="E1670" s="8" t="s">
        <v>105</v>
      </c>
      <c r="F1670" s="8">
        <v>2.14777774</v>
      </c>
      <c r="G1670" s="8">
        <v>2.2084666799999999</v>
      </c>
      <c r="H1670" s="6" t="str">
        <f t="shared" si="12"/>
        <v>Direct</v>
      </c>
      <c r="I1670" s="6" t="s">
        <v>106</v>
      </c>
      <c r="J1670" s="8" t="s">
        <v>107</v>
      </c>
    </row>
    <row r="1671" spans="1:10" x14ac:dyDescent="0.2">
      <c r="A1671" s="8" t="s">
        <v>56</v>
      </c>
      <c r="B1671" s="8" t="s">
        <v>83</v>
      </c>
      <c r="C1671" s="8" t="s">
        <v>4602</v>
      </c>
      <c r="D1671" s="8" t="s">
        <v>4603</v>
      </c>
      <c r="E1671" s="8" t="s">
        <v>4604</v>
      </c>
      <c r="F1671" s="8">
        <v>1.2277295100000001</v>
      </c>
      <c r="G1671" s="8">
        <v>-1.6743451</v>
      </c>
      <c r="H1671" s="6" t="str">
        <f t="shared" si="12"/>
        <v>Inverse</v>
      </c>
      <c r="I1671" s="6" t="s">
        <v>50</v>
      </c>
      <c r="J1671" s="8" t="s">
        <v>4605</v>
      </c>
    </row>
    <row r="1672" spans="1:10" x14ac:dyDescent="0.2">
      <c r="A1672" s="8" t="s">
        <v>56</v>
      </c>
      <c r="B1672" s="8" t="s">
        <v>83</v>
      </c>
      <c r="C1672" s="8" t="s">
        <v>1627</v>
      </c>
      <c r="D1672" s="8" t="s">
        <v>1628</v>
      </c>
      <c r="E1672" s="8" t="s">
        <v>1629</v>
      </c>
      <c r="F1672" s="8">
        <v>-2.9312668</v>
      </c>
      <c r="G1672" s="8">
        <v>-3.4198415999999998</v>
      </c>
      <c r="H1672" s="6" t="str">
        <f t="shared" si="12"/>
        <v>Direct</v>
      </c>
      <c r="I1672" s="6" t="s">
        <v>1630</v>
      </c>
      <c r="J1672" s="8" t="s">
        <v>1630</v>
      </c>
    </row>
    <row r="1673" spans="1:10" x14ac:dyDescent="0.2">
      <c r="A1673" s="8" t="s">
        <v>56</v>
      </c>
      <c r="B1673" s="8" t="s">
        <v>83</v>
      </c>
      <c r="C1673" s="8" t="s">
        <v>4606</v>
      </c>
      <c r="D1673" s="8" t="s">
        <v>4607</v>
      </c>
      <c r="E1673" s="8" t="s">
        <v>4608</v>
      </c>
      <c r="F1673" s="8">
        <v>-1.0596757999999999</v>
      </c>
      <c r="G1673" s="8">
        <v>-1.2045509000000001</v>
      </c>
      <c r="H1673" s="6" t="str">
        <f t="shared" si="12"/>
        <v>Direct</v>
      </c>
      <c r="I1673" s="6" t="s">
        <v>4025</v>
      </c>
      <c r="J1673" s="8" t="s">
        <v>4025</v>
      </c>
    </row>
    <row r="1674" spans="1:10" x14ac:dyDescent="0.2">
      <c r="A1674" s="8" t="s">
        <v>56</v>
      </c>
      <c r="B1674" s="8" t="s">
        <v>83</v>
      </c>
      <c r="C1674" s="8" t="s">
        <v>2655</v>
      </c>
      <c r="D1674" s="8" t="s">
        <v>2656</v>
      </c>
      <c r="E1674" s="8" t="s">
        <v>2657</v>
      </c>
      <c r="F1674" s="8">
        <v>-2.1206594999999999</v>
      </c>
      <c r="G1674" s="8">
        <v>-3.0012522000000001</v>
      </c>
      <c r="H1674" s="6" t="str">
        <f t="shared" si="12"/>
        <v>Direct</v>
      </c>
      <c r="I1674" s="6" t="s">
        <v>2078</v>
      </c>
      <c r="J1674" s="8" t="s">
        <v>2078</v>
      </c>
    </row>
    <row r="1675" spans="1:10" x14ac:dyDescent="0.2">
      <c r="A1675" s="8" t="s">
        <v>56</v>
      </c>
      <c r="B1675" s="8" t="s">
        <v>83</v>
      </c>
      <c r="C1675" s="8" t="s">
        <v>4609</v>
      </c>
      <c r="D1675" s="8" t="s">
        <v>4610</v>
      </c>
      <c r="E1675" s="8" t="s">
        <v>4611</v>
      </c>
      <c r="F1675" s="8">
        <v>1.35990794</v>
      </c>
      <c r="G1675" s="8">
        <v>1.0172816499999999</v>
      </c>
      <c r="H1675" s="6" t="str">
        <f t="shared" si="12"/>
        <v>Direct</v>
      </c>
      <c r="I1675" s="6" t="s">
        <v>4612</v>
      </c>
      <c r="J1675" s="8" t="s">
        <v>4612</v>
      </c>
    </row>
    <row r="1676" spans="1:10" x14ac:dyDescent="0.2">
      <c r="A1676" s="8" t="s">
        <v>56</v>
      </c>
      <c r="B1676" s="8" t="s">
        <v>83</v>
      </c>
      <c r="C1676" s="8" t="s">
        <v>1631</v>
      </c>
      <c r="D1676" s="8" t="s">
        <v>1632</v>
      </c>
      <c r="E1676" s="8" t="s">
        <v>1633</v>
      </c>
      <c r="F1676" s="8">
        <v>-1.094104</v>
      </c>
      <c r="G1676" s="8">
        <v>-1.1885311000000001</v>
      </c>
      <c r="H1676" s="6" t="str">
        <f t="shared" si="12"/>
        <v>Direct</v>
      </c>
      <c r="I1676" s="6" t="s">
        <v>459</v>
      </c>
      <c r="J1676" s="8" t="s">
        <v>459</v>
      </c>
    </row>
    <row r="1677" spans="1:10" x14ac:dyDescent="0.2">
      <c r="A1677" s="8" t="s">
        <v>56</v>
      </c>
      <c r="B1677" s="8" t="s">
        <v>83</v>
      </c>
      <c r="C1677" s="8" t="s">
        <v>1634</v>
      </c>
      <c r="D1677" s="8" t="s">
        <v>1635</v>
      </c>
      <c r="E1677" s="8" t="s">
        <v>1636</v>
      </c>
      <c r="F1677" s="8">
        <v>-1.1587467</v>
      </c>
      <c r="G1677" s="8">
        <v>-2.7512740999999998</v>
      </c>
      <c r="H1677" s="6" t="str">
        <f t="shared" si="12"/>
        <v>Direct</v>
      </c>
      <c r="I1677" s="6" t="s">
        <v>1637</v>
      </c>
      <c r="J1677" s="8" t="s">
        <v>1637</v>
      </c>
    </row>
    <row r="1678" spans="1:10" x14ac:dyDescent="0.2">
      <c r="A1678" s="8" t="s">
        <v>56</v>
      </c>
      <c r="B1678" s="8" t="s">
        <v>83</v>
      </c>
      <c r="C1678" s="8" t="s">
        <v>1519</v>
      </c>
      <c r="D1678" s="8" t="s">
        <v>1520</v>
      </c>
      <c r="E1678" s="8" t="s">
        <v>1521</v>
      </c>
      <c r="F1678" s="8">
        <v>1.1439342699999999</v>
      </c>
      <c r="G1678" s="8">
        <v>3.26633386</v>
      </c>
      <c r="H1678" s="6" t="str">
        <f t="shared" si="12"/>
        <v>Direct</v>
      </c>
      <c r="I1678" s="6" t="s">
        <v>50</v>
      </c>
      <c r="J1678" s="8" t="s">
        <v>1522</v>
      </c>
    </row>
    <row r="1679" spans="1:10" x14ac:dyDescent="0.2">
      <c r="A1679" s="8" t="s">
        <v>56</v>
      </c>
      <c r="B1679" s="8" t="s">
        <v>83</v>
      </c>
      <c r="C1679" s="8" t="s">
        <v>1638</v>
      </c>
      <c r="D1679" s="8" t="s">
        <v>1639</v>
      </c>
      <c r="E1679" s="8" t="s">
        <v>1640</v>
      </c>
      <c r="F1679" s="8">
        <v>-1.1920219999999999</v>
      </c>
      <c r="G1679" s="8">
        <v>-6.4550077999999997</v>
      </c>
      <c r="H1679" s="6" t="str">
        <f t="shared" si="12"/>
        <v>Direct</v>
      </c>
      <c r="I1679" s="6" t="s">
        <v>567</v>
      </c>
      <c r="J1679" s="8" t="s">
        <v>1641</v>
      </c>
    </row>
    <row r="1680" spans="1:10" x14ac:dyDescent="0.2">
      <c r="A1680" s="8" t="s">
        <v>56</v>
      </c>
      <c r="B1680" s="8" t="s">
        <v>83</v>
      </c>
      <c r="C1680" s="8" t="s">
        <v>2658</v>
      </c>
      <c r="D1680" s="8" t="s">
        <v>2659</v>
      </c>
      <c r="E1680" s="8" t="s">
        <v>2660</v>
      </c>
      <c r="F1680" s="8">
        <v>6.1768181100000001</v>
      </c>
      <c r="G1680" s="8">
        <v>-10.421055000000001</v>
      </c>
      <c r="H1680" s="6" t="str">
        <f t="shared" si="12"/>
        <v>Inverse</v>
      </c>
      <c r="I1680" s="6" t="s">
        <v>2661</v>
      </c>
      <c r="J1680" s="8" t="s">
        <v>449</v>
      </c>
    </row>
    <row r="1681" spans="1:10" x14ac:dyDescent="0.2">
      <c r="A1681" s="8" t="s">
        <v>56</v>
      </c>
      <c r="B1681" s="8" t="s">
        <v>83</v>
      </c>
      <c r="C1681" s="8" t="s">
        <v>118</v>
      </c>
      <c r="D1681" s="8" t="s">
        <v>4613</v>
      </c>
      <c r="E1681" s="8" t="s">
        <v>4614</v>
      </c>
      <c r="F1681" s="8">
        <v>-2.0260676000000002</v>
      </c>
      <c r="G1681" s="8">
        <v>4.1176776799999999</v>
      </c>
      <c r="H1681" s="6" t="str">
        <f t="shared" si="12"/>
        <v>Inverse</v>
      </c>
      <c r="I1681" s="6" t="s">
        <v>122</v>
      </c>
      <c r="J1681" s="8" t="s">
        <v>122</v>
      </c>
    </row>
    <row r="1682" spans="1:10" x14ac:dyDescent="0.2">
      <c r="A1682" s="8" t="s">
        <v>56</v>
      </c>
      <c r="B1682" s="8" t="s">
        <v>83</v>
      </c>
      <c r="C1682" s="8" t="s">
        <v>2662</v>
      </c>
      <c r="D1682" s="8" t="s">
        <v>2663</v>
      </c>
      <c r="E1682" s="8" t="s">
        <v>2664</v>
      </c>
      <c r="F1682" s="8">
        <v>-1.3680558</v>
      </c>
      <c r="G1682" s="8">
        <v>-2.6916547999999998</v>
      </c>
      <c r="H1682" s="6" t="str">
        <f t="shared" si="12"/>
        <v>Direct</v>
      </c>
      <c r="I1682" s="6" t="s">
        <v>2665</v>
      </c>
      <c r="J1682" s="8" t="s">
        <v>2665</v>
      </c>
    </row>
    <row r="1683" spans="1:10" x14ac:dyDescent="0.2">
      <c r="A1683" s="8" t="s">
        <v>56</v>
      </c>
      <c r="B1683" s="8" t="s">
        <v>83</v>
      </c>
      <c r="C1683" s="8" t="s">
        <v>2666</v>
      </c>
      <c r="D1683" s="8" t="s">
        <v>2667</v>
      </c>
      <c r="E1683" s="8" t="s">
        <v>2668</v>
      </c>
      <c r="F1683" s="8">
        <v>-1.3094520999999999</v>
      </c>
      <c r="G1683" s="8">
        <v>4.8868417700000002</v>
      </c>
      <c r="H1683" s="6" t="str">
        <f t="shared" si="12"/>
        <v>Inverse</v>
      </c>
      <c r="I1683" s="6" t="s">
        <v>2669</v>
      </c>
      <c r="J1683" s="8" t="s">
        <v>2669</v>
      </c>
    </row>
    <row r="1684" spans="1:10" x14ac:dyDescent="0.2">
      <c r="A1684" s="8" t="s">
        <v>56</v>
      </c>
      <c r="B1684" s="8" t="s">
        <v>83</v>
      </c>
      <c r="C1684" s="8" t="s">
        <v>2670</v>
      </c>
      <c r="D1684" s="8" t="s">
        <v>2671</v>
      </c>
      <c r="E1684" s="8" t="s">
        <v>2672</v>
      </c>
      <c r="F1684" s="8">
        <v>-1.1669982999999999</v>
      </c>
      <c r="G1684" s="8">
        <v>-4.1967553000000004</v>
      </c>
      <c r="H1684" s="6" t="str">
        <f t="shared" si="12"/>
        <v>Direct</v>
      </c>
      <c r="I1684" s="6" t="s">
        <v>50</v>
      </c>
      <c r="J1684" s="8" t="s">
        <v>2673</v>
      </c>
    </row>
    <row r="1685" spans="1:10" x14ac:dyDescent="0.2">
      <c r="A1685" s="8" t="s">
        <v>56</v>
      </c>
      <c r="B1685" s="8" t="s">
        <v>83</v>
      </c>
      <c r="C1685" s="8" t="s">
        <v>2674</v>
      </c>
      <c r="D1685" s="8" t="s">
        <v>2675</v>
      </c>
      <c r="E1685" s="8" t="s">
        <v>2676</v>
      </c>
      <c r="F1685" s="8">
        <v>-1.4134196999999999</v>
      </c>
      <c r="G1685" s="8">
        <v>-1.1152841</v>
      </c>
      <c r="H1685" s="6" t="str">
        <f t="shared" si="12"/>
        <v>Direct</v>
      </c>
      <c r="I1685" s="6" t="s">
        <v>50</v>
      </c>
      <c r="J1685" s="8" t="s">
        <v>2677</v>
      </c>
    </row>
    <row r="1686" spans="1:10" x14ac:dyDescent="0.2">
      <c r="A1686" s="8" t="s">
        <v>56</v>
      </c>
      <c r="B1686" s="8" t="s">
        <v>83</v>
      </c>
      <c r="C1686" s="8" t="s">
        <v>1650</v>
      </c>
      <c r="D1686" s="8" t="s">
        <v>1651</v>
      </c>
      <c r="E1686" s="8" t="s">
        <v>1652</v>
      </c>
      <c r="F1686" s="8">
        <v>7.1023833099999996</v>
      </c>
      <c r="G1686" s="8">
        <v>7.8120851399999998</v>
      </c>
      <c r="H1686" s="6" t="str">
        <f t="shared" si="12"/>
        <v>Direct</v>
      </c>
      <c r="I1686" s="6" t="s">
        <v>50</v>
      </c>
      <c r="J1686" s="8" t="s">
        <v>107</v>
      </c>
    </row>
    <row r="1687" spans="1:10" x14ac:dyDescent="0.2">
      <c r="A1687" s="8" t="s">
        <v>56</v>
      </c>
      <c r="B1687" s="8" t="s">
        <v>83</v>
      </c>
      <c r="C1687" s="8" t="s">
        <v>1653</v>
      </c>
      <c r="D1687" s="8" t="s">
        <v>1654</v>
      </c>
      <c r="E1687" s="8" t="s">
        <v>1655</v>
      </c>
      <c r="F1687" s="8">
        <v>-3.8844802</v>
      </c>
      <c r="G1687" s="8">
        <v>1.02533564</v>
      </c>
      <c r="H1687" s="6" t="str">
        <f t="shared" si="12"/>
        <v>Inverse</v>
      </c>
      <c r="I1687" s="6" t="s">
        <v>1656</v>
      </c>
      <c r="J1687" s="8" t="s">
        <v>1656</v>
      </c>
    </row>
    <row r="1688" spans="1:10" x14ac:dyDescent="0.2">
      <c r="A1688" s="8" t="s">
        <v>56</v>
      </c>
      <c r="B1688" s="8" t="s">
        <v>83</v>
      </c>
      <c r="C1688" s="8" t="s">
        <v>4615</v>
      </c>
      <c r="D1688" s="8" t="s">
        <v>4616</v>
      </c>
      <c r="E1688" s="8" t="s">
        <v>4617</v>
      </c>
      <c r="F1688" s="8">
        <v>1.07270215</v>
      </c>
      <c r="G1688" s="8">
        <v>3.8486481100000001</v>
      </c>
      <c r="H1688" s="6" t="str">
        <f t="shared" si="12"/>
        <v>Direct</v>
      </c>
      <c r="I1688" s="6" t="s">
        <v>327</v>
      </c>
      <c r="J1688" s="8" t="s">
        <v>327</v>
      </c>
    </row>
    <row r="1689" spans="1:10" x14ac:dyDescent="0.2">
      <c r="A1689" s="8" t="s">
        <v>56</v>
      </c>
      <c r="B1689" s="8" t="s">
        <v>83</v>
      </c>
      <c r="C1689" s="8" t="s">
        <v>4618</v>
      </c>
      <c r="D1689" s="8" t="s">
        <v>4619</v>
      </c>
      <c r="E1689" s="8" t="s">
        <v>4620</v>
      </c>
      <c r="F1689" s="8">
        <v>2.7204264600000001</v>
      </c>
      <c r="G1689" s="8">
        <v>-1.2631772999999999</v>
      </c>
      <c r="H1689" s="6" t="str">
        <f t="shared" si="12"/>
        <v>Inverse</v>
      </c>
      <c r="I1689" s="6" t="s">
        <v>50</v>
      </c>
      <c r="J1689" s="8" t="s">
        <v>4621</v>
      </c>
    </row>
    <row r="1690" spans="1:10" x14ac:dyDescent="0.2">
      <c r="A1690" s="8" t="s">
        <v>56</v>
      </c>
      <c r="B1690" s="8" t="s">
        <v>83</v>
      </c>
      <c r="C1690" s="8" t="s">
        <v>2681</v>
      </c>
      <c r="D1690" s="8" t="s">
        <v>2682</v>
      </c>
      <c r="E1690" s="8" t="s">
        <v>2683</v>
      </c>
      <c r="F1690" s="8">
        <v>1.2261467500000001</v>
      </c>
      <c r="G1690" s="8">
        <v>-1.5548785000000001</v>
      </c>
      <c r="H1690" s="6" t="str">
        <f t="shared" si="12"/>
        <v>Inverse</v>
      </c>
      <c r="I1690" s="6" t="s">
        <v>2684</v>
      </c>
      <c r="J1690" s="8" t="s">
        <v>2684</v>
      </c>
    </row>
    <row r="1691" spans="1:10" x14ac:dyDescent="0.2">
      <c r="A1691" s="8" t="s">
        <v>56</v>
      </c>
      <c r="B1691" s="8" t="s">
        <v>83</v>
      </c>
      <c r="C1691" s="8" t="s">
        <v>2694</v>
      </c>
      <c r="D1691" s="8" t="s">
        <v>2695</v>
      </c>
      <c r="E1691" s="8" t="s">
        <v>2696</v>
      </c>
      <c r="F1691" s="8">
        <v>-1.4552826999999999</v>
      </c>
      <c r="G1691" s="8">
        <v>-1.3148576000000001</v>
      </c>
      <c r="H1691" s="6" t="str">
        <f t="shared" si="12"/>
        <v>Direct</v>
      </c>
      <c r="I1691" s="6" t="s">
        <v>2697</v>
      </c>
      <c r="J1691" s="8" t="s">
        <v>2697</v>
      </c>
    </row>
    <row r="1692" spans="1:10" x14ac:dyDescent="0.2">
      <c r="A1692" s="8" t="s">
        <v>56</v>
      </c>
      <c r="B1692" s="8" t="s">
        <v>83</v>
      </c>
      <c r="C1692" s="8" t="s">
        <v>1661</v>
      </c>
      <c r="D1692" s="8" t="s">
        <v>1662</v>
      </c>
      <c r="E1692" s="8" t="s">
        <v>1663</v>
      </c>
      <c r="F1692" s="8">
        <v>-2.4916087</v>
      </c>
      <c r="G1692" s="8">
        <v>-2.3542960000000002</v>
      </c>
      <c r="H1692" s="6" t="str">
        <f t="shared" si="12"/>
        <v>Direct</v>
      </c>
      <c r="I1692" s="6" t="s">
        <v>1664</v>
      </c>
      <c r="J1692" s="8" t="s">
        <v>1664</v>
      </c>
    </row>
    <row r="1693" spans="1:10" x14ac:dyDescent="0.2">
      <c r="A1693" s="8" t="s">
        <v>56</v>
      </c>
      <c r="B1693" s="8" t="s">
        <v>83</v>
      </c>
      <c r="C1693" s="8" t="s">
        <v>4173</v>
      </c>
      <c r="D1693" s="8" t="s">
        <v>4174</v>
      </c>
      <c r="E1693" s="8" t="s">
        <v>4175</v>
      </c>
      <c r="F1693" s="8">
        <v>-1.7198966</v>
      </c>
      <c r="G1693" s="8">
        <v>2.9898248000000001</v>
      </c>
      <c r="H1693" s="6" t="str">
        <f t="shared" si="12"/>
        <v>Inverse</v>
      </c>
      <c r="I1693" s="6" t="s">
        <v>4176</v>
      </c>
      <c r="J1693" s="8" t="s">
        <v>4176</v>
      </c>
    </row>
    <row r="1694" spans="1:10" x14ac:dyDescent="0.2">
      <c r="A1694" s="8" t="s">
        <v>56</v>
      </c>
      <c r="B1694" s="8" t="s">
        <v>83</v>
      </c>
      <c r="C1694" s="8" t="s">
        <v>2702</v>
      </c>
      <c r="D1694" s="8" t="s">
        <v>2703</v>
      </c>
      <c r="E1694" s="8" t="s">
        <v>2704</v>
      </c>
      <c r="F1694" s="8">
        <v>1.0954340300000001</v>
      </c>
      <c r="G1694" s="8">
        <v>-1.3184726</v>
      </c>
      <c r="H1694" s="6" t="str">
        <f t="shared" si="12"/>
        <v>Inverse</v>
      </c>
      <c r="I1694" s="6" t="s">
        <v>2705</v>
      </c>
      <c r="J1694" s="8" t="s">
        <v>2705</v>
      </c>
    </row>
    <row r="1695" spans="1:10" x14ac:dyDescent="0.2">
      <c r="A1695" s="8" t="s">
        <v>56</v>
      </c>
      <c r="B1695" s="8" t="s">
        <v>83</v>
      </c>
      <c r="C1695" s="8" t="s">
        <v>2706</v>
      </c>
      <c r="D1695" s="8" t="s">
        <v>2707</v>
      </c>
      <c r="E1695" s="8" t="s">
        <v>2708</v>
      </c>
      <c r="F1695" s="8">
        <v>1.2670962299999999</v>
      </c>
      <c r="G1695" s="8">
        <v>2.81265674</v>
      </c>
      <c r="H1695" s="6" t="str">
        <f t="shared" si="12"/>
        <v>Direct</v>
      </c>
      <c r="I1695" s="6" t="s">
        <v>445</v>
      </c>
      <c r="J1695" s="8" t="s">
        <v>87</v>
      </c>
    </row>
    <row r="1696" spans="1:10" x14ac:dyDescent="0.2">
      <c r="A1696" s="8" t="s">
        <v>56</v>
      </c>
      <c r="B1696" s="8" t="s">
        <v>83</v>
      </c>
      <c r="C1696" s="8" t="s">
        <v>4622</v>
      </c>
      <c r="D1696" s="8" t="s">
        <v>4623</v>
      </c>
      <c r="E1696" s="8" t="s">
        <v>4624</v>
      </c>
      <c r="F1696" s="8">
        <v>-1.3006352000000001</v>
      </c>
      <c r="G1696" s="8">
        <v>2.4116980699999999</v>
      </c>
      <c r="H1696" s="6" t="str">
        <f t="shared" si="12"/>
        <v>Inverse</v>
      </c>
      <c r="I1696" s="6" t="s">
        <v>3308</v>
      </c>
      <c r="J1696" s="8" t="s">
        <v>3308</v>
      </c>
    </row>
    <row r="1697" spans="1:10" x14ac:dyDescent="0.2">
      <c r="A1697" s="8" t="s">
        <v>56</v>
      </c>
      <c r="B1697" s="8" t="s">
        <v>83</v>
      </c>
      <c r="C1697" s="8" t="s">
        <v>2712</v>
      </c>
      <c r="D1697" s="8" t="s">
        <v>2713</v>
      </c>
      <c r="E1697" s="8" t="s">
        <v>2714</v>
      </c>
      <c r="F1697" s="8">
        <v>-10.642161</v>
      </c>
      <c r="G1697" s="8">
        <v>-3.2389903000000002</v>
      </c>
      <c r="H1697" s="6" t="str">
        <f t="shared" si="12"/>
        <v>Direct</v>
      </c>
      <c r="I1697" s="6" t="s">
        <v>2715</v>
      </c>
      <c r="J1697" s="8" t="s">
        <v>2715</v>
      </c>
    </row>
    <row r="1698" spans="1:10" x14ac:dyDescent="0.2">
      <c r="A1698" s="8" t="s">
        <v>56</v>
      </c>
      <c r="B1698" s="8" t="s">
        <v>83</v>
      </c>
      <c r="C1698" s="8" t="s">
        <v>2724</v>
      </c>
      <c r="D1698" s="8" t="s">
        <v>2725</v>
      </c>
      <c r="E1698" s="8" t="s">
        <v>2726</v>
      </c>
      <c r="F1698" s="8">
        <v>1.7853355200000001</v>
      </c>
      <c r="G1698" s="8">
        <v>1.1188450000000001</v>
      </c>
      <c r="H1698" s="6" t="str">
        <f t="shared" si="12"/>
        <v>Direct</v>
      </c>
      <c r="I1698" s="6" t="s">
        <v>50</v>
      </c>
      <c r="J1698" s="8" t="s">
        <v>2727</v>
      </c>
    </row>
    <row r="1699" spans="1:10" x14ac:dyDescent="0.2">
      <c r="A1699" s="8" t="s">
        <v>56</v>
      </c>
      <c r="B1699" s="8" t="s">
        <v>83</v>
      </c>
      <c r="C1699" s="8" t="s">
        <v>2728</v>
      </c>
      <c r="D1699" s="8" t="s">
        <v>2729</v>
      </c>
      <c r="E1699" s="8" t="s">
        <v>2730</v>
      </c>
      <c r="F1699" s="8">
        <v>-8.4641348999999995</v>
      </c>
      <c r="G1699" s="8">
        <v>-3.4656644999999999</v>
      </c>
      <c r="H1699" s="6" t="str">
        <f t="shared" si="12"/>
        <v>Direct</v>
      </c>
      <c r="I1699" s="6" t="s">
        <v>2731</v>
      </c>
      <c r="J1699" s="8" t="s">
        <v>2731</v>
      </c>
    </row>
    <row r="1700" spans="1:10" x14ac:dyDescent="0.2">
      <c r="A1700" s="8" t="s">
        <v>56</v>
      </c>
      <c r="B1700" s="8" t="s">
        <v>83</v>
      </c>
      <c r="C1700" s="8" t="s">
        <v>2737</v>
      </c>
      <c r="D1700" s="8" t="s">
        <v>2738</v>
      </c>
      <c r="E1700" s="8" t="s">
        <v>2739</v>
      </c>
      <c r="F1700" s="8">
        <v>2.8432344299999999</v>
      </c>
      <c r="G1700" s="8">
        <v>4.9238390000000001</v>
      </c>
      <c r="H1700" s="6" t="str">
        <f t="shared" si="12"/>
        <v>Direct</v>
      </c>
      <c r="I1700" s="6" t="s">
        <v>2740</v>
      </c>
      <c r="J1700" s="8" t="s">
        <v>2740</v>
      </c>
    </row>
    <row r="1701" spans="1:10" x14ac:dyDescent="0.2">
      <c r="A1701" s="8" t="s">
        <v>56</v>
      </c>
      <c r="B1701" s="8" t="s">
        <v>83</v>
      </c>
      <c r="C1701" s="8" t="s">
        <v>2741</v>
      </c>
      <c r="D1701" s="8" t="s">
        <v>2742</v>
      </c>
      <c r="E1701" s="8" t="s">
        <v>2743</v>
      </c>
      <c r="F1701" s="8">
        <v>-2.7502635</v>
      </c>
      <c r="G1701" s="8">
        <v>3.10228708</v>
      </c>
      <c r="H1701" s="6" t="str">
        <f t="shared" si="12"/>
        <v>Inverse</v>
      </c>
      <c r="I1701" s="6" t="s">
        <v>2744</v>
      </c>
      <c r="J1701" s="8" t="s">
        <v>2745</v>
      </c>
    </row>
    <row r="1702" spans="1:10" x14ac:dyDescent="0.2">
      <c r="A1702" s="8" t="s">
        <v>56</v>
      </c>
      <c r="B1702" s="8" t="s">
        <v>83</v>
      </c>
      <c r="C1702" s="8" t="s">
        <v>4625</v>
      </c>
      <c r="D1702" s="8" t="s">
        <v>4626</v>
      </c>
      <c r="E1702" s="8" t="s">
        <v>4627</v>
      </c>
      <c r="F1702" s="8">
        <v>-1.0598726000000001</v>
      </c>
      <c r="G1702" s="8">
        <v>-2.1013674</v>
      </c>
      <c r="H1702" s="6" t="str">
        <f t="shared" si="12"/>
        <v>Direct</v>
      </c>
      <c r="I1702" s="6" t="s">
        <v>459</v>
      </c>
      <c r="J1702" s="8" t="s">
        <v>459</v>
      </c>
    </row>
    <row r="1703" spans="1:10" x14ac:dyDescent="0.2">
      <c r="A1703" s="8" t="s">
        <v>56</v>
      </c>
      <c r="B1703" s="8" t="s">
        <v>83</v>
      </c>
      <c r="C1703" s="8" t="s">
        <v>4628</v>
      </c>
      <c r="D1703" s="8" t="s">
        <v>4629</v>
      </c>
      <c r="E1703" s="8" t="s">
        <v>4630</v>
      </c>
      <c r="F1703" s="8">
        <v>13.9756968</v>
      </c>
      <c r="G1703" s="8">
        <v>1.5781693299999999</v>
      </c>
      <c r="H1703" s="6" t="str">
        <f t="shared" si="12"/>
        <v>Direct</v>
      </c>
      <c r="I1703" s="6" t="s">
        <v>4631</v>
      </c>
      <c r="J1703" s="8" t="s">
        <v>1626</v>
      </c>
    </row>
    <row r="1704" spans="1:10" x14ac:dyDescent="0.2">
      <c r="A1704" s="8" t="s">
        <v>56</v>
      </c>
      <c r="B1704" s="8" t="s">
        <v>83</v>
      </c>
      <c r="C1704" s="8" t="s">
        <v>1531</v>
      </c>
      <c r="D1704" s="8" t="s">
        <v>1532</v>
      </c>
      <c r="E1704" s="8" t="s">
        <v>1533</v>
      </c>
      <c r="F1704" s="8">
        <v>6.4982127700000003</v>
      </c>
      <c r="G1704" s="8">
        <v>1.1152596400000001</v>
      </c>
      <c r="H1704" s="6" t="str">
        <f t="shared" si="12"/>
        <v>Direct</v>
      </c>
      <c r="I1704" s="6" t="s">
        <v>1534</v>
      </c>
      <c r="J1704" s="8" t="s">
        <v>1534</v>
      </c>
    </row>
    <row r="1705" spans="1:10" x14ac:dyDescent="0.2">
      <c r="A1705" s="8" t="s">
        <v>56</v>
      </c>
      <c r="B1705" s="8" t="s">
        <v>83</v>
      </c>
      <c r="C1705" s="8" t="s">
        <v>1673</v>
      </c>
      <c r="D1705" s="8" t="s">
        <v>1674</v>
      </c>
      <c r="E1705" s="8" t="s">
        <v>1675</v>
      </c>
      <c r="F1705" s="8">
        <v>-4.8226749</v>
      </c>
      <c r="G1705" s="8">
        <v>-7.6058517999999999</v>
      </c>
      <c r="H1705" s="6" t="str">
        <f t="shared" si="12"/>
        <v>Direct</v>
      </c>
      <c r="I1705" s="6" t="s">
        <v>1676</v>
      </c>
      <c r="J1705" s="8" t="s">
        <v>1676</v>
      </c>
    </row>
    <row r="1706" spans="1:10" x14ac:dyDescent="0.2">
      <c r="A1706" s="8" t="s">
        <v>56</v>
      </c>
      <c r="B1706" s="8" t="s">
        <v>83</v>
      </c>
      <c r="C1706" s="8" t="s">
        <v>4632</v>
      </c>
      <c r="D1706" s="8" t="s">
        <v>4633</v>
      </c>
      <c r="E1706" s="8" t="s">
        <v>4634</v>
      </c>
      <c r="F1706" s="8">
        <v>1.1669013699999999</v>
      </c>
      <c r="G1706" s="8">
        <v>-1.4532223</v>
      </c>
      <c r="H1706" s="6" t="str">
        <f t="shared" si="12"/>
        <v>Inverse</v>
      </c>
      <c r="I1706" s="6" t="s">
        <v>4635</v>
      </c>
      <c r="J1706" s="8" t="s">
        <v>361</v>
      </c>
    </row>
    <row r="1707" spans="1:10" x14ac:dyDescent="0.2">
      <c r="A1707" s="8" t="s">
        <v>56</v>
      </c>
      <c r="B1707" s="8" t="s">
        <v>83</v>
      </c>
      <c r="C1707" s="8" t="s">
        <v>2750</v>
      </c>
      <c r="D1707" s="8" t="s">
        <v>2751</v>
      </c>
      <c r="E1707" s="8" t="s">
        <v>2752</v>
      </c>
      <c r="F1707" s="8">
        <v>-1.0205892000000001</v>
      </c>
      <c r="G1707" s="8">
        <v>1.88351709</v>
      </c>
      <c r="H1707" s="6" t="str">
        <f t="shared" si="12"/>
        <v>Inverse</v>
      </c>
      <c r="I1707" s="6" t="s">
        <v>2753</v>
      </c>
      <c r="J1707" s="8" t="s">
        <v>2753</v>
      </c>
    </row>
    <row r="1708" spans="1:10" x14ac:dyDescent="0.2">
      <c r="A1708" s="8" t="s">
        <v>56</v>
      </c>
      <c r="B1708" s="8" t="s">
        <v>83</v>
      </c>
      <c r="C1708" s="8" t="s">
        <v>1677</v>
      </c>
      <c r="D1708" s="8" t="s">
        <v>1678</v>
      </c>
      <c r="E1708" s="8" t="s">
        <v>1679</v>
      </c>
      <c r="F1708" s="8">
        <v>1.2857435500000001</v>
      </c>
      <c r="G1708" s="8">
        <v>4.1916787600000003</v>
      </c>
      <c r="H1708" s="6" t="str">
        <f t="shared" si="12"/>
        <v>Direct</v>
      </c>
      <c r="I1708" s="6" t="s">
        <v>1343</v>
      </c>
      <c r="J1708" s="8" t="s">
        <v>1343</v>
      </c>
    </row>
    <row r="1709" spans="1:10" x14ac:dyDescent="0.2">
      <c r="A1709" s="8" t="s">
        <v>56</v>
      </c>
      <c r="B1709" s="8" t="s">
        <v>83</v>
      </c>
      <c r="C1709" s="8" t="s">
        <v>4185</v>
      </c>
      <c r="D1709" s="8" t="s">
        <v>4186</v>
      </c>
      <c r="E1709" s="8" t="s">
        <v>4187</v>
      </c>
      <c r="F1709" s="8">
        <v>-5.3316735</v>
      </c>
      <c r="G1709" s="8">
        <v>-2.0042026000000002</v>
      </c>
      <c r="H1709" s="6" t="str">
        <f t="shared" si="12"/>
        <v>Direct</v>
      </c>
      <c r="I1709" s="6" t="s">
        <v>4188</v>
      </c>
      <c r="J1709" s="8" t="s">
        <v>4188</v>
      </c>
    </row>
    <row r="1710" spans="1:10" x14ac:dyDescent="0.2">
      <c r="A1710" s="8" t="s">
        <v>56</v>
      </c>
      <c r="B1710" s="8" t="s">
        <v>83</v>
      </c>
      <c r="C1710" s="8" t="s">
        <v>4636</v>
      </c>
      <c r="D1710" s="8" t="s">
        <v>4637</v>
      </c>
      <c r="E1710" s="8" t="s">
        <v>4638</v>
      </c>
      <c r="F1710" s="8">
        <v>-1.1828666999999999</v>
      </c>
      <c r="G1710" s="8">
        <v>-2.6032204000000001</v>
      </c>
      <c r="H1710" s="6" t="str">
        <f t="shared" si="12"/>
        <v>Direct</v>
      </c>
      <c r="I1710" s="6" t="s">
        <v>4639</v>
      </c>
      <c r="J1710" s="8" t="s">
        <v>4639</v>
      </c>
    </row>
    <row r="1711" spans="1:10" x14ac:dyDescent="0.2">
      <c r="A1711" s="8" t="s">
        <v>56</v>
      </c>
      <c r="B1711" s="8" t="s">
        <v>83</v>
      </c>
      <c r="C1711" s="8" t="s">
        <v>2754</v>
      </c>
      <c r="D1711" s="8" t="s">
        <v>2755</v>
      </c>
      <c r="E1711" s="8" t="s">
        <v>2756</v>
      </c>
      <c r="F1711" s="8">
        <v>-1.2816399999999999</v>
      </c>
      <c r="G1711" s="8">
        <v>-14.822661999999999</v>
      </c>
      <c r="H1711" s="6" t="str">
        <f t="shared" si="12"/>
        <v>Direct</v>
      </c>
      <c r="I1711" s="6" t="s">
        <v>1449</v>
      </c>
      <c r="J1711" s="8" t="s">
        <v>1449</v>
      </c>
    </row>
    <row r="1712" spans="1:10" x14ac:dyDescent="0.2">
      <c r="A1712" s="8" t="s">
        <v>56</v>
      </c>
      <c r="B1712" s="8" t="s">
        <v>83</v>
      </c>
      <c r="C1712" s="8" t="s">
        <v>2757</v>
      </c>
      <c r="D1712" s="8" t="s">
        <v>2758</v>
      </c>
      <c r="E1712" s="8" t="s">
        <v>2759</v>
      </c>
      <c r="F1712" s="8">
        <v>5.5475199999999996</v>
      </c>
      <c r="G1712" s="8">
        <v>-2.9965202</v>
      </c>
      <c r="H1712" s="6" t="str">
        <f t="shared" si="12"/>
        <v>Inverse</v>
      </c>
      <c r="I1712" s="6" t="s">
        <v>2760</v>
      </c>
      <c r="J1712" s="8" t="s">
        <v>2760</v>
      </c>
    </row>
    <row r="1713" spans="1:10" x14ac:dyDescent="0.2">
      <c r="A1713" s="8" t="s">
        <v>56</v>
      </c>
      <c r="B1713" s="8" t="s">
        <v>83</v>
      </c>
      <c r="C1713" s="8" t="s">
        <v>1680</v>
      </c>
      <c r="D1713" s="8" t="s">
        <v>1681</v>
      </c>
      <c r="E1713" s="8" t="s">
        <v>1682</v>
      </c>
      <c r="F1713" s="8">
        <v>3.2086976900000002</v>
      </c>
      <c r="G1713" s="8">
        <v>2.1950358300000001</v>
      </c>
      <c r="H1713" s="6" t="str">
        <f t="shared" si="12"/>
        <v>Direct</v>
      </c>
      <c r="I1713" s="6" t="s">
        <v>1683</v>
      </c>
      <c r="J1713" s="8" t="s">
        <v>1683</v>
      </c>
    </row>
    <row r="1714" spans="1:10" x14ac:dyDescent="0.2">
      <c r="A1714" s="8" t="s">
        <v>56</v>
      </c>
      <c r="B1714" s="8" t="s">
        <v>83</v>
      </c>
      <c r="C1714" s="8" t="s">
        <v>4640</v>
      </c>
      <c r="D1714" s="8" t="s">
        <v>4641</v>
      </c>
      <c r="E1714" s="8" t="s">
        <v>4642</v>
      </c>
      <c r="F1714" s="8">
        <v>2.4196957299999999</v>
      </c>
      <c r="G1714" s="8">
        <v>3.2730072899999998</v>
      </c>
      <c r="H1714" s="6" t="str">
        <f t="shared" si="12"/>
        <v>Direct</v>
      </c>
      <c r="I1714" s="6" t="s">
        <v>50</v>
      </c>
      <c r="J1714" s="8" t="s">
        <v>2107</v>
      </c>
    </row>
    <row r="1715" spans="1:10" x14ac:dyDescent="0.2">
      <c r="A1715" s="8" t="s">
        <v>56</v>
      </c>
      <c r="B1715" s="8" t="s">
        <v>83</v>
      </c>
      <c r="C1715" s="8" t="s">
        <v>1684</v>
      </c>
      <c r="D1715" s="8" t="s">
        <v>1685</v>
      </c>
      <c r="E1715" s="8" t="s">
        <v>1686</v>
      </c>
      <c r="F1715" s="8">
        <v>-30.076633000000001</v>
      </c>
      <c r="G1715" s="8">
        <v>-8.0620791999999994</v>
      </c>
      <c r="H1715" s="6" t="str">
        <f t="shared" si="12"/>
        <v>Direct</v>
      </c>
      <c r="I1715" s="6" t="s">
        <v>1687</v>
      </c>
      <c r="J1715" s="8" t="s">
        <v>1687</v>
      </c>
    </row>
    <row r="1716" spans="1:10" x14ac:dyDescent="0.2">
      <c r="A1716" s="8" t="s">
        <v>56</v>
      </c>
      <c r="B1716" s="8" t="s">
        <v>83</v>
      </c>
      <c r="C1716" s="8" t="s">
        <v>2769</v>
      </c>
      <c r="D1716" s="8" t="s">
        <v>2770</v>
      </c>
      <c r="E1716" s="8" t="s">
        <v>2771</v>
      </c>
      <c r="F1716" s="8">
        <v>3.02822338</v>
      </c>
      <c r="G1716" s="8">
        <v>5.1165341399999997</v>
      </c>
      <c r="H1716" s="6" t="str">
        <f t="shared" si="12"/>
        <v>Direct</v>
      </c>
      <c r="I1716" s="6" t="s">
        <v>2772</v>
      </c>
      <c r="J1716" s="8" t="s">
        <v>2772</v>
      </c>
    </row>
    <row r="1717" spans="1:10" x14ac:dyDescent="0.2">
      <c r="A1717" s="8" t="s">
        <v>56</v>
      </c>
      <c r="B1717" s="8" t="s">
        <v>83</v>
      </c>
      <c r="C1717" s="8" t="s">
        <v>2773</v>
      </c>
      <c r="D1717" s="8" t="s">
        <v>2774</v>
      </c>
      <c r="E1717" s="8" t="s">
        <v>2775</v>
      </c>
      <c r="F1717" s="8">
        <v>-4.5614236999999997</v>
      </c>
      <c r="G1717" s="8">
        <v>-1.0031706</v>
      </c>
      <c r="H1717" s="6" t="str">
        <f t="shared" si="12"/>
        <v>Direct</v>
      </c>
      <c r="I1717" s="6" t="s">
        <v>2776</v>
      </c>
      <c r="J1717" s="8" t="s">
        <v>2776</v>
      </c>
    </row>
    <row r="1718" spans="1:10" x14ac:dyDescent="0.2">
      <c r="A1718" s="8" t="s">
        <v>56</v>
      </c>
      <c r="B1718" s="8" t="s">
        <v>83</v>
      </c>
      <c r="C1718" s="8" t="s">
        <v>2777</v>
      </c>
      <c r="D1718" s="8" t="s">
        <v>2778</v>
      </c>
      <c r="E1718" s="8" t="s">
        <v>2779</v>
      </c>
      <c r="F1718" s="8">
        <v>1.55817468</v>
      </c>
      <c r="G1718" s="8">
        <v>1.4482360599999999</v>
      </c>
      <c r="H1718" s="6" t="str">
        <f t="shared" si="12"/>
        <v>Direct</v>
      </c>
      <c r="I1718" s="6" t="s">
        <v>50</v>
      </c>
      <c r="J1718" s="8" t="s">
        <v>2500</v>
      </c>
    </row>
    <row r="1719" spans="1:10" x14ac:dyDescent="0.2">
      <c r="A1719" s="8" t="s">
        <v>56</v>
      </c>
      <c r="B1719" s="8" t="s">
        <v>83</v>
      </c>
      <c r="C1719" s="8" t="s">
        <v>2780</v>
      </c>
      <c r="D1719" s="8" t="s">
        <v>2781</v>
      </c>
      <c r="E1719" s="8" t="s">
        <v>2782</v>
      </c>
      <c r="F1719" s="8">
        <v>-1.4240139000000001</v>
      </c>
      <c r="G1719" s="8">
        <v>-2.3456899</v>
      </c>
      <c r="H1719" s="6" t="str">
        <f t="shared" si="12"/>
        <v>Direct</v>
      </c>
      <c r="I1719" s="6" t="s">
        <v>50</v>
      </c>
      <c r="J1719" s="8" t="s">
        <v>50</v>
      </c>
    </row>
    <row r="1720" spans="1:10" x14ac:dyDescent="0.2">
      <c r="A1720" s="8" t="s">
        <v>56</v>
      </c>
      <c r="B1720" s="8" t="s">
        <v>83</v>
      </c>
      <c r="C1720" s="8" t="s">
        <v>4643</v>
      </c>
      <c r="D1720" s="8" t="s">
        <v>4644</v>
      </c>
      <c r="E1720" s="8" t="s">
        <v>4645</v>
      </c>
      <c r="F1720" s="8">
        <v>1.74229177</v>
      </c>
      <c r="G1720" s="8">
        <v>2.0675185200000001</v>
      </c>
      <c r="H1720" s="6" t="str">
        <f t="shared" si="12"/>
        <v>Direct</v>
      </c>
      <c r="I1720" s="6" t="s">
        <v>4646</v>
      </c>
      <c r="J1720" s="8" t="s">
        <v>1727</v>
      </c>
    </row>
    <row r="1721" spans="1:10" x14ac:dyDescent="0.2">
      <c r="A1721" s="8" t="s">
        <v>56</v>
      </c>
      <c r="B1721" s="8" t="s">
        <v>83</v>
      </c>
      <c r="C1721" s="8" t="s">
        <v>2783</v>
      </c>
      <c r="D1721" s="8" t="s">
        <v>2784</v>
      </c>
      <c r="E1721" s="8" t="s">
        <v>2785</v>
      </c>
      <c r="F1721" s="8">
        <v>1.7335233000000001</v>
      </c>
      <c r="G1721" s="8">
        <v>-5.2538450000000001</v>
      </c>
      <c r="H1721" s="6" t="str">
        <f t="shared" si="12"/>
        <v>Inverse</v>
      </c>
      <c r="I1721" s="6" t="s">
        <v>859</v>
      </c>
      <c r="J1721" s="8" t="s">
        <v>859</v>
      </c>
    </row>
    <row r="1722" spans="1:10" x14ac:dyDescent="0.2">
      <c r="A1722" s="8" t="s">
        <v>56</v>
      </c>
      <c r="B1722" s="8" t="s">
        <v>83</v>
      </c>
      <c r="C1722" s="8" t="s">
        <v>4647</v>
      </c>
      <c r="D1722" s="8" t="s">
        <v>4648</v>
      </c>
      <c r="E1722" s="8" t="s">
        <v>4649</v>
      </c>
      <c r="F1722" s="8">
        <v>-1.1482056</v>
      </c>
      <c r="G1722" s="8">
        <v>1.6888661199999999</v>
      </c>
      <c r="H1722" s="6" t="str">
        <f t="shared" si="12"/>
        <v>Inverse</v>
      </c>
      <c r="I1722" s="6" t="s">
        <v>4650</v>
      </c>
      <c r="J1722" s="8" t="s">
        <v>4651</v>
      </c>
    </row>
    <row r="1723" spans="1:10" x14ac:dyDescent="0.2">
      <c r="A1723" s="8" t="s">
        <v>56</v>
      </c>
      <c r="B1723" s="8" t="s">
        <v>83</v>
      </c>
      <c r="C1723" s="8" t="s">
        <v>2786</v>
      </c>
      <c r="D1723" s="8" t="s">
        <v>2787</v>
      </c>
      <c r="E1723" s="8" t="s">
        <v>2788</v>
      </c>
      <c r="F1723" s="8">
        <v>-2.8047882</v>
      </c>
      <c r="G1723" s="8">
        <v>-2.5146383999999999</v>
      </c>
      <c r="H1723" s="6" t="str">
        <f t="shared" si="12"/>
        <v>Direct</v>
      </c>
      <c r="I1723" s="6" t="s">
        <v>2789</v>
      </c>
      <c r="J1723" s="8" t="s">
        <v>2789</v>
      </c>
    </row>
    <row r="1724" spans="1:10" x14ac:dyDescent="0.2">
      <c r="A1724" s="8" t="s">
        <v>56</v>
      </c>
      <c r="B1724" s="8" t="s">
        <v>83</v>
      </c>
      <c r="C1724" s="8" t="s">
        <v>1704</v>
      </c>
      <c r="D1724" s="8" t="s">
        <v>1705</v>
      </c>
      <c r="E1724" s="8" t="s">
        <v>1706</v>
      </c>
      <c r="F1724" s="8">
        <v>1.4198146199999999</v>
      </c>
      <c r="G1724" s="8">
        <v>-6.9869662000000003</v>
      </c>
      <c r="H1724" s="6" t="str">
        <f t="shared" si="12"/>
        <v>Inverse</v>
      </c>
      <c r="I1724" s="6" t="s">
        <v>1707</v>
      </c>
      <c r="J1724" s="8" t="s">
        <v>1449</v>
      </c>
    </row>
    <row r="1725" spans="1:10" x14ac:dyDescent="0.2">
      <c r="A1725" s="8" t="s">
        <v>56</v>
      </c>
      <c r="B1725" s="8" t="s">
        <v>83</v>
      </c>
      <c r="C1725" s="8" t="s">
        <v>4192</v>
      </c>
      <c r="D1725" s="8" t="s">
        <v>4193</v>
      </c>
      <c r="E1725" s="8" t="s">
        <v>4194</v>
      </c>
      <c r="F1725" s="8">
        <v>-2.9732422999999999</v>
      </c>
      <c r="G1725" s="8">
        <v>-8.4646132999999999</v>
      </c>
      <c r="H1725" s="6" t="str">
        <f t="shared" si="12"/>
        <v>Direct</v>
      </c>
      <c r="I1725" s="6" t="s">
        <v>1843</v>
      </c>
      <c r="J1725" s="8" t="s">
        <v>1843</v>
      </c>
    </row>
    <row r="1726" spans="1:10" x14ac:dyDescent="0.2">
      <c r="A1726" s="8" t="s">
        <v>56</v>
      </c>
      <c r="B1726" s="8" t="s">
        <v>83</v>
      </c>
      <c r="C1726" s="8" t="s">
        <v>4652</v>
      </c>
      <c r="D1726" s="8" t="s">
        <v>4653</v>
      </c>
      <c r="E1726" s="8" t="s">
        <v>4654</v>
      </c>
      <c r="F1726" s="8">
        <v>1.62946389</v>
      </c>
      <c r="G1726" s="8">
        <v>1.01536552</v>
      </c>
      <c r="H1726" s="6" t="str">
        <f t="shared" si="12"/>
        <v>Direct</v>
      </c>
      <c r="I1726" s="6" t="s">
        <v>4655</v>
      </c>
      <c r="J1726" s="8" t="s">
        <v>4655</v>
      </c>
    </row>
    <row r="1727" spans="1:10" x14ac:dyDescent="0.2">
      <c r="A1727" s="8" t="s">
        <v>56</v>
      </c>
      <c r="B1727" s="8" t="s">
        <v>83</v>
      </c>
      <c r="C1727" s="8" t="s">
        <v>1712</v>
      </c>
      <c r="D1727" s="8" t="s">
        <v>1713</v>
      </c>
      <c r="E1727" s="8" t="s">
        <v>1714</v>
      </c>
      <c r="F1727" s="8">
        <v>2.0161745400000002</v>
      </c>
      <c r="G1727" s="8">
        <v>9.3337420899999994</v>
      </c>
      <c r="H1727" s="6" t="str">
        <f t="shared" si="12"/>
        <v>Direct</v>
      </c>
      <c r="I1727" s="6" t="s">
        <v>1715</v>
      </c>
      <c r="J1727" s="8" t="s">
        <v>1715</v>
      </c>
    </row>
    <row r="1728" spans="1:10" x14ac:dyDescent="0.2">
      <c r="A1728" s="8" t="s">
        <v>56</v>
      </c>
      <c r="B1728" s="8" t="s">
        <v>83</v>
      </c>
      <c r="C1728" s="8" t="s">
        <v>1716</v>
      </c>
      <c r="D1728" s="8" t="s">
        <v>1717</v>
      </c>
      <c r="E1728" s="8" t="s">
        <v>1718</v>
      </c>
      <c r="F1728" s="8">
        <v>13.267349400000001</v>
      </c>
      <c r="G1728" s="8">
        <v>1.4541967499999999</v>
      </c>
      <c r="H1728" s="6" t="str">
        <f t="shared" si="12"/>
        <v>Direct</v>
      </c>
      <c r="I1728" s="6" t="s">
        <v>1719</v>
      </c>
      <c r="J1728" s="8" t="s">
        <v>1719</v>
      </c>
    </row>
    <row r="1729" spans="1:10" x14ac:dyDescent="0.2">
      <c r="A1729" s="8" t="s">
        <v>56</v>
      </c>
      <c r="B1729" s="8" t="s">
        <v>83</v>
      </c>
      <c r="C1729" s="8" t="s">
        <v>4656</v>
      </c>
      <c r="D1729" s="8" t="s">
        <v>4657</v>
      </c>
      <c r="E1729" s="8" t="s">
        <v>4658</v>
      </c>
      <c r="F1729" s="8">
        <v>1.4356434199999999</v>
      </c>
      <c r="G1729" s="8">
        <v>2.0976573699999999</v>
      </c>
      <c r="H1729" s="6" t="str">
        <f t="shared" si="12"/>
        <v>Direct</v>
      </c>
      <c r="I1729" s="6" t="s">
        <v>50</v>
      </c>
      <c r="J1729" s="8" t="s">
        <v>87</v>
      </c>
    </row>
    <row r="1730" spans="1:10" x14ac:dyDescent="0.2">
      <c r="A1730" s="8" t="s">
        <v>56</v>
      </c>
      <c r="B1730" s="8" t="s">
        <v>83</v>
      </c>
      <c r="C1730" s="8" t="s">
        <v>4659</v>
      </c>
      <c r="D1730" s="8" t="s">
        <v>4660</v>
      </c>
      <c r="E1730" s="8" t="s">
        <v>4661</v>
      </c>
      <c r="F1730" s="8">
        <v>-1.7171175000000001</v>
      </c>
      <c r="G1730" s="8">
        <v>-1.9849885</v>
      </c>
      <c r="H1730" s="6" t="str">
        <f t="shared" si="12"/>
        <v>Direct</v>
      </c>
      <c r="I1730" s="6" t="s">
        <v>4662</v>
      </c>
      <c r="J1730" s="8" t="s">
        <v>4662</v>
      </c>
    </row>
    <row r="1731" spans="1:10" x14ac:dyDescent="0.2">
      <c r="A1731" s="8" t="s">
        <v>56</v>
      </c>
      <c r="B1731" s="8" t="s">
        <v>83</v>
      </c>
      <c r="C1731" s="8" t="s">
        <v>1720</v>
      </c>
      <c r="D1731" s="8" t="s">
        <v>1721</v>
      </c>
      <c r="E1731" s="8" t="s">
        <v>1722</v>
      </c>
      <c r="F1731" s="8">
        <v>-3.8485062999999999</v>
      </c>
      <c r="G1731" s="8">
        <v>-1.1523055</v>
      </c>
      <c r="H1731" s="6" t="str">
        <f t="shared" si="12"/>
        <v>Direct</v>
      </c>
      <c r="I1731" s="6" t="s">
        <v>1723</v>
      </c>
      <c r="J1731" s="8" t="s">
        <v>1723</v>
      </c>
    </row>
    <row r="1732" spans="1:10" x14ac:dyDescent="0.2">
      <c r="A1732" s="8" t="s">
        <v>56</v>
      </c>
      <c r="B1732" s="8" t="s">
        <v>83</v>
      </c>
      <c r="C1732" s="8" t="s">
        <v>1724</v>
      </c>
      <c r="D1732" s="8" t="s">
        <v>1725</v>
      </c>
      <c r="E1732" s="8" t="s">
        <v>1726</v>
      </c>
      <c r="F1732" s="8">
        <v>2.7751000499999998</v>
      </c>
      <c r="G1732" s="8">
        <v>15.620465599999999</v>
      </c>
      <c r="H1732" s="6" t="str">
        <f t="shared" si="12"/>
        <v>Direct</v>
      </c>
      <c r="I1732" s="6" t="s">
        <v>1422</v>
      </c>
      <c r="J1732" s="8" t="s">
        <v>1727</v>
      </c>
    </row>
    <row r="1733" spans="1:10" x14ac:dyDescent="0.2">
      <c r="A1733" s="8" t="s">
        <v>56</v>
      </c>
      <c r="B1733" s="8" t="s">
        <v>83</v>
      </c>
      <c r="C1733" s="8" t="s">
        <v>269</v>
      </c>
      <c r="D1733" s="8" t="s">
        <v>270</v>
      </c>
      <c r="E1733" s="8" t="s">
        <v>271</v>
      </c>
      <c r="F1733" s="8">
        <v>-1.1899796</v>
      </c>
      <c r="G1733" s="8">
        <v>1.8700568399999999</v>
      </c>
      <c r="H1733" s="6" t="str">
        <f t="shared" si="12"/>
        <v>Inverse</v>
      </c>
      <c r="I1733" s="6" t="s">
        <v>50</v>
      </c>
      <c r="J1733" s="8" t="s">
        <v>272</v>
      </c>
    </row>
    <row r="1734" spans="1:10" x14ac:dyDescent="0.2">
      <c r="A1734" s="8" t="s">
        <v>56</v>
      </c>
      <c r="B1734" s="8" t="s">
        <v>83</v>
      </c>
      <c r="C1734" s="8" t="s">
        <v>2794</v>
      </c>
      <c r="D1734" s="8" t="s">
        <v>2795</v>
      </c>
      <c r="E1734" s="8" t="s">
        <v>2796</v>
      </c>
      <c r="F1734" s="8">
        <v>-1.5045204999999999</v>
      </c>
      <c r="G1734" s="8">
        <v>2.0240425000000002</v>
      </c>
      <c r="H1734" s="6" t="str">
        <f t="shared" si="12"/>
        <v>Inverse</v>
      </c>
      <c r="I1734" s="6" t="s">
        <v>2797</v>
      </c>
      <c r="J1734" s="8" t="s">
        <v>1163</v>
      </c>
    </row>
    <row r="1735" spans="1:10" x14ac:dyDescent="0.2">
      <c r="A1735" s="8" t="s">
        <v>56</v>
      </c>
      <c r="B1735" s="8" t="s">
        <v>83</v>
      </c>
      <c r="C1735" s="8" t="s">
        <v>4663</v>
      </c>
      <c r="D1735" s="8" t="s">
        <v>4664</v>
      </c>
      <c r="E1735" s="8" t="s">
        <v>4665</v>
      </c>
      <c r="F1735" s="8">
        <v>1.4215460600000001</v>
      </c>
      <c r="G1735" s="8">
        <v>-5.0125605000000002</v>
      </c>
      <c r="H1735" s="6" t="str">
        <f t="shared" si="12"/>
        <v>Inverse</v>
      </c>
      <c r="I1735" s="6" t="s">
        <v>50</v>
      </c>
      <c r="J1735" s="8" t="s">
        <v>4666</v>
      </c>
    </row>
    <row r="1736" spans="1:10" x14ac:dyDescent="0.2">
      <c r="A1736" s="8" t="s">
        <v>56</v>
      </c>
      <c r="B1736" s="8" t="s">
        <v>83</v>
      </c>
      <c r="C1736" s="8" t="s">
        <v>2807</v>
      </c>
      <c r="D1736" s="8" t="s">
        <v>2808</v>
      </c>
      <c r="E1736" s="8" t="s">
        <v>2809</v>
      </c>
      <c r="F1736" s="8">
        <v>-2.3279090999999998</v>
      </c>
      <c r="G1736" s="8">
        <v>-1.1828923</v>
      </c>
      <c r="H1736" s="6" t="str">
        <f t="shared" si="12"/>
        <v>Direct</v>
      </c>
      <c r="I1736" s="6" t="s">
        <v>2810</v>
      </c>
      <c r="J1736" s="8" t="s">
        <v>2810</v>
      </c>
    </row>
    <row r="1737" spans="1:10" x14ac:dyDescent="0.2">
      <c r="A1737" s="8" t="s">
        <v>56</v>
      </c>
      <c r="B1737" s="8" t="s">
        <v>83</v>
      </c>
      <c r="C1737" s="8" t="s">
        <v>2814</v>
      </c>
      <c r="D1737" s="8" t="s">
        <v>2815</v>
      </c>
      <c r="E1737" s="8" t="s">
        <v>2816</v>
      </c>
      <c r="F1737" s="8">
        <v>-1.3970047000000001</v>
      </c>
      <c r="G1737" s="8">
        <v>-5.3811083999999996</v>
      </c>
      <c r="H1737" s="6" t="str">
        <f t="shared" si="12"/>
        <v>Direct</v>
      </c>
      <c r="I1737" s="6" t="s">
        <v>2817</v>
      </c>
      <c r="J1737" s="8" t="s">
        <v>2817</v>
      </c>
    </row>
    <row r="1738" spans="1:10" x14ac:dyDescent="0.2">
      <c r="A1738" s="8" t="s">
        <v>56</v>
      </c>
      <c r="B1738" s="8" t="s">
        <v>83</v>
      </c>
      <c r="C1738" s="8" t="s">
        <v>2818</v>
      </c>
      <c r="D1738" s="8" t="s">
        <v>2819</v>
      </c>
      <c r="E1738" s="8" t="s">
        <v>2820</v>
      </c>
      <c r="F1738" s="8">
        <v>1.3309688099999999</v>
      </c>
      <c r="G1738" s="8">
        <v>1.37270731</v>
      </c>
      <c r="H1738" s="6" t="str">
        <f t="shared" si="12"/>
        <v>Direct</v>
      </c>
      <c r="I1738" s="6" t="s">
        <v>2821</v>
      </c>
      <c r="J1738" s="8" t="s">
        <v>2821</v>
      </c>
    </row>
    <row r="1739" spans="1:10" x14ac:dyDescent="0.2">
      <c r="A1739" s="8" t="s">
        <v>56</v>
      </c>
      <c r="B1739" s="8" t="s">
        <v>83</v>
      </c>
      <c r="C1739" s="8" t="s">
        <v>4667</v>
      </c>
      <c r="D1739" s="8" t="s">
        <v>4668</v>
      </c>
      <c r="E1739" s="8" t="s">
        <v>4669</v>
      </c>
      <c r="F1739" s="8">
        <v>-1.4371077000000001</v>
      </c>
      <c r="G1739" s="8">
        <v>2.6240435400000002</v>
      </c>
      <c r="H1739" s="6" t="str">
        <f t="shared" si="12"/>
        <v>Inverse</v>
      </c>
      <c r="I1739" s="6" t="s">
        <v>4670</v>
      </c>
      <c r="J1739" s="8" t="s">
        <v>4671</v>
      </c>
    </row>
    <row r="1740" spans="1:10" x14ac:dyDescent="0.2">
      <c r="A1740" s="8" t="s">
        <v>56</v>
      </c>
      <c r="B1740" s="8" t="s">
        <v>83</v>
      </c>
      <c r="C1740" s="8" t="s">
        <v>4672</v>
      </c>
      <c r="D1740" s="8" t="s">
        <v>4673</v>
      </c>
      <c r="E1740" s="8" t="s">
        <v>4674</v>
      </c>
      <c r="F1740" s="8">
        <v>1.87491466</v>
      </c>
      <c r="G1740" s="8">
        <v>-1.6423114000000001</v>
      </c>
      <c r="H1740" s="6" t="str">
        <f t="shared" si="12"/>
        <v>Inverse</v>
      </c>
      <c r="I1740" s="6" t="s">
        <v>1377</v>
      </c>
      <c r="J1740" s="8" t="s">
        <v>1377</v>
      </c>
    </row>
    <row r="1741" spans="1:10" x14ac:dyDescent="0.2">
      <c r="A1741" s="8" t="s">
        <v>56</v>
      </c>
      <c r="B1741" s="8" t="s">
        <v>83</v>
      </c>
      <c r="C1741" s="8" t="s">
        <v>4675</v>
      </c>
      <c r="D1741" s="8" t="s">
        <v>4676</v>
      </c>
      <c r="E1741" s="8" t="s">
        <v>4677</v>
      </c>
      <c r="F1741" s="8">
        <v>2.2131558</v>
      </c>
      <c r="G1741" s="8">
        <v>-1.0608702000000001</v>
      </c>
      <c r="H1741" s="6" t="str">
        <f t="shared" si="12"/>
        <v>Inverse</v>
      </c>
      <c r="I1741" s="6" t="s">
        <v>4678</v>
      </c>
      <c r="J1741" s="8" t="s">
        <v>4678</v>
      </c>
    </row>
    <row r="1742" spans="1:10" x14ac:dyDescent="0.2">
      <c r="A1742" s="8" t="s">
        <v>56</v>
      </c>
      <c r="B1742" s="8" t="s">
        <v>83</v>
      </c>
      <c r="C1742" s="8" t="s">
        <v>2825</v>
      </c>
      <c r="D1742" s="8" t="s">
        <v>2826</v>
      </c>
      <c r="E1742" s="8" t="s">
        <v>2827</v>
      </c>
      <c r="F1742" s="8">
        <v>1.90734632</v>
      </c>
      <c r="G1742" s="8">
        <v>2.40355337</v>
      </c>
      <c r="H1742" s="6" t="str">
        <f t="shared" si="12"/>
        <v>Direct</v>
      </c>
      <c r="I1742" s="6" t="s">
        <v>2828</v>
      </c>
      <c r="J1742" s="8" t="s">
        <v>2828</v>
      </c>
    </row>
    <row r="1743" spans="1:10" x14ac:dyDescent="0.2">
      <c r="A1743" s="8" t="s">
        <v>56</v>
      </c>
      <c r="B1743" s="8" t="s">
        <v>83</v>
      </c>
      <c r="C1743" s="8" t="s">
        <v>4679</v>
      </c>
      <c r="D1743" s="8" t="s">
        <v>4680</v>
      </c>
      <c r="E1743" s="8" t="s">
        <v>4681</v>
      </c>
      <c r="F1743" s="8">
        <v>1.50611904</v>
      </c>
      <c r="G1743" s="8">
        <v>-1.2635182</v>
      </c>
      <c r="H1743" s="6" t="str">
        <f t="shared" si="12"/>
        <v>Inverse</v>
      </c>
      <c r="I1743" s="6" t="s">
        <v>4682</v>
      </c>
      <c r="J1743" s="8" t="s">
        <v>4682</v>
      </c>
    </row>
    <row r="1744" spans="1:10" x14ac:dyDescent="0.2">
      <c r="A1744" s="8" t="s">
        <v>56</v>
      </c>
      <c r="B1744" s="8" t="s">
        <v>83</v>
      </c>
      <c r="C1744" s="8" t="s">
        <v>4207</v>
      </c>
      <c r="D1744" s="8" t="s">
        <v>4208</v>
      </c>
      <c r="E1744" s="8" t="s">
        <v>4209</v>
      </c>
      <c r="F1744" s="8">
        <v>-7.0527316000000004</v>
      </c>
      <c r="G1744" s="8">
        <v>-1.1789227</v>
      </c>
      <c r="H1744" s="6" t="str">
        <f t="shared" si="12"/>
        <v>Direct</v>
      </c>
      <c r="I1744" s="6" t="s">
        <v>4210</v>
      </c>
      <c r="J1744" s="8" t="s">
        <v>4210</v>
      </c>
    </row>
    <row r="1745" spans="1:10" x14ac:dyDescent="0.2">
      <c r="A1745" s="8" t="s">
        <v>56</v>
      </c>
      <c r="B1745" s="8" t="s">
        <v>83</v>
      </c>
      <c r="C1745" s="8" t="s">
        <v>4214</v>
      </c>
      <c r="D1745" s="8" t="s">
        <v>4215</v>
      </c>
      <c r="E1745" s="8" t="s">
        <v>4216</v>
      </c>
      <c r="F1745" s="8">
        <v>-1.9786056999999999</v>
      </c>
      <c r="G1745" s="8">
        <v>1.08278772</v>
      </c>
      <c r="H1745" s="6" t="str">
        <f t="shared" si="12"/>
        <v>Inverse</v>
      </c>
      <c r="I1745" s="6" t="s">
        <v>4217</v>
      </c>
      <c r="J1745" s="8" t="s">
        <v>4217</v>
      </c>
    </row>
    <row r="1746" spans="1:10" x14ac:dyDescent="0.2">
      <c r="A1746" s="8" t="s">
        <v>56</v>
      </c>
      <c r="B1746" s="8" t="s">
        <v>83</v>
      </c>
      <c r="C1746" s="8" t="s">
        <v>312</v>
      </c>
      <c r="D1746" s="8" t="s">
        <v>313</v>
      </c>
      <c r="E1746" s="8" t="s">
        <v>314</v>
      </c>
      <c r="F1746" s="8">
        <v>-13.267348999999999</v>
      </c>
      <c r="G1746" s="8">
        <v>-2.1954881999999998</v>
      </c>
      <c r="H1746" s="6" t="str">
        <f t="shared" si="12"/>
        <v>Direct</v>
      </c>
      <c r="I1746" s="6" t="s">
        <v>315</v>
      </c>
      <c r="J1746" s="8" t="s">
        <v>315</v>
      </c>
    </row>
    <row r="1747" spans="1:10" x14ac:dyDescent="0.2">
      <c r="A1747" s="8" t="s">
        <v>56</v>
      </c>
      <c r="B1747" s="8" t="s">
        <v>83</v>
      </c>
      <c r="C1747" s="8" t="s">
        <v>2846</v>
      </c>
      <c r="D1747" s="8" t="s">
        <v>2847</v>
      </c>
      <c r="E1747" s="8" t="s">
        <v>2848</v>
      </c>
      <c r="F1747" s="8">
        <v>1.26033069</v>
      </c>
      <c r="G1747" s="8">
        <v>6.2451631799999996</v>
      </c>
      <c r="H1747" s="6" t="str">
        <f t="shared" si="12"/>
        <v>Direct</v>
      </c>
      <c r="I1747" s="6" t="s">
        <v>2849</v>
      </c>
      <c r="J1747" s="8" t="s">
        <v>2849</v>
      </c>
    </row>
    <row r="1748" spans="1:10" x14ac:dyDescent="0.2">
      <c r="A1748" s="8" t="s">
        <v>56</v>
      </c>
      <c r="B1748" s="8" t="s">
        <v>83</v>
      </c>
      <c r="C1748" s="8" t="s">
        <v>4683</v>
      </c>
      <c r="D1748" s="8" t="s">
        <v>4684</v>
      </c>
      <c r="E1748" s="8" t="s">
        <v>4685</v>
      </c>
      <c r="F1748" s="8">
        <v>1.2710336</v>
      </c>
      <c r="G1748" s="8">
        <v>-1.2099867</v>
      </c>
      <c r="H1748" s="6" t="str">
        <f t="shared" si="12"/>
        <v>Inverse</v>
      </c>
      <c r="I1748" s="6" t="s">
        <v>4686</v>
      </c>
      <c r="J1748" s="8" t="s">
        <v>214</v>
      </c>
    </row>
    <row r="1749" spans="1:10" x14ac:dyDescent="0.2">
      <c r="A1749" s="8" t="s">
        <v>56</v>
      </c>
      <c r="B1749" s="8" t="s">
        <v>83</v>
      </c>
      <c r="C1749" s="8" t="s">
        <v>4687</v>
      </c>
      <c r="D1749" s="8" t="s">
        <v>4688</v>
      </c>
      <c r="E1749" s="8" t="s">
        <v>4689</v>
      </c>
      <c r="F1749" s="8">
        <v>-1.6595819999999999</v>
      </c>
      <c r="G1749" s="8">
        <v>1.10054052</v>
      </c>
      <c r="H1749" s="6" t="str">
        <f t="shared" si="12"/>
        <v>Inverse</v>
      </c>
      <c r="I1749" s="6" t="s">
        <v>4690</v>
      </c>
      <c r="J1749" s="8" t="s">
        <v>4690</v>
      </c>
    </row>
    <row r="1750" spans="1:10" x14ac:dyDescent="0.2">
      <c r="A1750" s="8" t="s">
        <v>56</v>
      </c>
      <c r="B1750" s="8" t="s">
        <v>83</v>
      </c>
      <c r="C1750" s="8" t="s">
        <v>2854</v>
      </c>
      <c r="D1750" s="8" t="s">
        <v>2855</v>
      </c>
      <c r="E1750" s="8" t="s">
        <v>2856</v>
      </c>
      <c r="F1750" s="8">
        <v>-6.0907036999999997</v>
      </c>
      <c r="G1750" s="8">
        <v>-1.2283398999999999</v>
      </c>
      <c r="H1750" s="6" t="str">
        <f t="shared" si="12"/>
        <v>Direct</v>
      </c>
      <c r="I1750" s="6" t="s">
        <v>2857</v>
      </c>
      <c r="J1750" s="8" t="s">
        <v>2857</v>
      </c>
    </row>
    <row r="1751" spans="1:10" x14ac:dyDescent="0.2">
      <c r="A1751" s="8" t="s">
        <v>56</v>
      </c>
      <c r="B1751" s="8" t="s">
        <v>83</v>
      </c>
      <c r="C1751" s="8" t="s">
        <v>1760</v>
      </c>
      <c r="D1751" s="8" t="s">
        <v>1761</v>
      </c>
      <c r="E1751" s="8" t="s">
        <v>1762</v>
      </c>
      <c r="F1751" s="8">
        <v>4.1264426299999997</v>
      </c>
      <c r="G1751" s="8">
        <v>1.79112085</v>
      </c>
      <c r="H1751" s="6" t="str">
        <f t="shared" si="12"/>
        <v>Direct</v>
      </c>
      <c r="I1751" s="6" t="s">
        <v>1763</v>
      </c>
      <c r="J1751" s="8" t="s">
        <v>1764</v>
      </c>
    </row>
    <row r="1752" spans="1:10" x14ac:dyDescent="0.2">
      <c r="A1752" s="8" t="s">
        <v>56</v>
      </c>
      <c r="B1752" s="8" t="s">
        <v>83</v>
      </c>
      <c r="C1752" s="8" t="s">
        <v>2862</v>
      </c>
      <c r="D1752" s="8" t="s">
        <v>2863</v>
      </c>
      <c r="E1752" s="8" t="s">
        <v>2864</v>
      </c>
      <c r="F1752" s="8">
        <v>1.85205317</v>
      </c>
      <c r="G1752" s="8">
        <v>-1.3557931999999999</v>
      </c>
      <c r="H1752" s="6" t="str">
        <f t="shared" si="12"/>
        <v>Inverse</v>
      </c>
      <c r="I1752" s="6" t="s">
        <v>2865</v>
      </c>
      <c r="J1752" s="8" t="s">
        <v>2866</v>
      </c>
    </row>
    <row r="1753" spans="1:10" x14ac:dyDescent="0.2">
      <c r="A1753" s="8" t="s">
        <v>56</v>
      </c>
      <c r="B1753" s="8" t="s">
        <v>83</v>
      </c>
      <c r="C1753" s="8" t="s">
        <v>1773</v>
      </c>
      <c r="D1753" s="8" t="s">
        <v>1774</v>
      </c>
      <c r="E1753" s="8" t="s">
        <v>1775</v>
      </c>
      <c r="F1753" s="8">
        <v>-4.5968970999999996</v>
      </c>
      <c r="G1753" s="8">
        <v>-2.7479157000000001</v>
      </c>
      <c r="H1753" s="6" t="str">
        <f t="shared" si="12"/>
        <v>Direct</v>
      </c>
      <c r="I1753" s="6" t="s">
        <v>1776</v>
      </c>
      <c r="J1753" s="8" t="s">
        <v>1776</v>
      </c>
    </row>
    <row r="1754" spans="1:10" x14ac:dyDescent="0.2">
      <c r="A1754" s="8" t="s">
        <v>56</v>
      </c>
      <c r="B1754" s="8" t="s">
        <v>83</v>
      </c>
      <c r="C1754" s="8" t="s">
        <v>1777</v>
      </c>
      <c r="D1754" s="8" t="s">
        <v>1778</v>
      </c>
      <c r="E1754" s="8" t="s">
        <v>1779</v>
      </c>
      <c r="F1754" s="8">
        <v>4.1451583999999997</v>
      </c>
      <c r="G1754" s="8">
        <v>3.8400873999999998</v>
      </c>
      <c r="H1754" s="6" t="str">
        <f t="shared" si="12"/>
        <v>Direct</v>
      </c>
      <c r="I1754" s="6" t="s">
        <v>1780</v>
      </c>
      <c r="J1754" s="8" t="s">
        <v>1780</v>
      </c>
    </row>
    <row r="1755" spans="1:10" x14ac:dyDescent="0.2">
      <c r="A1755" s="8" t="s">
        <v>56</v>
      </c>
      <c r="B1755" s="8" t="s">
        <v>83</v>
      </c>
      <c r="C1755" s="8" t="s">
        <v>2884</v>
      </c>
      <c r="D1755" s="8" t="s">
        <v>2885</v>
      </c>
      <c r="E1755" s="8" t="s">
        <v>2886</v>
      </c>
      <c r="F1755" s="8">
        <v>-4.9158758000000002</v>
      </c>
      <c r="G1755" s="8">
        <v>-2.2817576000000002</v>
      </c>
      <c r="H1755" s="6" t="str">
        <f t="shared" si="12"/>
        <v>Direct</v>
      </c>
      <c r="I1755" s="6" t="s">
        <v>2887</v>
      </c>
      <c r="J1755" s="8" t="s">
        <v>2887</v>
      </c>
    </row>
    <row r="1756" spans="1:10" x14ac:dyDescent="0.2">
      <c r="A1756" s="8" t="s">
        <v>56</v>
      </c>
      <c r="B1756" s="8" t="s">
        <v>83</v>
      </c>
      <c r="C1756" s="8" t="s">
        <v>2888</v>
      </c>
      <c r="D1756" s="8" t="s">
        <v>2889</v>
      </c>
      <c r="E1756" s="8" t="s">
        <v>2890</v>
      </c>
      <c r="F1756" s="8">
        <v>-1.2820201</v>
      </c>
      <c r="G1756" s="8">
        <v>-2.6091565000000001</v>
      </c>
      <c r="H1756" s="6" t="str">
        <f t="shared" si="12"/>
        <v>Direct</v>
      </c>
      <c r="I1756" s="6" t="s">
        <v>714</v>
      </c>
      <c r="J1756" s="8" t="s">
        <v>714</v>
      </c>
    </row>
    <row r="1757" spans="1:10" x14ac:dyDescent="0.2">
      <c r="A1757" s="8" t="s">
        <v>56</v>
      </c>
      <c r="B1757" s="8" t="s">
        <v>83</v>
      </c>
      <c r="C1757" s="8" t="s">
        <v>1789</v>
      </c>
      <c r="D1757" s="8" t="s">
        <v>1790</v>
      </c>
      <c r="E1757" s="8" t="s">
        <v>1791</v>
      </c>
      <c r="F1757" s="8">
        <v>-1.1022523</v>
      </c>
      <c r="G1757" s="8">
        <v>-4.7100499999999998</v>
      </c>
      <c r="H1757" s="6" t="str">
        <f t="shared" si="12"/>
        <v>Direct</v>
      </c>
      <c r="I1757" s="6" t="s">
        <v>1792</v>
      </c>
      <c r="J1757" s="8" t="s">
        <v>1792</v>
      </c>
    </row>
    <row r="1758" spans="1:10" x14ac:dyDescent="0.2">
      <c r="A1758" s="8" t="s">
        <v>56</v>
      </c>
      <c r="B1758" s="8" t="s">
        <v>83</v>
      </c>
      <c r="C1758" s="8" t="s">
        <v>2898</v>
      </c>
      <c r="D1758" s="8" t="s">
        <v>2899</v>
      </c>
      <c r="E1758" s="8" t="s">
        <v>2900</v>
      </c>
      <c r="F1758" s="8">
        <v>-3.5179290999999999</v>
      </c>
      <c r="G1758" s="8">
        <v>-1.4228624999999999</v>
      </c>
      <c r="H1758" s="6" t="str">
        <f t="shared" si="12"/>
        <v>Direct</v>
      </c>
      <c r="I1758" s="6" t="s">
        <v>2901</v>
      </c>
      <c r="J1758" s="8" t="s">
        <v>2901</v>
      </c>
    </row>
    <row r="1759" spans="1:10" x14ac:dyDescent="0.2">
      <c r="A1759" s="8" t="s">
        <v>56</v>
      </c>
      <c r="B1759" s="8" t="s">
        <v>83</v>
      </c>
      <c r="C1759" s="8" t="s">
        <v>4691</v>
      </c>
      <c r="D1759" s="8" t="s">
        <v>4692</v>
      </c>
      <c r="E1759" s="8" t="s">
        <v>4693</v>
      </c>
      <c r="F1759" s="8">
        <v>1.04001261</v>
      </c>
      <c r="G1759" s="8">
        <v>-8.6566103999999999</v>
      </c>
      <c r="H1759" s="6" t="str">
        <f t="shared" si="12"/>
        <v>Inverse</v>
      </c>
      <c r="I1759" s="6" t="s">
        <v>2806</v>
      </c>
      <c r="J1759" s="8" t="s">
        <v>2806</v>
      </c>
    </row>
    <row r="1760" spans="1:10" x14ac:dyDescent="0.2">
      <c r="A1760" s="8" t="s">
        <v>56</v>
      </c>
      <c r="B1760" s="8" t="s">
        <v>83</v>
      </c>
      <c r="C1760" s="8" t="s">
        <v>2902</v>
      </c>
      <c r="D1760" s="8" t="s">
        <v>2903</v>
      </c>
      <c r="E1760" s="8" t="s">
        <v>2904</v>
      </c>
      <c r="F1760" s="8">
        <v>-1.0877816</v>
      </c>
      <c r="G1760" s="8">
        <v>-3.5287111000000002</v>
      </c>
      <c r="H1760" s="6" t="str">
        <f t="shared" si="12"/>
        <v>Direct</v>
      </c>
      <c r="I1760" s="6" t="s">
        <v>2905</v>
      </c>
      <c r="J1760" s="8" t="s">
        <v>2906</v>
      </c>
    </row>
    <row r="1761" spans="1:10" x14ac:dyDescent="0.2">
      <c r="A1761" s="8" t="s">
        <v>56</v>
      </c>
      <c r="B1761" s="8" t="s">
        <v>83</v>
      </c>
      <c r="C1761" s="8" t="s">
        <v>4694</v>
      </c>
      <c r="D1761" s="8" t="s">
        <v>4695</v>
      </c>
      <c r="E1761" s="8" t="s">
        <v>4696</v>
      </c>
      <c r="F1761" s="8">
        <v>-1.0646949000000001</v>
      </c>
      <c r="G1761" s="8">
        <v>-1.9665007000000001</v>
      </c>
      <c r="H1761" s="6" t="str">
        <f t="shared" si="12"/>
        <v>Direct</v>
      </c>
      <c r="I1761" s="6" t="s">
        <v>4697</v>
      </c>
      <c r="J1761" s="8" t="s">
        <v>4698</v>
      </c>
    </row>
    <row r="1762" spans="1:10" x14ac:dyDescent="0.2">
      <c r="A1762" s="8" t="s">
        <v>56</v>
      </c>
      <c r="B1762" s="8" t="s">
        <v>83</v>
      </c>
      <c r="C1762" s="8" t="s">
        <v>2916</v>
      </c>
      <c r="D1762" s="8" t="s">
        <v>2917</v>
      </c>
      <c r="E1762" s="8" t="s">
        <v>2918</v>
      </c>
      <c r="F1762" s="8">
        <v>-1.225244</v>
      </c>
      <c r="G1762" s="8">
        <v>-1.6164285</v>
      </c>
      <c r="H1762" s="6" t="str">
        <f t="shared" si="12"/>
        <v>Direct</v>
      </c>
      <c r="I1762" s="6" t="s">
        <v>50</v>
      </c>
      <c r="J1762" s="8" t="s">
        <v>55</v>
      </c>
    </row>
    <row r="1763" spans="1:10" x14ac:dyDescent="0.2">
      <c r="A1763" s="8" t="s">
        <v>56</v>
      </c>
      <c r="B1763" s="8" t="s">
        <v>83</v>
      </c>
      <c r="C1763" s="8" t="s">
        <v>1797</v>
      </c>
      <c r="D1763" s="8" t="s">
        <v>1798</v>
      </c>
      <c r="E1763" s="8" t="s">
        <v>1799</v>
      </c>
      <c r="F1763" s="8">
        <v>-2.6564356</v>
      </c>
      <c r="G1763" s="8">
        <v>-1.1664219</v>
      </c>
      <c r="H1763" s="6" t="str">
        <f t="shared" si="12"/>
        <v>Direct</v>
      </c>
      <c r="I1763" s="6" t="s">
        <v>1800</v>
      </c>
      <c r="J1763" s="8" t="s">
        <v>1800</v>
      </c>
    </row>
    <row r="1764" spans="1:10" x14ac:dyDescent="0.2">
      <c r="A1764" s="8" t="s">
        <v>56</v>
      </c>
      <c r="B1764" s="8" t="s">
        <v>83</v>
      </c>
      <c r="C1764" s="8" t="s">
        <v>1801</v>
      </c>
      <c r="D1764" s="8" t="s">
        <v>1802</v>
      </c>
      <c r="E1764" s="8" t="s">
        <v>1803</v>
      </c>
      <c r="F1764" s="8">
        <v>-20.762954000000001</v>
      </c>
      <c r="G1764" s="8">
        <v>-2.6367812000000002</v>
      </c>
      <c r="H1764" s="6" t="str">
        <f t="shared" si="12"/>
        <v>Direct</v>
      </c>
      <c r="I1764" s="6" t="s">
        <v>1804</v>
      </c>
      <c r="J1764" s="8" t="s">
        <v>1804</v>
      </c>
    </row>
    <row r="1765" spans="1:10" x14ac:dyDescent="0.2">
      <c r="A1765" s="8" t="s">
        <v>56</v>
      </c>
      <c r="B1765" s="8" t="s">
        <v>83</v>
      </c>
      <c r="C1765" s="8" t="s">
        <v>4229</v>
      </c>
      <c r="D1765" s="8" t="s">
        <v>4230</v>
      </c>
      <c r="E1765" s="8" t="s">
        <v>4231</v>
      </c>
      <c r="F1765" s="8">
        <v>1.0751432000000001</v>
      </c>
      <c r="G1765" s="8">
        <v>1.6183028800000001</v>
      </c>
      <c r="H1765" s="6" t="str">
        <f t="shared" si="12"/>
        <v>Direct</v>
      </c>
      <c r="I1765" s="6" t="s">
        <v>2973</v>
      </c>
      <c r="J1765" s="8" t="s">
        <v>2973</v>
      </c>
    </row>
    <row r="1766" spans="1:10" x14ac:dyDescent="0.2">
      <c r="A1766" s="8" t="s">
        <v>56</v>
      </c>
      <c r="B1766" s="8" t="s">
        <v>83</v>
      </c>
      <c r="C1766" s="8" t="s">
        <v>2919</v>
      </c>
      <c r="D1766" s="8" t="s">
        <v>2920</v>
      </c>
      <c r="E1766" s="8" t="s">
        <v>2921</v>
      </c>
      <c r="F1766" s="8">
        <v>-1.6067438000000001</v>
      </c>
      <c r="G1766" s="8">
        <v>5.3143451400000004</v>
      </c>
      <c r="H1766" s="6" t="str">
        <f t="shared" si="12"/>
        <v>Inverse</v>
      </c>
      <c r="I1766" s="6" t="s">
        <v>2922</v>
      </c>
      <c r="J1766" s="8" t="s">
        <v>2922</v>
      </c>
    </row>
    <row r="1767" spans="1:10" x14ac:dyDescent="0.2">
      <c r="A1767" s="8" t="s">
        <v>56</v>
      </c>
      <c r="B1767" s="8" t="s">
        <v>83</v>
      </c>
      <c r="C1767" s="8" t="s">
        <v>2923</v>
      </c>
      <c r="D1767" s="8" t="s">
        <v>2924</v>
      </c>
      <c r="E1767" s="8" t="s">
        <v>2925</v>
      </c>
      <c r="F1767" s="8">
        <v>-1.8994515999999999</v>
      </c>
      <c r="G1767" s="8">
        <v>-7.2715494999999999</v>
      </c>
      <c r="H1767" s="6" t="str">
        <f t="shared" si="12"/>
        <v>Direct</v>
      </c>
      <c r="I1767" s="6" t="s">
        <v>2926</v>
      </c>
      <c r="J1767" s="8" t="s">
        <v>2926</v>
      </c>
    </row>
    <row r="1768" spans="1:10" x14ac:dyDescent="0.2">
      <c r="A1768" s="8" t="s">
        <v>56</v>
      </c>
      <c r="B1768" s="8" t="s">
        <v>83</v>
      </c>
      <c r="C1768" s="8" t="s">
        <v>4699</v>
      </c>
      <c r="D1768" s="8" t="s">
        <v>4700</v>
      </c>
      <c r="E1768" s="8" t="s">
        <v>4701</v>
      </c>
      <c r="F1768" s="8">
        <v>-1.8161797</v>
      </c>
      <c r="G1768" s="8">
        <v>2.1857296499999999</v>
      </c>
      <c r="H1768" s="6" t="str">
        <f t="shared" si="12"/>
        <v>Inverse</v>
      </c>
      <c r="I1768" s="6" t="s">
        <v>4702</v>
      </c>
      <c r="J1768" s="8" t="s">
        <v>4703</v>
      </c>
    </row>
    <row r="1769" spans="1:10" x14ac:dyDescent="0.2">
      <c r="A1769" s="8" t="s">
        <v>56</v>
      </c>
      <c r="B1769" s="8" t="s">
        <v>83</v>
      </c>
      <c r="C1769" s="8" t="s">
        <v>1805</v>
      </c>
      <c r="D1769" s="8" t="s">
        <v>1806</v>
      </c>
      <c r="E1769" s="8" t="s">
        <v>1807</v>
      </c>
      <c r="F1769" s="8">
        <v>-2.2909202</v>
      </c>
      <c r="G1769" s="8">
        <v>-2.3223308999999999</v>
      </c>
      <c r="H1769" s="6" t="str">
        <f t="shared" si="12"/>
        <v>Direct</v>
      </c>
      <c r="I1769" s="6" t="s">
        <v>1808</v>
      </c>
      <c r="J1769" s="8" t="s">
        <v>1808</v>
      </c>
    </row>
    <row r="1770" spans="1:10" x14ac:dyDescent="0.2">
      <c r="A1770" s="8" t="s">
        <v>56</v>
      </c>
      <c r="B1770" s="8" t="s">
        <v>83</v>
      </c>
      <c r="C1770" s="8" t="s">
        <v>4704</v>
      </c>
      <c r="D1770" s="8" t="s">
        <v>4705</v>
      </c>
      <c r="E1770" s="8" t="s">
        <v>4706</v>
      </c>
      <c r="F1770" s="8">
        <v>-1.4921344999999999</v>
      </c>
      <c r="G1770" s="8">
        <v>-1.4448926</v>
      </c>
      <c r="H1770" s="6" t="str">
        <f t="shared" si="12"/>
        <v>Direct</v>
      </c>
      <c r="I1770" s="6" t="s">
        <v>4707</v>
      </c>
      <c r="J1770" s="8" t="s">
        <v>4707</v>
      </c>
    </row>
    <row r="1771" spans="1:10" x14ac:dyDescent="0.2">
      <c r="A1771" s="8" t="s">
        <v>56</v>
      </c>
      <c r="B1771" s="8" t="s">
        <v>83</v>
      </c>
      <c r="C1771" s="8" t="s">
        <v>2927</v>
      </c>
      <c r="D1771" s="8" t="s">
        <v>2928</v>
      </c>
      <c r="E1771" s="8" t="s">
        <v>2929</v>
      </c>
      <c r="F1771" s="8">
        <v>-2.5904313000000001</v>
      </c>
      <c r="G1771" s="8">
        <v>-3.3278311999999999</v>
      </c>
      <c r="H1771" s="6" t="str">
        <f t="shared" si="12"/>
        <v>Direct</v>
      </c>
      <c r="I1771" s="6" t="s">
        <v>2930</v>
      </c>
      <c r="J1771" s="8" t="s">
        <v>2930</v>
      </c>
    </row>
    <row r="1772" spans="1:10" x14ac:dyDescent="0.2">
      <c r="A1772" s="8" t="s">
        <v>56</v>
      </c>
      <c r="B1772" s="8" t="s">
        <v>83</v>
      </c>
      <c r="C1772" s="8" t="s">
        <v>2931</v>
      </c>
      <c r="D1772" s="8" t="s">
        <v>2932</v>
      </c>
      <c r="E1772" s="8" t="s">
        <v>2933</v>
      </c>
      <c r="F1772" s="8">
        <v>-1.6375668999999999</v>
      </c>
      <c r="G1772" s="8">
        <v>-5.2493341999999998</v>
      </c>
      <c r="H1772" s="6" t="str">
        <f t="shared" si="12"/>
        <v>Direct</v>
      </c>
      <c r="I1772" s="6" t="s">
        <v>50</v>
      </c>
      <c r="J1772" s="8" t="s">
        <v>2934</v>
      </c>
    </row>
    <row r="1773" spans="1:10" x14ac:dyDescent="0.2">
      <c r="A1773" s="8" t="s">
        <v>56</v>
      </c>
      <c r="B1773" s="8" t="s">
        <v>83</v>
      </c>
      <c r="C1773" s="8" t="s">
        <v>1809</v>
      </c>
      <c r="D1773" s="8" t="s">
        <v>1810</v>
      </c>
      <c r="E1773" s="8" t="s">
        <v>1811</v>
      </c>
      <c r="F1773" s="8">
        <v>1.1784445699999999</v>
      </c>
      <c r="G1773" s="8">
        <v>4.9917220599999998</v>
      </c>
      <c r="H1773" s="6" t="str">
        <f t="shared" si="12"/>
        <v>Direct</v>
      </c>
      <c r="I1773" s="6" t="s">
        <v>1812</v>
      </c>
      <c r="J1773" s="8" t="s">
        <v>1812</v>
      </c>
    </row>
    <row r="1774" spans="1:10" x14ac:dyDescent="0.2">
      <c r="A1774" s="8" t="s">
        <v>56</v>
      </c>
      <c r="B1774" s="8" t="s">
        <v>83</v>
      </c>
      <c r="C1774" s="8" t="s">
        <v>4708</v>
      </c>
      <c r="D1774" s="8" t="s">
        <v>4709</v>
      </c>
      <c r="E1774" s="8" t="s">
        <v>4710</v>
      </c>
      <c r="F1774" s="8">
        <v>1.1208885900000001</v>
      </c>
      <c r="G1774" s="8">
        <v>1.4048472299999999</v>
      </c>
      <c r="H1774" s="6" t="str">
        <f t="shared" si="12"/>
        <v>Direct</v>
      </c>
      <c r="I1774" s="6" t="s">
        <v>2512</v>
      </c>
      <c r="J1774" s="8" t="s">
        <v>2512</v>
      </c>
    </row>
    <row r="1775" spans="1:10" x14ac:dyDescent="0.2">
      <c r="A1775" s="8" t="s">
        <v>56</v>
      </c>
      <c r="B1775" s="8" t="s">
        <v>83</v>
      </c>
      <c r="C1775" s="8" t="s">
        <v>2935</v>
      </c>
      <c r="D1775" s="8" t="s">
        <v>2936</v>
      </c>
      <c r="E1775" s="8" t="s">
        <v>2937</v>
      </c>
      <c r="F1775" s="8">
        <v>2.7751000499999998</v>
      </c>
      <c r="G1775" s="8">
        <v>4.0048745500000003</v>
      </c>
      <c r="H1775" s="6" t="str">
        <f t="shared" si="12"/>
        <v>Direct</v>
      </c>
      <c r="I1775" s="6" t="s">
        <v>2938</v>
      </c>
      <c r="J1775" s="8" t="s">
        <v>2939</v>
      </c>
    </row>
    <row r="1776" spans="1:10" x14ac:dyDescent="0.2">
      <c r="A1776" s="8" t="s">
        <v>56</v>
      </c>
      <c r="B1776" s="8" t="s">
        <v>83</v>
      </c>
      <c r="C1776" s="8" t="s">
        <v>4711</v>
      </c>
      <c r="D1776" s="8" t="s">
        <v>4712</v>
      </c>
      <c r="E1776" s="8" t="s">
        <v>4713</v>
      </c>
      <c r="F1776" s="8">
        <v>-1.4790097</v>
      </c>
      <c r="G1776" s="8">
        <v>-1.128171</v>
      </c>
      <c r="H1776" s="6" t="str">
        <f t="shared" si="12"/>
        <v>Direct</v>
      </c>
      <c r="I1776" s="6" t="s">
        <v>3350</v>
      </c>
      <c r="J1776" s="8" t="s">
        <v>3350</v>
      </c>
    </row>
    <row r="1777" spans="1:10" x14ac:dyDescent="0.2">
      <c r="A1777" s="8" t="s">
        <v>56</v>
      </c>
      <c r="B1777" s="8" t="s">
        <v>83</v>
      </c>
      <c r="C1777" s="8" t="s">
        <v>1813</v>
      </c>
      <c r="D1777" s="8" t="s">
        <v>1814</v>
      </c>
      <c r="E1777" s="8" t="s">
        <v>1815</v>
      </c>
      <c r="F1777" s="8">
        <v>6.3069037100000003</v>
      </c>
      <c r="G1777" s="8">
        <v>11.9229536</v>
      </c>
      <c r="H1777" s="6" t="str">
        <f t="shared" si="12"/>
        <v>Direct</v>
      </c>
      <c r="I1777" s="6" t="s">
        <v>1719</v>
      </c>
      <c r="J1777" s="8" t="s">
        <v>1719</v>
      </c>
    </row>
    <row r="1778" spans="1:10" x14ac:dyDescent="0.2">
      <c r="A1778" s="8" t="s">
        <v>56</v>
      </c>
      <c r="B1778" s="8" t="s">
        <v>83</v>
      </c>
      <c r="C1778" s="8" t="s">
        <v>1816</v>
      </c>
      <c r="D1778" s="8" t="s">
        <v>1817</v>
      </c>
      <c r="E1778" s="8" t="s">
        <v>1818</v>
      </c>
      <c r="F1778" s="8">
        <v>-2.2565138</v>
      </c>
      <c r="G1778" s="8">
        <v>-2.8839190000000001</v>
      </c>
      <c r="H1778" s="6" t="str">
        <f t="shared" si="12"/>
        <v>Direct</v>
      </c>
      <c r="I1778" s="6" t="s">
        <v>1819</v>
      </c>
      <c r="J1778" s="8" t="s">
        <v>1819</v>
      </c>
    </row>
    <row r="1779" spans="1:10" x14ac:dyDescent="0.2">
      <c r="A1779" s="8" t="s">
        <v>56</v>
      </c>
      <c r="B1779" s="8" t="s">
        <v>83</v>
      </c>
      <c r="C1779" s="8" t="s">
        <v>4714</v>
      </c>
      <c r="D1779" s="8" t="s">
        <v>4715</v>
      </c>
      <c r="E1779" s="8" t="s">
        <v>4716</v>
      </c>
      <c r="F1779" s="8">
        <v>1.8259707000000001</v>
      </c>
      <c r="G1779" s="8">
        <v>2.08417494</v>
      </c>
      <c r="H1779" s="6" t="str">
        <f t="shared" si="12"/>
        <v>Direct</v>
      </c>
      <c r="I1779" s="6" t="s">
        <v>4717</v>
      </c>
      <c r="J1779" s="8" t="s">
        <v>4717</v>
      </c>
    </row>
    <row r="1780" spans="1:10" x14ac:dyDescent="0.2">
      <c r="A1780" s="8" t="s">
        <v>56</v>
      </c>
      <c r="B1780" s="8" t="s">
        <v>83</v>
      </c>
      <c r="C1780" s="8" t="s">
        <v>1824</v>
      </c>
      <c r="D1780" s="8" t="s">
        <v>1825</v>
      </c>
      <c r="E1780" s="8" t="s">
        <v>1826</v>
      </c>
      <c r="F1780" s="8">
        <v>-2.5234295000000002</v>
      </c>
      <c r="G1780" s="8">
        <v>-4.7335792000000003</v>
      </c>
      <c r="H1780" s="6" t="str">
        <f t="shared" si="12"/>
        <v>Direct</v>
      </c>
      <c r="I1780" s="6" t="s">
        <v>50</v>
      </c>
      <c r="J1780" s="8" t="s">
        <v>1827</v>
      </c>
    </row>
    <row r="1781" spans="1:10" x14ac:dyDescent="0.2">
      <c r="A1781" s="8" t="s">
        <v>56</v>
      </c>
      <c r="B1781" s="8" t="s">
        <v>83</v>
      </c>
      <c r="C1781" s="8" t="s">
        <v>4718</v>
      </c>
      <c r="D1781" s="8" t="s">
        <v>4719</v>
      </c>
      <c r="E1781" s="8" t="s">
        <v>4720</v>
      </c>
      <c r="F1781" s="8">
        <v>-1.3975865999999999</v>
      </c>
      <c r="G1781" s="8">
        <v>1.1357181999999999</v>
      </c>
      <c r="H1781" s="6" t="str">
        <f t="shared" si="12"/>
        <v>Inverse</v>
      </c>
      <c r="I1781" s="6" t="s">
        <v>4721</v>
      </c>
      <c r="J1781" s="8" t="s">
        <v>4721</v>
      </c>
    </row>
    <row r="1782" spans="1:10" x14ac:dyDescent="0.2">
      <c r="A1782" s="8" t="s">
        <v>56</v>
      </c>
      <c r="B1782" s="8" t="s">
        <v>83</v>
      </c>
      <c r="C1782" s="8" t="s">
        <v>4722</v>
      </c>
      <c r="D1782" s="8" t="s">
        <v>4723</v>
      </c>
      <c r="E1782" s="8" t="s">
        <v>4724</v>
      </c>
      <c r="F1782" s="8">
        <v>-2.0754698999999999</v>
      </c>
      <c r="G1782" s="8">
        <v>-3.5520942</v>
      </c>
      <c r="H1782" s="6" t="str">
        <f t="shared" si="12"/>
        <v>Direct</v>
      </c>
      <c r="I1782" s="6" t="s">
        <v>4725</v>
      </c>
      <c r="J1782" s="8" t="s">
        <v>4725</v>
      </c>
    </row>
    <row r="1783" spans="1:10" x14ac:dyDescent="0.2">
      <c r="A1783" s="8" t="s">
        <v>56</v>
      </c>
      <c r="B1783" s="8" t="s">
        <v>83</v>
      </c>
      <c r="C1783" s="8" t="s">
        <v>1828</v>
      </c>
      <c r="D1783" s="8" t="s">
        <v>1829</v>
      </c>
      <c r="E1783" s="8" t="s">
        <v>1830</v>
      </c>
      <c r="F1783" s="8">
        <v>2.2661394100000001</v>
      </c>
      <c r="G1783" s="8">
        <v>1.2046180900000001</v>
      </c>
      <c r="H1783" s="6" t="str">
        <f t="shared" si="12"/>
        <v>Direct</v>
      </c>
      <c r="I1783" s="6" t="s">
        <v>50</v>
      </c>
      <c r="J1783" s="8" t="s">
        <v>1831</v>
      </c>
    </row>
    <row r="1784" spans="1:10" x14ac:dyDescent="0.2">
      <c r="A1784" s="8" t="s">
        <v>56</v>
      </c>
      <c r="B1784" s="8" t="s">
        <v>83</v>
      </c>
      <c r="C1784" s="8" t="s">
        <v>2948</v>
      </c>
      <c r="D1784" s="8" t="s">
        <v>2949</v>
      </c>
      <c r="E1784" s="8" t="s">
        <v>2950</v>
      </c>
      <c r="F1784" s="8">
        <v>-1.3609902</v>
      </c>
      <c r="G1784" s="8">
        <v>-2.4235524000000002</v>
      </c>
      <c r="H1784" s="6" t="str">
        <f t="shared" si="12"/>
        <v>Direct</v>
      </c>
      <c r="I1784" s="6" t="s">
        <v>50</v>
      </c>
      <c r="J1784" s="8" t="s">
        <v>2951</v>
      </c>
    </row>
    <row r="1785" spans="1:10" x14ac:dyDescent="0.2">
      <c r="A1785" s="8" t="s">
        <v>56</v>
      </c>
      <c r="B1785" s="8" t="s">
        <v>83</v>
      </c>
      <c r="C1785" s="8" t="s">
        <v>2952</v>
      </c>
      <c r="D1785" s="8" t="s">
        <v>2953</v>
      </c>
      <c r="E1785" s="8" t="s">
        <v>2954</v>
      </c>
      <c r="F1785" s="8">
        <v>-1.9479777</v>
      </c>
      <c r="G1785" s="8">
        <v>-2.4001054000000002</v>
      </c>
      <c r="H1785" s="6" t="str">
        <f t="shared" si="12"/>
        <v>Direct</v>
      </c>
      <c r="I1785" s="6" t="s">
        <v>2955</v>
      </c>
      <c r="J1785" s="8" t="s">
        <v>2956</v>
      </c>
    </row>
    <row r="1786" spans="1:10" x14ac:dyDescent="0.2">
      <c r="A1786" s="8" t="s">
        <v>56</v>
      </c>
      <c r="B1786" s="8" t="s">
        <v>83</v>
      </c>
      <c r="C1786" s="8" t="s">
        <v>1840</v>
      </c>
      <c r="D1786" s="8" t="s">
        <v>1841</v>
      </c>
      <c r="E1786" s="8" t="s">
        <v>1842</v>
      </c>
      <c r="F1786" s="8">
        <v>-2.2580941999999999</v>
      </c>
      <c r="G1786" s="8">
        <v>-1.7157853999999999</v>
      </c>
      <c r="H1786" s="6" t="str">
        <f t="shared" si="12"/>
        <v>Direct</v>
      </c>
      <c r="I1786" s="6" t="s">
        <v>1843</v>
      </c>
      <c r="J1786" s="8" t="s">
        <v>1843</v>
      </c>
    </row>
    <row r="1787" spans="1:10" x14ac:dyDescent="0.2">
      <c r="A1787" s="8" t="s">
        <v>56</v>
      </c>
      <c r="B1787" s="8" t="s">
        <v>83</v>
      </c>
      <c r="C1787" s="8" t="s">
        <v>1844</v>
      </c>
      <c r="D1787" s="8" t="s">
        <v>1845</v>
      </c>
      <c r="E1787" s="8" t="s">
        <v>1846</v>
      </c>
      <c r="F1787" s="8">
        <v>-13.314583000000001</v>
      </c>
      <c r="G1787" s="8">
        <v>-4.9476455000000001</v>
      </c>
      <c r="H1787" s="6" t="str">
        <f t="shared" ref="H1787:H2041" si="13">IF(OR(AND(F1787&gt;0,G1787&gt;0),AND(F1787&lt;0,G1787&lt;0)),"Direct","Inverse")</f>
        <v>Direct</v>
      </c>
      <c r="I1787" s="6" t="s">
        <v>459</v>
      </c>
      <c r="J1787" s="8" t="s">
        <v>459</v>
      </c>
    </row>
    <row r="1788" spans="1:10" x14ac:dyDescent="0.2">
      <c r="A1788" s="8" t="s">
        <v>56</v>
      </c>
      <c r="B1788" s="8" t="s">
        <v>83</v>
      </c>
      <c r="C1788" s="8" t="s">
        <v>1847</v>
      </c>
      <c r="D1788" s="8" t="s">
        <v>1848</v>
      </c>
      <c r="E1788" s="8" t="s">
        <v>1849</v>
      </c>
      <c r="F1788" s="8">
        <v>-4.4929471999999997</v>
      </c>
      <c r="G1788" s="8">
        <v>-2.5299827000000001</v>
      </c>
      <c r="H1788" s="6" t="str">
        <f t="shared" si="13"/>
        <v>Direct</v>
      </c>
      <c r="I1788" s="6" t="s">
        <v>1850</v>
      </c>
      <c r="J1788" s="8" t="s">
        <v>1850</v>
      </c>
    </row>
    <row r="1789" spans="1:10" x14ac:dyDescent="0.2">
      <c r="A1789" s="8" t="s">
        <v>56</v>
      </c>
      <c r="B1789" s="8" t="s">
        <v>83</v>
      </c>
      <c r="C1789" s="8" t="s">
        <v>2957</v>
      </c>
      <c r="D1789" s="8" t="s">
        <v>2958</v>
      </c>
      <c r="E1789" s="8" t="s">
        <v>2959</v>
      </c>
      <c r="F1789" s="8">
        <v>-1.4064756</v>
      </c>
      <c r="G1789" s="8">
        <v>2.81265674</v>
      </c>
      <c r="H1789" s="6" t="str">
        <f t="shared" si="13"/>
        <v>Inverse</v>
      </c>
      <c r="I1789" s="6" t="s">
        <v>2960</v>
      </c>
      <c r="J1789" s="8" t="s">
        <v>2960</v>
      </c>
    </row>
    <row r="1790" spans="1:10" x14ac:dyDescent="0.2">
      <c r="A1790" s="8" t="s">
        <v>56</v>
      </c>
      <c r="B1790" s="8" t="s">
        <v>83</v>
      </c>
      <c r="C1790" s="8" t="s">
        <v>2965</v>
      </c>
      <c r="D1790" s="8" t="s">
        <v>2966</v>
      </c>
      <c r="E1790" s="8" t="s">
        <v>2967</v>
      </c>
      <c r="F1790" s="8">
        <v>-1.2901590000000001</v>
      </c>
      <c r="G1790" s="8">
        <v>2.1015650300000002</v>
      </c>
      <c r="H1790" s="6" t="str">
        <f t="shared" si="13"/>
        <v>Inverse</v>
      </c>
      <c r="I1790" s="6" t="s">
        <v>2968</v>
      </c>
      <c r="J1790" s="8" t="s">
        <v>2969</v>
      </c>
    </row>
    <row r="1791" spans="1:10" x14ac:dyDescent="0.2">
      <c r="A1791" s="8" t="s">
        <v>56</v>
      </c>
      <c r="B1791" s="8" t="s">
        <v>83</v>
      </c>
      <c r="C1791" s="8" t="s">
        <v>1862</v>
      </c>
      <c r="D1791" s="8" t="s">
        <v>1863</v>
      </c>
      <c r="E1791" s="8" t="s">
        <v>1864</v>
      </c>
      <c r="F1791" s="8">
        <v>-1.008559</v>
      </c>
      <c r="G1791" s="8">
        <v>-2.6085292999999998</v>
      </c>
      <c r="H1791" s="6" t="str">
        <f t="shared" si="13"/>
        <v>Direct</v>
      </c>
      <c r="I1791" s="6" t="s">
        <v>445</v>
      </c>
      <c r="J1791" s="8" t="s">
        <v>445</v>
      </c>
    </row>
    <row r="1792" spans="1:10" x14ac:dyDescent="0.2">
      <c r="A1792" s="8" t="s">
        <v>56</v>
      </c>
      <c r="B1792" s="8" t="s">
        <v>83</v>
      </c>
      <c r="C1792" s="8" t="s">
        <v>2970</v>
      </c>
      <c r="D1792" s="8" t="s">
        <v>2971</v>
      </c>
      <c r="E1792" s="8" t="s">
        <v>2972</v>
      </c>
      <c r="F1792" s="8">
        <v>-3.4546686000000002</v>
      </c>
      <c r="G1792" s="8">
        <v>-3.2089482999999999</v>
      </c>
      <c r="H1792" s="6" t="str">
        <f t="shared" si="13"/>
        <v>Direct</v>
      </c>
      <c r="I1792" s="6" t="s">
        <v>2973</v>
      </c>
      <c r="J1792" s="8" t="s">
        <v>2973</v>
      </c>
    </row>
    <row r="1793" spans="1:10" x14ac:dyDescent="0.2">
      <c r="A1793" s="8" t="s">
        <v>56</v>
      </c>
      <c r="B1793" s="8" t="s">
        <v>83</v>
      </c>
      <c r="C1793" s="8" t="s">
        <v>353</v>
      </c>
      <c r="D1793" s="8" t="s">
        <v>354</v>
      </c>
      <c r="E1793" s="8" t="s">
        <v>355</v>
      </c>
      <c r="F1793" s="8">
        <v>-1.5547664999999999</v>
      </c>
      <c r="G1793" s="8">
        <v>-12.906544</v>
      </c>
      <c r="H1793" s="6" t="str">
        <f t="shared" si="13"/>
        <v>Direct</v>
      </c>
      <c r="I1793" s="6" t="s">
        <v>356</v>
      </c>
      <c r="J1793" s="8" t="s">
        <v>357</v>
      </c>
    </row>
    <row r="1794" spans="1:10" x14ac:dyDescent="0.2">
      <c r="A1794" s="8" t="s">
        <v>56</v>
      </c>
      <c r="B1794" s="8" t="s">
        <v>83</v>
      </c>
      <c r="C1794" s="8" t="s">
        <v>2974</v>
      </c>
      <c r="D1794" s="8" t="s">
        <v>2975</v>
      </c>
      <c r="E1794" s="8" t="s">
        <v>2976</v>
      </c>
      <c r="F1794" s="8">
        <v>-2.1284605999999999</v>
      </c>
      <c r="G1794" s="8">
        <v>1.0233791999999999</v>
      </c>
      <c r="H1794" s="6" t="str">
        <f t="shared" si="13"/>
        <v>Inverse</v>
      </c>
      <c r="I1794" s="6" t="s">
        <v>2977</v>
      </c>
      <c r="J1794" s="8" t="s">
        <v>2977</v>
      </c>
    </row>
    <row r="1795" spans="1:10" x14ac:dyDescent="0.2">
      <c r="A1795" s="8" t="s">
        <v>56</v>
      </c>
      <c r="B1795" s="8" t="s">
        <v>83</v>
      </c>
      <c r="C1795" s="8" t="s">
        <v>2978</v>
      </c>
      <c r="D1795" s="8" t="s">
        <v>2979</v>
      </c>
      <c r="E1795" s="8" t="s">
        <v>2980</v>
      </c>
      <c r="F1795" s="8">
        <v>-1.5415449999999999</v>
      </c>
      <c r="G1795" s="8">
        <v>-2.0461323</v>
      </c>
      <c r="H1795" s="6" t="str">
        <f t="shared" si="13"/>
        <v>Direct</v>
      </c>
      <c r="I1795" s="6" t="s">
        <v>1347</v>
      </c>
      <c r="J1795" s="8" t="s">
        <v>1347</v>
      </c>
    </row>
    <row r="1796" spans="1:10" x14ac:dyDescent="0.2">
      <c r="A1796" s="8" t="s">
        <v>56</v>
      </c>
      <c r="B1796" s="8" t="s">
        <v>83</v>
      </c>
      <c r="C1796" s="8" t="s">
        <v>4726</v>
      </c>
      <c r="D1796" s="8" t="s">
        <v>4727</v>
      </c>
      <c r="E1796" s="8" t="s">
        <v>4728</v>
      </c>
      <c r="F1796" s="8">
        <v>-1.6566301000000001</v>
      </c>
      <c r="G1796" s="8">
        <v>-4.5257478999999998</v>
      </c>
      <c r="H1796" s="6" t="str">
        <f t="shared" si="13"/>
        <v>Direct</v>
      </c>
      <c r="I1796" s="6" t="s">
        <v>4729</v>
      </c>
      <c r="J1796" s="8" t="s">
        <v>4730</v>
      </c>
    </row>
    <row r="1797" spans="1:10" x14ac:dyDescent="0.2">
      <c r="A1797" s="8" t="s">
        <v>56</v>
      </c>
      <c r="B1797" s="8" t="s">
        <v>83</v>
      </c>
      <c r="C1797" s="8" t="s">
        <v>4731</v>
      </c>
      <c r="D1797" s="8" t="s">
        <v>4732</v>
      </c>
      <c r="E1797" s="8" t="s">
        <v>4733</v>
      </c>
      <c r="F1797" s="8">
        <v>-2.6159414000000001</v>
      </c>
      <c r="G1797" s="8">
        <v>-3.2270873999999998</v>
      </c>
      <c r="H1797" s="6" t="str">
        <f t="shared" si="13"/>
        <v>Direct</v>
      </c>
      <c r="I1797" s="6" t="s">
        <v>4734</v>
      </c>
      <c r="J1797" s="8" t="s">
        <v>4734</v>
      </c>
    </row>
    <row r="1798" spans="1:10" x14ac:dyDescent="0.2">
      <c r="A1798" s="8" t="s">
        <v>56</v>
      </c>
      <c r="B1798" s="8" t="s">
        <v>83</v>
      </c>
      <c r="C1798" s="8" t="s">
        <v>2981</v>
      </c>
      <c r="D1798" s="8" t="s">
        <v>2982</v>
      </c>
      <c r="E1798" s="8" t="s">
        <v>2983</v>
      </c>
      <c r="F1798" s="8">
        <v>-2.0443343</v>
      </c>
      <c r="G1798" s="8">
        <v>-1.0185709000000001</v>
      </c>
      <c r="H1798" s="6" t="str">
        <f t="shared" si="13"/>
        <v>Direct</v>
      </c>
      <c r="I1798" s="6" t="s">
        <v>2984</v>
      </c>
      <c r="J1798" s="8" t="s">
        <v>2984</v>
      </c>
    </row>
    <row r="1799" spans="1:10" x14ac:dyDescent="0.2">
      <c r="A1799" s="8" t="s">
        <v>56</v>
      </c>
      <c r="B1799" s="8" t="s">
        <v>83</v>
      </c>
      <c r="C1799" s="8" t="s">
        <v>4735</v>
      </c>
      <c r="D1799" s="8" t="s">
        <v>4736</v>
      </c>
      <c r="E1799" s="8" t="s">
        <v>4737</v>
      </c>
      <c r="F1799" s="8">
        <v>1.0154671099999999</v>
      </c>
      <c r="G1799" s="8">
        <v>1.2212067</v>
      </c>
      <c r="H1799" s="6" t="str">
        <f t="shared" si="13"/>
        <v>Direct</v>
      </c>
      <c r="I1799" s="6" t="s">
        <v>3369</v>
      </c>
      <c r="J1799" s="8" t="s">
        <v>3369</v>
      </c>
    </row>
    <row r="1800" spans="1:10" x14ac:dyDescent="0.2">
      <c r="A1800" s="8" t="s">
        <v>56</v>
      </c>
      <c r="B1800" s="8" t="s">
        <v>83</v>
      </c>
      <c r="C1800" s="8" t="s">
        <v>4738</v>
      </c>
      <c r="D1800" s="8" t="s">
        <v>4739</v>
      </c>
      <c r="E1800" s="8" t="s">
        <v>4740</v>
      </c>
      <c r="F1800" s="8">
        <v>1.4683692100000001</v>
      </c>
      <c r="G1800" s="8">
        <v>-1.1390859</v>
      </c>
      <c r="H1800" s="6" t="str">
        <f t="shared" si="13"/>
        <v>Inverse</v>
      </c>
      <c r="I1800" s="6" t="s">
        <v>4741</v>
      </c>
      <c r="J1800" s="8" t="s">
        <v>4741</v>
      </c>
    </row>
    <row r="1801" spans="1:10" x14ac:dyDescent="0.2">
      <c r="A1801" s="8" t="s">
        <v>56</v>
      </c>
      <c r="B1801" s="8" t="s">
        <v>83</v>
      </c>
      <c r="C1801" s="8" t="s">
        <v>4742</v>
      </c>
      <c r="D1801" s="8" t="s">
        <v>4743</v>
      </c>
      <c r="E1801" s="8" t="s">
        <v>4744</v>
      </c>
      <c r="F1801" s="8">
        <v>1.3448663000000001</v>
      </c>
      <c r="G1801" s="8">
        <v>2.2862136300000002</v>
      </c>
      <c r="H1801" s="6" t="str">
        <f t="shared" si="13"/>
        <v>Direct</v>
      </c>
      <c r="I1801" s="6" t="s">
        <v>4410</v>
      </c>
      <c r="J1801" s="8" t="s">
        <v>4410</v>
      </c>
    </row>
    <row r="1802" spans="1:10" x14ac:dyDescent="0.2">
      <c r="A1802" s="8" t="s">
        <v>56</v>
      </c>
      <c r="B1802" s="8" t="s">
        <v>83</v>
      </c>
      <c r="C1802" s="8" t="s">
        <v>2992</v>
      </c>
      <c r="D1802" s="8" t="s">
        <v>2993</v>
      </c>
      <c r="E1802" s="8" t="s">
        <v>2994</v>
      </c>
      <c r="F1802" s="8">
        <v>-2.7225747</v>
      </c>
      <c r="G1802" s="8">
        <v>-2.3995517</v>
      </c>
      <c r="H1802" s="6" t="str">
        <f t="shared" si="13"/>
        <v>Direct</v>
      </c>
      <c r="I1802" s="6" t="s">
        <v>2995</v>
      </c>
      <c r="J1802" s="8" t="s">
        <v>2995</v>
      </c>
    </row>
    <row r="1803" spans="1:10" x14ac:dyDescent="0.2">
      <c r="A1803" s="8" t="s">
        <v>56</v>
      </c>
      <c r="B1803" s="8" t="s">
        <v>83</v>
      </c>
      <c r="C1803" s="8" t="s">
        <v>2996</v>
      </c>
      <c r="D1803" s="8" t="s">
        <v>2997</v>
      </c>
      <c r="E1803" s="8" t="s">
        <v>2998</v>
      </c>
      <c r="F1803" s="8">
        <v>-5.4913641000000002</v>
      </c>
      <c r="G1803" s="8">
        <v>-3.8282406</v>
      </c>
      <c r="H1803" s="6" t="str">
        <f t="shared" si="13"/>
        <v>Direct</v>
      </c>
      <c r="I1803" s="6" t="s">
        <v>822</v>
      </c>
      <c r="J1803" s="8" t="s">
        <v>822</v>
      </c>
    </row>
    <row r="1804" spans="1:10" x14ac:dyDescent="0.2">
      <c r="A1804" s="8" t="s">
        <v>56</v>
      </c>
      <c r="B1804" s="8" t="s">
        <v>83</v>
      </c>
      <c r="C1804" s="8" t="s">
        <v>3003</v>
      </c>
      <c r="D1804" s="8" t="s">
        <v>3004</v>
      </c>
      <c r="E1804" s="8" t="s">
        <v>3005</v>
      </c>
      <c r="F1804" s="8">
        <v>-6.2451911000000004</v>
      </c>
      <c r="G1804" s="8">
        <v>-2.9803966000000002</v>
      </c>
      <c r="H1804" s="6" t="str">
        <f t="shared" si="13"/>
        <v>Direct</v>
      </c>
      <c r="I1804" s="6" t="s">
        <v>3006</v>
      </c>
      <c r="J1804" s="8" t="s">
        <v>3006</v>
      </c>
    </row>
    <row r="1805" spans="1:10" x14ac:dyDescent="0.2">
      <c r="A1805" s="8" t="s">
        <v>56</v>
      </c>
      <c r="B1805" s="8" t="s">
        <v>83</v>
      </c>
      <c r="C1805" s="8" t="s">
        <v>4249</v>
      </c>
      <c r="D1805" s="8" t="s">
        <v>4250</v>
      </c>
      <c r="E1805" s="8" t="s">
        <v>4251</v>
      </c>
      <c r="F1805" s="8">
        <v>1.4055711799999999</v>
      </c>
      <c r="G1805" s="8">
        <v>-1.2807739</v>
      </c>
      <c r="H1805" s="6" t="str">
        <f t="shared" si="13"/>
        <v>Inverse</v>
      </c>
      <c r="I1805" s="6" t="s">
        <v>4252</v>
      </c>
      <c r="J1805" s="8" t="s">
        <v>4252</v>
      </c>
    </row>
    <row r="1806" spans="1:10" x14ac:dyDescent="0.2">
      <c r="A1806" s="8" t="s">
        <v>56</v>
      </c>
      <c r="B1806" s="8" t="s">
        <v>83</v>
      </c>
      <c r="C1806" s="8" t="s">
        <v>3007</v>
      </c>
      <c r="D1806" s="8" t="s">
        <v>3008</v>
      </c>
      <c r="E1806" s="8" t="s">
        <v>3009</v>
      </c>
      <c r="F1806" s="8">
        <v>3.1122066500000001</v>
      </c>
      <c r="G1806" s="8">
        <v>1.10590334</v>
      </c>
      <c r="H1806" s="6" t="str">
        <f t="shared" si="13"/>
        <v>Direct</v>
      </c>
      <c r="I1806" s="6" t="s">
        <v>3010</v>
      </c>
      <c r="J1806" s="8" t="s">
        <v>3011</v>
      </c>
    </row>
    <row r="1807" spans="1:10" x14ac:dyDescent="0.2">
      <c r="A1807" s="8" t="s">
        <v>56</v>
      </c>
      <c r="B1807" s="8" t="s">
        <v>83</v>
      </c>
      <c r="C1807" s="8" t="s">
        <v>1869</v>
      </c>
      <c r="D1807" s="8" t="s">
        <v>1870</v>
      </c>
      <c r="E1807" s="8" t="s">
        <v>1871</v>
      </c>
      <c r="F1807" s="8">
        <v>4.2815128800000002</v>
      </c>
      <c r="G1807" s="8">
        <v>5.3864892299999996</v>
      </c>
      <c r="H1807" s="6" t="str">
        <f t="shared" si="13"/>
        <v>Direct</v>
      </c>
      <c r="I1807" s="6" t="s">
        <v>1872</v>
      </c>
      <c r="J1807" s="8" t="s">
        <v>1872</v>
      </c>
    </row>
    <row r="1808" spans="1:10" x14ac:dyDescent="0.2">
      <c r="A1808" s="8" t="s">
        <v>56</v>
      </c>
      <c r="B1808" s="8" t="s">
        <v>83</v>
      </c>
      <c r="C1808" s="8" t="s">
        <v>4745</v>
      </c>
      <c r="D1808" s="8" t="s">
        <v>4746</v>
      </c>
      <c r="E1808" s="8" t="s">
        <v>4747</v>
      </c>
      <c r="F1808" s="8">
        <v>-3.8003944000000001</v>
      </c>
      <c r="G1808" s="8">
        <v>-1.1333983000000001</v>
      </c>
      <c r="H1808" s="6" t="str">
        <f t="shared" si="13"/>
        <v>Direct</v>
      </c>
      <c r="I1808" s="6" t="s">
        <v>288</v>
      </c>
      <c r="J1808" s="8" t="s">
        <v>288</v>
      </c>
    </row>
    <row r="1809" spans="1:10" x14ac:dyDescent="0.2">
      <c r="A1809" s="8" t="s">
        <v>56</v>
      </c>
      <c r="B1809" s="8" t="s">
        <v>83</v>
      </c>
      <c r="C1809" s="8" t="s">
        <v>3012</v>
      </c>
      <c r="D1809" s="8" t="s">
        <v>3013</v>
      </c>
      <c r="E1809" s="8" t="s">
        <v>3014</v>
      </c>
      <c r="F1809" s="8">
        <v>-4.1151662</v>
      </c>
      <c r="G1809" s="8">
        <v>-1.0222195000000001</v>
      </c>
      <c r="H1809" s="6" t="str">
        <f t="shared" si="13"/>
        <v>Direct</v>
      </c>
      <c r="I1809" s="6" t="s">
        <v>2155</v>
      </c>
      <c r="J1809" s="8" t="s">
        <v>2155</v>
      </c>
    </row>
    <row r="1810" spans="1:10" x14ac:dyDescent="0.2">
      <c r="A1810" s="8" t="s">
        <v>56</v>
      </c>
      <c r="B1810" s="8" t="s">
        <v>83</v>
      </c>
      <c r="C1810" s="8" t="s">
        <v>1882</v>
      </c>
      <c r="D1810" s="8" t="s">
        <v>1883</v>
      </c>
      <c r="E1810" s="8" t="s">
        <v>1884</v>
      </c>
      <c r="F1810" s="8">
        <v>3.0830682299999999</v>
      </c>
      <c r="G1810" s="8">
        <v>6.8321206999999999</v>
      </c>
      <c r="H1810" s="6" t="str">
        <f t="shared" si="13"/>
        <v>Direct</v>
      </c>
      <c r="I1810" s="6" t="s">
        <v>50</v>
      </c>
      <c r="J1810" s="8" t="s">
        <v>743</v>
      </c>
    </row>
    <row r="1811" spans="1:10" x14ac:dyDescent="0.2">
      <c r="A1811" s="8" t="s">
        <v>56</v>
      </c>
      <c r="B1811" s="8" t="s">
        <v>83</v>
      </c>
      <c r="C1811" s="8" t="s">
        <v>4748</v>
      </c>
      <c r="D1811" s="8" t="s">
        <v>4749</v>
      </c>
      <c r="E1811" s="8" t="s">
        <v>4750</v>
      </c>
      <c r="F1811" s="8">
        <v>1.8837364599999999</v>
      </c>
      <c r="G1811" s="8">
        <v>1.1022161699999999</v>
      </c>
      <c r="H1811" s="6" t="str">
        <f t="shared" si="13"/>
        <v>Direct</v>
      </c>
      <c r="I1811" s="6" t="s">
        <v>4751</v>
      </c>
      <c r="J1811" s="8" t="s">
        <v>4751</v>
      </c>
    </row>
    <row r="1812" spans="1:10" x14ac:dyDescent="0.2">
      <c r="A1812" s="8" t="s">
        <v>56</v>
      </c>
      <c r="B1812" s="8" t="s">
        <v>83</v>
      </c>
      <c r="C1812" s="8" t="s">
        <v>3019</v>
      </c>
      <c r="D1812" s="8" t="s">
        <v>3020</v>
      </c>
      <c r="E1812" s="8" t="s">
        <v>3021</v>
      </c>
      <c r="F1812" s="8">
        <v>-1.6079105</v>
      </c>
      <c r="G1812" s="8">
        <v>-1.3295444000000001</v>
      </c>
      <c r="H1812" s="6" t="str">
        <f t="shared" si="13"/>
        <v>Direct</v>
      </c>
      <c r="I1812" s="6" t="s">
        <v>3022</v>
      </c>
      <c r="J1812" s="8" t="s">
        <v>3022</v>
      </c>
    </row>
    <row r="1813" spans="1:10" x14ac:dyDescent="0.2">
      <c r="A1813" s="8" t="s">
        <v>56</v>
      </c>
      <c r="B1813" s="8" t="s">
        <v>83</v>
      </c>
      <c r="C1813" s="8" t="s">
        <v>4256</v>
      </c>
      <c r="D1813" s="8" t="s">
        <v>4257</v>
      </c>
      <c r="E1813" s="8" t="s">
        <v>4258</v>
      </c>
      <c r="F1813" s="8">
        <v>-3.7195735000000001</v>
      </c>
      <c r="G1813" s="8">
        <v>-1.1005882</v>
      </c>
      <c r="H1813" s="6" t="str">
        <f t="shared" si="13"/>
        <v>Direct</v>
      </c>
      <c r="I1813" s="6" t="s">
        <v>4259</v>
      </c>
      <c r="J1813" s="8" t="s">
        <v>4260</v>
      </c>
    </row>
    <row r="1814" spans="1:10" x14ac:dyDescent="0.2">
      <c r="A1814" s="8" t="s">
        <v>56</v>
      </c>
      <c r="B1814" s="8" t="s">
        <v>83</v>
      </c>
      <c r="C1814" s="8" t="s">
        <v>4752</v>
      </c>
      <c r="D1814" s="8" t="s">
        <v>4753</v>
      </c>
      <c r="E1814" s="8" t="s">
        <v>4754</v>
      </c>
      <c r="F1814" s="8">
        <v>1.0578052899999999</v>
      </c>
      <c r="G1814" s="8">
        <v>1.1711285499999999</v>
      </c>
      <c r="H1814" s="6" t="str">
        <f t="shared" si="13"/>
        <v>Direct</v>
      </c>
      <c r="I1814" s="6" t="s">
        <v>4755</v>
      </c>
      <c r="J1814" s="8" t="s">
        <v>4755</v>
      </c>
    </row>
    <row r="1815" spans="1:10" x14ac:dyDescent="0.2">
      <c r="A1815" s="8" t="s">
        <v>56</v>
      </c>
      <c r="B1815" s="8" t="s">
        <v>83</v>
      </c>
      <c r="C1815" s="8" t="s">
        <v>4756</v>
      </c>
      <c r="D1815" s="8" t="s">
        <v>4757</v>
      </c>
      <c r="E1815" s="8" t="s">
        <v>4758</v>
      </c>
      <c r="F1815" s="8">
        <v>-1.3657043</v>
      </c>
      <c r="G1815" s="8">
        <v>4.1558415899999996</v>
      </c>
      <c r="H1815" s="6" t="str">
        <f t="shared" si="13"/>
        <v>Inverse</v>
      </c>
      <c r="I1815" s="6" t="s">
        <v>4759</v>
      </c>
      <c r="J1815" s="8" t="s">
        <v>4759</v>
      </c>
    </row>
    <row r="1816" spans="1:10" x14ac:dyDescent="0.2">
      <c r="A1816" s="8" t="s">
        <v>56</v>
      </c>
      <c r="B1816" s="8" t="s">
        <v>83</v>
      </c>
      <c r="C1816" s="8" t="s">
        <v>1890</v>
      </c>
      <c r="D1816" s="8" t="s">
        <v>1891</v>
      </c>
      <c r="E1816" s="8" t="s">
        <v>1892</v>
      </c>
      <c r="F1816" s="8">
        <v>-2.1047039000000001</v>
      </c>
      <c r="G1816" s="8">
        <v>-14.291460000000001</v>
      </c>
      <c r="H1816" s="6" t="str">
        <f t="shared" si="13"/>
        <v>Direct</v>
      </c>
      <c r="I1816" s="6" t="s">
        <v>1893</v>
      </c>
      <c r="J1816" s="8" t="s">
        <v>1894</v>
      </c>
    </row>
    <row r="1817" spans="1:10" x14ac:dyDescent="0.2">
      <c r="A1817" s="8" t="s">
        <v>56</v>
      </c>
      <c r="B1817" s="8" t="s">
        <v>83</v>
      </c>
      <c r="C1817" s="8" t="s">
        <v>3026</v>
      </c>
      <c r="D1817" s="8" t="s">
        <v>3027</v>
      </c>
      <c r="E1817" s="8" t="s">
        <v>3028</v>
      </c>
      <c r="F1817" s="8">
        <v>1.10435522</v>
      </c>
      <c r="G1817" s="8">
        <v>-2.9579996</v>
      </c>
      <c r="H1817" s="6" t="str">
        <f t="shared" si="13"/>
        <v>Inverse</v>
      </c>
      <c r="I1817" s="6" t="s">
        <v>50</v>
      </c>
      <c r="J1817" s="8" t="s">
        <v>3029</v>
      </c>
    </row>
    <row r="1818" spans="1:10" x14ac:dyDescent="0.2">
      <c r="A1818" s="8" t="s">
        <v>56</v>
      </c>
      <c r="B1818" s="8" t="s">
        <v>83</v>
      </c>
      <c r="C1818" s="8" t="s">
        <v>3037</v>
      </c>
      <c r="D1818" s="8" t="s">
        <v>3038</v>
      </c>
      <c r="E1818" s="8" t="s">
        <v>3039</v>
      </c>
      <c r="F1818" s="8">
        <v>2.41802568</v>
      </c>
      <c r="G1818" s="8">
        <v>-2.6843138999999998</v>
      </c>
      <c r="H1818" s="6" t="str">
        <f t="shared" si="13"/>
        <v>Inverse</v>
      </c>
      <c r="I1818" s="6" t="s">
        <v>2356</v>
      </c>
      <c r="J1818" s="8" t="s">
        <v>2356</v>
      </c>
    </row>
    <row r="1819" spans="1:10" x14ac:dyDescent="0.2">
      <c r="A1819" s="8" t="s">
        <v>56</v>
      </c>
      <c r="B1819" s="8" t="s">
        <v>83</v>
      </c>
      <c r="C1819" s="8" t="s">
        <v>3040</v>
      </c>
      <c r="D1819" s="8" t="s">
        <v>3041</v>
      </c>
      <c r="E1819" s="8" t="s">
        <v>3042</v>
      </c>
      <c r="F1819" s="8">
        <v>-6.5766999999999998</v>
      </c>
      <c r="G1819" s="8">
        <v>-2.5335329</v>
      </c>
      <c r="H1819" s="6" t="str">
        <f t="shared" si="13"/>
        <v>Direct</v>
      </c>
      <c r="I1819" s="6" t="s">
        <v>227</v>
      </c>
      <c r="J1819" s="8" t="s">
        <v>227</v>
      </c>
    </row>
    <row r="1820" spans="1:10" x14ac:dyDescent="0.2">
      <c r="A1820" s="8" t="s">
        <v>56</v>
      </c>
      <c r="B1820" s="8" t="s">
        <v>83</v>
      </c>
      <c r="C1820" s="8" t="s">
        <v>3043</v>
      </c>
      <c r="D1820" s="8" t="s">
        <v>3044</v>
      </c>
      <c r="E1820" s="8" t="s">
        <v>3045</v>
      </c>
      <c r="F1820" s="8">
        <v>-9.8574333999999997</v>
      </c>
      <c r="G1820" s="8">
        <v>-3.3799234999999999</v>
      </c>
      <c r="H1820" s="6" t="str">
        <f t="shared" si="13"/>
        <v>Direct</v>
      </c>
      <c r="I1820" s="6" t="s">
        <v>3046</v>
      </c>
      <c r="J1820" s="8" t="s">
        <v>3046</v>
      </c>
    </row>
    <row r="1821" spans="1:10" x14ac:dyDescent="0.2">
      <c r="A1821" s="8" t="s">
        <v>56</v>
      </c>
      <c r="B1821" s="8" t="s">
        <v>83</v>
      </c>
      <c r="C1821" s="8" t="s">
        <v>3047</v>
      </c>
      <c r="D1821" s="8" t="s">
        <v>3048</v>
      </c>
      <c r="E1821" s="8" t="s">
        <v>3049</v>
      </c>
      <c r="F1821" s="8">
        <v>-3.5784531999999998</v>
      </c>
      <c r="G1821" s="8">
        <v>-2.3641049000000001</v>
      </c>
      <c r="H1821" s="6" t="str">
        <f t="shared" si="13"/>
        <v>Direct</v>
      </c>
      <c r="I1821" s="6" t="s">
        <v>3050</v>
      </c>
      <c r="J1821" s="8" t="s">
        <v>3050</v>
      </c>
    </row>
    <row r="1822" spans="1:10" x14ac:dyDescent="0.2">
      <c r="A1822" s="8" t="s">
        <v>56</v>
      </c>
      <c r="B1822" s="8" t="s">
        <v>83</v>
      </c>
      <c r="C1822" s="8" t="s">
        <v>4760</v>
      </c>
      <c r="D1822" s="8" t="s">
        <v>4761</v>
      </c>
      <c r="E1822" s="8" t="s">
        <v>4762</v>
      </c>
      <c r="F1822" s="8">
        <v>1.8515945899999999</v>
      </c>
      <c r="G1822" s="8">
        <v>-1.2964712</v>
      </c>
      <c r="H1822" s="6" t="str">
        <f t="shared" si="13"/>
        <v>Inverse</v>
      </c>
      <c r="I1822" s="6" t="s">
        <v>4763</v>
      </c>
      <c r="J1822" s="8" t="s">
        <v>4763</v>
      </c>
    </row>
    <row r="1823" spans="1:10" x14ac:dyDescent="0.2">
      <c r="A1823" s="8" t="s">
        <v>56</v>
      </c>
      <c r="B1823" s="8" t="s">
        <v>83</v>
      </c>
      <c r="C1823" s="8" t="s">
        <v>1900</v>
      </c>
      <c r="D1823" s="8" t="s">
        <v>1901</v>
      </c>
      <c r="E1823" s="8" t="s">
        <v>1902</v>
      </c>
      <c r="F1823" s="8">
        <v>-7.0432245</v>
      </c>
      <c r="G1823" s="8">
        <v>-2.1956893000000002</v>
      </c>
      <c r="H1823" s="6" t="str">
        <f t="shared" si="13"/>
        <v>Direct</v>
      </c>
      <c r="I1823" s="6" t="s">
        <v>1903</v>
      </c>
      <c r="J1823" s="8" t="s">
        <v>1903</v>
      </c>
    </row>
    <row r="1824" spans="1:10" x14ac:dyDescent="0.2">
      <c r="A1824" s="8" t="s">
        <v>56</v>
      </c>
      <c r="B1824" s="8" t="s">
        <v>83</v>
      </c>
      <c r="C1824" s="8" t="s">
        <v>1904</v>
      </c>
      <c r="D1824" s="8" t="s">
        <v>1905</v>
      </c>
      <c r="E1824" s="8" t="s">
        <v>1906</v>
      </c>
      <c r="F1824" s="8">
        <v>-1.3286735000000001</v>
      </c>
      <c r="G1824" s="8">
        <v>-3.4159673000000002</v>
      </c>
      <c r="H1824" s="6" t="str">
        <f t="shared" si="13"/>
        <v>Direct</v>
      </c>
      <c r="I1824" s="6" t="s">
        <v>1907</v>
      </c>
      <c r="J1824" s="8" t="s">
        <v>1907</v>
      </c>
    </row>
    <row r="1825" spans="1:10" x14ac:dyDescent="0.2">
      <c r="A1825" s="8" t="s">
        <v>56</v>
      </c>
      <c r="B1825" s="8" t="s">
        <v>83</v>
      </c>
      <c r="C1825" s="8" t="s">
        <v>3051</v>
      </c>
      <c r="D1825" s="8" t="s">
        <v>3052</v>
      </c>
      <c r="E1825" s="8" t="s">
        <v>3053</v>
      </c>
      <c r="F1825" s="8">
        <v>-1.359693</v>
      </c>
      <c r="G1825" s="8">
        <v>2.5836874999999999</v>
      </c>
      <c r="H1825" s="6" t="str">
        <f t="shared" si="13"/>
        <v>Inverse</v>
      </c>
      <c r="I1825" s="6" t="s">
        <v>2922</v>
      </c>
      <c r="J1825" s="8" t="s">
        <v>2922</v>
      </c>
    </row>
    <row r="1826" spans="1:10" x14ac:dyDescent="0.2">
      <c r="A1826" s="8" t="s">
        <v>56</v>
      </c>
      <c r="B1826" s="8" t="s">
        <v>83</v>
      </c>
      <c r="C1826" s="8" t="s">
        <v>1912</v>
      </c>
      <c r="D1826" s="8" t="s">
        <v>1913</v>
      </c>
      <c r="E1826" s="8" t="s">
        <v>1914</v>
      </c>
      <c r="F1826" s="8">
        <v>-1.2590631000000001</v>
      </c>
      <c r="G1826" s="8">
        <v>-5.5983083999999996</v>
      </c>
      <c r="H1826" s="6" t="str">
        <f t="shared" si="13"/>
        <v>Direct</v>
      </c>
      <c r="I1826" s="6" t="s">
        <v>1915</v>
      </c>
      <c r="J1826" s="8" t="s">
        <v>1915</v>
      </c>
    </row>
    <row r="1827" spans="1:10" x14ac:dyDescent="0.2">
      <c r="A1827" s="8" t="s">
        <v>56</v>
      </c>
      <c r="B1827" s="8" t="s">
        <v>83</v>
      </c>
      <c r="C1827" s="8" t="s">
        <v>3054</v>
      </c>
      <c r="D1827" s="8" t="s">
        <v>3055</v>
      </c>
      <c r="E1827" s="8" t="s">
        <v>3056</v>
      </c>
      <c r="F1827" s="8">
        <v>-2.2974847999999999</v>
      </c>
      <c r="G1827" s="8">
        <v>-4.3638081</v>
      </c>
      <c r="H1827" s="6" t="str">
        <f t="shared" si="13"/>
        <v>Direct</v>
      </c>
      <c r="I1827" s="6" t="s">
        <v>3057</v>
      </c>
      <c r="J1827" s="8" t="s">
        <v>3057</v>
      </c>
    </row>
    <row r="1828" spans="1:10" x14ac:dyDescent="0.2">
      <c r="A1828" s="8" t="s">
        <v>56</v>
      </c>
      <c r="B1828" s="8" t="s">
        <v>83</v>
      </c>
      <c r="C1828" s="8" t="s">
        <v>1919</v>
      </c>
      <c r="D1828" s="8" t="s">
        <v>1920</v>
      </c>
      <c r="E1828" s="8" t="s">
        <v>1921</v>
      </c>
      <c r="F1828" s="8">
        <v>1.0492669999999999</v>
      </c>
      <c r="G1828" s="8">
        <v>11.410586</v>
      </c>
      <c r="H1828" s="6" t="str">
        <f t="shared" si="13"/>
        <v>Direct</v>
      </c>
      <c r="I1828" s="6" t="s">
        <v>1922</v>
      </c>
      <c r="J1828" s="8" t="s">
        <v>1923</v>
      </c>
    </row>
    <row r="1829" spans="1:10" x14ac:dyDescent="0.2">
      <c r="A1829" s="8" t="s">
        <v>56</v>
      </c>
      <c r="B1829" s="8" t="s">
        <v>83</v>
      </c>
      <c r="C1829" s="8" t="s">
        <v>3065</v>
      </c>
      <c r="D1829" s="8" t="s">
        <v>3066</v>
      </c>
      <c r="E1829" s="8" t="s">
        <v>3067</v>
      </c>
      <c r="F1829" s="8">
        <v>1.5376223099999999</v>
      </c>
      <c r="G1829" s="8">
        <v>1.99623214</v>
      </c>
      <c r="H1829" s="6" t="str">
        <f t="shared" si="13"/>
        <v>Direct</v>
      </c>
      <c r="I1829" s="6" t="s">
        <v>3068</v>
      </c>
      <c r="J1829" s="8" t="s">
        <v>3068</v>
      </c>
    </row>
    <row r="1830" spans="1:10" x14ac:dyDescent="0.2">
      <c r="A1830" s="8" t="s">
        <v>56</v>
      </c>
      <c r="B1830" s="8" t="s">
        <v>83</v>
      </c>
      <c r="C1830" s="8" t="s">
        <v>3069</v>
      </c>
      <c r="D1830" s="8" t="s">
        <v>3070</v>
      </c>
      <c r="E1830" s="8" t="s">
        <v>3071</v>
      </c>
      <c r="F1830" s="8">
        <v>-1.061653</v>
      </c>
      <c r="G1830" s="8">
        <v>-3.1248634000000002</v>
      </c>
      <c r="H1830" s="6" t="str">
        <f t="shared" si="13"/>
        <v>Direct</v>
      </c>
      <c r="I1830" s="6" t="s">
        <v>3072</v>
      </c>
      <c r="J1830" s="8" t="s">
        <v>3073</v>
      </c>
    </row>
    <row r="1831" spans="1:10" x14ac:dyDescent="0.2">
      <c r="A1831" s="8" t="s">
        <v>56</v>
      </c>
      <c r="B1831" s="8" t="s">
        <v>83</v>
      </c>
      <c r="C1831" s="8" t="s">
        <v>3078</v>
      </c>
      <c r="D1831" s="8" t="s">
        <v>3079</v>
      </c>
      <c r="E1831" s="8" t="s">
        <v>3080</v>
      </c>
      <c r="F1831" s="8">
        <v>-1.6047047000000001</v>
      </c>
      <c r="G1831" s="8">
        <v>-24.406707000000001</v>
      </c>
      <c r="H1831" s="6" t="str">
        <f t="shared" si="13"/>
        <v>Direct</v>
      </c>
      <c r="I1831" s="6" t="s">
        <v>55</v>
      </c>
      <c r="J1831" s="8" t="s">
        <v>55</v>
      </c>
    </row>
    <row r="1832" spans="1:10" x14ac:dyDescent="0.2">
      <c r="A1832" s="8" t="s">
        <v>56</v>
      </c>
      <c r="B1832" s="8" t="s">
        <v>83</v>
      </c>
      <c r="C1832" s="8" t="s">
        <v>1932</v>
      </c>
      <c r="D1832" s="8" t="s">
        <v>1933</v>
      </c>
      <c r="E1832" s="8" t="s">
        <v>1934</v>
      </c>
      <c r="F1832" s="8">
        <v>2.5725456599999998</v>
      </c>
      <c r="G1832" s="8">
        <v>1.27790789</v>
      </c>
      <c r="H1832" s="6" t="str">
        <f t="shared" si="13"/>
        <v>Direct</v>
      </c>
      <c r="I1832" s="6" t="s">
        <v>50</v>
      </c>
      <c r="J1832" s="8" t="s">
        <v>1935</v>
      </c>
    </row>
    <row r="1833" spans="1:10" x14ac:dyDescent="0.2">
      <c r="A1833" s="8" t="s">
        <v>56</v>
      </c>
      <c r="B1833" s="8" t="s">
        <v>83</v>
      </c>
      <c r="C1833" s="8" t="s">
        <v>3081</v>
      </c>
      <c r="D1833" s="8" t="s">
        <v>3082</v>
      </c>
      <c r="E1833" s="8" t="s">
        <v>3083</v>
      </c>
      <c r="F1833" s="8">
        <v>-1.7411297999999999</v>
      </c>
      <c r="G1833" s="8">
        <v>-1.1116744999999999</v>
      </c>
      <c r="H1833" s="6" t="str">
        <f t="shared" si="13"/>
        <v>Direct</v>
      </c>
      <c r="I1833" s="6" t="s">
        <v>116</v>
      </c>
      <c r="J1833" s="8" t="s">
        <v>1449</v>
      </c>
    </row>
    <row r="1834" spans="1:10" x14ac:dyDescent="0.2">
      <c r="A1834" s="8" t="s">
        <v>56</v>
      </c>
      <c r="B1834" s="8" t="s">
        <v>83</v>
      </c>
      <c r="C1834" s="8" t="s">
        <v>1936</v>
      </c>
      <c r="D1834" s="8" t="s">
        <v>1937</v>
      </c>
      <c r="E1834" s="8" t="s">
        <v>1938</v>
      </c>
      <c r="F1834" s="8">
        <v>-5.8952809999999998</v>
      </c>
      <c r="G1834" s="8">
        <v>-1.2836258</v>
      </c>
      <c r="H1834" s="6" t="str">
        <f t="shared" si="13"/>
        <v>Direct</v>
      </c>
      <c r="I1834" s="6" t="s">
        <v>1939</v>
      </c>
      <c r="J1834" s="8" t="s">
        <v>1939</v>
      </c>
    </row>
    <row r="1835" spans="1:10" x14ac:dyDescent="0.2">
      <c r="A1835" s="8" t="s">
        <v>56</v>
      </c>
      <c r="B1835" s="8" t="s">
        <v>83</v>
      </c>
      <c r="C1835" s="8" t="s">
        <v>1940</v>
      </c>
      <c r="D1835" s="8" t="s">
        <v>1941</v>
      </c>
      <c r="E1835" s="8" t="s">
        <v>1942</v>
      </c>
      <c r="F1835" s="8">
        <v>2.8194298600000001</v>
      </c>
      <c r="G1835" s="8">
        <v>6.9909228800000003</v>
      </c>
      <c r="H1835" s="6" t="str">
        <f t="shared" si="13"/>
        <v>Direct</v>
      </c>
      <c r="I1835" s="6" t="s">
        <v>1943</v>
      </c>
      <c r="J1835" s="8" t="s">
        <v>1943</v>
      </c>
    </row>
    <row r="1836" spans="1:10" x14ac:dyDescent="0.2">
      <c r="A1836" s="8" t="s">
        <v>56</v>
      </c>
      <c r="B1836" s="8" t="s">
        <v>83</v>
      </c>
      <c r="C1836" s="8" t="s">
        <v>4764</v>
      </c>
      <c r="D1836" s="8" t="s">
        <v>4765</v>
      </c>
      <c r="E1836" s="8" t="s">
        <v>4766</v>
      </c>
      <c r="F1836" s="8">
        <v>-1.2215235</v>
      </c>
      <c r="G1836" s="8">
        <v>-1.7579973</v>
      </c>
      <c r="H1836" s="6" t="str">
        <f t="shared" si="13"/>
        <v>Direct</v>
      </c>
      <c r="I1836" s="6" t="s">
        <v>4767</v>
      </c>
      <c r="J1836" s="8" t="s">
        <v>4767</v>
      </c>
    </row>
    <row r="1837" spans="1:10" x14ac:dyDescent="0.2">
      <c r="A1837" s="8" t="s">
        <v>56</v>
      </c>
      <c r="B1837" s="8" t="s">
        <v>83</v>
      </c>
      <c r="C1837" s="8" t="s">
        <v>1948</v>
      </c>
      <c r="D1837" s="8" t="s">
        <v>1949</v>
      </c>
      <c r="E1837" s="8" t="s">
        <v>1950</v>
      </c>
      <c r="F1837" s="8">
        <v>-2.4059593000000001</v>
      </c>
      <c r="G1837" s="8">
        <v>-1.0027317</v>
      </c>
      <c r="H1837" s="6" t="str">
        <f t="shared" si="13"/>
        <v>Direct</v>
      </c>
      <c r="I1837" s="6" t="s">
        <v>1951</v>
      </c>
      <c r="J1837" s="8" t="s">
        <v>1951</v>
      </c>
    </row>
    <row r="1838" spans="1:10" x14ac:dyDescent="0.2">
      <c r="A1838" s="8" t="s">
        <v>56</v>
      </c>
      <c r="B1838" s="8" t="s">
        <v>83</v>
      </c>
      <c r="C1838" s="8" t="s">
        <v>4768</v>
      </c>
      <c r="D1838" s="8" t="s">
        <v>4769</v>
      </c>
      <c r="E1838" s="8" t="s">
        <v>4770</v>
      </c>
      <c r="F1838" s="8">
        <v>1.02882535</v>
      </c>
      <c r="G1838" s="8">
        <v>-1.6475495</v>
      </c>
      <c r="H1838" s="6" t="str">
        <f t="shared" si="13"/>
        <v>Inverse</v>
      </c>
      <c r="I1838" s="6" t="s">
        <v>3794</v>
      </c>
      <c r="J1838" s="8" t="s">
        <v>3794</v>
      </c>
    </row>
    <row r="1839" spans="1:10" x14ac:dyDescent="0.2">
      <c r="A1839" s="8" t="s">
        <v>56</v>
      </c>
      <c r="B1839" s="8" t="s">
        <v>83</v>
      </c>
      <c r="C1839" s="8" t="s">
        <v>3096</v>
      </c>
      <c r="D1839" s="8" t="s">
        <v>3097</v>
      </c>
      <c r="E1839" s="8" t="s">
        <v>3098</v>
      </c>
      <c r="F1839" s="8">
        <v>-1.4620696</v>
      </c>
      <c r="G1839" s="8">
        <v>-7.6492694999999999</v>
      </c>
      <c r="H1839" s="6" t="str">
        <f t="shared" si="13"/>
        <v>Direct</v>
      </c>
      <c r="I1839" s="6" t="s">
        <v>445</v>
      </c>
      <c r="J1839" s="8" t="s">
        <v>445</v>
      </c>
    </row>
    <row r="1840" spans="1:10" x14ac:dyDescent="0.2">
      <c r="A1840" s="8" t="s">
        <v>56</v>
      </c>
      <c r="B1840" s="8" t="s">
        <v>83</v>
      </c>
      <c r="C1840" s="8" t="s">
        <v>3099</v>
      </c>
      <c r="D1840" s="8" t="s">
        <v>3100</v>
      </c>
      <c r="E1840" s="8" t="s">
        <v>3101</v>
      </c>
      <c r="F1840" s="8">
        <v>-1.3010983</v>
      </c>
      <c r="G1840" s="8">
        <v>-2.7763065999999998</v>
      </c>
      <c r="H1840" s="6" t="str">
        <f t="shared" si="13"/>
        <v>Direct</v>
      </c>
      <c r="I1840" s="6" t="s">
        <v>3102</v>
      </c>
      <c r="J1840" s="8" t="s">
        <v>3102</v>
      </c>
    </row>
    <row r="1841" spans="1:10" x14ac:dyDescent="0.2">
      <c r="A1841" s="8" t="s">
        <v>56</v>
      </c>
      <c r="B1841" s="8" t="s">
        <v>83</v>
      </c>
      <c r="C1841" s="8" t="s">
        <v>4771</v>
      </c>
      <c r="D1841" s="8" t="s">
        <v>4772</v>
      </c>
      <c r="E1841" s="8" t="s">
        <v>4773</v>
      </c>
      <c r="F1841" s="8">
        <v>-1.4836024999999999</v>
      </c>
      <c r="G1841" s="8">
        <v>1.0459361</v>
      </c>
      <c r="H1841" s="6" t="str">
        <f t="shared" si="13"/>
        <v>Inverse</v>
      </c>
      <c r="I1841" s="6" t="s">
        <v>4774</v>
      </c>
      <c r="J1841" s="8" t="s">
        <v>4774</v>
      </c>
    </row>
    <row r="1842" spans="1:10" x14ac:dyDescent="0.2">
      <c r="A1842" s="8" t="s">
        <v>56</v>
      </c>
      <c r="B1842" s="8" t="s">
        <v>83</v>
      </c>
      <c r="C1842" s="8" t="s">
        <v>3107</v>
      </c>
      <c r="D1842" s="8" t="s">
        <v>3108</v>
      </c>
      <c r="E1842" s="8" t="s">
        <v>3109</v>
      </c>
      <c r="F1842" s="8">
        <v>-1.7433311</v>
      </c>
      <c r="G1842" s="8">
        <v>4.8713250600000002</v>
      </c>
      <c r="H1842" s="6" t="str">
        <f t="shared" si="13"/>
        <v>Inverse</v>
      </c>
      <c r="I1842" s="6" t="s">
        <v>3110</v>
      </c>
      <c r="J1842" s="8" t="s">
        <v>3110</v>
      </c>
    </row>
    <row r="1843" spans="1:10" x14ac:dyDescent="0.2">
      <c r="A1843" s="8" t="s">
        <v>56</v>
      </c>
      <c r="B1843" s="8" t="s">
        <v>83</v>
      </c>
      <c r="C1843" s="8" t="s">
        <v>3111</v>
      </c>
      <c r="D1843" s="8" t="s">
        <v>3112</v>
      </c>
      <c r="E1843" s="8" t="s">
        <v>3113</v>
      </c>
      <c r="F1843" s="8">
        <v>1.66147797</v>
      </c>
      <c r="G1843" s="8">
        <v>2.4800634600000002</v>
      </c>
      <c r="H1843" s="6" t="str">
        <f t="shared" si="13"/>
        <v>Direct</v>
      </c>
      <c r="I1843" s="6" t="s">
        <v>794</v>
      </c>
      <c r="J1843" s="8" t="s">
        <v>794</v>
      </c>
    </row>
    <row r="1844" spans="1:10" x14ac:dyDescent="0.2">
      <c r="A1844" s="8" t="s">
        <v>56</v>
      </c>
      <c r="B1844" s="8" t="s">
        <v>83</v>
      </c>
      <c r="C1844" s="8" t="s">
        <v>3114</v>
      </c>
      <c r="D1844" s="8" t="s">
        <v>3115</v>
      </c>
      <c r="E1844" s="8" t="s">
        <v>3116</v>
      </c>
      <c r="F1844" s="8">
        <v>-1.3560627000000001</v>
      </c>
      <c r="G1844" s="8">
        <v>-9.8788301999999995</v>
      </c>
      <c r="H1844" s="6" t="str">
        <f t="shared" si="13"/>
        <v>Direct</v>
      </c>
      <c r="I1844" s="6" t="s">
        <v>3117</v>
      </c>
      <c r="J1844" s="8" t="s">
        <v>3117</v>
      </c>
    </row>
    <row r="1845" spans="1:10" x14ac:dyDescent="0.2">
      <c r="A1845" s="8" t="s">
        <v>56</v>
      </c>
      <c r="B1845" s="8" t="s">
        <v>83</v>
      </c>
      <c r="C1845" s="8" t="s">
        <v>3118</v>
      </c>
      <c r="D1845" s="8" t="s">
        <v>3119</v>
      </c>
      <c r="E1845" s="8" t="s">
        <v>3120</v>
      </c>
      <c r="F1845" s="8">
        <v>-2.5240944000000001</v>
      </c>
      <c r="G1845" s="8">
        <v>-39.769013999999999</v>
      </c>
      <c r="H1845" s="6" t="str">
        <f t="shared" si="13"/>
        <v>Direct</v>
      </c>
      <c r="I1845" s="6" t="s">
        <v>3121</v>
      </c>
      <c r="J1845" s="8" t="s">
        <v>3121</v>
      </c>
    </row>
    <row r="1846" spans="1:10" x14ac:dyDescent="0.2">
      <c r="A1846" s="8" t="s">
        <v>56</v>
      </c>
      <c r="B1846" s="8" t="s">
        <v>83</v>
      </c>
      <c r="C1846" s="8" t="s">
        <v>3122</v>
      </c>
      <c r="D1846" s="8" t="s">
        <v>3123</v>
      </c>
      <c r="E1846" s="8" t="s">
        <v>3124</v>
      </c>
      <c r="F1846" s="8">
        <v>-2.6512367000000001</v>
      </c>
      <c r="G1846" s="8">
        <v>-2.4809492</v>
      </c>
      <c r="H1846" s="6" t="str">
        <f t="shared" si="13"/>
        <v>Direct</v>
      </c>
      <c r="I1846" s="6" t="s">
        <v>3125</v>
      </c>
      <c r="J1846" s="8" t="s">
        <v>3125</v>
      </c>
    </row>
    <row r="1847" spans="1:10" x14ac:dyDescent="0.2">
      <c r="A1847" s="8" t="s">
        <v>56</v>
      </c>
      <c r="B1847" s="8" t="s">
        <v>83</v>
      </c>
      <c r="C1847" s="8" t="s">
        <v>1965</v>
      </c>
      <c r="D1847" s="8" t="s">
        <v>1966</v>
      </c>
      <c r="E1847" s="8" t="s">
        <v>1967</v>
      </c>
      <c r="F1847" s="8">
        <v>-3.0694916000000001</v>
      </c>
      <c r="G1847" s="8">
        <v>-6.8579439999999998</v>
      </c>
      <c r="H1847" s="6" t="str">
        <f t="shared" si="13"/>
        <v>Direct</v>
      </c>
      <c r="I1847" s="6" t="s">
        <v>1968</v>
      </c>
      <c r="J1847" s="8" t="s">
        <v>1968</v>
      </c>
    </row>
    <row r="1848" spans="1:10" x14ac:dyDescent="0.2">
      <c r="A1848" s="8" t="s">
        <v>56</v>
      </c>
      <c r="B1848" s="8" t="s">
        <v>83</v>
      </c>
      <c r="C1848" s="8" t="s">
        <v>3126</v>
      </c>
      <c r="D1848" s="8" t="s">
        <v>3127</v>
      </c>
      <c r="E1848" s="8" t="s">
        <v>3128</v>
      </c>
      <c r="F1848" s="8">
        <v>-1.0436122999999999</v>
      </c>
      <c r="G1848" s="8">
        <v>1.0840639599999999</v>
      </c>
      <c r="H1848" s="6" t="str">
        <f t="shared" si="13"/>
        <v>Inverse</v>
      </c>
      <c r="I1848" s="6" t="s">
        <v>3129</v>
      </c>
      <c r="J1848" s="8" t="s">
        <v>3129</v>
      </c>
    </row>
    <row r="1849" spans="1:10" x14ac:dyDescent="0.2">
      <c r="A1849" s="8" t="s">
        <v>56</v>
      </c>
      <c r="B1849" s="8" t="s">
        <v>83</v>
      </c>
      <c r="C1849" s="8" t="s">
        <v>3130</v>
      </c>
      <c r="D1849" s="8" t="s">
        <v>3131</v>
      </c>
      <c r="E1849" s="8" t="s">
        <v>3132</v>
      </c>
      <c r="F1849" s="8">
        <v>-6.3029570000000001</v>
      </c>
      <c r="G1849" s="8">
        <v>-1.1440729000000001</v>
      </c>
      <c r="H1849" s="6" t="str">
        <f t="shared" si="13"/>
        <v>Direct</v>
      </c>
      <c r="I1849" s="6" t="s">
        <v>3133</v>
      </c>
      <c r="J1849" s="8" t="s">
        <v>3133</v>
      </c>
    </row>
    <row r="1850" spans="1:10" x14ac:dyDescent="0.2">
      <c r="A1850" s="8" t="s">
        <v>56</v>
      </c>
      <c r="B1850" s="8" t="s">
        <v>83</v>
      </c>
      <c r="C1850" s="8" t="s">
        <v>1977</v>
      </c>
      <c r="D1850" s="8" t="s">
        <v>1978</v>
      </c>
      <c r="E1850" s="8" t="s">
        <v>1979</v>
      </c>
      <c r="F1850" s="8">
        <v>-1.321879</v>
      </c>
      <c r="G1850" s="8">
        <v>-2.7400104000000001</v>
      </c>
      <c r="H1850" s="6" t="str">
        <f t="shared" si="13"/>
        <v>Direct</v>
      </c>
      <c r="I1850" s="6" t="s">
        <v>1980</v>
      </c>
      <c r="J1850" s="8" t="s">
        <v>1980</v>
      </c>
    </row>
    <row r="1851" spans="1:10" x14ac:dyDescent="0.2">
      <c r="A1851" s="8" t="s">
        <v>56</v>
      </c>
      <c r="B1851" s="8" t="s">
        <v>83</v>
      </c>
      <c r="C1851" s="8" t="s">
        <v>3134</v>
      </c>
      <c r="D1851" s="8" t="s">
        <v>3135</v>
      </c>
      <c r="E1851" s="8" t="s">
        <v>3136</v>
      </c>
      <c r="F1851" s="8">
        <v>-1.0725452</v>
      </c>
      <c r="G1851" s="8">
        <v>-1.9282178000000001</v>
      </c>
      <c r="H1851" s="6" t="str">
        <f t="shared" si="13"/>
        <v>Direct</v>
      </c>
      <c r="I1851" s="6" t="s">
        <v>3137</v>
      </c>
      <c r="J1851" s="8" t="s">
        <v>3137</v>
      </c>
    </row>
    <row r="1852" spans="1:10" x14ac:dyDescent="0.2">
      <c r="A1852" s="8" t="s">
        <v>56</v>
      </c>
      <c r="B1852" s="8" t="s">
        <v>83</v>
      </c>
      <c r="C1852" s="8" t="s">
        <v>4775</v>
      </c>
      <c r="D1852" s="8" t="s">
        <v>4776</v>
      </c>
      <c r="E1852" s="8" t="s">
        <v>4777</v>
      </c>
      <c r="F1852" s="8">
        <v>1.3753854700000001</v>
      </c>
      <c r="G1852" s="8">
        <v>-7.4387721999999998</v>
      </c>
      <c r="H1852" s="6" t="str">
        <f t="shared" si="13"/>
        <v>Inverse</v>
      </c>
      <c r="I1852" s="6" t="s">
        <v>50</v>
      </c>
      <c r="J1852" s="8" t="s">
        <v>117</v>
      </c>
    </row>
    <row r="1853" spans="1:10" x14ac:dyDescent="0.2">
      <c r="A1853" s="8" t="s">
        <v>56</v>
      </c>
      <c r="B1853" s="8" t="s">
        <v>83</v>
      </c>
      <c r="C1853" s="8" t="s">
        <v>1981</v>
      </c>
      <c r="D1853" s="8" t="s">
        <v>1982</v>
      </c>
      <c r="E1853" s="8" t="s">
        <v>1983</v>
      </c>
      <c r="F1853" s="8">
        <v>1.2456289300000001</v>
      </c>
      <c r="G1853" s="8">
        <v>1.2327390300000001</v>
      </c>
      <c r="H1853" s="6" t="str">
        <f t="shared" si="13"/>
        <v>Direct</v>
      </c>
      <c r="I1853" s="6" t="s">
        <v>1984</v>
      </c>
      <c r="J1853" s="8" t="s">
        <v>1984</v>
      </c>
    </row>
    <row r="1854" spans="1:10" x14ac:dyDescent="0.2">
      <c r="A1854" s="8" t="s">
        <v>56</v>
      </c>
      <c r="B1854" s="8" t="s">
        <v>83</v>
      </c>
      <c r="C1854" s="8" t="s">
        <v>4778</v>
      </c>
      <c r="D1854" s="8" t="s">
        <v>4779</v>
      </c>
      <c r="E1854" s="8" t="s">
        <v>4780</v>
      </c>
      <c r="F1854" s="8">
        <v>-1.2373067</v>
      </c>
      <c r="G1854" s="8">
        <v>-2.6065923</v>
      </c>
      <c r="H1854" s="6" t="str">
        <f t="shared" si="13"/>
        <v>Direct</v>
      </c>
      <c r="I1854" s="6" t="s">
        <v>4781</v>
      </c>
      <c r="J1854" s="8" t="s">
        <v>4781</v>
      </c>
    </row>
    <row r="1855" spans="1:10" x14ac:dyDescent="0.2">
      <c r="A1855" s="8" t="s">
        <v>56</v>
      </c>
      <c r="B1855" s="8" t="s">
        <v>83</v>
      </c>
      <c r="C1855" s="8" t="s">
        <v>3142</v>
      </c>
      <c r="D1855" s="8" t="s">
        <v>3143</v>
      </c>
      <c r="E1855" s="8" t="s">
        <v>3144</v>
      </c>
      <c r="F1855" s="8">
        <v>1.66258613</v>
      </c>
      <c r="G1855" s="8">
        <v>6.3787666600000001</v>
      </c>
      <c r="H1855" s="6" t="str">
        <f t="shared" si="13"/>
        <v>Direct</v>
      </c>
      <c r="I1855" s="6" t="s">
        <v>3145</v>
      </c>
      <c r="J1855" s="8" t="s">
        <v>3145</v>
      </c>
    </row>
    <row r="1856" spans="1:10" x14ac:dyDescent="0.2">
      <c r="A1856" s="8" t="s">
        <v>56</v>
      </c>
      <c r="B1856" s="8" t="s">
        <v>83</v>
      </c>
      <c r="C1856" s="8" t="s">
        <v>3150</v>
      </c>
      <c r="D1856" s="8" t="s">
        <v>3151</v>
      </c>
      <c r="E1856" s="8" t="s">
        <v>3152</v>
      </c>
      <c r="F1856" s="8">
        <v>-1.2334451</v>
      </c>
      <c r="G1856" s="8">
        <v>-24.059767999999998</v>
      </c>
      <c r="H1856" s="6" t="str">
        <f t="shared" si="13"/>
        <v>Direct</v>
      </c>
      <c r="I1856" s="6" t="s">
        <v>723</v>
      </c>
      <c r="J1856" s="8" t="s">
        <v>3153</v>
      </c>
    </row>
    <row r="1857" spans="1:10" x14ac:dyDescent="0.2">
      <c r="A1857" s="8" t="s">
        <v>56</v>
      </c>
      <c r="B1857" s="8" t="s">
        <v>83</v>
      </c>
      <c r="C1857" s="8" t="s">
        <v>3154</v>
      </c>
      <c r="D1857" s="8" t="s">
        <v>3155</v>
      </c>
      <c r="E1857" s="8" t="s">
        <v>3156</v>
      </c>
      <c r="F1857" s="8">
        <v>-5.4712769000000003</v>
      </c>
      <c r="G1857" s="8">
        <v>-1.0819190000000001</v>
      </c>
      <c r="H1857" s="6" t="str">
        <f t="shared" si="13"/>
        <v>Direct</v>
      </c>
      <c r="I1857" s="6" t="s">
        <v>3157</v>
      </c>
      <c r="J1857" s="8" t="s">
        <v>3157</v>
      </c>
    </row>
    <row r="1858" spans="1:10" x14ac:dyDescent="0.2">
      <c r="A1858" s="8" t="s">
        <v>56</v>
      </c>
      <c r="B1858" s="8" t="s">
        <v>83</v>
      </c>
      <c r="C1858" s="8" t="s">
        <v>3158</v>
      </c>
      <c r="D1858" s="8" t="s">
        <v>3159</v>
      </c>
      <c r="E1858" s="8" t="s">
        <v>3160</v>
      </c>
      <c r="F1858" s="8">
        <v>-1.0562212</v>
      </c>
      <c r="G1858" s="8">
        <v>1.25471238</v>
      </c>
      <c r="H1858" s="6" t="str">
        <f t="shared" si="13"/>
        <v>Inverse</v>
      </c>
      <c r="I1858" s="6" t="s">
        <v>3161</v>
      </c>
      <c r="J1858" s="8" t="s">
        <v>3162</v>
      </c>
    </row>
    <row r="1859" spans="1:10" x14ac:dyDescent="0.2">
      <c r="A1859" s="8" t="s">
        <v>56</v>
      </c>
      <c r="B1859" s="8" t="s">
        <v>83</v>
      </c>
      <c r="C1859" s="8" t="s">
        <v>2003</v>
      </c>
      <c r="D1859" s="8" t="s">
        <v>2004</v>
      </c>
      <c r="E1859" s="8" t="s">
        <v>2005</v>
      </c>
      <c r="F1859" s="8">
        <v>4.2304565399999996</v>
      </c>
      <c r="G1859" s="8">
        <v>7.4994850099999999</v>
      </c>
      <c r="H1859" s="6" t="str">
        <f t="shared" si="13"/>
        <v>Direct</v>
      </c>
      <c r="I1859" s="6" t="s">
        <v>2006</v>
      </c>
      <c r="J1859" s="8" t="s">
        <v>2006</v>
      </c>
    </row>
    <row r="1860" spans="1:10" x14ac:dyDescent="0.2">
      <c r="A1860" s="8" t="s">
        <v>56</v>
      </c>
      <c r="B1860" s="8" t="s">
        <v>83</v>
      </c>
      <c r="C1860" s="8" t="s">
        <v>3163</v>
      </c>
      <c r="D1860" s="8" t="s">
        <v>3164</v>
      </c>
      <c r="E1860" s="8" t="s">
        <v>3165</v>
      </c>
      <c r="F1860" s="8">
        <v>-1.3620795000000001</v>
      </c>
      <c r="G1860" s="8">
        <v>-8.6566103999999999</v>
      </c>
      <c r="H1860" s="6" t="str">
        <f t="shared" si="13"/>
        <v>Direct</v>
      </c>
      <c r="I1860" s="6" t="s">
        <v>50</v>
      </c>
      <c r="J1860" s="8" t="s">
        <v>3166</v>
      </c>
    </row>
    <row r="1861" spans="1:10" x14ac:dyDescent="0.2">
      <c r="A1861" s="8" t="s">
        <v>56</v>
      </c>
      <c r="B1861" s="8" t="s">
        <v>83</v>
      </c>
      <c r="C1861" s="8" t="s">
        <v>1548</v>
      </c>
      <c r="D1861" s="8" t="s">
        <v>1549</v>
      </c>
      <c r="E1861" s="8" t="s">
        <v>1550</v>
      </c>
      <c r="F1861" s="8">
        <v>1.68919738</v>
      </c>
      <c r="G1861" s="8">
        <v>3.3513652999999999</v>
      </c>
      <c r="H1861" s="6" t="str">
        <f t="shared" si="13"/>
        <v>Direct</v>
      </c>
      <c r="I1861" s="6" t="s">
        <v>1551</v>
      </c>
      <c r="J1861" s="8" t="s">
        <v>1551</v>
      </c>
    </row>
    <row r="1862" spans="1:10" x14ac:dyDescent="0.2">
      <c r="A1862" s="8" t="s">
        <v>56</v>
      </c>
      <c r="B1862" s="8" t="s">
        <v>83</v>
      </c>
      <c r="C1862" s="8" t="s">
        <v>2011</v>
      </c>
      <c r="D1862" s="8" t="s">
        <v>2012</v>
      </c>
      <c r="E1862" s="8" t="s">
        <v>2013</v>
      </c>
      <c r="F1862" s="8">
        <v>-2.9732422999999999</v>
      </c>
      <c r="G1862" s="8">
        <v>-7.4179453999999998</v>
      </c>
      <c r="H1862" s="6" t="str">
        <f t="shared" si="13"/>
        <v>Direct</v>
      </c>
      <c r="I1862" s="6" t="s">
        <v>2014</v>
      </c>
      <c r="J1862" s="8" t="s">
        <v>2014</v>
      </c>
    </row>
    <row r="1863" spans="1:10" x14ac:dyDescent="0.2">
      <c r="A1863" s="8" t="s">
        <v>56</v>
      </c>
      <c r="B1863" s="8" t="s">
        <v>83</v>
      </c>
      <c r="C1863" s="8" t="s">
        <v>468</v>
      </c>
      <c r="D1863" s="8" t="s">
        <v>469</v>
      </c>
      <c r="E1863" s="8" t="s">
        <v>470</v>
      </c>
      <c r="F1863" s="8">
        <v>-37.715443</v>
      </c>
      <c r="G1863" s="8">
        <v>-4.4864664000000003</v>
      </c>
      <c r="H1863" s="6" t="str">
        <f t="shared" si="13"/>
        <v>Direct</v>
      </c>
      <c r="I1863" s="6" t="s">
        <v>471</v>
      </c>
      <c r="J1863" s="8" t="s">
        <v>472</v>
      </c>
    </row>
    <row r="1864" spans="1:10" x14ac:dyDescent="0.2">
      <c r="A1864" s="8" t="s">
        <v>56</v>
      </c>
      <c r="B1864" s="8" t="s">
        <v>83</v>
      </c>
      <c r="C1864" s="8" t="s">
        <v>2028</v>
      </c>
      <c r="D1864" s="8" t="s">
        <v>2029</v>
      </c>
      <c r="E1864" s="8" t="s">
        <v>2030</v>
      </c>
      <c r="F1864" s="8">
        <v>5.9830983499999997</v>
      </c>
      <c r="G1864" s="8">
        <v>-1.6743451</v>
      </c>
      <c r="H1864" s="6" t="str">
        <f t="shared" si="13"/>
        <v>Inverse</v>
      </c>
      <c r="I1864" s="6" t="s">
        <v>2031</v>
      </c>
      <c r="J1864" s="8" t="s">
        <v>2031</v>
      </c>
    </row>
    <row r="1865" spans="1:10" x14ac:dyDescent="0.2">
      <c r="A1865" s="8" t="s">
        <v>56</v>
      </c>
      <c r="B1865" s="8" t="s">
        <v>83</v>
      </c>
      <c r="C1865" s="8" t="s">
        <v>3176</v>
      </c>
      <c r="D1865" s="8" t="s">
        <v>3177</v>
      </c>
      <c r="E1865" s="8" t="s">
        <v>3178</v>
      </c>
      <c r="F1865" s="8">
        <v>-3.0228183</v>
      </c>
      <c r="G1865" s="8">
        <v>-3.9539803</v>
      </c>
      <c r="H1865" s="6" t="str">
        <f t="shared" si="13"/>
        <v>Direct</v>
      </c>
      <c r="I1865" s="6" t="s">
        <v>3179</v>
      </c>
      <c r="J1865" s="8" t="s">
        <v>3179</v>
      </c>
    </row>
    <row r="1866" spans="1:10" x14ac:dyDescent="0.2">
      <c r="A1866" s="8" t="s">
        <v>56</v>
      </c>
      <c r="B1866" s="8" t="s">
        <v>83</v>
      </c>
      <c r="C1866" s="8" t="s">
        <v>3180</v>
      </c>
      <c r="D1866" s="8" t="s">
        <v>3181</v>
      </c>
      <c r="E1866" s="8" t="s">
        <v>3182</v>
      </c>
      <c r="F1866" s="8">
        <v>1.5482458400000001</v>
      </c>
      <c r="G1866" s="8">
        <v>1.7815958199999999</v>
      </c>
      <c r="H1866" s="6" t="str">
        <f t="shared" si="13"/>
        <v>Direct</v>
      </c>
      <c r="I1866" s="6" t="s">
        <v>2107</v>
      </c>
      <c r="J1866" s="8" t="s">
        <v>2107</v>
      </c>
    </row>
    <row r="1867" spans="1:10" x14ac:dyDescent="0.2">
      <c r="A1867" s="8" t="s">
        <v>56</v>
      </c>
      <c r="B1867" s="8" t="s">
        <v>83</v>
      </c>
      <c r="C1867" s="8" t="s">
        <v>2032</v>
      </c>
      <c r="D1867" s="8" t="s">
        <v>2033</v>
      </c>
      <c r="E1867" s="8" t="s">
        <v>2034</v>
      </c>
      <c r="F1867" s="8">
        <v>-12.710376</v>
      </c>
      <c r="G1867" s="8">
        <v>-12.879647</v>
      </c>
      <c r="H1867" s="6" t="str">
        <f t="shared" si="13"/>
        <v>Direct</v>
      </c>
      <c r="I1867" s="6" t="s">
        <v>2035</v>
      </c>
      <c r="J1867" s="8" t="s">
        <v>2035</v>
      </c>
    </row>
    <row r="1868" spans="1:10" x14ac:dyDescent="0.2">
      <c r="A1868" s="8" t="s">
        <v>56</v>
      </c>
      <c r="B1868" s="8" t="s">
        <v>83</v>
      </c>
      <c r="C1868" s="8" t="s">
        <v>4782</v>
      </c>
      <c r="D1868" s="8" t="s">
        <v>4783</v>
      </c>
      <c r="E1868" s="8" t="s">
        <v>4784</v>
      </c>
      <c r="F1868" s="8">
        <v>1.0646948899999999</v>
      </c>
      <c r="G1868" s="8">
        <v>-1.7844617</v>
      </c>
      <c r="H1868" s="6" t="str">
        <f t="shared" si="13"/>
        <v>Inverse</v>
      </c>
      <c r="I1868" s="6" t="s">
        <v>4785</v>
      </c>
      <c r="J1868" s="8" t="s">
        <v>4785</v>
      </c>
    </row>
    <row r="1869" spans="1:10" x14ac:dyDescent="0.2">
      <c r="A1869" s="8" t="s">
        <v>56</v>
      </c>
      <c r="B1869" s="8" t="s">
        <v>83</v>
      </c>
      <c r="C1869" s="8" t="s">
        <v>4786</v>
      </c>
      <c r="D1869" s="8" t="s">
        <v>4787</v>
      </c>
      <c r="E1869" s="8" t="s">
        <v>4788</v>
      </c>
      <c r="F1869" s="8">
        <v>-1.4459038</v>
      </c>
      <c r="G1869" s="8">
        <v>1.03973885</v>
      </c>
      <c r="H1869" s="6" t="str">
        <f t="shared" si="13"/>
        <v>Inverse</v>
      </c>
      <c r="I1869" s="6" t="s">
        <v>4789</v>
      </c>
      <c r="J1869" s="8" t="s">
        <v>4789</v>
      </c>
    </row>
    <row r="1870" spans="1:10" x14ac:dyDescent="0.2">
      <c r="A1870" s="8" t="s">
        <v>56</v>
      </c>
      <c r="B1870" s="8" t="s">
        <v>83</v>
      </c>
      <c r="C1870" s="8" t="s">
        <v>3196</v>
      </c>
      <c r="D1870" s="8" t="s">
        <v>3197</v>
      </c>
      <c r="E1870" s="8" t="s">
        <v>3198</v>
      </c>
      <c r="F1870" s="8">
        <v>-1.1194004</v>
      </c>
      <c r="G1870" s="8">
        <v>-6.1417183</v>
      </c>
      <c r="H1870" s="6" t="str">
        <f t="shared" si="13"/>
        <v>Direct</v>
      </c>
      <c r="I1870" s="6" t="s">
        <v>50</v>
      </c>
      <c r="J1870" s="8" t="s">
        <v>3199</v>
      </c>
    </row>
    <row r="1871" spans="1:10" x14ac:dyDescent="0.2">
      <c r="A1871" s="8" t="s">
        <v>56</v>
      </c>
      <c r="B1871" s="8" t="s">
        <v>83</v>
      </c>
      <c r="C1871" s="8" t="s">
        <v>3200</v>
      </c>
      <c r="D1871" s="8" t="s">
        <v>3201</v>
      </c>
      <c r="E1871" s="8" t="s">
        <v>3202</v>
      </c>
      <c r="F1871" s="8">
        <v>1.7003061500000001</v>
      </c>
      <c r="G1871" s="8">
        <v>-1.2706074000000001</v>
      </c>
      <c r="H1871" s="6" t="str">
        <f t="shared" si="13"/>
        <v>Inverse</v>
      </c>
      <c r="I1871" s="6" t="s">
        <v>393</v>
      </c>
      <c r="J1871" s="8" t="s">
        <v>393</v>
      </c>
    </row>
    <row r="1872" spans="1:10" x14ac:dyDescent="0.2">
      <c r="A1872" s="8" t="s">
        <v>56</v>
      </c>
      <c r="B1872" s="8" t="s">
        <v>83</v>
      </c>
      <c r="C1872" s="8" t="s">
        <v>4790</v>
      </c>
      <c r="D1872" s="8" t="s">
        <v>4791</v>
      </c>
      <c r="E1872" s="8" t="s">
        <v>4792</v>
      </c>
      <c r="F1872" s="8">
        <v>-1.5296778</v>
      </c>
      <c r="G1872" s="8">
        <v>2.63817704</v>
      </c>
      <c r="H1872" s="6" t="str">
        <f t="shared" si="13"/>
        <v>Inverse</v>
      </c>
      <c r="I1872" s="6" t="s">
        <v>3222</v>
      </c>
      <c r="J1872" s="8" t="s">
        <v>3222</v>
      </c>
    </row>
    <row r="1873" spans="1:10" x14ac:dyDescent="0.2">
      <c r="A1873" s="8" t="s">
        <v>56</v>
      </c>
      <c r="B1873" s="8" t="s">
        <v>83</v>
      </c>
      <c r="C1873" s="8" t="s">
        <v>2041</v>
      </c>
      <c r="D1873" s="8" t="s">
        <v>2042</v>
      </c>
      <c r="E1873" s="8" t="s">
        <v>2043</v>
      </c>
      <c r="F1873" s="8">
        <v>3.9372963799999998</v>
      </c>
      <c r="G1873" s="8">
        <v>-6.3861341999999999</v>
      </c>
      <c r="H1873" s="6" t="str">
        <f t="shared" si="13"/>
        <v>Inverse</v>
      </c>
      <c r="I1873" s="6" t="s">
        <v>315</v>
      </c>
      <c r="J1873" s="8" t="s">
        <v>315</v>
      </c>
    </row>
    <row r="1874" spans="1:10" x14ac:dyDescent="0.2">
      <c r="A1874" s="8" t="s">
        <v>56</v>
      </c>
      <c r="B1874" s="8" t="s">
        <v>83</v>
      </c>
      <c r="C1874" s="8" t="s">
        <v>4793</v>
      </c>
      <c r="D1874" s="8" t="s">
        <v>4794</v>
      </c>
      <c r="E1874" s="8" t="s">
        <v>4795</v>
      </c>
      <c r="F1874" s="8">
        <v>2.16890538</v>
      </c>
      <c r="G1874" s="8">
        <v>2.4662795700000002</v>
      </c>
      <c r="H1874" s="6" t="str">
        <f t="shared" si="13"/>
        <v>Direct</v>
      </c>
      <c r="I1874" s="6" t="s">
        <v>4796</v>
      </c>
      <c r="J1874" s="8" t="s">
        <v>4796</v>
      </c>
    </row>
    <row r="1875" spans="1:10" x14ac:dyDescent="0.2">
      <c r="A1875" s="8" t="s">
        <v>56</v>
      </c>
      <c r="B1875" s="8" t="s">
        <v>83</v>
      </c>
      <c r="C1875" s="8" t="s">
        <v>2051</v>
      </c>
      <c r="D1875" s="8" t="s">
        <v>2052</v>
      </c>
      <c r="E1875" s="8" t="s">
        <v>2053</v>
      </c>
      <c r="F1875" s="8">
        <v>26.598914199999999</v>
      </c>
      <c r="G1875" s="8">
        <v>50.152459</v>
      </c>
      <c r="H1875" s="6" t="str">
        <f t="shared" si="13"/>
        <v>Direct</v>
      </c>
      <c r="I1875" s="6" t="s">
        <v>445</v>
      </c>
      <c r="J1875" s="8" t="s">
        <v>2054</v>
      </c>
    </row>
    <row r="1876" spans="1:10" x14ac:dyDescent="0.2">
      <c r="A1876" s="8" t="s">
        <v>56</v>
      </c>
      <c r="B1876" s="8" t="s">
        <v>83</v>
      </c>
      <c r="C1876" s="8" t="s">
        <v>4797</v>
      </c>
      <c r="D1876" s="8" t="s">
        <v>4798</v>
      </c>
      <c r="E1876" s="8" t="s">
        <v>4799</v>
      </c>
      <c r="F1876" s="8">
        <v>1.79191989</v>
      </c>
      <c r="G1876" s="8">
        <v>-1.5107237</v>
      </c>
      <c r="H1876" s="6" t="str">
        <f t="shared" si="13"/>
        <v>Inverse</v>
      </c>
      <c r="I1876" s="6" t="s">
        <v>4800</v>
      </c>
      <c r="J1876" s="8" t="s">
        <v>4801</v>
      </c>
    </row>
    <row r="1877" spans="1:10" x14ac:dyDescent="0.2">
      <c r="A1877" s="8" t="s">
        <v>56</v>
      </c>
      <c r="B1877" s="8" t="s">
        <v>83</v>
      </c>
      <c r="C1877" s="8" t="s">
        <v>4802</v>
      </c>
      <c r="D1877" s="8" t="s">
        <v>4803</v>
      </c>
      <c r="E1877" s="8" t="s">
        <v>4804</v>
      </c>
      <c r="F1877" s="8">
        <v>-1.2242420000000001</v>
      </c>
      <c r="G1877" s="8">
        <v>-1.4105776000000001</v>
      </c>
      <c r="H1877" s="6" t="str">
        <f t="shared" si="13"/>
        <v>Direct</v>
      </c>
      <c r="I1877" s="6" t="s">
        <v>4805</v>
      </c>
      <c r="J1877" s="8" t="s">
        <v>4805</v>
      </c>
    </row>
    <row r="1878" spans="1:10" x14ac:dyDescent="0.2">
      <c r="A1878" s="8" t="s">
        <v>56</v>
      </c>
      <c r="B1878" s="8" t="s">
        <v>83</v>
      </c>
      <c r="C1878" s="8" t="s">
        <v>1243</v>
      </c>
      <c r="D1878" s="8" t="s">
        <v>1244</v>
      </c>
      <c r="E1878" s="8" t="s">
        <v>1245</v>
      </c>
      <c r="F1878" s="8">
        <v>-1.5950241000000001</v>
      </c>
      <c r="G1878" s="8">
        <v>-2.7260455000000001</v>
      </c>
      <c r="H1878" s="6" t="str">
        <f t="shared" si="13"/>
        <v>Direct</v>
      </c>
      <c r="I1878" s="6" t="s">
        <v>1246</v>
      </c>
      <c r="J1878" s="8" t="s">
        <v>1246</v>
      </c>
    </row>
    <row r="1879" spans="1:10" x14ac:dyDescent="0.2">
      <c r="A1879" s="8" t="s">
        <v>56</v>
      </c>
      <c r="B1879" s="8" t="s">
        <v>83</v>
      </c>
      <c r="C1879" s="8" t="s">
        <v>3207</v>
      </c>
      <c r="D1879" s="8" t="s">
        <v>3208</v>
      </c>
      <c r="E1879" s="8" t="s">
        <v>3209</v>
      </c>
      <c r="F1879" s="8">
        <v>-3.2741658</v>
      </c>
      <c r="G1879" s="8">
        <v>-2.1113868</v>
      </c>
      <c r="H1879" s="6" t="str">
        <f t="shared" si="13"/>
        <v>Direct</v>
      </c>
      <c r="I1879" s="6" t="s">
        <v>3210</v>
      </c>
      <c r="J1879" s="8" t="s">
        <v>3210</v>
      </c>
    </row>
    <row r="1880" spans="1:10" x14ac:dyDescent="0.2">
      <c r="A1880" s="8" t="s">
        <v>56</v>
      </c>
      <c r="B1880" s="8" t="s">
        <v>83</v>
      </c>
      <c r="C1880" s="8" t="s">
        <v>4806</v>
      </c>
      <c r="D1880" s="8" t="s">
        <v>4807</v>
      </c>
      <c r="E1880" s="8" t="s">
        <v>4808</v>
      </c>
      <c r="F1880" s="8">
        <v>-1.2260709999999999</v>
      </c>
      <c r="G1880" s="8">
        <v>-1.4842611999999999</v>
      </c>
      <c r="H1880" s="6" t="str">
        <f t="shared" si="13"/>
        <v>Direct</v>
      </c>
      <c r="I1880" s="6" t="s">
        <v>4809</v>
      </c>
      <c r="J1880" s="8" t="s">
        <v>4810</v>
      </c>
    </row>
    <row r="1881" spans="1:10" x14ac:dyDescent="0.2">
      <c r="A1881" s="8" t="s">
        <v>56</v>
      </c>
      <c r="B1881" s="8" t="s">
        <v>83</v>
      </c>
      <c r="C1881" s="8" t="s">
        <v>2055</v>
      </c>
      <c r="D1881" s="8" t="s">
        <v>2056</v>
      </c>
      <c r="E1881" s="8" t="s">
        <v>2057</v>
      </c>
      <c r="F1881" s="8">
        <v>-1.5674562999999999</v>
      </c>
      <c r="G1881" s="8">
        <v>-5.6933119000000003</v>
      </c>
      <c r="H1881" s="6" t="str">
        <f t="shared" si="13"/>
        <v>Direct</v>
      </c>
      <c r="I1881" s="6" t="s">
        <v>2058</v>
      </c>
      <c r="J1881" s="8" t="s">
        <v>2058</v>
      </c>
    </row>
    <row r="1882" spans="1:10" x14ac:dyDescent="0.2">
      <c r="A1882" s="8" t="s">
        <v>56</v>
      </c>
      <c r="B1882" s="8" t="s">
        <v>83</v>
      </c>
      <c r="C1882" s="8" t="s">
        <v>4811</v>
      </c>
      <c r="D1882" s="8" t="s">
        <v>4812</v>
      </c>
      <c r="E1882" s="8" t="s">
        <v>4813</v>
      </c>
      <c r="F1882" s="8">
        <v>-1.3379675</v>
      </c>
      <c r="G1882" s="8">
        <v>2.1532025699999999</v>
      </c>
      <c r="H1882" s="6" t="str">
        <f t="shared" si="13"/>
        <v>Inverse</v>
      </c>
      <c r="I1882" s="6" t="s">
        <v>1931</v>
      </c>
      <c r="J1882" s="8" t="s">
        <v>1931</v>
      </c>
    </row>
    <row r="1883" spans="1:10" x14ac:dyDescent="0.2">
      <c r="A1883" s="8" t="s">
        <v>56</v>
      </c>
      <c r="B1883" s="8" t="s">
        <v>83</v>
      </c>
      <c r="C1883" s="8" t="s">
        <v>3211</v>
      </c>
      <c r="D1883" s="8" t="s">
        <v>3212</v>
      </c>
      <c r="E1883" s="8" t="s">
        <v>3213</v>
      </c>
      <c r="F1883" s="8">
        <v>1.7962020599999999</v>
      </c>
      <c r="G1883" s="8">
        <v>2.3839082399999998</v>
      </c>
      <c r="H1883" s="6" t="str">
        <f t="shared" si="13"/>
        <v>Direct</v>
      </c>
      <c r="I1883" s="6" t="s">
        <v>3214</v>
      </c>
      <c r="J1883" s="8" t="s">
        <v>3214</v>
      </c>
    </row>
    <row r="1884" spans="1:10" x14ac:dyDescent="0.2">
      <c r="A1884" s="8" t="s">
        <v>56</v>
      </c>
      <c r="B1884" s="8" t="s">
        <v>83</v>
      </c>
      <c r="C1884" s="8" t="s">
        <v>2059</v>
      </c>
      <c r="D1884" s="8" t="s">
        <v>2060</v>
      </c>
      <c r="E1884" s="8" t="s">
        <v>2061</v>
      </c>
      <c r="F1884" s="8">
        <v>-8.7484517000000004</v>
      </c>
      <c r="G1884" s="8">
        <v>-2.5041367999999999</v>
      </c>
      <c r="H1884" s="6" t="str">
        <f t="shared" si="13"/>
        <v>Direct</v>
      </c>
      <c r="I1884" s="6" t="s">
        <v>2062</v>
      </c>
      <c r="J1884" s="8" t="s">
        <v>2062</v>
      </c>
    </row>
    <row r="1885" spans="1:10" x14ac:dyDescent="0.2">
      <c r="A1885" s="8" t="s">
        <v>56</v>
      </c>
      <c r="B1885" s="8" t="s">
        <v>83</v>
      </c>
      <c r="C1885" s="8" t="s">
        <v>4814</v>
      </c>
      <c r="D1885" s="8" t="s">
        <v>4815</v>
      </c>
      <c r="E1885" s="8" t="s">
        <v>4816</v>
      </c>
      <c r="F1885" s="8">
        <v>3.58893116</v>
      </c>
      <c r="G1885" s="8">
        <v>-1.9114259</v>
      </c>
      <c r="H1885" s="6" t="str">
        <f t="shared" si="13"/>
        <v>Inverse</v>
      </c>
      <c r="I1885" s="6" t="s">
        <v>4817</v>
      </c>
      <c r="J1885" s="8" t="s">
        <v>4817</v>
      </c>
    </row>
    <row r="1886" spans="1:10" x14ac:dyDescent="0.2">
      <c r="A1886" s="8" t="s">
        <v>56</v>
      </c>
      <c r="B1886" s="8" t="s">
        <v>83</v>
      </c>
      <c r="C1886" s="8" t="s">
        <v>4818</v>
      </c>
      <c r="D1886" s="8" t="s">
        <v>4819</v>
      </c>
      <c r="E1886" s="8" t="s">
        <v>4820</v>
      </c>
      <c r="F1886" s="8">
        <v>-6.1843969000000003</v>
      </c>
      <c r="G1886" s="8">
        <v>1.3359813700000001</v>
      </c>
      <c r="H1886" s="6" t="str">
        <f t="shared" si="13"/>
        <v>Inverse</v>
      </c>
      <c r="I1886" s="6" t="s">
        <v>4821</v>
      </c>
      <c r="J1886" s="8" t="s">
        <v>4821</v>
      </c>
    </row>
    <row r="1887" spans="1:10" x14ac:dyDescent="0.2">
      <c r="A1887" s="8" t="s">
        <v>56</v>
      </c>
      <c r="B1887" s="8" t="s">
        <v>83</v>
      </c>
      <c r="C1887" s="8" t="s">
        <v>3223</v>
      </c>
      <c r="D1887" s="8" t="s">
        <v>3224</v>
      </c>
      <c r="E1887" s="8" t="s">
        <v>3225</v>
      </c>
      <c r="F1887" s="8">
        <v>2.6990096800000001</v>
      </c>
      <c r="G1887" s="8">
        <v>1.0907226699999999</v>
      </c>
      <c r="H1887" s="6" t="str">
        <f t="shared" si="13"/>
        <v>Direct</v>
      </c>
      <c r="I1887" s="6" t="s">
        <v>3226</v>
      </c>
      <c r="J1887" s="8" t="s">
        <v>3226</v>
      </c>
    </row>
    <row r="1888" spans="1:10" x14ac:dyDescent="0.2">
      <c r="A1888" s="8" t="s">
        <v>56</v>
      </c>
      <c r="B1888" s="8" t="s">
        <v>83</v>
      </c>
      <c r="C1888" s="8" t="s">
        <v>485</v>
      </c>
      <c r="D1888" s="8" t="s">
        <v>486</v>
      </c>
      <c r="E1888" s="8" t="s">
        <v>487</v>
      </c>
      <c r="F1888" s="8">
        <v>-2.9368911</v>
      </c>
      <c r="G1888" s="8">
        <v>-2.4889809000000001</v>
      </c>
      <c r="H1888" s="6" t="str">
        <f t="shared" si="13"/>
        <v>Direct</v>
      </c>
      <c r="I1888" s="6" t="s">
        <v>50</v>
      </c>
      <c r="J1888" s="8" t="s">
        <v>488</v>
      </c>
    </row>
    <row r="1889" spans="1:10" x14ac:dyDescent="0.2">
      <c r="A1889" s="8" t="s">
        <v>56</v>
      </c>
      <c r="B1889" s="8" t="s">
        <v>83</v>
      </c>
      <c r="C1889" s="8" t="s">
        <v>4306</v>
      </c>
      <c r="D1889" s="8" t="s">
        <v>4307</v>
      </c>
      <c r="E1889" s="8" t="s">
        <v>4308</v>
      </c>
      <c r="F1889" s="8">
        <v>-7.0157961000000002</v>
      </c>
      <c r="G1889" s="8">
        <v>-12.899782</v>
      </c>
      <c r="H1889" s="6" t="str">
        <f t="shared" si="13"/>
        <v>Direct</v>
      </c>
      <c r="I1889" s="6" t="s">
        <v>4309</v>
      </c>
      <c r="J1889" s="8" t="s">
        <v>4309</v>
      </c>
    </row>
    <row r="1890" spans="1:10" x14ac:dyDescent="0.2">
      <c r="A1890" s="8" t="s">
        <v>56</v>
      </c>
      <c r="B1890" s="8" t="s">
        <v>83</v>
      </c>
      <c r="C1890" s="8" t="s">
        <v>4822</v>
      </c>
      <c r="D1890" s="8" t="s">
        <v>4823</v>
      </c>
      <c r="E1890" s="8" t="s">
        <v>4824</v>
      </c>
      <c r="F1890" s="8">
        <v>-1.8630637999999999</v>
      </c>
      <c r="G1890" s="8">
        <v>-1.2059663</v>
      </c>
      <c r="H1890" s="6" t="str">
        <f t="shared" si="13"/>
        <v>Direct</v>
      </c>
      <c r="I1890" s="6" t="s">
        <v>50</v>
      </c>
      <c r="J1890" s="8" t="s">
        <v>50</v>
      </c>
    </row>
    <row r="1891" spans="1:10" x14ac:dyDescent="0.2">
      <c r="A1891" s="8" t="s">
        <v>56</v>
      </c>
      <c r="B1891" s="8" t="s">
        <v>83</v>
      </c>
      <c r="C1891" s="8" t="s">
        <v>2075</v>
      </c>
      <c r="D1891" s="8" t="s">
        <v>2076</v>
      </c>
      <c r="E1891" s="8" t="s">
        <v>2077</v>
      </c>
      <c r="F1891" s="8">
        <v>-4.0482813999999996</v>
      </c>
      <c r="G1891" s="8">
        <v>-3.7351702000000002</v>
      </c>
      <c r="H1891" s="6" t="str">
        <f t="shared" si="13"/>
        <v>Direct</v>
      </c>
      <c r="I1891" s="6" t="s">
        <v>2078</v>
      </c>
      <c r="J1891" s="8" t="s">
        <v>2078</v>
      </c>
    </row>
    <row r="1892" spans="1:10" x14ac:dyDescent="0.2">
      <c r="A1892" s="8" t="s">
        <v>56</v>
      </c>
      <c r="B1892" s="8" t="s">
        <v>83</v>
      </c>
      <c r="C1892" s="8" t="s">
        <v>2079</v>
      </c>
      <c r="D1892" s="8" t="s">
        <v>2080</v>
      </c>
      <c r="E1892" s="8" t="s">
        <v>2081</v>
      </c>
      <c r="F1892" s="8">
        <v>-5.6514571</v>
      </c>
      <c r="G1892" s="8">
        <v>-1.3208991999999999</v>
      </c>
      <c r="H1892" s="6" t="str">
        <f t="shared" si="13"/>
        <v>Direct</v>
      </c>
      <c r="I1892" s="6" t="s">
        <v>2082</v>
      </c>
      <c r="J1892" s="8" t="s">
        <v>2082</v>
      </c>
    </row>
    <row r="1893" spans="1:10" x14ac:dyDescent="0.2">
      <c r="A1893" s="8" t="s">
        <v>56</v>
      </c>
      <c r="B1893" s="8" t="s">
        <v>83</v>
      </c>
      <c r="C1893" s="8" t="s">
        <v>3235</v>
      </c>
      <c r="D1893" s="8" t="s">
        <v>3236</v>
      </c>
      <c r="E1893" s="8" t="s">
        <v>3237</v>
      </c>
      <c r="F1893" s="8">
        <v>-1.2127568</v>
      </c>
      <c r="G1893" s="8">
        <v>-3.4421127999999999</v>
      </c>
      <c r="H1893" s="6" t="str">
        <f t="shared" si="13"/>
        <v>Direct</v>
      </c>
      <c r="I1893" s="6" t="s">
        <v>1572</v>
      </c>
      <c r="J1893" s="8" t="s">
        <v>1572</v>
      </c>
    </row>
    <row r="1894" spans="1:10" x14ac:dyDescent="0.2">
      <c r="A1894" s="8" t="s">
        <v>56</v>
      </c>
      <c r="B1894" s="8" t="s">
        <v>83</v>
      </c>
      <c r="C1894" s="8" t="s">
        <v>509</v>
      </c>
      <c r="D1894" s="8" t="s">
        <v>510</v>
      </c>
      <c r="E1894" s="8" t="s">
        <v>511</v>
      </c>
      <c r="F1894" s="8">
        <v>1.6059464400000001</v>
      </c>
      <c r="G1894" s="8">
        <v>2.30642171</v>
      </c>
      <c r="H1894" s="6" t="str">
        <f t="shared" si="13"/>
        <v>Direct</v>
      </c>
      <c r="I1894" s="6" t="s">
        <v>512</v>
      </c>
      <c r="J1894" s="8" t="s">
        <v>512</v>
      </c>
    </row>
    <row r="1895" spans="1:10" x14ac:dyDescent="0.2">
      <c r="A1895" s="8" t="s">
        <v>56</v>
      </c>
      <c r="B1895" s="8" t="s">
        <v>83</v>
      </c>
      <c r="C1895" s="8" t="s">
        <v>4825</v>
      </c>
      <c r="D1895" s="8" t="s">
        <v>4826</v>
      </c>
      <c r="E1895" s="8" t="s">
        <v>4827</v>
      </c>
      <c r="F1895" s="8">
        <v>-3.1503692999999999</v>
      </c>
      <c r="G1895" s="8">
        <v>-1.7597607</v>
      </c>
      <c r="H1895" s="6" t="str">
        <f t="shared" si="13"/>
        <v>Direct</v>
      </c>
      <c r="I1895" s="6" t="s">
        <v>4828</v>
      </c>
      <c r="J1895" s="8" t="s">
        <v>4828</v>
      </c>
    </row>
    <row r="1896" spans="1:10" x14ac:dyDescent="0.2">
      <c r="A1896" s="8" t="s">
        <v>56</v>
      </c>
      <c r="B1896" s="8" t="s">
        <v>83</v>
      </c>
      <c r="C1896" s="8" t="s">
        <v>4310</v>
      </c>
      <c r="D1896" s="8" t="s">
        <v>4311</v>
      </c>
      <c r="E1896" s="8" t="s">
        <v>4312</v>
      </c>
      <c r="F1896" s="8">
        <v>-1.1933442000000001</v>
      </c>
      <c r="G1896" s="8">
        <v>-1.6321226</v>
      </c>
      <c r="H1896" s="6" t="str">
        <f t="shared" si="13"/>
        <v>Direct</v>
      </c>
      <c r="I1896" s="6" t="s">
        <v>4313</v>
      </c>
      <c r="J1896" s="8" t="s">
        <v>4313</v>
      </c>
    </row>
    <row r="1897" spans="1:10" x14ac:dyDescent="0.2">
      <c r="A1897" s="8" t="s">
        <v>56</v>
      </c>
      <c r="B1897" s="8" t="s">
        <v>83</v>
      </c>
      <c r="C1897" s="8" t="s">
        <v>3238</v>
      </c>
      <c r="D1897" s="8" t="s">
        <v>3239</v>
      </c>
      <c r="E1897" s="8" t="s">
        <v>3240</v>
      </c>
      <c r="F1897" s="8">
        <v>-1.1900770000000001</v>
      </c>
      <c r="G1897" s="8">
        <v>-4.4919558000000004</v>
      </c>
      <c r="H1897" s="6" t="str">
        <f t="shared" si="13"/>
        <v>Direct</v>
      </c>
      <c r="I1897" s="6" t="s">
        <v>3241</v>
      </c>
      <c r="J1897" s="8" t="s">
        <v>3242</v>
      </c>
    </row>
    <row r="1898" spans="1:10" x14ac:dyDescent="0.2">
      <c r="A1898" s="8" t="s">
        <v>56</v>
      </c>
      <c r="B1898" s="8" t="s">
        <v>83</v>
      </c>
      <c r="C1898" s="8" t="s">
        <v>3243</v>
      </c>
      <c r="D1898" s="8" t="s">
        <v>3244</v>
      </c>
      <c r="E1898" s="8" t="s">
        <v>3245</v>
      </c>
      <c r="F1898" s="8">
        <v>-3.8729010000000001</v>
      </c>
      <c r="G1898" s="8">
        <v>-6.6169723999999999</v>
      </c>
      <c r="H1898" s="6" t="str">
        <f t="shared" si="13"/>
        <v>Direct</v>
      </c>
      <c r="I1898" s="6" t="s">
        <v>3246</v>
      </c>
      <c r="J1898" s="8" t="s">
        <v>3246</v>
      </c>
    </row>
    <row r="1899" spans="1:10" x14ac:dyDescent="0.2">
      <c r="A1899" s="8" t="s">
        <v>56</v>
      </c>
      <c r="B1899" s="8" t="s">
        <v>83</v>
      </c>
      <c r="C1899" s="8" t="s">
        <v>2083</v>
      </c>
      <c r="D1899" s="8" t="s">
        <v>2084</v>
      </c>
      <c r="E1899" s="8" t="s">
        <v>2085</v>
      </c>
      <c r="F1899" s="8">
        <v>2.1177253600000001</v>
      </c>
      <c r="G1899" s="8">
        <v>3.5280465599999999</v>
      </c>
      <c r="H1899" s="6" t="str">
        <f t="shared" si="13"/>
        <v>Direct</v>
      </c>
      <c r="I1899" s="6" t="s">
        <v>1931</v>
      </c>
      <c r="J1899" s="8" t="s">
        <v>2086</v>
      </c>
    </row>
    <row r="1900" spans="1:10" x14ac:dyDescent="0.2">
      <c r="A1900" s="8" t="s">
        <v>56</v>
      </c>
      <c r="B1900" s="8" t="s">
        <v>83</v>
      </c>
      <c r="C1900" s="8" t="s">
        <v>3247</v>
      </c>
      <c r="D1900" s="8" t="s">
        <v>3248</v>
      </c>
      <c r="E1900" s="8" t="s">
        <v>3249</v>
      </c>
      <c r="F1900" s="8">
        <v>-1.5654569</v>
      </c>
      <c r="G1900" s="8">
        <v>-9.3580988999999999</v>
      </c>
      <c r="H1900" s="6" t="str">
        <f t="shared" si="13"/>
        <v>Direct</v>
      </c>
      <c r="I1900" s="6" t="s">
        <v>3250</v>
      </c>
      <c r="J1900" s="8" t="s">
        <v>3250</v>
      </c>
    </row>
    <row r="1901" spans="1:10" x14ac:dyDescent="0.2">
      <c r="A1901" s="8" t="s">
        <v>56</v>
      </c>
      <c r="B1901" s="8" t="s">
        <v>83</v>
      </c>
      <c r="C1901" s="8" t="s">
        <v>4829</v>
      </c>
      <c r="D1901" s="8" t="s">
        <v>4830</v>
      </c>
      <c r="E1901" s="8" t="s">
        <v>4831</v>
      </c>
      <c r="F1901" s="8">
        <v>-2.2939438999999999</v>
      </c>
      <c r="G1901" s="8">
        <v>-1.6302540999999999</v>
      </c>
      <c r="H1901" s="6" t="str">
        <f t="shared" si="13"/>
        <v>Direct</v>
      </c>
      <c r="I1901" s="6" t="s">
        <v>4517</v>
      </c>
      <c r="J1901" s="8" t="s">
        <v>4517</v>
      </c>
    </row>
    <row r="1902" spans="1:10" x14ac:dyDescent="0.2">
      <c r="A1902" s="8" t="s">
        <v>56</v>
      </c>
      <c r="B1902" s="8" t="s">
        <v>83</v>
      </c>
      <c r="C1902" s="8" t="s">
        <v>3256</v>
      </c>
      <c r="D1902" s="8" t="s">
        <v>3257</v>
      </c>
      <c r="E1902" s="8" t="s">
        <v>3258</v>
      </c>
      <c r="F1902" s="8">
        <v>-1.6457812000000001</v>
      </c>
      <c r="G1902" s="8">
        <v>-2.5842195000000001</v>
      </c>
      <c r="H1902" s="6" t="str">
        <f t="shared" si="13"/>
        <v>Direct</v>
      </c>
      <c r="I1902" s="6" t="s">
        <v>3259</v>
      </c>
      <c r="J1902" s="8" t="s">
        <v>3259</v>
      </c>
    </row>
    <row r="1903" spans="1:10" x14ac:dyDescent="0.2">
      <c r="A1903" s="8" t="s">
        <v>56</v>
      </c>
      <c r="B1903" s="8" t="s">
        <v>83</v>
      </c>
      <c r="C1903" s="8" t="s">
        <v>4832</v>
      </c>
      <c r="D1903" s="8" t="s">
        <v>4833</v>
      </c>
      <c r="E1903" s="8" t="s">
        <v>4834</v>
      </c>
      <c r="F1903" s="8">
        <v>1.0390228399999999</v>
      </c>
      <c r="G1903" s="8">
        <v>-3.6576911999999999</v>
      </c>
      <c r="H1903" s="6" t="str">
        <f t="shared" si="13"/>
        <v>Inverse</v>
      </c>
      <c r="I1903" s="6" t="s">
        <v>1297</v>
      </c>
      <c r="J1903" s="8" t="s">
        <v>1297</v>
      </c>
    </row>
    <row r="1904" spans="1:10" x14ac:dyDescent="0.2">
      <c r="A1904" s="8" t="s">
        <v>56</v>
      </c>
      <c r="B1904" s="8" t="s">
        <v>83</v>
      </c>
      <c r="C1904" s="8" t="s">
        <v>4835</v>
      </c>
      <c r="D1904" s="8" t="s">
        <v>4836</v>
      </c>
      <c r="E1904" s="8" t="s">
        <v>4837</v>
      </c>
      <c r="F1904" s="8">
        <v>-1.2766911000000001</v>
      </c>
      <c r="G1904" s="8">
        <v>-1.0677166</v>
      </c>
      <c r="H1904" s="6" t="str">
        <f t="shared" si="13"/>
        <v>Direct</v>
      </c>
      <c r="I1904" s="6" t="s">
        <v>4838</v>
      </c>
      <c r="J1904" s="8" t="s">
        <v>4838</v>
      </c>
    </row>
    <row r="1905" spans="1:10" x14ac:dyDescent="0.2">
      <c r="A1905" s="8" t="s">
        <v>56</v>
      </c>
      <c r="B1905" s="8" t="s">
        <v>83</v>
      </c>
      <c r="C1905" s="8" t="s">
        <v>3271</v>
      </c>
      <c r="D1905" s="8" t="s">
        <v>3272</v>
      </c>
      <c r="E1905" s="8" t="s">
        <v>3273</v>
      </c>
      <c r="F1905" s="8">
        <v>-2.6212018000000001</v>
      </c>
      <c r="G1905" s="8">
        <v>-1.3155891</v>
      </c>
      <c r="H1905" s="6" t="str">
        <f t="shared" si="13"/>
        <v>Direct</v>
      </c>
      <c r="I1905" s="6" t="s">
        <v>3274</v>
      </c>
      <c r="J1905" s="8" t="s">
        <v>3274</v>
      </c>
    </row>
    <row r="1906" spans="1:10" x14ac:dyDescent="0.2">
      <c r="A1906" s="8" t="s">
        <v>56</v>
      </c>
      <c r="B1906" s="8" t="s">
        <v>83</v>
      </c>
      <c r="C1906" s="8" t="s">
        <v>3278</v>
      </c>
      <c r="D1906" s="8" t="s">
        <v>3279</v>
      </c>
      <c r="E1906" s="8" t="s">
        <v>3280</v>
      </c>
      <c r="F1906" s="8">
        <v>1.7528566699999999</v>
      </c>
      <c r="G1906" s="8">
        <v>3.7027821200000002</v>
      </c>
      <c r="H1906" s="6" t="str">
        <f t="shared" si="13"/>
        <v>Direct</v>
      </c>
      <c r="I1906" s="6" t="s">
        <v>3281</v>
      </c>
      <c r="J1906" s="8" t="s">
        <v>3281</v>
      </c>
    </row>
    <row r="1907" spans="1:10" x14ac:dyDescent="0.2">
      <c r="A1907" s="8" t="s">
        <v>56</v>
      </c>
      <c r="B1907" s="8" t="s">
        <v>83</v>
      </c>
      <c r="C1907" s="8" t="s">
        <v>2100</v>
      </c>
      <c r="D1907" s="8" t="s">
        <v>2101</v>
      </c>
      <c r="E1907" s="8" t="s">
        <v>2102</v>
      </c>
      <c r="F1907" s="8">
        <v>-1.7195729</v>
      </c>
      <c r="G1907" s="8">
        <v>-2.2193407999999999</v>
      </c>
      <c r="H1907" s="6" t="str">
        <f t="shared" si="13"/>
        <v>Direct</v>
      </c>
      <c r="I1907" s="6" t="s">
        <v>2103</v>
      </c>
      <c r="J1907" s="8" t="s">
        <v>2103</v>
      </c>
    </row>
    <row r="1908" spans="1:10" x14ac:dyDescent="0.2">
      <c r="A1908" s="8" t="s">
        <v>56</v>
      </c>
      <c r="B1908" s="8" t="s">
        <v>83</v>
      </c>
      <c r="C1908" s="8" t="s">
        <v>3282</v>
      </c>
      <c r="D1908" s="8" t="s">
        <v>3283</v>
      </c>
      <c r="E1908" s="8" t="s">
        <v>3284</v>
      </c>
      <c r="F1908" s="8">
        <v>-2.1055795000000002</v>
      </c>
      <c r="G1908" s="8">
        <v>-2.6540726000000001</v>
      </c>
      <c r="H1908" s="6" t="str">
        <f t="shared" si="13"/>
        <v>Direct</v>
      </c>
      <c r="I1908" s="6" t="s">
        <v>50</v>
      </c>
      <c r="J1908" s="8" t="s">
        <v>3285</v>
      </c>
    </row>
    <row r="1909" spans="1:10" x14ac:dyDescent="0.2">
      <c r="A1909" s="8" t="s">
        <v>56</v>
      </c>
      <c r="B1909" s="8" t="s">
        <v>83</v>
      </c>
      <c r="C1909" s="8" t="s">
        <v>2112</v>
      </c>
      <c r="D1909" s="8" t="s">
        <v>2113</v>
      </c>
      <c r="E1909" s="8" t="s">
        <v>2114</v>
      </c>
      <c r="F1909" s="8">
        <v>-6.6407134000000001</v>
      </c>
      <c r="G1909" s="8">
        <v>-1.6011312</v>
      </c>
      <c r="H1909" s="6" t="str">
        <f t="shared" si="13"/>
        <v>Direct</v>
      </c>
      <c r="I1909" s="6" t="s">
        <v>2115</v>
      </c>
      <c r="J1909" s="8" t="s">
        <v>2115</v>
      </c>
    </row>
    <row r="1910" spans="1:10" x14ac:dyDescent="0.2">
      <c r="A1910" s="8" t="s">
        <v>56</v>
      </c>
      <c r="B1910" s="8" t="s">
        <v>83</v>
      </c>
      <c r="C1910" s="8" t="s">
        <v>4839</v>
      </c>
      <c r="D1910" s="8" t="s">
        <v>4840</v>
      </c>
      <c r="E1910" s="8" t="s">
        <v>4841</v>
      </c>
      <c r="F1910" s="8">
        <v>1.2122309499999999</v>
      </c>
      <c r="G1910" s="8">
        <v>1.7629345000000001</v>
      </c>
      <c r="H1910" s="6" t="str">
        <f t="shared" si="13"/>
        <v>Direct</v>
      </c>
      <c r="I1910" s="6" t="s">
        <v>50</v>
      </c>
      <c r="J1910" s="8" t="s">
        <v>4842</v>
      </c>
    </row>
    <row r="1911" spans="1:10" x14ac:dyDescent="0.2">
      <c r="A1911" s="8" t="s">
        <v>56</v>
      </c>
      <c r="B1911" s="8" t="s">
        <v>83</v>
      </c>
      <c r="C1911" s="8" t="s">
        <v>2120</v>
      </c>
      <c r="D1911" s="8" t="s">
        <v>2121</v>
      </c>
      <c r="E1911" s="8" t="s">
        <v>2122</v>
      </c>
      <c r="F1911" s="8">
        <v>-6.5730031999999996</v>
      </c>
      <c r="G1911" s="8">
        <v>-1.6225495999999999</v>
      </c>
      <c r="H1911" s="6" t="str">
        <f t="shared" si="13"/>
        <v>Direct</v>
      </c>
      <c r="I1911" s="6" t="s">
        <v>2123</v>
      </c>
      <c r="J1911" s="8" t="s">
        <v>2123</v>
      </c>
    </row>
    <row r="1912" spans="1:10" x14ac:dyDescent="0.2">
      <c r="A1912" s="8" t="s">
        <v>56</v>
      </c>
      <c r="B1912" s="8" t="s">
        <v>83</v>
      </c>
      <c r="C1912" s="8" t="s">
        <v>4843</v>
      </c>
      <c r="D1912" s="8" t="s">
        <v>4844</v>
      </c>
      <c r="E1912" s="8" t="s">
        <v>4845</v>
      </c>
      <c r="F1912" s="8">
        <v>-1.1588768</v>
      </c>
      <c r="G1912" s="8">
        <v>-3.0515837000000001</v>
      </c>
      <c r="H1912" s="6" t="str">
        <f t="shared" si="13"/>
        <v>Direct</v>
      </c>
      <c r="I1912" s="6" t="s">
        <v>4846</v>
      </c>
      <c r="J1912" s="8" t="s">
        <v>4846</v>
      </c>
    </row>
    <row r="1913" spans="1:10" x14ac:dyDescent="0.2">
      <c r="A1913" s="8" t="s">
        <v>56</v>
      </c>
      <c r="B1913" s="8" t="s">
        <v>83</v>
      </c>
      <c r="C1913" s="8" t="s">
        <v>4847</v>
      </c>
      <c r="D1913" s="8" t="s">
        <v>4848</v>
      </c>
      <c r="E1913" s="8" t="s">
        <v>4849</v>
      </c>
      <c r="F1913" s="8">
        <v>1.2185242199999999</v>
      </c>
      <c r="G1913" s="8">
        <v>-28.851704999999999</v>
      </c>
      <c r="H1913" s="6" t="str">
        <f t="shared" si="13"/>
        <v>Inverse</v>
      </c>
      <c r="I1913" s="6" t="s">
        <v>2026</v>
      </c>
      <c r="J1913" s="8" t="s">
        <v>2026</v>
      </c>
    </row>
    <row r="1914" spans="1:10" x14ac:dyDescent="0.2">
      <c r="A1914" s="8" t="s">
        <v>56</v>
      </c>
      <c r="B1914" s="8" t="s">
        <v>83</v>
      </c>
      <c r="C1914" s="8" t="s">
        <v>4850</v>
      </c>
      <c r="D1914" s="8" t="s">
        <v>4851</v>
      </c>
      <c r="E1914" s="8" t="s">
        <v>4852</v>
      </c>
      <c r="F1914" s="8">
        <v>1.54860409</v>
      </c>
      <c r="G1914" s="8">
        <v>3.61783718</v>
      </c>
      <c r="H1914" s="6" t="str">
        <f t="shared" si="13"/>
        <v>Direct</v>
      </c>
      <c r="I1914" s="6" t="s">
        <v>4853</v>
      </c>
      <c r="J1914" s="8" t="s">
        <v>4853</v>
      </c>
    </row>
    <row r="1915" spans="1:10" x14ac:dyDescent="0.2">
      <c r="A1915" s="8" t="s">
        <v>56</v>
      </c>
      <c r="B1915" s="8" t="s">
        <v>83</v>
      </c>
      <c r="C1915" s="8" t="s">
        <v>3297</v>
      </c>
      <c r="D1915" s="8" t="s">
        <v>3298</v>
      </c>
      <c r="E1915" s="8" t="s">
        <v>3299</v>
      </c>
      <c r="F1915" s="8">
        <v>-1.1669014</v>
      </c>
      <c r="G1915" s="8">
        <v>-2.6995100999999999</v>
      </c>
      <c r="H1915" s="6" t="str">
        <f t="shared" si="13"/>
        <v>Direct</v>
      </c>
      <c r="I1915" s="6" t="s">
        <v>3300</v>
      </c>
      <c r="J1915" s="8" t="s">
        <v>3300</v>
      </c>
    </row>
    <row r="1916" spans="1:10" x14ac:dyDescent="0.2">
      <c r="A1916" s="8" t="s">
        <v>56</v>
      </c>
      <c r="B1916" s="8" t="s">
        <v>83</v>
      </c>
      <c r="C1916" s="8" t="s">
        <v>971</v>
      </c>
      <c r="D1916" s="8" t="s">
        <v>972</v>
      </c>
      <c r="E1916" s="8" t="s">
        <v>973</v>
      </c>
      <c r="F1916" s="8">
        <v>1.00370633</v>
      </c>
      <c r="G1916" s="8">
        <v>1.49651084</v>
      </c>
      <c r="H1916" s="6" t="str">
        <f t="shared" si="13"/>
        <v>Direct</v>
      </c>
      <c r="I1916" s="6" t="s">
        <v>974</v>
      </c>
      <c r="J1916" s="8" t="s">
        <v>974</v>
      </c>
    </row>
    <row r="1917" spans="1:10" x14ac:dyDescent="0.2">
      <c r="A1917" s="8" t="s">
        <v>56</v>
      </c>
      <c r="B1917" s="8" t="s">
        <v>83</v>
      </c>
      <c r="C1917" s="8" t="s">
        <v>2133</v>
      </c>
      <c r="D1917" s="8" t="s">
        <v>2134</v>
      </c>
      <c r="E1917" s="8" t="s">
        <v>2135</v>
      </c>
      <c r="F1917" s="8">
        <v>-1.4949520000000001</v>
      </c>
      <c r="G1917" s="8">
        <v>-1.6923265999999999</v>
      </c>
      <c r="H1917" s="6" t="str">
        <f t="shared" si="13"/>
        <v>Direct</v>
      </c>
      <c r="I1917" s="6" t="s">
        <v>578</v>
      </c>
      <c r="J1917" s="8" t="s">
        <v>578</v>
      </c>
    </row>
    <row r="1918" spans="1:10" x14ac:dyDescent="0.2">
      <c r="A1918" s="8" t="s">
        <v>56</v>
      </c>
      <c r="B1918" s="8" t="s">
        <v>83</v>
      </c>
      <c r="C1918" s="8" t="s">
        <v>3309</v>
      </c>
      <c r="D1918" s="8" t="s">
        <v>3310</v>
      </c>
      <c r="E1918" s="8" t="s">
        <v>3311</v>
      </c>
      <c r="F1918" s="8">
        <v>1.6841460399999999</v>
      </c>
      <c r="G1918" s="8">
        <v>4.4764733400000001</v>
      </c>
      <c r="H1918" s="6" t="str">
        <f t="shared" si="13"/>
        <v>Direct</v>
      </c>
      <c r="I1918" s="6" t="s">
        <v>3312</v>
      </c>
      <c r="J1918" s="8" t="s">
        <v>3312</v>
      </c>
    </row>
    <row r="1919" spans="1:10" x14ac:dyDescent="0.2">
      <c r="A1919" s="8" t="s">
        <v>56</v>
      </c>
      <c r="B1919" s="8" t="s">
        <v>83</v>
      </c>
      <c r="C1919" s="8" t="s">
        <v>4854</v>
      </c>
      <c r="D1919" s="8" t="s">
        <v>4855</v>
      </c>
      <c r="E1919" s="8" t="s">
        <v>4856</v>
      </c>
      <c r="F1919" s="8">
        <v>-1.6318263</v>
      </c>
      <c r="G1919" s="8">
        <v>-1.0172296999999999</v>
      </c>
      <c r="H1919" s="6" t="str">
        <f t="shared" si="13"/>
        <v>Direct</v>
      </c>
      <c r="I1919" s="6" t="s">
        <v>4857</v>
      </c>
      <c r="J1919" s="8" t="s">
        <v>4857</v>
      </c>
    </row>
    <row r="1920" spans="1:10" x14ac:dyDescent="0.2">
      <c r="A1920" s="8" t="s">
        <v>56</v>
      </c>
      <c r="B1920" s="8" t="s">
        <v>83</v>
      </c>
      <c r="C1920" s="8" t="s">
        <v>2140</v>
      </c>
      <c r="D1920" s="8" t="s">
        <v>2141</v>
      </c>
      <c r="E1920" s="8" t="s">
        <v>2142</v>
      </c>
      <c r="F1920" s="8">
        <v>-3.5135993999999999</v>
      </c>
      <c r="G1920" s="8">
        <v>-3.7481496999999999</v>
      </c>
      <c r="H1920" s="6" t="str">
        <f t="shared" si="13"/>
        <v>Direct</v>
      </c>
      <c r="I1920" s="6" t="s">
        <v>2143</v>
      </c>
      <c r="J1920" s="8" t="s">
        <v>2143</v>
      </c>
    </row>
    <row r="1921" spans="1:10" x14ac:dyDescent="0.2">
      <c r="A1921" s="8" t="s">
        <v>56</v>
      </c>
      <c r="B1921" s="8" t="s">
        <v>83</v>
      </c>
      <c r="C1921" s="8" t="s">
        <v>3324</v>
      </c>
      <c r="D1921" s="8" t="s">
        <v>3325</v>
      </c>
      <c r="E1921" s="8" t="s">
        <v>3326</v>
      </c>
      <c r="F1921" s="8">
        <v>-13.410094000000001</v>
      </c>
      <c r="G1921" s="8">
        <v>-5.5574392000000001</v>
      </c>
      <c r="H1921" s="6" t="str">
        <f t="shared" si="13"/>
        <v>Direct</v>
      </c>
      <c r="I1921" s="6" t="s">
        <v>3327</v>
      </c>
      <c r="J1921" s="8" t="s">
        <v>3327</v>
      </c>
    </row>
    <row r="1922" spans="1:10" x14ac:dyDescent="0.2">
      <c r="A1922" s="8" t="s">
        <v>56</v>
      </c>
      <c r="B1922" s="8" t="s">
        <v>83</v>
      </c>
      <c r="C1922" s="8" t="s">
        <v>4337</v>
      </c>
      <c r="D1922" s="8" t="s">
        <v>4338</v>
      </c>
      <c r="E1922" s="8" t="s">
        <v>4339</v>
      </c>
      <c r="F1922" s="8">
        <v>-1.4032142999999999</v>
      </c>
      <c r="G1922" s="8">
        <v>1.1241956200000001</v>
      </c>
      <c r="H1922" s="6" t="str">
        <f t="shared" si="13"/>
        <v>Inverse</v>
      </c>
      <c r="I1922" s="6" t="s">
        <v>4340</v>
      </c>
      <c r="J1922" s="8" t="s">
        <v>4340</v>
      </c>
    </row>
    <row r="1923" spans="1:10" x14ac:dyDescent="0.2">
      <c r="A1923" s="8" t="s">
        <v>56</v>
      </c>
      <c r="B1923" s="8" t="s">
        <v>83</v>
      </c>
      <c r="C1923" s="8" t="s">
        <v>3328</v>
      </c>
      <c r="D1923" s="8" t="s">
        <v>3329</v>
      </c>
      <c r="E1923" s="8" t="s">
        <v>3330</v>
      </c>
      <c r="F1923" s="8">
        <v>-7.7198615000000004</v>
      </c>
      <c r="G1923" s="8">
        <v>-2.6731831000000001</v>
      </c>
      <c r="H1923" s="6" t="str">
        <f t="shared" si="13"/>
        <v>Direct</v>
      </c>
      <c r="I1923" s="6" t="s">
        <v>3331</v>
      </c>
      <c r="J1923" s="8" t="s">
        <v>3331</v>
      </c>
    </row>
    <row r="1924" spans="1:10" x14ac:dyDescent="0.2">
      <c r="A1924" s="8" t="s">
        <v>56</v>
      </c>
      <c r="B1924" s="8" t="s">
        <v>83</v>
      </c>
      <c r="C1924" s="8" t="s">
        <v>2152</v>
      </c>
      <c r="D1924" s="8" t="s">
        <v>2153</v>
      </c>
      <c r="E1924" s="8" t="s">
        <v>2154</v>
      </c>
      <c r="F1924" s="8">
        <v>-9.5955911</v>
      </c>
      <c r="G1924" s="8">
        <v>-3.2319315999999998</v>
      </c>
      <c r="H1924" s="6" t="str">
        <f t="shared" si="13"/>
        <v>Direct</v>
      </c>
      <c r="I1924" s="6" t="s">
        <v>2155</v>
      </c>
      <c r="J1924" s="8" t="s">
        <v>2155</v>
      </c>
    </row>
    <row r="1925" spans="1:10" x14ac:dyDescent="0.2">
      <c r="A1925" s="8" t="s">
        <v>56</v>
      </c>
      <c r="B1925" s="8" t="s">
        <v>83</v>
      </c>
      <c r="C1925" s="8" t="s">
        <v>4858</v>
      </c>
      <c r="D1925" s="8" t="s">
        <v>4859</v>
      </c>
      <c r="E1925" s="8" t="s">
        <v>4860</v>
      </c>
      <c r="F1925" s="8">
        <v>-1.4357937000000001</v>
      </c>
      <c r="G1925" s="8">
        <v>-2.25942</v>
      </c>
      <c r="H1925" s="6" t="str">
        <f t="shared" si="13"/>
        <v>Direct</v>
      </c>
      <c r="I1925" s="6" t="s">
        <v>4861</v>
      </c>
      <c r="J1925" s="8" t="s">
        <v>4861</v>
      </c>
    </row>
    <row r="1926" spans="1:10" x14ac:dyDescent="0.2">
      <c r="A1926" s="8" t="s">
        <v>56</v>
      </c>
      <c r="B1926" s="8" t="s">
        <v>83</v>
      </c>
      <c r="C1926" s="8" t="s">
        <v>2156</v>
      </c>
      <c r="D1926" s="8" t="s">
        <v>2157</v>
      </c>
      <c r="E1926" s="8" t="s">
        <v>2158</v>
      </c>
      <c r="F1926" s="8">
        <v>-17.481020999999998</v>
      </c>
      <c r="G1926" s="8">
        <v>-4.8815653000000001</v>
      </c>
      <c r="H1926" s="6" t="str">
        <f t="shared" si="13"/>
        <v>Direct</v>
      </c>
      <c r="I1926" s="6" t="s">
        <v>2159</v>
      </c>
      <c r="J1926" s="8" t="s">
        <v>2159</v>
      </c>
    </row>
    <row r="1927" spans="1:10" x14ac:dyDescent="0.2">
      <c r="A1927" s="8" t="s">
        <v>56</v>
      </c>
      <c r="B1927" s="8" t="s">
        <v>83</v>
      </c>
      <c r="C1927" s="8" t="s">
        <v>3332</v>
      </c>
      <c r="D1927" s="8" t="s">
        <v>3333</v>
      </c>
      <c r="E1927" s="8" t="s">
        <v>3334</v>
      </c>
      <c r="F1927" s="8">
        <v>-1.1970129</v>
      </c>
      <c r="G1927" s="8">
        <v>-13.5054</v>
      </c>
      <c r="H1927" s="6" t="str">
        <f t="shared" si="13"/>
        <v>Direct</v>
      </c>
      <c r="I1927" s="6" t="s">
        <v>116</v>
      </c>
      <c r="J1927" s="8" t="s">
        <v>116</v>
      </c>
    </row>
    <row r="1928" spans="1:10" x14ac:dyDescent="0.2">
      <c r="A1928" s="8" t="s">
        <v>56</v>
      </c>
      <c r="B1928" s="8" t="s">
        <v>83</v>
      </c>
      <c r="C1928" s="8" t="s">
        <v>3344</v>
      </c>
      <c r="D1928" s="8" t="s">
        <v>3345</v>
      </c>
      <c r="E1928" s="8" t="s">
        <v>3346</v>
      </c>
      <c r="F1928" s="8">
        <v>-6.7186478000000003</v>
      </c>
      <c r="G1928" s="8">
        <v>-1.4759192999999999</v>
      </c>
      <c r="H1928" s="6" t="str">
        <f t="shared" si="13"/>
        <v>Direct</v>
      </c>
      <c r="I1928" s="6" t="s">
        <v>2193</v>
      </c>
      <c r="J1928" s="8" t="s">
        <v>2193</v>
      </c>
    </row>
    <row r="1929" spans="1:10" x14ac:dyDescent="0.2">
      <c r="A1929" s="8" t="s">
        <v>56</v>
      </c>
      <c r="B1929" s="8" t="s">
        <v>83</v>
      </c>
      <c r="C1929" s="8" t="s">
        <v>3347</v>
      </c>
      <c r="D1929" s="8" t="s">
        <v>3348</v>
      </c>
      <c r="E1929" s="8" t="s">
        <v>3349</v>
      </c>
      <c r="F1929" s="8">
        <v>1.2753462600000001</v>
      </c>
      <c r="G1929" s="8">
        <v>3.9917606499999998</v>
      </c>
      <c r="H1929" s="6" t="str">
        <f t="shared" si="13"/>
        <v>Direct</v>
      </c>
      <c r="I1929" s="6" t="s">
        <v>3350</v>
      </c>
      <c r="J1929" s="8" t="s">
        <v>3350</v>
      </c>
    </row>
    <row r="1930" spans="1:10" x14ac:dyDescent="0.2">
      <c r="A1930" s="8" t="s">
        <v>56</v>
      </c>
      <c r="B1930" s="8" t="s">
        <v>83</v>
      </c>
      <c r="C1930" s="8" t="s">
        <v>3351</v>
      </c>
      <c r="D1930" s="8" t="s">
        <v>3352</v>
      </c>
      <c r="E1930" s="8" t="s">
        <v>3353</v>
      </c>
      <c r="F1930" s="8">
        <v>-5.0651897999999997</v>
      </c>
      <c r="G1930" s="8">
        <v>-1.6831326</v>
      </c>
      <c r="H1930" s="6" t="str">
        <f t="shared" si="13"/>
        <v>Direct</v>
      </c>
      <c r="I1930" s="6" t="s">
        <v>2183</v>
      </c>
      <c r="J1930" s="8" t="s">
        <v>2183</v>
      </c>
    </row>
    <row r="1931" spans="1:10" x14ac:dyDescent="0.2">
      <c r="A1931" s="8" t="s">
        <v>56</v>
      </c>
      <c r="B1931" s="8" t="s">
        <v>83</v>
      </c>
      <c r="C1931" s="8" t="s">
        <v>4862</v>
      </c>
      <c r="D1931" s="8" t="s">
        <v>4863</v>
      </c>
      <c r="E1931" s="8" t="s">
        <v>4864</v>
      </c>
      <c r="F1931" s="8">
        <v>-2.2151882999999999</v>
      </c>
      <c r="G1931" s="8">
        <v>1.31494201</v>
      </c>
      <c r="H1931" s="6" t="str">
        <f t="shared" si="13"/>
        <v>Inverse</v>
      </c>
      <c r="I1931" s="6" t="s">
        <v>2193</v>
      </c>
      <c r="J1931" s="8" t="s">
        <v>2193</v>
      </c>
    </row>
    <row r="1932" spans="1:10" x14ac:dyDescent="0.2">
      <c r="A1932" s="8" t="s">
        <v>56</v>
      </c>
      <c r="B1932" s="8" t="s">
        <v>83</v>
      </c>
      <c r="C1932" s="8" t="s">
        <v>3358</v>
      </c>
      <c r="D1932" s="8" t="s">
        <v>3359</v>
      </c>
      <c r="E1932" s="8" t="s">
        <v>3360</v>
      </c>
      <c r="F1932" s="8">
        <v>-3.5352274000000001</v>
      </c>
      <c r="G1932" s="8">
        <v>-1.156596</v>
      </c>
      <c r="H1932" s="6" t="str">
        <f t="shared" si="13"/>
        <v>Direct</v>
      </c>
      <c r="I1932" s="6" t="s">
        <v>3361</v>
      </c>
      <c r="J1932" s="8" t="s">
        <v>3361</v>
      </c>
    </row>
    <row r="1933" spans="1:10" x14ac:dyDescent="0.2">
      <c r="A1933" s="8" t="s">
        <v>56</v>
      </c>
      <c r="B1933" s="8" t="s">
        <v>83</v>
      </c>
      <c r="C1933" s="8" t="s">
        <v>3362</v>
      </c>
      <c r="D1933" s="8" t="s">
        <v>3363</v>
      </c>
      <c r="E1933" s="8" t="s">
        <v>3364</v>
      </c>
      <c r="F1933" s="8">
        <v>-2.3213892</v>
      </c>
      <c r="G1933" s="8">
        <v>1.7778579299999999</v>
      </c>
      <c r="H1933" s="6" t="str">
        <f t="shared" si="13"/>
        <v>Inverse</v>
      </c>
      <c r="I1933" s="6" t="s">
        <v>3365</v>
      </c>
      <c r="J1933" s="8" t="s">
        <v>3365</v>
      </c>
    </row>
    <row r="1934" spans="1:10" x14ac:dyDescent="0.2">
      <c r="A1934" s="8" t="s">
        <v>56</v>
      </c>
      <c r="B1934" s="8" t="s">
        <v>83</v>
      </c>
      <c r="C1934" s="8" t="s">
        <v>2164</v>
      </c>
      <c r="D1934" s="8" t="s">
        <v>2165</v>
      </c>
      <c r="E1934" s="8" t="s">
        <v>2166</v>
      </c>
      <c r="F1934" s="8">
        <v>-3.1582395999999999</v>
      </c>
      <c r="G1934" s="8">
        <v>-2.0510394000000001</v>
      </c>
      <c r="H1934" s="6" t="str">
        <f t="shared" si="13"/>
        <v>Direct</v>
      </c>
      <c r="I1934" s="6" t="s">
        <v>2167</v>
      </c>
      <c r="J1934" s="8" t="s">
        <v>2167</v>
      </c>
    </row>
    <row r="1935" spans="1:10" x14ac:dyDescent="0.2">
      <c r="A1935" s="8" t="s">
        <v>56</v>
      </c>
      <c r="B1935" s="8" t="s">
        <v>83</v>
      </c>
      <c r="C1935" s="8" t="s">
        <v>3366</v>
      </c>
      <c r="D1935" s="8" t="s">
        <v>3367</v>
      </c>
      <c r="E1935" s="8" t="s">
        <v>3368</v>
      </c>
      <c r="F1935" s="8">
        <v>-2.0288721999999999</v>
      </c>
      <c r="G1935" s="8">
        <v>-10.576108</v>
      </c>
      <c r="H1935" s="6" t="str">
        <f t="shared" si="13"/>
        <v>Direct</v>
      </c>
      <c r="I1935" s="6" t="s">
        <v>3369</v>
      </c>
      <c r="J1935" s="8" t="s">
        <v>3369</v>
      </c>
    </row>
    <row r="1936" spans="1:10" x14ac:dyDescent="0.2">
      <c r="A1936" s="8" t="s">
        <v>56</v>
      </c>
      <c r="B1936" s="8" t="s">
        <v>83</v>
      </c>
      <c r="C1936" s="8" t="s">
        <v>4865</v>
      </c>
      <c r="D1936" s="8" t="s">
        <v>4866</v>
      </c>
      <c r="E1936" s="8" t="s">
        <v>4867</v>
      </c>
      <c r="F1936" s="8">
        <v>-1.991914</v>
      </c>
      <c r="G1936" s="8">
        <v>-1.7014739000000001</v>
      </c>
      <c r="H1936" s="6" t="str">
        <f t="shared" si="13"/>
        <v>Direct</v>
      </c>
      <c r="I1936" s="6" t="s">
        <v>4868</v>
      </c>
      <c r="J1936" s="8" t="s">
        <v>4868</v>
      </c>
    </row>
    <row r="1937" spans="1:10" x14ac:dyDescent="0.2">
      <c r="A1937" s="8" t="s">
        <v>56</v>
      </c>
      <c r="B1937" s="8" t="s">
        <v>83</v>
      </c>
      <c r="C1937" s="8" t="s">
        <v>3374</v>
      </c>
      <c r="D1937" s="8" t="s">
        <v>3375</v>
      </c>
      <c r="E1937" s="8" t="s">
        <v>3376</v>
      </c>
      <c r="F1937" s="8">
        <v>-5.9388781000000002</v>
      </c>
      <c r="G1937" s="8">
        <v>-1.6616143000000001</v>
      </c>
      <c r="H1937" s="6" t="str">
        <f t="shared" si="13"/>
        <v>Direct</v>
      </c>
      <c r="I1937" s="6" t="s">
        <v>3377</v>
      </c>
      <c r="J1937" s="8" t="s">
        <v>3378</v>
      </c>
    </row>
    <row r="1938" spans="1:10" x14ac:dyDescent="0.2">
      <c r="A1938" s="8" t="s">
        <v>56</v>
      </c>
      <c r="B1938" s="8" t="s">
        <v>83</v>
      </c>
      <c r="C1938" s="8" t="s">
        <v>3379</v>
      </c>
      <c r="D1938" s="8" t="s">
        <v>3380</v>
      </c>
      <c r="E1938" s="8" t="s">
        <v>3381</v>
      </c>
      <c r="F1938" s="8">
        <v>-1.9141066</v>
      </c>
      <c r="G1938" s="8">
        <v>-2.6609337000000002</v>
      </c>
      <c r="H1938" s="6" t="str">
        <f t="shared" si="13"/>
        <v>Direct</v>
      </c>
      <c r="I1938" s="6" t="s">
        <v>50</v>
      </c>
      <c r="J1938" s="8" t="s">
        <v>3382</v>
      </c>
    </row>
    <row r="1939" spans="1:10" x14ac:dyDescent="0.2">
      <c r="A1939" s="8" t="s">
        <v>56</v>
      </c>
      <c r="B1939" s="8" t="s">
        <v>83</v>
      </c>
      <c r="C1939" s="8" t="s">
        <v>3383</v>
      </c>
      <c r="D1939" s="8" t="s">
        <v>3384</v>
      </c>
      <c r="E1939" s="8" t="s">
        <v>3385</v>
      </c>
      <c r="F1939" s="8">
        <v>-4.7733473000000002</v>
      </c>
      <c r="G1939" s="8">
        <v>-1.5547389</v>
      </c>
      <c r="H1939" s="6" t="str">
        <f t="shared" si="13"/>
        <v>Direct</v>
      </c>
      <c r="I1939" s="6" t="s">
        <v>3386</v>
      </c>
      <c r="J1939" s="8" t="s">
        <v>3386</v>
      </c>
    </row>
    <row r="1940" spans="1:10" x14ac:dyDescent="0.2">
      <c r="A1940" s="8" t="s">
        <v>56</v>
      </c>
      <c r="B1940" s="8" t="s">
        <v>83</v>
      </c>
      <c r="C1940" s="8" t="s">
        <v>3391</v>
      </c>
      <c r="D1940" s="8" t="s">
        <v>3392</v>
      </c>
      <c r="E1940" s="8" t="s">
        <v>3393</v>
      </c>
      <c r="F1940" s="8">
        <v>-1.0355532000000001</v>
      </c>
      <c r="G1940" s="8">
        <v>-1.4232634</v>
      </c>
      <c r="H1940" s="6" t="str">
        <f t="shared" si="13"/>
        <v>Direct</v>
      </c>
      <c r="I1940" s="6" t="s">
        <v>50</v>
      </c>
      <c r="J1940" s="8" t="s">
        <v>50</v>
      </c>
    </row>
    <row r="1941" spans="1:10" x14ac:dyDescent="0.2">
      <c r="A1941" s="8" t="s">
        <v>56</v>
      </c>
      <c r="B1941" s="8" t="s">
        <v>83</v>
      </c>
      <c r="C1941" s="8" t="s">
        <v>4869</v>
      </c>
      <c r="D1941" s="8" t="s">
        <v>4870</v>
      </c>
      <c r="E1941" s="8" t="s">
        <v>4871</v>
      </c>
      <c r="F1941" s="8">
        <v>1.8206647600000001</v>
      </c>
      <c r="G1941" s="8">
        <v>1.29825054</v>
      </c>
      <c r="H1941" s="6" t="str">
        <f t="shared" si="13"/>
        <v>Direct</v>
      </c>
      <c r="I1941" s="6" t="s">
        <v>4872</v>
      </c>
      <c r="J1941" s="8" t="s">
        <v>4873</v>
      </c>
    </row>
    <row r="1942" spans="1:10" x14ac:dyDescent="0.2">
      <c r="A1942" s="8" t="s">
        <v>56</v>
      </c>
      <c r="B1942" s="8" t="s">
        <v>83</v>
      </c>
      <c r="C1942" s="8" t="s">
        <v>2180</v>
      </c>
      <c r="D1942" s="8" t="s">
        <v>2181</v>
      </c>
      <c r="E1942" s="8" t="s">
        <v>2182</v>
      </c>
      <c r="F1942" s="8">
        <v>-6.8976440999999999</v>
      </c>
      <c r="G1942" s="8">
        <v>-1.8436979</v>
      </c>
      <c r="H1942" s="6" t="str">
        <f t="shared" si="13"/>
        <v>Direct</v>
      </c>
      <c r="I1942" s="6" t="s">
        <v>2183</v>
      </c>
      <c r="J1942" s="8" t="s">
        <v>2183</v>
      </c>
    </row>
    <row r="1943" spans="1:10" x14ac:dyDescent="0.2">
      <c r="A1943" s="8" t="s">
        <v>56</v>
      </c>
      <c r="B1943" s="8" t="s">
        <v>83</v>
      </c>
      <c r="C1943" s="8" t="s">
        <v>2184</v>
      </c>
      <c r="D1943" s="8" t="s">
        <v>2185</v>
      </c>
      <c r="E1943" s="8" t="s">
        <v>2186</v>
      </c>
      <c r="F1943" s="8">
        <v>-21.535767</v>
      </c>
      <c r="G1943" s="8">
        <v>-5.8318054999999998</v>
      </c>
      <c r="H1943" s="6" t="str">
        <f t="shared" si="13"/>
        <v>Direct</v>
      </c>
      <c r="I1943" s="6" t="s">
        <v>1297</v>
      </c>
      <c r="J1943" s="8" t="s">
        <v>1297</v>
      </c>
    </row>
    <row r="1944" spans="1:10" x14ac:dyDescent="0.2">
      <c r="A1944" s="8" t="s">
        <v>56</v>
      </c>
      <c r="B1944" s="8" t="s">
        <v>83</v>
      </c>
      <c r="C1944" s="8" t="s">
        <v>2187</v>
      </c>
      <c r="D1944" s="8" t="s">
        <v>2188</v>
      </c>
      <c r="E1944" s="8" t="s">
        <v>2189</v>
      </c>
      <c r="F1944" s="8">
        <v>-6.4499652999999997</v>
      </c>
      <c r="G1944" s="8">
        <v>-1.1389454999999999</v>
      </c>
      <c r="H1944" s="6" t="str">
        <f t="shared" si="13"/>
        <v>Direct</v>
      </c>
      <c r="I1944" s="6" t="s">
        <v>1763</v>
      </c>
      <c r="J1944" s="8" t="s">
        <v>1763</v>
      </c>
    </row>
    <row r="1945" spans="1:10" x14ac:dyDescent="0.2">
      <c r="A1945" s="8" t="s">
        <v>56</v>
      </c>
      <c r="B1945" s="8" t="s">
        <v>83</v>
      </c>
      <c r="C1945" s="8" t="s">
        <v>4874</v>
      </c>
      <c r="D1945" s="8" t="s">
        <v>4875</v>
      </c>
      <c r="E1945" s="8" t="s">
        <v>4876</v>
      </c>
      <c r="F1945" s="8">
        <v>1.7113784700000001</v>
      </c>
      <c r="G1945" s="8">
        <v>1.21613551</v>
      </c>
      <c r="H1945" s="6" t="str">
        <f t="shared" si="13"/>
        <v>Direct</v>
      </c>
      <c r="I1945" s="6" t="s">
        <v>4877</v>
      </c>
      <c r="J1945" s="8" t="s">
        <v>4877</v>
      </c>
    </row>
    <row r="1946" spans="1:10" x14ac:dyDescent="0.2">
      <c r="A1946" s="8" t="s">
        <v>56</v>
      </c>
      <c r="B1946" s="8" t="s">
        <v>83</v>
      </c>
      <c r="C1946" s="8" t="s">
        <v>3405</v>
      </c>
      <c r="D1946" s="8" t="s">
        <v>3406</v>
      </c>
      <c r="E1946" s="8" t="s">
        <v>3407</v>
      </c>
      <c r="F1946" s="8">
        <v>-4.2518896000000002</v>
      </c>
      <c r="G1946" s="8">
        <v>-8.3554037999999995</v>
      </c>
      <c r="H1946" s="6" t="str">
        <f t="shared" si="13"/>
        <v>Direct</v>
      </c>
      <c r="I1946" s="6" t="s">
        <v>703</v>
      </c>
      <c r="J1946" s="8" t="s">
        <v>703</v>
      </c>
    </row>
    <row r="1947" spans="1:10" x14ac:dyDescent="0.2">
      <c r="A1947" s="8" t="s">
        <v>56</v>
      </c>
      <c r="B1947" s="8" t="s">
        <v>83</v>
      </c>
      <c r="C1947" s="8" t="s">
        <v>3418</v>
      </c>
      <c r="D1947" s="8" t="s">
        <v>3419</v>
      </c>
      <c r="E1947" s="8" t="s">
        <v>3420</v>
      </c>
      <c r="F1947" s="8">
        <v>-5.1621021000000002</v>
      </c>
      <c r="G1947" s="8">
        <v>-2.1506039000000001</v>
      </c>
      <c r="H1947" s="6" t="str">
        <f t="shared" si="13"/>
        <v>Direct</v>
      </c>
      <c r="I1947" s="6" t="s">
        <v>3421</v>
      </c>
      <c r="J1947" s="8" t="s">
        <v>3421</v>
      </c>
    </row>
    <row r="1948" spans="1:10" x14ac:dyDescent="0.2">
      <c r="A1948" s="8" t="s">
        <v>56</v>
      </c>
      <c r="B1948" s="8" t="s">
        <v>83</v>
      </c>
      <c r="C1948" s="8" t="s">
        <v>2198</v>
      </c>
      <c r="D1948" s="8" t="s">
        <v>2199</v>
      </c>
      <c r="E1948" s="8" t="s">
        <v>2200</v>
      </c>
      <c r="F1948" s="8">
        <v>-2.0716687</v>
      </c>
      <c r="G1948" s="8">
        <v>-5.6747169</v>
      </c>
      <c r="H1948" s="6" t="str">
        <f t="shared" si="13"/>
        <v>Direct</v>
      </c>
      <c r="I1948" s="6" t="s">
        <v>1972</v>
      </c>
      <c r="J1948" s="8" t="s">
        <v>1972</v>
      </c>
    </row>
    <row r="1949" spans="1:10" x14ac:dyDescent="0.2">
      <c r="A1949" s="8" t="s">
        <v>56</v>
      </c>
      <c r="B1949" s="8" t="s">
        <v>83</v>
      </c>
      <c r="C1949" s="8" t="s">
        <v>2201</v>
      </c>
      <c r="D1949" s="8" t="s">
        <v>2202</v>
      </c>
      <c r="E1949" s="8" t="s">
        <v>2203</v>
      </c>
      <c r="F1949" s="8">
        <v>-10.353204</v>
      </c>
      <c r="G1949" s="8">
        <v>-1.1382448000000001</v>
      </c>
      <c r="H1949" s="6" t="str">
        <f t="shared" si="13"/>
        <v>Direct</v>
      </c>
      <c r="I1949" s="6" t="s">
        <v>2204</v>
      </c>
      <c r="J1949" s="8" t="s">
        <v>2204</v>
      </c>
    </row>
    <row r="1950" spans="1:10" x14ac:dyDescent="0.2">
      <c r="A1950" s="8" t="s">
        <v>56</v>
      </c>
      <c r="B1950" s="8" t="s">
        <v>83</v>
      </c>
      <c r="C1950" s="8" t="s">
        <v>3426</v>
      </c>
      <c r="D1950" s="8" t="s">
        <v>3427</v>
      </c>
      <c r="E1950" s="8" t="s">
        <v>3428</v>
      </c>
      <c r="F1950" s="8">
        <v>1.7570299899999999</v>
      </c>
      <c r="G1950" s="8">
        <v>-2.2883936</v>
      </c>
      <c r="H1950" s="6" t="str">
        <f t="shared" si="13"/>
        <v>Inverse</v>
      </c>
      <c r="I1950" s="6" t="s">
        <v>3429</v>
      </c>
      <c r="J1950" s="8" t="s">
        <v>2590</v>
      </c>
    </row>
    <row r="1951" spans="1:10" x14ac:dyDescent="0.2">
      <c r="A1951" s="8" t="s">
        <v>56</v>
      </c>
      <c r="B1951" s="8" t="s">
        <v>83</v>
      </c>
      <c r="C1951" s="8" t="s">
        <v>547</v>
      </c>
      <c r="D1951" s="8" t="s">
        <v>548</v>
      </c>
      <c r="E1951" s="8" t="s">
        <v>549</v>
      </c>
      <c r="F1951" s="8">
        <v>-1.4157588999999999</v>
      </c>
      <c r="G1951" s="8">
        <v>-2.3121360000000002</v>
      </c>
      <c r="H1951" s="6" t="str">
        <f t="shared" si="13"/>
        <v>Direct</v>
      </c>
      <c r="I1951" s="6" t="s">
        <v>550</v>
      </c>
      <c r="J1951" s="8" t="s">
        <v>550</v>
      </c>
    </row>
    <row r="1952" spans="1:10" x14ac:dyDescent="0.2">
      <c r="A1952" s="8" t="s">
        <v>56</v>
      </c>
      <c r="B1952" s="8" t="s">
        <v>83</v>
      </c>
      <c r="C1952" s="8" t="s">
        <v>2205</v>
      </c>
      <c r="D1952" s="8" t="s">
        <v>2206</v>
      </c>
      <c r="E1952" s="8" t="s">
        <v>2207</v>
      </c>
      <c r="F1952" s="8">
        <v>-1.7365543999999999</v>
      </c>
      <c r="G1952" s="8">
        <v>-8.7736550999999992</v>
      </c>
      <c r="H1952" s="6" t="str">
        <f t="shared" si="13"/>
        <v>Direct</v>
      </c>
      <c r="I1952" s="6" t="s">
        <v>2208</v>
      </c>
      <c r="J1952" s="8" t="s">
        <v>2208</v>
      </c>
    </row>
    <row r="1953" spans="1:10" x14ac:dyDescent="0.2">
      <c r="A1953" s="8" t="s">
        <v>56</v>
      </c>
      <c r="B1953" s="8" t="s">
        <v>83</v>
      </c>
      <c r="C1953" s="8" t="s">
        <v>3437</v>
      </c>
      <c r="D1953" s="8" t="s">
        <v>3438</v>
      </c>
      <c r="E1953" s="8" t="s">
        <v>3439</v>
      </c>
      <c r="F1953" s="8">
        <v>-3.2741658</v>
      </c>
      <c r="G1953" s="8">
        <v>-5.5927920000000002</v>
      </c>
      <c r="H1953" s="6" t="str">
        <f t="shared" si="13"/>
        <v>Direct</v>
      </c>
      <c r="I1953" s="6" t="s">
        <v>1413</v>
      </c>
      <c r="J1953" s="8" t="s">
        <v>1413</v>
      </c>
    </row>
    <row r="1954" spans="1:10" x14ac:dyDescent="0.2">
      <c r="A1954" s="8" t="s">
        <v>56</v>
      </c>
      <c r="B1954" s="8" t="s">
        <v>83</v>
      </c>
      <c r="C1954" s="8" t="s">
        <v>3440</v>
      </c>
      <c r="D1954" s="8" t="s">
        <v>3441</v>
      </c>
      <c r="E1954" s="8" t="s">
        <v>3442</v>
      </c>
      <c r="F1954" s="8">
        <v>2.9317247100000001</v>
      </c>
      <c r="G1954" s="8">
        <v>1.86238868</v>
      </c>
      <c r="H1954" s="6" t="str">
        <f t="shared" si="13"/>
        <v>Direct</v>
      </c>
      <c r="I1954" s="6" t="s">
        <v>3443</v>
      </c>
      <c r="J1954" s="8" t="s">
        <v>3443</v>
      </c>
    </row>
    <row r="1955" spans="1:10" x14ac:dyDescent="0.2">
      <c r="A1955" s="8" t="s">
        <v>56</v>
      </c>
      <c r="B1955" s="8" t="s">
        <v>83</v>
      </c>
      <c r="C1955" s="8" t="s">
        <v>4878</v>
      </c>
      <c r="D1955" s="8" t="s">
        <v>4879</v>
      </c>
      <c r="E1955" s="8" t="s">
        <v>4880</v>
      </c>
      <c r="F1955" s="8">
        <v>1.1227546100000001</v>
      </c>
      <c r="G1955" s="8">
        <v>1.08102824</v>
      </c>
      <c r="H1955" s="6" t="str">
        <f t="shared" si="13"/>
        <v>Direct</v>
      </c>
      <c r="I1955" s="6" t="s">
        <v>4881</v>
      </c>
      <c r="J1955" s="8" t="s">
        <v>4881</v>
      </c>
    </row>
    <row r="1956" spans="1:10" x14ac:dyDescent="0.2">
      <c r="A1956" s="8" t="s">
        <v>56</v>
      </c>
      <c r="B1956" s="8" t="s">
        <v>83</v>
      </c>
      <c r="C1956" s="8" t="s">
        <v>3444</v>
      </c>
      <c r="D1956" s="8" t="s">
        <v>3445</v>
      </c>
      <c r="E1956" s="8" t="s">
        <v>3446</v>
      </c>
      <c r="F1956" s="8">
        <v>1.75654942</v>
      </c>
      <c r="G1956" s="8">
        <v>-2.3203874999999998</v>
      </c>
      <c r="H1956" s="6" t="str">
        <f t="shared" si="13"/>
        <v>Inverse</v>
      </c>
      <c r="I1956" s="6" t="s">
        <v>3447</v>
      </c>
      <c r="J1956" s="8" t="s">
        <v>3447</v>
      </c>
    </row>
    <row r="1957" spans="1:10" x14ac:dyDescent="0.2">
      <c r="A1957" s="8" t="s">
        <v>56</v>
      </c>
      <c r="B1957" s="8" t="s">
        <v>83</v>
      </c>
      <c r="C1957" s="8" t="s">
        <v>3448</v>
      </c>
      <c r="D1957" s="8" t="s">
        <v>3449</v>
      </c>
      <c r="E1957" s="8" t="s">
        <v>3450</v>
      </c>
      <c r="F1957" s="8">
        <v>-1.2745716</v>
      </c>
      <c r="G1957" s="8">
        <v>-3.0936349999999999</v>
      </c>
      <c r="H1957" s="6" t="str">
        <f t="shared" si="13"/>
        <v>Direct</v>
      </c>
      <c r="I1957" s="6" t="s">
        <v>3451</v>
      </c>
      <c r="J1957" s="8" t="s">
        <v>3451</v>
      </c>
    </row>
    <row r="1958" spans="1:10" x14ac:dyDescent="0.2">
      <c r="A1958" s="8" t="s">
        <v>56</v>
      </c>
      <c r="B1958" s="8" t="s">
        <v>83</v>
      </c>
      <c r="C1958" s="8" t="s">
        <v>4882</v>
      </c>
      <c r="D1958" s="8" t="s">
        <v>4883</v>
      </c>
      <c r="E1958" s="8" t="s">
        <v>4884</v>
      </c>
      <c r="F1958" s="8">
        <v>-8.1372286999999996</v>
      </c>
      <c r="G1958" s="8">
        <v>-1.0959156999999999</v>
      </c>
      <c r="H1958" s="6" t="str">
        <f t="shared" si="13"/>
        <v>Direct</v>
      </c>
      <c r="I1958" s="6" t="s">
        <v>3551</v>
      </c>
      <c r="J1958" s="8" t="s">
        <v>3551</v>
      </c>
    </row>
    <row r="1959" spans="1:10" x14ac:dyDescent="0.2">
      <c r="A1959" s="8" t="s">
        <v>56</v>
      </c>
      <c r="B1959" s="8" t="s">
        <v>83</v>
      </c>
      <c r="C1959" s="8" t="s">
        <v>3460</v>
      </c>
      <c r="D1959" s="8" t="s">
        <v>3461</v>
      </c>
      <c r="E1959" s="8" t="s">
        <v>3462</v>
      </c>
      <c r="F1959" s="8">
        <v>1.74196324</v>
      </c>
      <c r="G1959" s="8">
        <v>-2.0320575999999999</v>
      </c>
      <c r="H1959" s="6" t="str">
        <f t="shared" si="13"/>
        <v>Inverse</v>
      </c>
      <c r="I1959" s="6" t="s">
        <v>3463</v>
      </c>
      <c r="J1959" s="8" t="s">
        <v>3463</v>
      </c>
    </row>
    <row r="1960" spans="1:10" x14ac:dyDescent="0.2">
      <c r="A1960" s="8" t="s">
        <v>56</v>
      </c>
      <c r="B1960" s="8" t="s">
        <v>83</v>
      </c>
      <c r="C1960" s="8" t="s">
        <v>3464</v>
      </c>
      <c r="D1960" s="8" t="s">
        <v>3465</v>
      </c>
      <c r="E1960" s="8" t="s">
        <v>3466</v>
      </c>
      <c r="F1960" s="8">
        <v>-1.7447531000000001</v>
      </c>
      <c r="G1960" s="8">
        <v>3.32706955</v>
      </c>
      <c r="H1960" s="6" t="str">
        <f t="shared" si="13"/>
        <v>Inverse</v>
      </c>
      <c r="I1960" s="6" t="s">
        <v>3467</v>
      </c>
      <c r="J1960" s="8" t="s">
        <v>3467</v>
      </c>
    </row>
    <row r="1961" spans="1:10" x14ac:dyDescent="0.2">
      <c r="A1961" s="8" t="s">
        <v>56</v>
      </c>
      <c r="B1961" s="8" t="s">
        <v>83</v>
      </c>
      <c r="C1961" s="8" t="s">
        <v>4885</v>
      </c>
      <c r="D1961" s="8" t="s">
        <v>4886</v>
      </c>
      <c r="E1961" s="8" t="s">
        <v>4887</v>
      </c>
      <c r="F1961" s="8">
        <v>-1.7123188</v>
      </c>
      <c r="G1961" s="8">
        <v>-1.0829141</v>
      </c>
      <c r="H1961" s="6" t="str">
        <f t="shared" si="13"/>
        <v>Direct</v>
      </c>
      <c r="I1961" s="6" t="s">
        <v>4888</v>
      </c>
      <c r="J1961" s="8" t="s">
        <v>4888</v>
      </c>
    </row>
    <row r="1962" spans="1:10" x14ac:dyDescent="0.2">
      <c r="A1962" s="8" t="s">
        <v>56</v>
      </c>
      <c r="B1962" s="8" t="s">
        <v>83</v>
      </c>
      <c r="C1962" s="8" t="s">
        <v>4889</v>
      </c>
      <c r="D1962" s="8" t="s">
        <v>4890</v>
      </c>
      <c r="E1962" s="8" t="s">
        <v>4891</v>
      </c>
      <c r="F1962" s="8">
        <v>1.4275915400000001</v>
      </c>
      <c r="G1962" s="8">
        <v>1.04545865</v>
      </c>
      <c r="H1962" s="6" t="str">
        <f t="shared" si="13"/>
        <v>Direct</v>
      </c>
      <c r="I1962" s="6" t="s">
        <v>1768</v>
      </c>
      <c r="J1962" s="8" t="s">
        <v>1768</v>
      </c>
    </row>
    <row r="1963" spans="1:10" x14ac:dyDescent="0.2">
      <c r="A1963" s="8" t="s">
        <v>56</v>
      </c>
      <c r="B1963" s="8" t="s">
        <v>83</v>
      </c>
      <c r="C1963" s="8" t="s">
        <v>3472</v>
      </c>
      <c r="D1963" s="8" t="s">
        <v>3473</v>
      </c>
      <c r="E1963" s="8" t="s">
        <v>3474</v>
      </c>
      <c r="F1963" s="8">
        <v>-1.7126887</v>
      </c>
      <c r="G1963" s="8">
        <v>1.2100253599999999</v>
      </c>
      <c r="H1963" s="6" t="str">
        <f t="shared" si="13"/>
        <v>Inverse</v>
      </c>
      <c r="I1963" s="6" t="s">
        <v>3475</v>
      </c>
      <c r="J1963" s="8" t="s">
        <v>3475</v>
      </c>
    </row>
    <row r="1964" spans="1:10" x14ac:dyDescent="0.2">
      <c r="A1964" s="8" t="s">
        <v>56</v>
      </c>
      <c r="B1964" s="8" t="s">
        <v>83</v>
      </c>
      <c r="C1964" s="8" t="s">
        <v>3476</v>
      </c>
      <c r="D1964" s="8" t="s">
        <v>3477</v>
      </c>
      <c r="E1964" s="8" t="s">
        <v>3478</v>
      </c>
      <c r="F1964" s="8">
        <v>-4.4248471</v>
      </c>
      <c r="G1964" s="8">
        <v>-1.2806221</v>
      </c>
      <c r="H1964" s="6" t="str">
        <f t="shared" si="13"/>
        <v>Direct</v>
      </c>
      <c r="I1964" s="6" t="s">
        <v>3479</v>
      </c>
      <c r="J1964" s="8" t="s">
        <v>3480</v>
      </c>
    </row>
    <row r="1965" spans="1:10" x14ac:dyDescent="0.2">
      <c r="A1965" s="8" t="s">
        <v>56</v>
      </c>
      <c r="B1965" s="8" t="s">
        <v>83</v>
      </c>
      <c r="C1965" s="8" t="s">
        <v>3485</v>
      </c>
      <c r="D1965" s="8" t="s">
        <v>3486</v>
      </c>
      <c r="E1965" s="8" t="s">
        <v>3487</v>
      </c>
      <c r="F1965" s="8">
        <v>-4.5596655000000004</v>
      </c>
      <c r="G1965" s="8">
        <v>-2.2287499</v>
      </c>
      <c r="H1965" s="6" t="str">
        <f t="shared" si="13"/>
        <v>Direct</v>
      </c>
      <c r="I1965" s="6" t="s">
        <v>3488</v>
      </c>
      <c r="J1965" s="8" t="s">
        <v>3488</v>
      </c>
    </row>
    <row r="1966" spans="1:10" x14ac:dyDescent="0.2">
      <c r="A1966" s="8" t="s">
        <v>56</v>
      </c>
      <c r="B1966" s="8" t="s">
        <v>83</v>
      </c>
      <c r="C1966" s="8" t="s">
        <v>4892</v>
      </c>
      <c r="D1966" s="8" t="s">
        <v>4893</v>
      </c>
      <c r="E1966" s="8" t="s">
        <v>4894</v>
      </c>
      <c r="F1966" s="8">
        <v>1.6457811600000001</v>
      </c>
      <c r="G1966" s="8">
        <v>-1.0019354</v>
      </c>
      <c r="H1966" s="6" t="str">
        <f t="shared" si="13"/>
        <v>Inverse</v>
      </c>
      <c r="I1966" s="6" t="s">
        <v>1231</v>
      </c>
      <c r="J1966" s="8" t="s">
        <v>1231</v>
      </c>
    </row>
    <row r="1967" spans="1:10" x14ac:dyDescent="0.2">
      <c r="A1967" s="8" t="s">
        <v>56</v>
      </c>
      <c r="B1967" s="8" t="s">
        <v>83</v>
      </c>
      <c r="C1967" s="8" t="s">
        <v>2227</v>
      </c>
      <c r="D1967" s="8" t="s">
        <v>2228</v>
      </c>
      <c r="E1967" s="8" t="s">
        <v>2229</v>
      </c>
      <c r="F1967" s="8">
        <v>3.9382895699999998</v>
      </c>
      <c r="G1967" s="8">
        <v>26.068593700000001</v>
      </c>
      <c r="H1967" s="6" t="str">
        <f t="shared" si="13"/>
        <v>Direct</v>
      </c>
      <c r="I1967" s="6" t="s">
        <v>445</v>
      </c>
      <c r="J1967" s="8" t="s">
        <v>445</v>
      </c>
    </row>
    <row r="1968" spans="1:10" x14ac:dyDescent="0.2">
      <c r="A1968" s="8" t="s">
        <v>56</v>
      </c>
      <c r="B1968" s="8" t="s">
        <v>83</v>
      </c>
      <c r="C1968" s="8" t="s">
        <v>3489</v>
      </c>
      <c r="D1968" s="8" t="s">
        <v>3490</v>
      </c>
      <c r="E1968" s="8" t="s">
        <v>3491</v>
      </c>
      <c r="F1968" s="8">
        <v>2.2085902599999998</v>
      </c>
      <c r="G1968" s="8">
        <v>-3.2510634999999999</v>
      </c>
      <c r="H1968" s="6" t="str">
        <f t="shared" si="13"/>
        <v>Inverse</v>
      </c>
      <c r="I1968" s="6" t="s">
        <v>116</v>
      </c>
      <c r="J1968" s="8" t="s">
        <v>116</v>
      </c>
    </row>
    <row r="1969" spans="1:10" x14ac:dyDescent="0.2">
      <c r="A1969" s="8" t="s">
        <v>56</v>
      </c>
      <c r="B1969" s="8" t="s">
        <v>83</v>
      </c>
      <c r="C1969" s="8" t="s">
        <v>2234</v>
      </c>
      <c r="D1969" s="8" t="s">
        <v>2235</v>
      </c>
      <c r="E1969" s="8" t="s">
        <v>2236</v>
      </c>
      <c r="F1969" s="8">
        <v>-17.481020999999998</v>
      </c>
      <c r="G1969" s="8">
        <v>-4.6332244999999999</v>
      </c>
      <c r="H1969" s="6" t="str">
        <f t="shared" si="13"/>
        <v>Direct</v>
      </c>
      <c r="I1969" s="6" t="s">
        <v>2237</v>
      </c>
      <c r="J1969" s="8" t="s">
        <v>2237</v>
      </c>
    </row>
    <row r="1970" spans="1:10" x14ac:dyDescent="0.2">
      <c r="A1970" s="8" t="s">
        <v>56</v>
      </c>
      <c r="B1970" s="8" t="s">
        <v>83</v>
      </c>
      <c r="C1970" s="8" t="s">
        <v>3500</v>
      </c>
      <c r="D1970" s="8" t="s">
        <v>3501</v>
      </c>
      <c r="E1970" s="8" t="s">
        <v>3502</v>
      </c>
      <c r="F1970" s="8">
        <v>-1.2852840999999999</v>
      </c>
      <c r="G1970" s="8">
        <v>2.1417323100000001</v>
      </c>
      <c r="H1970" s="6" t="str">
        <f t="shared" si="13"/>
        <v>Inverse</v>
      </c>
      <c r="I1970" s="6" t="s">
        <v>3503</v>
      </c>
      <c r="J1970" s="8" t="s">
        <v>3504</v>
      </c>
    </row>
    <row r="1971" spans="1:10" x14ac:dyDescent="0.2">
      <c r="A1971" s="8" t="s">
        <v>56</v>
      </c>
      <c r="B1971" s="8" t="s">
        <v>83</v>
      </c>
      <c r="C1971" s="8" t="s">
        <v>4895</v>
      </c>
      <c r="D1971" s="8" t="s">
        <v>4896</v>
      </c>
      <c r="E1971" s="8" t="s">
        <v>4897</v>
      </c>
      <c r="F1971" s="8">
        <v>1.4554220899999999</v>
      </c>
      <c r="G1971" s="8">
        <v>7.9128826200000004</v>
      </c>
      <c r="H1971" s="6" t="str">
        <f t="shared" si="13"/>
        <v>Direct</v>
      </c>
      <c r="I1971" s="6" t="s">
        <v>50</v>
      </c>
      <c r="J1971" s="8" t="s">
        <v>50</v>
      </c>
    </row>
    <row r="1972" spans="1:10" x14ac:dyDescent="0.2">
      <c r="A1972" s="8" t="s">
        <v>56</v>
      </c>
      <c r="B1972" s="8" t="s">
        <v>83</v>
      </c>
      <c r="C1972" s="8" t="s">
        <v>4898</v>
      </c>
      <c r="D1972" s="8" t="s">
        <v>4899</v>
      </c>
      <c r="E1972" s="8" t="s">
        <v>4900</v>
      </c>
      <c r="F1972" s="8">
        <v>1.0360151099999999</v>
      </c>
      <c r="G1972" s="8">
        <v>-1.0459571000000001</v>
      </c>
      <c r="H1972" s="6" t="str">
        <f t="shared" si="13"/>
        <v>Inverse</v>
      </c>
      <c r="I1972" s="6" t="s">
        <v>4901</v>
      </c>
      <c r="J1972" s="8" t="s">
        <v>4902</v>
      </c>
    </row>
    <row r="1973" spans="1:10" x14ac:dyDescent="0.2">
      <c r="A1973" s="8" t="s">
        <v>56</v>
      </c>
      <c r="B1973" s="8" t="s">
        <v>83</v>
      </c>
      <c r="C1973" s="8" t="s">
        <v>3505</v>
      </c>
      <c r="D1973" s="8" t="s">
        <v>3506</v>
      </c>
      <c r="E1973" s="8" t="s">
        <v>3507</v>
      </c>
      <c r="F1973" s="8">
        <v>-7.5504625000000001</v>
      </c>
      <c r="G1973" s="8">
        <v>1.0674946400000001</v>
      </c>
      <c r="H1973" s="6" t="str">
        <f t="shared" si="13"/>
        <v>Inverse</v>
      </c>
      <c r="I1973" s="6" t="s">
        <v>3508</v>
      </c>
      <c r="J1973" s="8" t="s">
        <v>3508</v>
      </c>
    </row>
    <row r="1974" spans="1:10" x14ac:dyDescent="0.2">
      <c r="A1974" s="8" t="s">
        <v>56</v>
      </c>
      <c r="B1974" s="8" t="s">
        <v>83</v>
      </c>
      <c r="C1974" s="8" t="s">
        <v>3509</v>
      </c>
      <c r="D1974" s="8" t="s">
        <v>3510</v>
      </c>
      <c r="E1974" s="8" t="s">
        <v>3511</v>
      </c>
      <c r="F1974" s="8">
        <v>1.2210595399999999</v>
      </c>
      <c r="G1974" s="8">
        <v>2.1840907899999999</v>
      </c>
      <c r="H1974" s="6" t="str">
        <f t="shared" si="13"/>
        <v>Direct</v>
      </c>
      <c r="I1974" s="6" t="s">
        <v>3512</v>
      </c>
      <c r="J1974" s="8" t="s">
        <v>3512</v>
      </c>
    </row>
    <row r="1975" spans="1:10" x14ac:dyDescent="0.2">
      <c r="A1975" s="8" t="s">
        <v>56</v>
      </c>
      <c r="B1975" s="8" t="s">
        <v>83</v>
      </c>
      <c r="C1975" s="8" t="s">
        <v>591</v>
      </c>
      <c r="D1975" s="8" t="s">
        <v>592</v>
      </c>
      <c r="E1975" s="8" t="s">
        <v>593</v>
      </c>
      <c r="F1975" s="8">
        <v>-2.6870441</v>
      </c>
      <c r="G1975" s="8">
        <v>-23.926286999999999</v>
      </c>
      <c r="H1975" s="6" t="str">
        <f t="shared" si="13"/>
        <v>Direct</v>
      </c>
      <c r="I1975" s="6" t="s">
        <v>594</v>
      </c>
      <c r="J1975" s="8" t="s">
        <v>112</v>
      </c>
    </row>
    <row r="1976" spans="1:10" x14ac:dyDescent="0.2">
      <c r="A1976" s="8" t="s">
        <v>56</v>
      </c>
      <c r="B1976" s="8" t="s">
        <v>83</v>
      </c>
      <c r="C1976" s="8" t="s">
        <v>4903</v>
      </c>
      <c r="D1976" s="8" t="s">
        <v>4904</v>
      </c>
      <c r="E1976" s="8" t="s">
        <v>4905</v>
      </c>
      <c r="F1976" s="8">
        <v>-1.2528585000000001</v>
      </c>
      <c r="G1976" s="8">
        <v>-2.3981002</v>
      </c>
      <c r="H1976" s="6" t="str">
        <f t="shared" si="13"/>
        <v>Direct</v>
      </c>
      <c r="I1976" s="6" t="s">
        <v>50</v>
      </c>
      <c r="J1976" s="8" t="s">
        <v>4906</v>
      </c>
    </row>
    <row r="1977" spans="1:10" x14ac:dyDescent="0.2">
      <c r="A1977" s="8" t="s">
        <v>56</v>
      </c>
      <c r="B1977" s="8" t="s">
        <v>83</v>
      </c>
      <c r="C1977" s="8" t="s">
        <v>3513</v>
      </c>
      <c r="D1977" s="8" t="s">
        <v>3514</v>
      </c>
      <c r="E1977" s="8" t="s">
        <v>3515</v>
      </c>
      <c r="F1977" s="8">
        <v>-1.0099054000000001</v>
      </c>
      <c r="G1977" s="8">
        <v>-1.0815032</v>
      </c>
      <c r="H1977" s="6" t="str">
        <f t="shared" si="13"/>
        <v>Direct</v>
      </c>
      <c r="I1977" s="6" t="s">
        <v>3516</v>
      </c>
      <c r="J1977" s="8" t="s">
        <v>3516</v>
      </c>
    </row>
    <row r="1978" spans="1:10" x14ac:dyDescent="0.2">
      <c r="A1978" s="8" t="s">
        <v>56</v>
      </c>
      <c r="B1978" s="8" t="s">
        <v>83</v>
      </c>
      <c r="C1978" s="8" t="s">
        <v>2238</v>
      </c>
      <c r="D1978" s="8" t="s">
        <v>2239</v>
      </c>
      <c r="E1978" s="8" t="s">
        <v>2240</v>
      </c>
      <c r="F1978" s="8">
        <v>5.9186658200000002</v>
      </c>
      <c r="G1978" s="8">
        <v>4.9007138100000001</v>
      </c>
      <c r="H1978" s="6" t="str">
        <f t="shared" si="13"/>
        <v>Direct</v>
      </c>
      <c r="I1978" s="6" t="s">
        <v>2241</v>
      </c>
      <c r="J1978" s="8" t="s">
        <v>2241</v>
      </c>
    </row>
    <row r="1979" spans="1:10" x14ac:dyDescent="0.2">
      <c r="A1979" s="8" t="s">
        <v>56</v>
      </c>
      <c r="B1979" s="8" t="s">
        <v>83</v>
      </c>
      <c r="C1979" s="8" t="s">
        <v>2242</v>
      </c>
      <c r="D1979" s="8" t="s">
        <v>2243</v>
      </c>
      <c r="E1979" s="8" t="s">
        <v>2244</v>
      </c>
      <c r="F1979" s="8">
        <v>-4.0343568999999997</v>
      </c>
      <c r="G1979" s="8">
        <v>-1.5254603</v>
      </c>
      <c r="H1979" s="6" t="str">
        <f t="shared" si="13"/>
        <v>Direct</v>
      </c>
      <c r="I1979" s="6" t="s">
        <v>2245</v>
      </c>
      <c r="J1979" s="8" t="s">
        <v>1246</v>
      </c>
    </row>
    <row r="1980" spans="1:10" x14ac:dyDescent="0.2">
      <c r="A1980" s="8" t="s">
        <v>56</v>
      </c>
      <c r="B1980" s="8" t="s">
        <v>83</v>
      </c>
      <c r="C1980" s="8" t="s">
        <v>2246</v>
      </c>
      <c r="D1980" s="8" t="s">
        <v>2247</v>
      </c>
      <c r="E1980" s="8" t="s">
        <v>2248</v>
      </c>
      <c r="F1980" s="8">
        <v>-1.2916839</v>
      </c>
      <c r="G1980" s="8">
        <v>-2.3183098000000002</v>
      </c>
      <c r="H1980" s="6" t="str">
        <f t="shared" si="13"/>
        <v>Direct</v>
      </c>
      <c r="I1980" s="6" t="s">
        <v>2249</v>
      </c>
      <c r="J1980" s="8" t="s">
        <v>2249</v>
      </c>
    </row>
    <row r="1981" spans="1:10" x14ac:dyDescent="0.2">
      <c r="A1981" s="8" t="s">
        <v>56</v>
      </c>
      <c r="B1981" s="8" t="s">
        <v>83</v>
      </c>
      <c r="C1981" s="8" t="s">
        <v>3521</v>
      </c>
      <c r="D1981" s="8" t="s">
        <v>3522</v>
      </c>
      <c r="E1981" s="8" t="s">
        <v>3523</v>
      </c>
      <c r="F1981" s="8">
        <v>-1.3507389999999999</v>
      </c>
      <c r="G1981" s="8">
        <v>-3.3620055</v>
      </c>
      <c r="H1981" s="6" t="str">
        <f t="shared" si="13"/>
        <v>Direct</v>
      </c>
      <c r="I1981" s="6" t="s">
        <v>55</v>
      </c>
      <c r="J1981" s="8" t="s">
        <v>55</v>
      </c>
    </row>
    <row r="1982" spans="1:10" x14ac:dyDescent="0.2">
      <c r="A1982" s="8" t="s">
        <v>56</v>
      </c>
      <c r="B1982" s="8" t="s">
        <v>83</v>
      </c>
      <c r="C1982" s="8" t="s">
        <v>3528</v>
      </c>
      <c r="D1982" s="8" t="s">
        <v>3529</v>
      </c>
      <c r="E1982" s="8" t="s">
        <v>3530</v>
      </c>
      <c r="F1982" s="8">
        <v>3.9515454399999999</v>
      </c>
      <c r="G1982" s="8">
        <v>1.18767387</v>
      </c>
      <c r="H1982" s="6" t="str">
        <f t="shared" si="13"/>
        <v>Direct</v>
      </c>
      <c r="I1982" s="6" t="s">
        <v>50</v>
      </c>
      <c r="J1982" s="8" t="s">
        <v>3531</v>
      </c>
    </row>
    <row r="1983" spans="1:10" x14ac:dyDescent="0.2">
      <c r="A1983" s="8" t="s">
        <v>56</v>
      </c>
      <c r="B1983" s="8" t="s">
        <v>83</v>
      </c>
      <c r="C1983" s="8" t="s">
        <v>4907</v>
      </c>
      <c r="D1983" s="8" t="s">
        <v>4908</v>
      </c>
      <c r="E1983" s="8" t="s">
        <v>4909</v>
      </c>
      <c r="F1983" s="8">
        <v>-1.2874719999999999</v>
      </c>
      <c r="G1983" s="8">
        <v>-2.7165990999999998</v>
      </c>
      <c r="H1983" s="6" t="str">
        <f t="shared" si="13"/>
        <v>Direct</v>
      </c>
      <c r="I1983" s="6" t="s">
        <v>4910</v>
      </c>
      <c r="J1983" s="8" t="s">
        <v>4910</v>
      </c>
    </row>
    <row r="1984" spans="1:10" x14ac:dyDescent="0.2">
      <c r="A1984" s="8" t="s">
        <v>56</v>
      </c>
      <c r="B1984" s="8" t="s">
        <v>83</v>
      </c>
      <c r="C1984" s="8" t="s">
        <v>3532</v>
      </c>
      <c r="D1984" s="8" t="s">
        <v>3533</v>
      </c>
      <c r="E1984" s="8" t="s">
        <v>3534</v>
      </c>
      <c r="F1984" s="8">
        <v>-4.4260937</v>
      </c>
      <c r="G1984" s="8">
        <v>-1.1684657000000001</v>
      </c>
      <c r="H1984" s="6" t="str">
        <f t="shared" si="13"/>
        <v>Direct</v>
      </c>
      <c r="I1984" s="6" t="s">
        <v>3535</v>
      </c>
      <c r="J1984" s="8" t="s">
        <v>3535</v>
      </c>
    </row>
    <row r="1985" spans="1:10" x14ac:dyDescent="0.2">
      <c r="A1985" s="8" t="s">
        <v>56</v>
      </c>
      <c r="B1985" s="8" t="s">
        <v>83</v>
      </c>
      <c r="C1985" s="8" t="s">
        <v>3540</v>
      </c>
      <c r="D1985" s="8" t="s">
        <v>3541</v>
      </c>
      <c r="E1985" s="8" t="s">
        <v>3542</v>
      </c>
      <c r="F1985" s="8">
        <v>-1.6949622</v>
      </c>
      <c r="G1985" s="8">
        <v>1.5329742099999999</v>
      </c>
      <c r="H1985" s="6" t="str">
        <f t="shared" si="13"/>
        <v>Inverse</v>
      </c>
      <c r="I1985" s="6" t="s">
        <v>3543</v>
      </c>
      <c r="J1985" s="8" t="s">
        <v>3543</v>
      </c>
    </row>
    <row r="1986" spans="1:10" x14ac:dyDescent="0.2">
      <c r="A1986" s="8" t="s">
        <v>56</v>
      </c>
      <c r="B1986" s="8" t="s">
        <v>83</v>
      </c>
      <c r="C1986" s="8" t="s">
        <v>4911</v>
      </c>
      <c r="D1986" s="8" t="s">
        <v>4912</v>
      </c>
      <c r="E1986" s="8" t="s">
        <v>4913</v>
      </c>
      <c r="F1986" s="8">
        <v>-1.9318185000000001</v>
      </c>
      <c r="G1986" s="8">
        <v>-10.064746</v>
      </c>
      <c r="H1986" s="6" t="str">
        <f t="shared" si="13"/>
        <v>Direct</v>
      </c>
      <c r="I1986" s="6" t="s">
        <v>818</v>
      </c>
      <c r="J1986" s="8" t="s">
        <v>818</v>
      </c>
    </row>
    <row r="1987" spans="1:10" x14ac:dyDescent="0.2">
      <c r="A1987" s="8" t="s">
        <v>56</v>
      </c>
      <c r="B1987" s="8" t="s">
        <v>83</v>
      </c>
      <c r="C1987" s="8" t="s">
        <v>4914</v>
      </c>
      <c r="D1987" s="8" t="s">
        <v>4915</v>
      </c>
      <c r="E1987" s="8" t="s">
        <v>4916</v>
      </c>
      <c r="F1987" s="8">
        <v>-2.3827294999999999</v>
      </c>
      <c r="G1987" s="8">
        <v>1.60056748</v>
      </c>
      <c r="H1987" s="6" t="str">
        <f t="shared" si="13"/>
        <v>Inverse</v>
      </c>
      <c r="I1987" s="6" t="s">
        <v>4917</v>
      </c>
      <c r="J1987" s="8" t="s">
        <v>4917</v>
      </c>
    </row>
    <row r="1988" spans="1:10" x14ac:dyDescent="0.2">
      <c r="A1988" s="8" t="s">
        <v>56</v>
      </c>
      <c r="B1988" s="8" t="s">
        <v>83</v>
      </c>
      <c r="C1988" s="8" t="s">
        <v>4918</v>
      </c>
      <c r="D1988" s="8" t="s">
        <v>4919</v>
      </c>
      <c r="E1988" s="8" t="s">
        <v>4920</v>
      </c>
      <c r="F1988" s="8">
        <v>-1.0043129</v>
      </c>
      <c r="G1988" s="8">
        <v>1.27524568</v>
      </c>
      <c r="H1988" s="6" t="str">
        <f t="shared" si="13"/>
        <v>Inverse</v>
      </c>
      <c r="I1988" s="6" t="s">
        <v>4921</v>
      </c>
      <c r="J1988" s="8" t="s">
        <v>4921</v>
      </c>
    </row>
    <row r="1989" spans="1:10" x14ac:dyDescent="0.2">
      <c r="A1989" s="8" t="s">
        <v>56</v>
      </c>
      <c r="B1989" s="8" t="s">
        <v>83</v>
      </c>
      <c r="C1989" s="8" t="s">
        <v>3544</v>
      </c>
      <c r="D1989" s="8" t="s">
        <v>3545</v>
      </c>
      <c r="E1989" s="8" t="s">
        <v>3546</v>
      </c>
      <c r="F1989" s="8">
        <v>-6.5384631000000004</v>
      </c>
      <c r="G1989" s="8">
        <v>-2.3872474000000001</v>
      </c>
      <c r="H1989" s="6" t="str">
        <f t="shared" si="13"/>
        <v>Direct</v>
      </c>
      <c r="I1989" s="6" t="s">
        <v>3547</v>
      </c>
      <c r="J1989" s="8" t="s">
        <v>3547</v>
      </c>
    </row>
    <row r="1990" spans="1:10" x14ac:dyDescent="0.2">
      <c r="A1990" s="8" t="s">
        <v>56</v>
      </c>
      <c r="B1990" s="8" t="s">
        <v>83</v>
      </c>
      <c r="C1990" s="8" t="s">
        <v>4922</v>
      </c>
      <c r="D1990" s="8" t="s">
        <v>4923</v>
      </c>
      <c r="E1990" s="8" t="s">
        <v>4924</v>
      </c>
      <c r="F1990" s="8">
        <v>-1.4728877</v>
      </c>
      <c r="G1990" s="8">
        <v>1.15230546</v>
      </c>
      <c r="H1990" s="6" t="str">
        <f t="shared" si="13"/>
        <v>Inverse</v>
      </c>
      <c r="I1990" s="6" t="s">
        <v>4925</v>
      </c>
      <c r="J1990" s="8" t="s">
        <v>4925</v>
      </c>
    </row>
    <row r="1991" spans="1:10" x14ac:dyDescent="0.2">
      <c r="A1991" s="8" t="s">
        <v>56</v>
      </c>
      <c r="B1991" s="8" t="s">
        <v>83</v>
      </c>
      <c r="C1991" s="8" t="s">
        <v>2262</v>
      </c>
      <c r="D1991" s="8" t="s">
        <v>2263</v>
      </c>
      <c r="E1991" s="8" t="s">
        <v>2264</v>
      </c>
      <c r="F1991" s="8">
        <v>-2.1234772999999998</v>
      </c>
      <c r="G1991" s="8">
        <v>-3.6158617</v>
      </c>
      <c r="H1991" s="6" t="str">
        <f t="shared" si="13"/>
        <v>Direct</v>
      </c>
      <c r="I1991" s="6" t="s">
        <v>2265</v>
      </c>
      <c r="J1991" s="8" t="s">
        <v>2265</v>
      </c>
    </row>
    <row r="1992" spans="1:10" x14ac:dyDescent="0.2">
      <c r="A1992" s="8" t="s">
        <v>56</v>
      </c>
      <c r="B1992" s="8" t="s">
        <v>83</v>
      </c>
      <c r="C1992" s="8" t="s">
        <v>3548</v>
      </c>
      <c r="D1992" s="8" t="s">
        <v>3549</v>
      </c>
      <c r="E1992" s="8" t="s">
        <v>3550</v>
      </c>
      <c r="F1992" s="8">
        <v>-1.8591424000000001</v>
      </c>
      <c r="G1992" s="8">
        <v>3.3110008899999999</v>
      </c>
      <c r="H1992" s="6" t="str">
        <f t="shared" si="13"/>
        <v>Inverse</v>
      </c>
      <c r="I1992" s="6" t="s">
        <v>3551</v>
      </c>
      <c r="J1992" s="8" t="s">
        <v>3551</v>
      </c>
    </row>
    <row r="1993" spans="1:10" x14ac:dyDescent="0.2">
      <c r="A1993" s="8" t="s">
        <v>56</v>
      </c>
      <c r="B1993" s="8" t="s">
        <v>83</v>
      </c>
      <c r="C1993" s="8" t="s">
        <v>3558</v>
      </c>
      <c r="D1993" s="8" t="s">
        <v>3559</v>
      </c>
      <c r="E1993" s="8" t="s">
        <v>3560</v>
      </c>
      <c r="F1993" s="8">
        <v>2.4436992000000002</v>
      </c>
      <c r="G1993" s="8">
        <v>3.1224029</v>
      </c>
      <c r="H1993" s="6" t="str">
        <f t="shared" si="13"/>
        <v>Direct</v>
      </c>
      <c r="I1993" s="6" t="s">
        <v>3561</v>
      </c>
      <c r="J1993" s="8" t="s">
        <v>3561</v>
      </c>
    </row>
    <row r="1994" spans="1:10" x14ac:dyDescent="0.2">
      <c r="A1994" s="8" t="s">
        <v>56</v>
      </c>
      <c r="B1994" s="8" t="s">
        <v>83</v>
      </c>
      <c r="C1994" s="8" t="s">
        <v>3562</v>
      </c>
      <c r="D1994" s="8" t="s">
        <v>3563</v>
      </c>
      <c r="E1994" s="8" t="s">
        <v>3564</v>
      </c>
      <c r="F1994" s="8">
        <v>2.0094263699999999</v>
      </c>
      <c r="G1994" s="8">
        <v>-3.2236175999999999</v>
      </c>
      <c r="H1994" s="6" t="str">
        <f t="shared" si="13"/>
        <v>Inverse</v>
      </c>
      <c r="I1994" s="6" t="s">
        <v>2626</v>
      </c>
      <c r="J1994" s="8" t="s">
        <v>2626</v>
      </c>
    </row>
    <row r="1995" spans="1:10" x14ac:dyDescent="0.2">
      <c r="A1995" s="8" t="s">
        <v>56</v>
      </c>
      <c r="B1995" s="8" t="s">
        <v>83</v>
      </c>
      <c r="C1995" s="8" t="s">
        <v>4926</v>
      </c>
      <c r="D1995" s="8" t="s">
        <v>4927</v>
      </c>
      <c r="E1995" s="8" t="s">
        <v>4928</v>
      </c>
      <c r="F1995" s="8">
        <v>-2.2054716000000001</v>
      </c>
      <c r="G1995" s="8">
        <v>1.4222291499999999</v>
      </c>
      <c r="H1995" s="6" t="str">
        <f t="shared" si="13"/>
        <v>Inverse</v>
      </c>
      <c r="I1995" s="6" t="s">
        <v>4929</v>
      </c>
      <c r="J1995" s="8" t="s">
        <v>4929</v>
      </c>
    </row>
    <row r="1996" spans="1:10" x14ac:dyDescent="0.2">
      <c r="A1996" s="8" t="s">
        <v>56</v>
      </c>
      <c r="B1996" s="8" t="s">
        <v>83</v>
      </c>
      <c r="C1996" s="8" t="s">
        <v>4930</v>
      </c>
      <c r="D1996" s="8" t="s">
        <v>4931</v>
      </c>
      <c r="E1996" s="8" t="s">
        <v>4932</v>
      </c>
      <c r="F1996" s="8">
        <v>-1.0045553</v>
      </c>
      <c r="G1996" s="8">
        <v>1.33374685</v>
      </c>
      <c r="H1996" s="6" t="str">
        <f t="shared" si="13"/>
        <v>Inverse</v>
      </c>
      <c r="I1996" s="6" t="s">
        <v>4933</v>
      </c>
      <c r="J1996" s="8" t="s">
        <v>4934</v>
      </c>
    </row>
    <row r="1997" spans="1:10" x14ac:dyDescent="0.2">
      <c r="A1997" s="8" t="s">
        <v>56</v>
      </c>
      <c r="B1997" s="8" t="s">
        <v>83</v>
      </c>
      <c r="C1997" s="8" t="s">
        <v>3565</v>
      </c>
      <c r="D1997" s="8" t="s">
        <v>3566</v>
      </c>
      <c r="E1997" s="8" t="s">
        <v>3567</v>
      </c>
      <c r="F1997" s="8">
        <v>-4.7351653999999996</v>
      </c>
      <c r="G1997" s="8">
        <v>-1.0934785</v>
      </c>
      <c r="H1997" s="6" t="str">
        <f t="shared" si="13"/>
        <v>Direct</v>
      </c>
      <c r="I1997" s="6" t="s">
        <v>3568</v>
      </c>
      <c r="J1997" s="8" t="s">
        <v>3568</v>
      </c>
    </row>
    <row r="1998" spans="1:10" x14ac:dyDescent="0.2">
      <c r="A1998" s="8" t="s">
        <v>56</v>
      </c>
      <c r="B1998" s="8" t="s">
        <v>83</v>
      </c>
      <c r="C1998" s="8" t="s">
        <v>2266</v>
      </c>
      <c r="D1998" s="8" t="s">
        <v>2267</v>
      </c>
      <c r="E1998" s="8" t="s">
        <v>2268</v>
      </c>
      <c r="F1998" s="8">
        <v>-7.3323663000000003</v>
      </c>
      <c r="G1998" s="8">
        <v>-2.5580769000000001</v>
      </c>
      <c r="H1998" s="6" t="str">
        <f t="shared" si="13"/>
        <v>Direct</v>
      </c>
      <c r="I1998" s="6" t="s">
        <v>2269</v>
      </c>
      <c r="J1998" s="8" t="s">
        <v>2269</v>
      </c>
    </row>
    <row r="1999" spans="1:10" x14ac:dyDescent="0.2">
      <c r="A1999" s="8" t="s">
        <v>56</v>
      </c>
      <c r="B1999" s="8" t="s">
        <v>83</v>
      </c>
      <c r="C1999" s="8" t="s">
        <v>2270</v>
      </c>
      <c r="D1999" s="8" t="s">
        <v>2271</v>
      </c>
      <c r="E1999" s="8" t="s">
        <v>2272</v>
      </c>
      <c r="F1999" s="8">
        <v>-8.6784549000000002</v>
      </c>
      <c r="G1999" s="8">
        <v>1.6184592799999999</v>
      </c>
      <c r="H1999" s="6" t="str">
        <f t="shared" si="13"/>
        <v>Inverse</v>
      </c>
      <c r="I1999" s="6" t="s">
        <v>944</v>
      </c>
      <c r="J1999" s="8" t="s">
        <v>2273</v>
      </c>
    </row>
    <row r="2000" spans="1:10" x14ac:dyDescent="0.2">
      <c r="A2000" s="8" t="s">
        <v>56</v>
      </c>
      <c r="B2000" s="8" t="s">
        <v>83</v>
      </c>
      <c r="C2000" s="8" t="s">
        <v>2274</v>
      </c>
      <c r="D2000" s="8" t="s">
        <v>2275</v>
      </c>
      <c r="E2000" s="8" t="s">
        <v>2276</v>
      </c>
      <c r="F2000" s="8">
        <v>-11.014765000000001</v>
      </c>
      <c r="G2000" s="8">
        <v>-1.9557827000000001</v>
      </c>
      <c r="H2000" s="6" t="str">
        <f t="shared" si="13"/>
        <v>Direct</v>
      </c>
      <c r="I2000" s="6" t="s">
        <v>2277</v>
      </c>
      <c r="J2000" s="8" t="s">
        <v>2277</v>
      </c>
    </row>
    <row r="2001" spans="1:10" x14ac:dyDescent="0.2">
      <c r="A2001" s="8" t="s">
        <v>56</v>
      </c>
      <c r="B2001" s="8" t="s">
        <v>83</v>
      </c>
      <c r="C2001" s="8" t="s">
        <v>1044</v>
      </c>
      <c r="D2001" s="8" t="s">
        <v>1045</v>
      </c>
      <c r="E2001" s="8" t="s">
        <v>1046</v>
      </c>
      <c r="F2001" s="8">
        <v>4.9674857000000001</v>
      </c>
      <c r="G2001" s="8">
        <v>1.3337027299999999</v>
      </c>
      <c r="H2001" s="6" t="str">
        <f t="shared" si="13"/>
        <v>Direct</v>
      </c>
      <c r="I2001" s="6" t="s">
        <v>1047</v>
      </c>
      <c r="J2001" s="8" t="s">
        <v>1047</v>
      </c>
    </row>
    <row r="2002" spans="1:10" x14ac:dyDescent="0.2">
      <c r="A2002" s="8" t="s">
        <v>56</v>
      </c>
      <c r="B2002" s="8" t="s">
        <v>83</v>
      </c>
      <c r="C2002" s="8" t="s">
        <v>4935</v>
      </c>
      <c r="D2002" s="8" t="s">
        <v>4936</v>
      </c>
      <c r="E2002" s="8" t="s">
        <v>4937</v>
      </c>
      <c r="F2002" s="8">
        <v>1.52967779</v>
      </c>
      <c r="G2002" s="8">
        <v>-1.7472382</v>
      </c>
      <c r="H2002" s="6" t="str">
        <f t="shared" si="13"/>
        <v>Inverse</v>
      </c>
      <c r="I2002" s="6" t="s">
        <v>4938</v>
      </c>
      <c r="J2002" s="8" t="s">
        <v>4939</v>
      </c>
    </row>
    <row r="2003" spans="1:10" x14ac:dyDescent="0.2">
      <c r="A2003" s="8" t="s">
        <v>56</v>
      </c>
      <c r="B2003" s="8" t="s">
        <v>83</v>
      </c>
      <c r="C2003" s="8" t="s">
        <v>3586</v>
      </c>
      <c r="D2003" s="8" t="s">
        <v>3587</v>
      </c>
      <c r="E2003" s="8" t="s">
        <v>3588</v>
      </c>
      <c r="F2003" s="8">
        <v>-5.4912643000000001</v>
      </c>
      <c r="G2003" s="8">
        <v>-2.0070025</v>
      </c>
      <c r="H2003" s="6" t="str">
        <f t="shared" si="13"/>
        <v>Direct</v>
      </c>
      <c r="I2003" s="6" t="s">
        <v>3589</v>
      </c>
      <c r="J2003" s="8" t="s">
        <v>3589</v>
      </c>
    </row>
    <row r="2004" spans="1:10" x14ac:dyDescent="0.2">
      <c r="A2004" s="8" t="s">
        <v>56</v>
      </c>
      <c r="B2004" s="8" t="s">
        <v>83</v>
      </c>
      <c r="C2004" s="8" t="s">
        <v>3590</v>
      </c>
      <c r="D2004" s="8" t="s">
        <v>3591</v>
      </c>
      <c r="E2004" s="8" t="s">
        <v>3592</v>
      </c>
      <c r="F2004" s="8">
        <v>-1.7355917000000001</v>
      </c>
      <c r="G2004" s="8">
        <v>-2.7622211000000001</v>
      </c>
      <c r="H2004" s="6" t="str">
        <f t="shared" si="13"/>
        <v>Direct</v>
      </c>
      <c r="I2004" s="6" t="s">
        <v>393</v>
      </c>
      <c r="J2004" s="8" t="s">
        <v>393</v>
      </c>
    </row>
    <row r="2005" spans="1:10" x14ac:dyDescent="0.2">
      <c r="A2005" s="8" t="s">
        <v>56</v>
      </c>
      <c r="B2005" s="8" t="s">
        <v>83</v>
      </c>
      <c r="C2005" s="8" t="s">
        <v>4411</v>
      </c>
      <c r="D2005" s="8" t="s">
        <v>4412</v>
      </c>
      <c r="E2005" s="8" t="s">
        <v>4413</v>
      </c>
      <c r="F2005" s="8">
        <v>1.2138686599999999</v>
      </c>
      <c r="G2005" s="8">
        <v>-1.6952339000000001</v>
      </c>
      <c r="H2005" s="6" t="str">
        <f t="shared" si="13"/>
        <v>Inverse</v>
      </c>
      <c r="I2005" s="6" t="s">
        <v>4414</v>
      </c>
      <c r="J2005" s="8" t="s">
        <v>4414</v>
      </c>
    </row>
    <row r="2006" spans="1:10" x14ac:dyDescent="0.2">
      <c r="A2006" s="8" t="s">
        <v>56</v>
      </c>
      <c r="B2006" s="8" t="s">
        <v>83</v>
      </c>
      <c r="C2006" s="8" t="s">
        <v>2286</v>
      </c>
      <c r="D2006" s="8" t="s">
        <v>2287</v>
      </c>
      <c r="E2006" s="8" t="s">
        <v>2288</v>
      </c>
      <c r="F2006" s="8">
        <v>-1.0332568</v>
      </c>
      <c r="G2006" s="8">
        <v>-4.5856952</v>
      </c>
      <c r="H2006" s="6" t="str">
        <f t="shared" si="13"/>
        <v>Direct</v>
      </c>
      <c r="I2006" s="6" t="s">
        <v>794</v>
      </c>
      <c r="J2006" s="8" t="s">
        <v>794</v>
      </c>
    </row>
    <row r="2007" spans="1:10" x14ac:dyDescent="0.2">
      <c r="A2007" s="8" t="s">
        <v>56</v>
      </c>
      <c r="B2007" s="8" t="s">
        <v>83</v>
      </c>
      <c r="C2007" s="8" t="s">
        <v>4940</v>
      </c>
      <c r="D2007" s="8" t="s">
        <v>4941</v>
      </c>
      <c r="E2007" s="8" t="s">
        <v>4942</v>
      </c>
      <c r="F2007" s="8">
        <v>1.06995383</v>
      </c>
      <c r="G2007" s="8">
        <v>-1.7129761999999999</v>
      </c>
      <c r="H2007" s="6" t="str">
        <f t="shared" si="13"/>
        <v>Inverse</v>
      </c>
      <c r="I2007" s="6" t="s">
        <v>4943</v>
      </c>
      <c r="J2007" s="8" t="s">
        <v>4943</v>
      </c>
    </row>
    <row r="2008" spans="1:10" x14ac:dyDescent="0.2">
      <c r="A2008" s="8" t="s">
        <v>56</v>
      </c>
      <c r="B2008" s="8" t="s">
        <v>83</v>
      </c>
      <c r="C2008" s="8" t="s">
        <v>4944</v>
      </c>
      <c r="D2008" s="8" t="s">
        <v>4945</v>
      </c>
      <c r="E2008" s="8" t="s">
        <v>4946</v>
      </c>
      <c r="F2008" s="8">
        <v>1.2324794100000001</v>
      </c>
      <c r="G2008" s="8">
        <v>1.6474661500000001</v>
      </c>
      <c r="H2008" s="6" t="str">
        <f t="shared" si="13"/>
        <v>Direct</v>
      </c>
      <c r="I2008" s="6" t="s">
        <v>871</v>
      </c>
      <c r="J2008" s="8" t="s">
        <v>4947</v>
      </c>
    </row>
    <row r="2009" spans="1:10" x14ac:dyDescent="0.2">
      <c r="A2009" s="8" t="s">
        <v>56</v>
      </c>
      <c r="B2009" s="8" t="s">
        <v>83</v>
      </c>
      <c r="C2009" s="8" t="s">
        <v>4418</v>
      </c>
      <c r="D2009" s="8" t="s">
        <v>4419</v>
      </c>
      <c r="E2009" s="8" t="s">
        <v>4420</v>
      </c>
      <c r="F2009" s="8">
        <v>-3.7642074000000001</v>
      </c>
      <c r="G2009" s="8">
        <v>-5.3557956999999998</v>
      </c>
      <c r="H2009" s="6" t="str">
        <f t="shared" si="13"/>
        <v>Direct</v>
      </c>
      <c r="I2009" s="6" t="s">
        <v>4421</v>
      </c>
      <c r="J2009" s="8" t="s">
        <v>4421</v>
      </c>
    </row>
    <row r="2010" spans="1:10" x14ac:dyDescent="0.2">
      <c r="A2010" s="8" t="s">
        <v>56</v>
      </c>
      <c r="B2010" s="8" t="s">
        <v>83</v>
      </c>
      <c r="C2010" s="8" t="s">
        <v>2296</v>
      </c>
      <c r="D2010" s="8" t="s">
        <v>2297</v>
      </c>
      <c r="E2010" s="8" t="s">
        <v>2298</v>
      </c>
      <c r="F2010" s="8">
        <v>-2.4776527000000002</v>
      </c>
      <c r="G2010" s="8">
        <v>1.3528970300000001</v>
      </c>
      <c r="H2010" s="6" t="str">
        <f t="shared" si="13"/>
        <v>Inverse</v>
      </c>
      <c r="I2010" s="6" t="s">
        <v>2299</v>
      </c>
      <c r="J2010" s="8" t="s">
        <v>2299</v>
      </c>
    </row>
    <row r="2011" spans="1:10" x14ac:dyDescent="0.2">
      <c r="A2011" s="8" t="s">
        <v>56</v>
      </c>
      <c r="B2011" s="8" t="s">
        <v>83</v>
      </c>
      <c r="C2011" s="8" t="s">
        <v>1052</v>
      </c>
      <c r="D2011" s="8" t="s">
        <v>1053</v>
      </c>
      <c r="E2011" s="8" t="s">
        <v>1054</v>
      </c>
      <c r="F2011" s="8">
        <v>-1.2355312000000001</v>
      </c>
      <c r="G2011" s="8">
        <v>-1.1439598</v>
      </c>
      <c r="H2011" s="6" t="str">
        <f t="shared" si="13"/>
        <v>Direct</v>
      </c>
      <c r="I2011" s="6" t="s">
        <v>1055</v>
      </c>
      <c r="J2011" s="8" t="s">
        <v>1055</v>
      </c>
    </row>
    <row r="2012" spans="1:10" x14ac:dyDescent="0.2">
      <c r="A2012" s="8" t="s">
        <v>56</v>
      </c>
      <c r="B2012" s="8" t="s">
        <v>83</v>
      </c>
      <c r="C2012" s="8" t="s">
        <v>3597</v>
      </c>
      <c r="D2012" s="8" t="s">
        <v>3598</v>
      </c>
      <c r="E2012" s="8" t="s">
        <v>3599</v>
      </c>
      <c r="F2012" s="8">
        <v>-1.4219702000000001</v>
      </c>
      <c r="G2012" s="8">
        <v>-2.2804262</v>
      </c>
      <c r="H2012" s="6" t="str">
        <f t="shared" si="13"/>
        <v>Direct</v>
      </c>
      <c r="I2012" s="6" t="s">
        <v>3600</v>
      </c>
      <c r="J2012" s="8" t="s">
        <v>3600</v>
      </c>
    </row>
    <row r="2013" spans="1:10" x14ac:dyDescent="0.2">
      <c r="A2013" s="8" t="s">
        <v>56</v>
      </c>
      <c r="B2013" s="8" t="s">
        <v>83</v>
      </c>
      <c r="C2013" s="8" t="s">
        <v>4948</v>
      </c>
      <c r="D2013" s="8" t="s">
        <v>4949</v>
      </c>
      <c r="E2013" s="8" t="s">
        <v>4950</v>
      </c>
      <c r="F2013" s="8">
        <v>-1.2565199</v>
      </c>
      <c r="G2013" s="8">
        <v>1.3356644</v>
      </c>
      <c r="H2013" s="6" t="str">
        <f t="shared" si="13"/>
        <v>Inverse</v>
      </c>
      <c r="I2013" s="6" t="s">
        <v>2512</v>
      </c>
      <c r="J2013" s="8" t="s">
        <v>2512</v>
      </c>
    </row>
    <row r="2014" spans="1:10" x14ac:dyDescent="0.2">
      <c r="A2014" s="8" t="s">
        <v>56</v>
      </c>
      <c r="B2014" s="8" t="s">
        <v>83</v>
      </c>
      <c r="C2014" s="8" t="s">
        <v>3621</v>
      </c>
      <c r="D2014" s="8" t="s">
        <v>3622</v>
      </c>
      <c r="E2014" s="8" t="s">
        <v>3623</v>
      </c>
      <c r="F2014" s="8">
        <v>-3.8086631999999998</v>
      </c>
      <c r="G2014" s="8">
        <v>-8.3821034999999995</v>
      </c>
      <c r="H2014" s="6" t="str">
        <f t="shared" si="13"/>
        <v>Direct</v>
      </c>
      <c r="I2014" s="6" t="s">
        <v>3624</v>
      </c>
      <c r="J2014" s="8" t="s">
        <v>3624</v>
      </c>
    </row>
    <row r="2015" spans="1:10" x14ac:dyDescent="0.2">
      <c r="A2015" s="8" t="s">
        <v>56</v>
      </c>
      <c r="B2015" s="8" t="s">
        <v>83</v>
      </c>
      <c r="C2015" s="8" t="s">
        <v>4951</v>
      </c>
      <c r="D2015" s="8" t="s">
        <v>4952</v>
      </c>
      <c r="E2015" s="8" t="s">
        <v>4953</v>
      </c>
      <c r="F2015" s="8">
        <v>1.0783384199999999</v>
      </c>
      <c r="G2015" s="8">
        <v>3.29320857</v>
      </c>
      <c r="H2015" s="6" t="str">
        <f t="shared" si="13"/>
        <v>Direct</v>
      </c>
      <c r="I2015" s="6" t="s">
        <v>4954</v>
      </c>
      <c r="J2015" s="8" t="s">
        <v>4954</v>
      </c>
    </row>
    <row r="2016" spans="1:10" x14ac:dyDescent="0.2">
      <c r="A2016" s="8" t="s">
        <v>56</v>
      </c>
      <c r="B2016" s="8" t="s">
        <v>83</v>
      </c>
      <c r="C2016" s="8" t="s">
        <v>3633</v>
      </c>
      <c r="D2016" s="8" t="s">
        <v>3634</v>
      </c>
      <c r="E2016" s="8" t="s">
        <v>3635</v>
      </c>
      <c r="F2016" s="8">
        <v>1.4448629200000001</v>
      </c>
      <c r="G2016" s="8">
        <v>2.08417494</v>
      </c>
      <c r="H2016" s="6" t="str">
        <f t="shared" si="13"/>
        <v>Direct</v>
      </c>
      <c r="I2016" s="6" t="s">
        <v>1567</v>
      </c>
      <c r="J2016" s="8" t="s">
        <v>1567</v>
      </c>
    </row>
    <row r="2017" spans="1:10" x14ac:dyDescent="0.2">
      <c r="A2017" s="8" t="s">
        <v>56</v>
      </c>
      <c r="B2017" s="8" t="s">
        <v>83</v>
      </c>
      <c r="C2017" s="8" t="s">
        <v>4430</v>
      </c>
      <c r="D2017" s="8" t="s">
        <v>4431</v>
      </c>
      <c r="E2017" s="8" t="s">
        <v>4432</v>
      </c>
      <c r="F2017" s="8">
        <v>-3.0949168</v>
      </c>
      <c r="G2017" s="8">
        <v>-1.4191946</v>
      </c>
      <c r="H2017" s="6" t="str">
        <f t="shared" si="13"/>
        <v>Direct</v>
      </c>
      <c r="I2017" s="6" t="s">
        <v>4433</v>
      </c>
      <c r="J2017" s="8" t="s">
        <v>4433</v>
      </c>
    </row>
    <row r="2018" spans="1:10" x14ac:dyDescent="0.2">
      <c r="A2018" s="8" t="s">
        <v>56</v>
      </c>
      <c r="B2018" s="8" t="s">
        <v>83</v>
      </c>
      <c r="C2018" s="8" t="s">
        <v>3649</v>
      </c>
      <c r="D2018" s="8" t="s">
        <v>3650</v>
      </c>
      <c r="E2018" s="8" t="s">
        <v>3651</v>
      </c>
      <c r="F2018" s="8">
        <v>-2.5218758999999999</v>
      </c>
      <c r="G2018" s="8">
        <v>1.0370995199999999</v>
      </c>
      <c r="H2018" s="6" t="str">
        <f t="shared" si="13"/>
        <v>Inverse</v>
      </c>
      <c r="I2018" s="6" t="s">
        <v>3652</v>
      </c>
      <c r="J2018" s="8" t="s">
        <v>3652</v>
      </c>
    </row>
    <row r="2019" spans="1:10" x14ac:dyDescent="0.2">
      <c r="A2019" s="8" t="s">
        <v>56</v>
      </c>
      <c r="B2019" s="8" t="s">
        <v>83</v>
      </c>
      <c r="C2019" s="8" t="s">
        <v>2312</v>
      </c>
      <c r="D2019" s="8" t="s">
        <v>2313</v>
      </c>
      <c r="E2019" s="8" t="s">
        <v>2314</v>
      </c>
      <c r="F2019" s="8">
        <v>-1.0592999999999999</v>
      </c>
      <c r="G2019" s="8">
        <v>-1.0253356</v>
      </c>
      <c r="H2019" s="6" t="str">
        <f t="shared" si="13"/>
        <v>Direct</v>
      </c>
      <c r="I2019" s="6" t="s">
        <v>2315</v>
      </c>
      <c r="J2019" s="8" t="s">
        <v>2315</v>
      </c>
    </row>
    <row r="2020" spans="1:10" x14ac:dyDescent="0.2">
      <c r="A2020" s="8" t="s">
        <v>56</v>
      </c>
      <c r="B2020" s="8" t="s">
        <v>83</v>
      </c>
      <c r="C2020" s="8" t="s">
        <v>4955</v>
      </c>
      <c r="D2020" s="8" t="s">
        <v>4956</v>
      </c>
      <c r="E2020" s="8" t="s">
        <v>4957</v>
      </c>
      <c r="F2020" s="8">
        <v>-1.1482056</v>
      </c>
      <c r="G2020" s="8">
        <v>1.4992925800000001</v>
      </c>
      <c r="H2020" s="6" t="str">
        <f t="shared" si="13"/>
        <v>Inverse</v>
      </c>
      <c r="I2020" s="6" t="s">
        <v>4958</v>
      </c>
      <c r="J2020" s="8" t="s">
        <v>4958</v>
      </c>
    </row>
    <row r="2021" spans="1:10" x14ac:dyDescent="0.2">
      <c r="A2021" s="8" t="s">
        <v>56</v>
      </c>
      <c r="B2021" s="8" t="s">
        <v>83</v>
      </c>
      <c r="C2021" s="8" t="s">
        <v>3653</v>
      </c>
      <c r="D2021" s="8" t="s">
        <v>3654</v>
      </c>
      <c r="E2021" s="8" t="s">
        <v>3655</v>
      </c>
      <c r="F2021" s="8">
        <v>-3.5701385999999999</v>
      </c>
      <c r="G2021" s="8">
        <v>2.0918183699999999</v>
      </c>
      <c r="H2021" s="6" t="str">
        <f t="shared" si="13"/>
        <v>Inverse</v>
      </c>
      <c r="I2021" s="6" t="s">
        <v>3656</v>
      </c>
      <c r="J2021" s="8" t="s">
        <v>3656</v>
      </c>
    </row>
    <row r="2022" spans="1:10" x14ac:dyDescent="0.2">
      <c r="A2022" s="8" t="s">
        <v>56</v>
      </c>
      <c r="B2022" s="8" t="s">
        <v>83</v>
      </c>
      <c r="C2022" s="8" t="s">
        <v>2320</v>
      </c>
      <c r="D2022" s="8" t="s">
        <v>2321</v>
      </c>
      <c r="E2022" s="8" t="s">
        <v>2322</v>
      </c>
      <c r="F2022" s="8">
        <v>1.5853718699999999</v>
      </c>
      <c r="G2022" s="8">
        <v>1.4786393</v>
      </c>
      <c r="H2022" s="6" t="str">
        <f t="shared" si="13"/>
        <v>Direct</v>
      </c>
      <c r="I2022" s="6" t="s">
        <v>2323</v>
      </c>
      <c r="J2022" s="8" t="s">
        <v>2323</v>
      </c>
    </row>
    <row r="2023" spans="1:10" x14ac:dyDescent="0.2">
      <c r="A2023" s="8" t="s">
        <v>56</v>
      </c>
      <c r="B2023" s="8" t="s">
        <v>83</v>
      </c>
      <c r="C2023" s="8" t="s">
        <v>3669</v>
      </c>
      <c r="D2023" s="8" t="s">
        <v>3670</v>
      </c>
      <c r="E2023" s="8" t="s">
        <v>3671</v>
      </c>
      <c r="F2023" s="8">
        <v>1.86732524</v>
      </c>
      <c r="G2023" s="8">
        <v>2.0046916399999999</v>
      </c>
      <c r="H2023" s="6" t="str">
        <f t="shared" si="13"/>
        <v>Direct</v>
      </c>
      <c r="I2023" s="6" t="s">
        <v>50</v>
      </c>
      <c r="J2023" s="8" t="s">
        <v>288</v>
      </c>
    </row>
    <row r="2024" spans="1:10" x14ac:dyDescent="0.2">
      <c r="A2024" s="8" t="s">
        <v>56</v>
      </c>
      <c r="B2024" s="8" t="s">
        <v>83</v>
      </c>
      <c r="C2024" s="8" t="s">
        <v>4959</v>
      </c>
      <c r="D2024" s="8" t="s">
        <v>4960</v>
      </c>
      <c r="E2024" s="8" t="s">
        <v>4961</v>
      </c>
      <c r="F2024" s="8">
        <v>1.0008606600000001</v>
      </c>
      <c r="G2024" s="8">
        <v>-2.3003084</v>
      </c>
      <c r="H2024" s="6" t="str">
        <f t="shared" si="13"/>
        <v>Inverse</v>
      </c>
      <c r="I2024" s="6" t="s">
        <v>116</v>
      </c>
      <c r="J2024" s="8" t="s">
        <v>116</v>
      </c>
    </row>
    <row r="2025" spans="1:10" x14ac:dyDescent="0.2">
      <c r="A2025" s="8" t="s">
        <v>56</v>
      </c>
      <c r="B2025" s="8" t="s">
        <v>83</v>
      </c>
      <c r="C2025" s="8" t="s">
        <v>3672</v>
      </c>
      <c r="D2025" s="8" t="s">
        <v>3673</v>
      </c>
      <c r="E2025" s="8" t="s">
        <v>3674</v>
      </c>
      <c r="F2025" s="8">
        <v>-1.5213497</v>
      </c>
      <c r="G2025" s="8">
        <v>-4.8699477</v>
      </c>
      <c r="H2025" s="6" t="str">
        <f t="shared" si="13"/>
        <v>Direct</v>
      </c>
      <c r="I2025" s="6" t="s">
        <v>3675</v>
      </c>
      <c r="J2025" s="8" t="s">
        <v>3675</v>
      </c>
    </row>
    <row r="2026" spans="1:10" x14ac:dyDescent="0.2">
      <c r="A2026" s="8" t="s">
        <v>56</v>
      </c>
      <c r="B2026" s="8" t="s">
        <v>83</v>
      </c>
      <c r="C2026" s="8" t="s">
        <v>4962</v>
      </c>
      <c r="D2026" s="8" t="s">
        <v>4963</v>
      </c>
      <c r="E2026" s="8" t="s">
        <v>4964</v>
      </c>
      <c r="F2026" s="8">
        <v>-1.1125989000000001</v>
      </c>
      <c r="G2026" s="8">
        <v>1.1987899799999999</v>
      </c>
      <c r="H2026" s="6" t="str">
        <f t="shared" si="13"/>
        <v>Inverse</v>
      </c>
      <c r="I2026" s="6" t="s">
        <v>4025</v>
      </c>
      <c r="J2026" s="8" t="s">
        <v>4025</v>
      </c>
    </row>
    <row r="2027" spans="1:10" x14ac:dyDescent="0.2">
      <c r="A2027" s="8" t="s">
        <v>56</v>
      </c>
      <c r="B2027" s="8" t="s">
        <v>83</v>
      </c>
      <c r="C2027" s="8" t="s">
        <v>2324</v>
      </c>
      <c r="D2027" s="8" t="s">
        <v>2325</v>
      </c>
      <c r="E2027" s="8" t="s">
        <v>2326</v>
      </c>
      <c r="F2027" s="8">
        <v>-2.4719055000000001</v>
      </c>
      <c r="G2027" s="8">
        <v>-2.7278747999999999</v>
      </c>
      <c r="H2027" s="6" t="str">
        <f t="shared" si="13"/>
        <v>Direct</v>
      </c>
      <c r="I2027" s="6" t="s">
        <v>1572</v>
      </c>
      <c r="J2027" s="8" t="s">
        <v>1572</v>
      </c>
    </row>
    <row r="2028" spans="1:10" x14ac:dyDescent="0.2">
      <c r="A2028" s="8" t="s">
        <v>56</v>
      </c>
      <c r="B2028" s="8" t="s">
        <v>83</v>
      </c>
      <c r="C2028" s="8" t="s">
        <v>1468</v>
      </c>
      <c r="D2028" s="8" t="s">
        <v>1469</v>
      </c>
      <c r="E2028" s="8" t="s">
        <v>1470</v>
      </c>
      <c r="F2028" s="8">
        <v>1.92909905</v>
      </c>
      <c r="G2028" s="8">
        <v>1.09417677</v>
      </c>
      <c r="H2028" s="6" t="str">
        <f t="shared" si="13"/>
        <v>Direct</v>
      </c>
      <c r="I2028" s="6" t="s">
        <v>1471</v>
      </c>
      <c r="J2028" s="8" t="s">
        <v>1471</v>
      </c>
    </row>
    <row r="2029" spans="1:10" x14ac:dyDescent="0.2">
      <c r="A2029" s="8" t="s">
        <v>56</v>
      </c>
      <c r="B2029" s="8" t="s">
        <v>83</v>
      </c>
      <c r="C2029" s="8" t="s">
        <v>4965</v>
      </c>
      <c r="D2029" s="8" t="s">
        <v>4966</v>
      </c>
      <c r="E2029" s="8" t="s">
        <v>4967</v>
      </c>
      <c r="F2029" s="8">
        <v>-1.5189534</v>
      </c>
      <c r="G2029" s="8">
        <v>-3.9289722999999999</v>
      </c>
      <c r="H2029" s="6" t="str">
        <f t="shared" si="13"/>
        <v>Direct</v>
      </c>
      <c r="I2029" s="6" t="s">
        <v>4968</v>
      </c>
      <c r="J2029" s="8" t="s">
        <v>4363</v>
      </c>
    </row>
    <row r="2030" spans="1:10" x14ac:dyDescent="0.2">
      <c r="A2030" s="8" t="s">
        <v>56</v>
      </c>
      <c r="B2030" s="8" t="s">
        <v>83</v>
      </c>
      <c r="C2030" s="8" t="s">
        <v>3684</v>
      </c>
      <c r="D2030" s="8" t="s">
        <v>3685</v>
      </c>
      <c r="E2030" s="8" t="s">
        <v>3686</v>
      </c>
      <c r="F2030" s="8">
        <v>-2.6858528000000002</v>
      </c>
      <c r="G2030" s="8">
        <v>-3.1674082000000001</v>
      </c>
      <c r="H2030" s="6" t="str">
        <f t="shared" si="13"/>
        <v>Direct</v>
      </c>
      <c r="I2030" s="6" t="s">
        <v>3687</v>
      </c>
      <c r="J2030" s="8" t="s">
        <v>3687</v>
      </c>
    </row>
    <row r="2031" spans="1:10" x14ac:dyDescent="0.2">
      <c r="A2031" s="8" t="s">
        <v>56</v>
      </c>
      <c r="B2031" s="8" t="s">
        <v>83</v>
      </c>
      <c r="C2031" s="8" t="s">
        <v>4969</v>
      </c>
      <c r="D2031" s="8" t="s">
        <v>4970</v>
      </c>
      <c r="E2031" s="8" t="s">
        <v>4971</v>
      </c>
      <c r="F2031" s="8">
        <v>1.17215859</v>
      </c>
      <c r="G2031" s="8">
        <v>1.1333983299999999</v>
      </c>
      <c r="H2031" s="6" t="str">
        <f t="shared" si="13"/>
        <v>Direct</v>
      </c>
      <c r="I2031" s="6" t="s">
        <v>914</v>
      </c>
      <c r="J2031" s="8" t="s">
        <v>914</v>
      </c>
    </row>
    <row r="2032" spans="1:10" x14ac:dyDescent="0.2">
      <c r="A2032" s="8" t="s">
        <v>56</v>
      </c>
      <c r="B2032" s="8" t="s">
        <v>83</v>
      </c>
      <c r="C2032" s="8" t="s">
        <v>3688</v>
      </c>
      <c r="D2032" s="8" t="s">
        <v>3689</v>
      </c>
      <c r="E2032" s="8" t="s">
        <v>3690</v>
      </c>
      <c r="F2032" s="8">
        <v>1.65354457</v>
      </c>
      <c r="G2032" s="8">
        <v>1.74441782</v>
      </c>
      <c r="H2032" s="6" t="str">
        <f t="shared" si="13"/>
        <v>Direct</v>
      </c>
      <c r="I2032" s="6" t="s">
        <v>3691</v>
      </c>
      <c r="J2032" s="8" t="s">
        <v>3691</v>
      </c>
    </row>
    <row r="2033" spans="1:10" x14ac:dyDescent="0.2">
      <c r="A2033" s="8" t="s">
        <v>56</v>
      </c>
      <c r="B2033" s="8" t="s">
        <v>83</v>
      </c>
      <c r="C2033" s="8" t="s">
        <v>2330</v>
      </c>
      <c r="D2033" s="8" t="s">
        <v>2331</v>
      </c>
      <c r="E2033" s="8" t="s">
        <v>2332</v>
      </c>
      <c r="F2033" s="8">
        <v>-6.4713674000000001</v>
      </c>
      <c r="G2033" s="8">
        <v>-4.8927307000000004</v>
      </c>
      <c r="H2033" s="6" t="str">
        <f t="shared" si="13"/>
        <v>Direct</v>
      </c>
      <c r="I2033" s="6" t="s">
        <v>2333</v>
      </c>
      <c r="J2033" s="8" t="s">
        <v>2333</v>
      </c>
    </row>
    <row r="2034" spans="1:10" x14ac:dyDescent="0.2">
      <c r="A2034" s="8" t="s">
        <v>56</v>
      </c>
      <c r="B2034" s="8" t="s">
        <v>83</v>
      </c>
      <c r="C2034" s="8" t="s">
        <v>3696</v>
      </c>
      <c r="D2034" s="8" t="s">
        <v>3697</v>
      </c>
      <c r="E2034" s="8" t="s">
        <v>3698</v>
      </c>
      <c r="F2034" s="8">
        <v>-2.1228413000000002</v>
      </c>
      <c r="G2034" s="8">
        <v>-20.672944999999999</v>
      </c>
      <c r="H2034" s="6" t="str">
        <f t="shared" si="13"/>
        <v>Direct</v>
      </c>
      <c r="I2034" s="6" t="s">
        <v>55</v>
      </c>
      <c r="J2034" s="8" t="s">
        <v>55</v>
      </c>
    </row>
    <row r="2035" spans="1:10" x14ac:dyDescent="0.2">
      <c r="A2035" s="8" t="s">
        <v>56</v>
      </c>
      <c r="B2035" s="8" t="s">
        <v>83</v>
      </c>
      <c r="C2035" s="8" t="s">
        <v>3699</v>
      </c>
      <c r="D2035" s="8" t="s">
        <v>3700</v>
      </c>
      <c r="E2035" s="8" t="s">
        <v>3701</v>
      </c>
      <c r="F2035" s="8">
        <v>-2.0879192</v>
      </c>
      <c r="G2035" s="8">
        <v>-3.3808365999999999</v>
      </c>
      <c r="H2035" s="6" t="str">
        <f t="shared" si="13"/>
        <v>Direct</v>
      </c>
      <c r="I2035" s="6" t="s">
        <v>1413</v>
      </c>
      <c r="J2035" s="8" t="s">
        <v>1413</v>
      </c>
    </row>
    <row r="2036" spans="1:10" x14ac:dyDescent="0.2">
      <c r="A2036" s="8" t="s">
        <v>56</v>
      </c>
      <c r="B2036" s="8" t="s">
        <v>83</v>
      </c>
      <c r="C2036" s="8" t="s">
        <v>3702</v>
      </c>
      <c r="D2036" s="8" t="s">
        <v>3703</v>
      </c>
      <c r="E2036" s="8" t="s">
        <v>3704</v>
      </c>
      <c r="F2036" s="8">
        <v>1.4643850899999999</v>
      </c>
      <c r="G2036" s="8">
        <v>1.4278564199999999</v>
      </c>
      <c r="H2036" s="6" t="str">
        <f t="shared" si="13"/>
        <v>Direct</v>
      </c>
      <c r="I2036" s="6" t="s">
        <v>3705</v>
      </c>
      <c r="J2036" s="8" t="s">
        <v>3705</v>
      </c>
    </row>
    <row r="2037" spans="1:10" x14ac:dyDescent="0.2">
      <c r="A2037" s="8" t="s">
        <v>56</v>
      </c>
      <c r="B2037" s="8" t="s">
        <v>83</v>
      </c>
      <c r="C2037" s="8" t="s">
        <v>2341</v>
      </c>
      <c r="D2037" s="8" t="s">
        <v>2342</v>
      </c>
      <c r="E2037" s="8" t="s">
        <v>2343</v>
      </c>
      <c r="F2037" s="8">
        <v>-16.937996999999999</v>
      </c>
      <c r="G2037" s="8">
        <v>-2.4932698000000002</v>
      </c>
      <c r="H2037" s="6" t="str">
        <f t="shared" si="13"/>
        <v>Direct</v>
      </c>
      <c r="I2037" s="6" t="s">
        <v>2344</v>
      </c>
      <c r="J2037" s="8" t="s">
        <v>2344</v>
      </c>
    </row>
    <row r="2038" spans="1:10" x14ac:dyDescent="0.2">
      <c r="A2038" s="8" t="s">
        <v>56</v>
      </c>
      <c r="B2038" s="8" t="s">
        <v>83</v>
      </c>
      <c r="C2038" s="8" t="s">
        <v>3714</v>
      </c>
      <c r="D2038" s="8" t="s">
        <v>3715</v>
      </c>
      <c r="E2038" s="8" t="s">
        <v>3716</v>
      </c>
      <c r="F2038" s="8">
        <v>-4.5451123999999998</v>
      </c>
      <c r="G2038" s="8">
        <v>-1.4240219000000001</v>
      </c>
      <c r="H2038" s="6" t="str">
        <f t="shared" si="13"/>
        <v>Direct</v>
      </c>
      <c r="I2038" s="6" t="s">
        <v>2193</v>
      </c>
      <c r="J2038" s="8" t="s">
        <v>2193</v>
      </c>
    </row>
    <row r="2039" spans="1:10" x14ac:dyDescent="0.2">
      <c r="A2039" s="8" t="s">
        <v>56</v>
      </c>
      <c r="B2039" s="8" t="s">
        <v>83</v>
      </c>
      <c r="C2039" s="8" t="s">
        <v>4972</v>
      </c>
      <c r="D2039" s="8" t="s">
        <v>4973</v>
      </c>
      <c r="E2039" s="8" t="s">
        <v>4974</v>
      </c>
      <c r="F2039" s="8">
        <v>1.1754767399999999</v>
      </c>
      <c r="G2039" s="8">
        <v>-1.9598085000000001</v>
      </c>
      <c r="H2039" s="6" t="str">
        <f t="shared" si="13"/>
        <v>Inverse</v>
      </c>
      <c r="I2039" s="6" t="s">
        <v>4975</v>
      </c>
      <c r="J2039" s="8" t="s">
        <v>4975</v>
      </c>
    </row>
    <row r="2040" spans="1:10" x14ac:dyDescent="0.2">
      <c r="A2040" s="8" t="s">
        <v>56</v>
      </c>
      <c r="B2040" s="8" t="s">
        <v>83</v>
      </c>
      <c r="C2040" s="8" t="s">
        <v>3721</v>
      </c>
      <c r="D2040" s="8" t="s">
        <v>3722</v>
      </c>
      <c r="E2040" s="8" t="s">
        <v>3723</v>
      </c>
      <c r="F2040" s="8">
        <v>-4.5642506000000003</v>
      </c>
      <c r="G2040" s="8">
        <v>-1.1707253</v>
      </c>
      <c r="H2040" s="6" t="str">
        <f t="shared" si="13"/>
        <v>Direct</v>
      </c>
      <c r="I2040" s="6" t="s">
        <v>3724</v>
      </c>
      <c r="J2040" s="8" t="s">
        <v>3724</v>
      </c>
    </row>
    <row r="2041" spans="1:10" x14ac:dyDescent="0.2">
      <c r="A2041" s="8" t="s">
        <v>56</v>
      </c>
      <c r="B2041" s="8" t="s">
        <v>83</v>
      </c>
      <c r="C2041" s="8" t="s">
        <v>3725</v>
      </c>
      <c r="D2041" s="8" t="s">
        <v>3726</v>
      </c>
      <c r="E2041" s="8" t="s">
        <v>3727</v>
      </c>
      <c r="F2041" s="8">
        <v>-1.960394</v>
      </c>
      <c r="G2041" s="8">
        <v>-15.197841</v>
      </c>
      <c r="H2041" s="6" t="str">
        <f t="shared" si="13"/>
        <v>Direct</v>
      </c>
      <c r="I2041" s="6" t="s">
        <v>116</v>
      </c>
      <c r="J2041" s="8" t="s">
        <v>116</v>
      </c>
    </row>
    <row r="2042" spans="1:10" x14ac:dyDescent="0.2">
      <c r="A2042" s="8" t="s">
        <v>56</v>
      </c>
      <c r="B2042" s="8" t="s">
        <v>83</v>
      </c>
      <c r="C2042" s="8" t="s">
        <v>2349</v>
      </c>
      <c r="D2042" s="8" t="s">
        <v>2350</v>
      </c>
      <c r="E2042" s="8" t="s">
        <v>2351</v>
      </c>
      <c r="F2042" s="8">
        <v>1.2364809999999999</v>
      </c>
      <c r="G2042" s="8">
        <v>4.1673812999999997</v>
      </c>
      <c r="H2042" s="6" t="str">
        <f t="shared" ref="H2042:H2170" si="14">IF(OR(AND(F2042&gt;0,G2042&gt;0),AND(F2042&lt;0,G2042&lt;0)),"Direct","Inverse")</f>
        <v>Direct</v>
      </c>
      <c r="I2042" s="6" t="s">
        <v>2352</v>
      </c>
      <c r="J2042" s="8" t="s">
        <v>2352</v>
      </c>
    </row>
    <row r="2043" spans="1:10" x14ac:dyDescent="0.2">
      <c r="A2043" s="8" t="s">
        <v>56</v>
      </c>
      <c r="B2043" s="8" t="s">
        <v>83</v>
      </c>
      <c r="C2043" s="8" t="s">
        <v>3728</v>
      </c>
      <c r="D2043" s="8" t="s">
        <v>3729</v>
      </c>
      <c r="E2043" s="8" t="s">
        <v>3730</v>
      </c>
      <c r="F2043" s="8">
        <v>-3.9577857000000001</v>
      </c>
      <c r="G2043" s="8">
        <v>-1.3015649</v>
      </c>
      <c r="H2043" s="6" t="str">
        <f t="shared" si="14"/>
        <v>Direct</v>
      </c>
      <c r="I2043" s="6" t="s">
        <v>3149</v>
      </c>
      <c r="J2043" s="8" t="s">
        <v>3149</v>
      </c>
    </row>
    <row r="2044" spans="1:10" x14ac:dyDescent="0.2">
      <c r="A2044" s="8" t="s">
        <v>56</v>
      </c>
      <c r="B2044" s="8" t="s">
        <v>83</v>
      </c>
      <c r="C2044" s="8" t="s">
        <v>3731</v>
      </c>
      <c r="D2044" s="8" t="s">
        <v>3732</v>
      </c>
      <c r="E2044" s="8" t="s">
        <v>3733</v>
      </c>
      <c r="F2044" s="8">
        <v>-1.5017003</v>
      </c>
      <c r="G2044" s="8">
        <v>-1.9112363000000001</v>
      </c>
      <c r="H2044" s="6" t="str">
        <f t="shared" si="14"/>
        <v>Direct</v>
      </c>
      <c r="I2044" s="6" t="s">
        <v>3734</v>
      </c>
      <c r="J2044" s="8" t="s">
        <v>3734</v>
      </c>
    </row>
    <row r="2045" spans="1:10" x14ac:dyDescent="0.2">
      <c r="A2045" s="8" t="s">
        <v>56</v>
      </c>
      <c r="B2045" s="8" t="s">
        <v>83</v>
      </c>
      <c r="C2045" s="8" t="s">
        <v>3735</v>
      </c>
      <c r="D2045" s="8" t="s">
        <v>3736</v>
      </c>
      <c r="E2045" s="8" t="s">
        <v>3737</v>
      </c>
      <c r="F2045" s="8">
        <v>2.9877141200000001</v>
      </c>
      <c r="G2045" s="8">
        <v>9.1027163400000006</v>
      </c>
      <c r="H2045" s="6" t="str">
        <f t="shared" si="14"/>
        <v>Direct</v>
      </c>
      <c r="I2045" s="6" t="s">
        <v>50</v>
      </c>
      <c r="J2045" s="8" t="s">
        <v>918</v>
      </c>
    </row>
    <row r="2046" spans="1:10" x14ac:dyDescent="0.2">
      <c r="A2046" s="8" t="s">
        <v>56</v>
      </c>
      <c r="B2046" s="8" t="s">
        <v>83</v>
      </c>
      <c r="C2046" s="8" t="s">
        <v>4976</v>
      </c>
      <c r="D2046" s="8" t="s">
        <v>4977</v>
      </c>
      <c r="E2046" s="8" t="s">
        <v>4978</v>
      </c>
      <c r="F2046" s="8">
        <v>-1.0018849000000001</v>
      </c>
      <c r="G2046" s="8">
        <v>-2.9516263</v>
      </c>
      <c r="H2046" s="6" t="str">
        <f t="shared" si="14"/>
        <v>Direct</v>
      </c>
      <c r="I2046" s="6" t="s">
        <v>50</v>
      </c>
      <c r="J2046" s="8" t="s">
        <v>50</v>
      </c>
    </row>
    <row r="2047" spans="1:10" x14ac:dyDescent="0.2">
      <c r="A2047" s="8" t="s">
        <v>56</v>
      </c>
      <c r="B2047" s="8" t="s">
        <v>83</v>
      </c>
      <c r="C2047" s="8" t="s">
        <v>4458</v>
      </c>
      <c r="D2047" s="8" t="s">
        <v>4459</v>
      </c>
      <c r="E2047" s="8" t="s">
        <v>4460</v>
      </c>
      <c r="F2047" s="8">
        <v>5.8709845300000003</v>
      </c>
      <c r="G2047" s="8">
        <v>2.0137741199999999</v>
      </c>
      <c r="H2047" s="6" t="str">
        <f t="shared" si="14"/>
        <v>Direct</v>
      </c>
      <c r="I2047" s="6" t="s">
        <v>4461</v>
      </c>
      <c r="J2047" s="8" t="s">
        <v>4462</v>
      </c>
    </row>
    <row r="2048" spans="1:10" x14ac:dyDescent="0.2">
      <c r="A2048" s="8" t="s">
        <v>56</v>
      </c>
      <c r="B2048" s="8" t="s">
        <v>83</v>
      </c>
      <c r="C2048" s="8" t="s">
        <v>2362</v>
      </c>
      <c r="D2048" s="8" t="s">
        <v>2363</v>
      </c>
      <c r="E2048" s="8" t="s">
        <v>2364</v>
      </c>
      <c r="F2048" s="8">
        <v>-12.842024</v>
      </c>
      <c r="G2048" s="8">
        <v>-6.3836693000000002</v>
      </c>
      <c r="H2048" s="6" t="str">
        <f t="shared" si="14"/>
        <v>Direct</v>
      </c>
      <c r="I2048" s="6" t="s">
        <v>2365</v>
      </c>
      <c r="J2048" s="8" t="s">
        <v>2365</v>
      </c>
    </row>
    <row r="2049" spans="1:10" x14ac:dyDescent="0.2">
      <c r="A2049" s="8" t="s">
        <v>56</v>
      </c>
      <c r="B2049" s="8" t="s">
        <v>83</v>
      </c>
      <c r="C2049" s="8" t="s">
        <v>2370</v>
      </c>
      <c r="D2049" s="8" t="s">
        <v>2371</v>
      </c>
      <c r="E2049" s="8" t="s">
        <v>2372</v>
      </c>
      <c r="F2049" s="8">
        <v>-3.2654458000000002</v>
      </c>
      <c r="G2049" s="8">
        <v>-3.5763758000000001</v>
      </c>
      <c r="H2049" s="6" t="str">
        <f t="shared" si="14"/>
        <v>Direct</v>
      </c>
      <c r="I2049" s="6" t="s">
        <v>50</v>
      </c>
      <c r="J2049" s="8" t="s">
        <v>2373</v>
      </c>
    </row>
    <row r="2050" spans="1:10" x14ac:dyDescent="0.2">
      <c r="A2050" s="8" t="s">
        <v>56</v>
      </c>
      <c r="B2050" s="8" t="s">
        <v>83</v>
      </c>
      <c r="C2050" s="8" t="s">
        <v>3743</v>
      </c>
      <c r="D2050" s="8" t="s">
        <v>3744</v>
      </c>
      <c r="E2050" s="8" t="s">
        <v>3745</v>
      </c>
      <c r="F2050" s="8">
        <v>-3.2034072</v>
      </c>
      <c r="G2050" s="8">
        <v>-2.5456479999999999</v>
      </c>
      <c r="H2050" s="6" t="str">
        <f t="shared" si="14"/>
        <v>Direct</v>
      </c>
      <c r="I2050" s="6" t="s">
        <v>3746</v>
      </c>
      <c r="J2050" s="8" t="s">
        <v>3746</v>
      </c>
    </row>
    <row r="2051" spans="1:10" x14ac:dyDescent="0.2">
      <c r="A2051" s="8" t="s">
        <v>56</v>
      </c>
      <c r="B2051" s="8" t="s">
        <v>83</v>
      </c>
      <c r="C2051" s="8" t="s">
        <v>3747</v>
      </c>
      <c r="D2051" s="8" t="s">
        <v>3748</v>
      </c>
      <c r="E2051" s="8" t="s">
        <v>3749</v>
      </c>
      <c r="F2051" s="8">
        <v>-6.6905853000000004</v>
      </c>
      <c r="G2051" s="8">
        <v>-4.0215803000000001</v>
      </c>
      <c r="H2051" s="6" t="str">
        <f t="shared" si="14"/>
        <v>Direct</v>
      </c>
      <c r="I2051" s="6" t="s">
        <v>3750</v>
      </c>
      <c r="J2051" s="8" t="s">
        <v>3750</v>
      </c>
    </row>
    <row r="2052" spans="1:10" x14ac:dyDescent="0.2">
      <c r="A2052" s="8" t="s">
        <v>56</v>
      </c>
      <c r="B2052" s="8" t="s">
        <v>83</v>
      </c>
      <c r="C2052" s="8" t="s">
        <v>3751</v>
      </c>
      <c r="D2052" s="8" t="s">
        <v>3752</v>
      </c>
      <c r="E2052" s="8" t="s">
        <v>3753</v>
      </c>
      <c r="F2052" s="8">
        <v>-1.7519131999999999</v>
      </c>
      <c r="G2052" s="8">
        <v>-5.0926476000000003</v>
      </c>
      <c r="H2052" s="6" t="str">
        <f t="shared" si="14"/>
        <v>Direct</v>
      </c>
      <c r="I2052" s="6" t="s">
        <v>3754</v>
      </c>
      <c r="J2052" s="8" t="s">
        <v>3754</v>
      </c>
    </row>
    <row r="2053" spans="1:10" x14ac:dyDescent="0.2">
      <c r="A2053" s="8" t="s">
        <v>56</v>
      </c>
      <c r="B2053" s="8" t="s">
        <v>83</v>
      </c>
      <c r="C2053" s="8" t="s">
        <v>2377</v>
      </c>
      <c r="D2053" s="8" t="s">
        <v>2378</v>
      </c>
      <c r="E2053" s="8" t="s">
        <v>2379</v>
      </c>
      <c r="F2053" s="8">
        <v>4.6768493400000004</v>
      </c>
      <c r="G2053" s="8">
        <v>-1.1958244</v>
      </c>
      <c r="H2053" s="6" t="str">
        <f t="shared" si="14"/>
        <v>Inverse</v>
      </c>
      <c r="I2053" s="6" t="s">
        <v>2380</v>
      </c>
      <c r="J2053" s="8" t="s">
        <v>2380</v>
      </c>
    </row>
    <row r="2054" spans="1:10" x14ac:dyDescent="0.2">
      <c r="A2054" s="8" t="s">
        <v>56</v>
      </c>
      <c r="B2054" s="8" t="s">
        <v>83</v>
      </c>
      <c r="C2054" s="8" t="s">
        <v>3755</v>
      </c>
      <c r="D2054" s="8" t="s">
        <v>3756</v>
      </c>
      <c r="E2054" s="8" t="s">
        <v>3757</v>
      </c>
      <c r="F2054" s="8">
        <v>-4.7264762999999999</v>
      </c>
      <c r="G2054" s="8">
        <v>-4.8234953000000003</v>
      </c>
      <c r="H2054" s="6" t="str">
        <f t="shared" si="14"/>
        <v>Direct</v>
      </c>
      <c r="I2054" s="6" t="s">
        <v>2183</v>
      </c>
      <c r="J2054" s="8" t="s">
        <v>2183</v>
      </c>
    </row>
    <row r="2055" spans="1:10" x14ac:dyDescent="0.2">
      <c r="A2055" s="8" t="s">
        <v>56</v>
      </c>
      <c r="B2055" s="8" t="s">
        <v>83</v>
      </c>
      <c r="C2055" s="8" t="s">
        <v>3763</v>
      </c>
      <c r="D2055" s="8" t="s">
        <v>3764</v>
      </c>
      <c r="E2055" s="8" t="s">
        <v>3765</v>
      </c>
      <c r="F2055" s="8">
        <v>-3.2224993999999998</v>
      </c>
      <c r="G2055" s="8">
        <v>-6.5770483000000004</v>
      </c>
      <c r="H2055" s="6" t="str">
        <f t="shared" si="14"/>
        <v>Direct</v>
      </c>
      <c r="I2055" s="6" t="s">
        <v>3766</v>
      </c>
      <c r="J2055" s="8" t="s">
        <v>3767</v>
      </c>
    </row>
    <row r="2056" spans="1:10" x14ac:dyDescent="0.2">
      <c r="A2056" s="8" t="s">
        <v>56</v>
      </c>
      <c r="B2056" s="8" t="s">
        <v>83</v>
      </c>
      <c r="C2056" s="8" t="s">
        <v>3771</v>
      </c>
      <c r="D2056" s="8" t="s">
        <v>3772</v>
      </c>
      <c r="E2056" s="8" t="s">
        <v>3773</v>
      </c>
      <c r="F2056" s="8">
        <v>-2.0859926</v>
      </c>
      <c r="G2056" s="8">
        <v>-3.0228907999999999</v>
      </c>
      <c r="H2056" s="6" t="str">
        <f t="shared" si="14"/>
        <v>Direct</v>
      </c>
      <c r="I2056" s="6" t="s">
        <v>3774</v>
      </c>
      <c r="J2056" s="8" t="s">
        <v>3774</v>
      </c>
    </row>
    <row r="2057" spans="1:10" x14ac:dyDescent="0.2">
      <c r="A2057" s="8" t="s">
        <v>56</v>
      </c>
      <c r="B2057" s="8" t="s">
        <v>83</v>
      </c>
      <c r="C2057" s="8" t="s">
        <v>2395</v>
      </c>
      <c r="D2057" s="8" t="s">
        <v>2396</v>
      </c>
      <c r="E2057" s="8" t="s">
        <v>2397</v>
      </c>
      <c r="F2057" s="8">
        <v>-1.1659161</v>
      </c>
      <c r="G2057" s="8">
        <v>-4.4190345000000004</v>
      </c>
      <c r="H2057" s="6" t="str">
        <f t="shared" si="14"/>
        <v>Direct</v>
      </c>
      <c r="I2057" s="6" t="s">
        <v>2398</v>
      </c>
      <c r="J2057" s="8" t="s">
        <v>2398</v>
      </c>
    </row>
    <row r="2058" spans="1:10" x14ac:dyDescent="0.2">
      <c r="A2058" s="8" t="s">
        <v>56</v>
      </c>
      <c r="B2058" s="8" t="s">
        <v>83</v>
      </c>
      <c r="C2058" s="8" t="s">
        <v>3779</v>
      </c>
      <c r="D2058" s="8" t="s">
        <v>3780</v>
      </c>
      <c r="E2058" s="8" t="s">
        <v>3781</v>
      </c>
      <c r="F2058" s="8">
        <v>-2.0754698999999999</v>
      </c>
      <c r="G2058" s="8">
        <v>-1.9796305999999999</v>
      </c>
      <c r="H2058" s="6" t="str">
        <f t="shared" si="14"/>
        <v>Direct</v>
      </c>
      <c r="I2058" s="6" t="s">
        <v>3782</v>
      </c>
      <c r="J2058" s="8" t="s">
        <v>3782</v>
      </c>
    </row>
    <row r="2059" spans="1:10" x14ac:dyDescent="0.2">
      <c r="A2059" s="8" t="s">
        <v>56</v>
      </c>
      <c r="B2059" s="8" t="s">
        <v>83</v>
      </c>
      <c r="C2059" s="8" t="s">
        <v>4979</v>
      </c>
      <c r="D2059" s="8" t="s">
        <v>4980</v>
      </c>
      <c r="E2059" s="8" t="s">
        <v>4981</v>
      </c>
      <c r="F2059" s="8">
        <v>6.7778596100000001</v>
      </c>
      <c r="G2059" s="8">
        <v>-1.7735455</v>
      </c>
      <c r="H2059" s="6" t="str">
        <f t="shared" si="14"/>
        <v>Inverse</v>
      </c>
      <c r="I2059" s="6" t="s">
        <v>4982</v>
      </c>
      <c r="J2059" s="8" t="s">
        <v>4983</v>
      </c>
    </row>
    <row r="2060" spans="1:10" x14ac:dyDescent="0.2">
      <c r="A2060" s="8" t="s">
        <v>56</v>
      </c>
      <c r="B2060" s="8" t="s">
        <v>83</v>
      </c>
      <c r="C2060" s="8" t="s">
        <v>4984</v>
      </c>
      <c r="D2060" s="8" t="s">
        <v>4985</v>
      </c>
      <c r="E2060" s="8" t="s">
        <v>4986</v>
      </c>
      <c r="F2060" s="8">
        <v>1.1089029100000001</v>
      </c>
      <c r="G2060" s="8">
        <v>1.9405336900000001</v>
      </c>
      <c r="H2060" s="6" t="str">
        <f t="shared" si="14"/>
        <v>Direct</v>
      </c>
      <c r="I2060" s="6" t="s">
        <v>4987</v>
      </c>
      <c r="J2060" s="8" t="s">
        <v>4987</v>
      </c>
    </row>
    <row r="2061" spans="1:10" x14ac:dyDescent="0.2">
      <c r="A2061" s="8" t="s">
        <v>56</v>
      </c>
      <c r="B2061" s="8" t="s">
        <v>83</v>
      </c>
      <c r="C2061" s="8" t="s">
        <v>4988</v>
      </c>
      <c r="D2061" s="8" t="s">
        <v>4989</v>
      </c>
      <c r="E2061" s="8" t="s">
        <v>4990</v>
      </c>
      <c r="F2061" s="8">
        <v>-1.4783592000000001</v>
      </c>
      <c r="G2061" s="8">
        <v>-1.0114498999999999</v>
      </c>
      <c r="H2061" s="6" t="str">
        <f t="shared" si="14"/>
        <v>Direct</v>
      </c>
      <c r="I2061" s="6" t="s">
        <v>4991</v>
      </c>
      <c r="J2061" s="8" t="s">
        <v>4991</v>
      </c>
    </row>
    <row r="2062" spans="1:10" x14ac:dyDescent="0.2">
      <c r="A2062" s="8" t="s">
        <v>56</v>
      </c>
      <c r="B2062" s="8" t="s">
        <v>83</v>
      </c>
      <c r="C2062" s="8" t="s">
        <v>3783</v>
      </c>
      <c r="D2062" s="8" t="s">
        <v>3784</v>
      </c>
      <c r="E2062" s="8" t="s">
        <v>3785</v>
      </c>
      <c r="F2062" s="8">
        <v>2.0077529900000002</v>
      </c>
      <c r="G2062" s="8">
        <v>-4.7966034999999998</v>
      </c>
      <c r="H2062" s="6" t="str">
        <f t="shared" si="14"/>
        <v>Inverse</v>
      </c>
      <c r="I2062" s="6" t="s">
        <v>3786</v>
      </c>
      <c r="J2062" s="8" t="s">
        <v>2131</v>
      </c>
    </row>
    <row r="2063" spans="1:10" x14ac:dyDescent="0.2">
      <c r="A2063" s="8" t="s">
        <v>56</v>
      </c>
      <c r="B2063" s="8" t="s">
        <v>83</v>
      </c>
      <c r="C2063" s="8" t="s">
        <v>3787</v>
      </c>
      <c r="D2063" s="8" t="s">
        <v>3788</v>
      </c>
      <c r="E2063" s="8" t="s">
        <v>3789</v>
      </c>
      <c r="F2063" s="8">
        <v>-2.9320165999999999</v>
      </c>
      <c r="G2063" s="8">
        <v>-3.9387622000000002</v>
      </c>
      <c r="H2063" s="6" t="str">
        <f t="shared" si="14"/>
        <v>Direct</v>
      </c>
      <c r="I2063" s="6" t="s">
        <v>3790</v>
      </c>
      <c r="J2063" s="8" t="s">
        <v>3790</v>
      </c>
    </row>
    <row r="2064" spans="1:10" x14ac:dyDescent="0.2">
      <c r="A2064" s="8" t="s">
        <v>56</v>
      </c>
      <c r="B2064" s="8" t="s">
        <v>83</v>
      </c>
      <c r="C2064" s="8" t="s">
        <v>2406</v>
      </c>
      <c r="D2064" s="8" t="s">
        <v>2407</v>
      </c>
      <c r="E2064" s="8" t="s">
        <v>2408</v>
      </c>
      <c r="F2064" s="8">
        <v>-2.1477719</v>
      </c>
      <c r="G2064" s="8">
        <v>-4.2097429000000002</v>
      </c>
      <c r="H2064" s="6" t="str">
        <f t="shared" si="14"/>
        <v>Direct</v>
      </c>
      <c r="I2064" s="6" t="s">
        <v>2409</v>
      </c>
      <c r="J2064" s="8" t="s">
        <v>2410</v>
      </c>
    </row>
    <row r="2065" spans="1:10" x14ac:dyDescent="0.2">
      <c r="A2065" s="8" t="s">
        <v>56</v>
      </c>
      <c r="B2065" s="8" t="s">
        <v>83</v>
      </c>
      <c r="C2065" s="8" t="s">
        <v>4486</v>
      </c>
      <c r="D2065" s="8" t="s">
        <v>4487</v>
      </c>
      <c r="E2065" s="8" t="s">
        <v>4488</v>
      </c>
      <c r="F2065" s="8">
        <v>-1.8520532000000001</v>
      </c>
      <c r="G2065" s="8">
        <v>-2.8807592</v>
      </c>
      <c r="H2065" s="6" t="str">
        <f t="shared" si="14"/>
        <v>Direct</v>
      </c>
      <c r="I2065" s="6" t="s">
        <v>4489</v>
      </c>
      <c r="J2065" s="8" t="s">
        <v>4489</v>
      </c>
    </row>
    <row r="2066" spans="1:10" x14ac:dyDescent="0.2">
      <c r="A2066" s="8" t="s">
        <v>56</v>
      </c>
      <c r="B2066" s="8" t="s">
        <v>83</v>
      </c>
      <c r="C2066" s="8" t="s">
        <v>4992</v>
      </c>
      <c r="D2066" s="8" t="s">
        <v>4993</v>
      </c>
      <c r="E2066" s="8" t="s">
        <v>4994</v>
      </c>
      <c r="F2066" s="8">
        <v>1.47910052</v>
      </c>
      <c r="G2066" s="8">
        <v>2.27610548</v>
      </c>
      <c r="H2066" s="6" t="str">
        <f t="shared" si="14"/>
        <v>Direct</v>
      </c>
      <c r="I2066" s="6" t="s">
        <v>4995</v>
      </c>
      <c r="J2066" s="8" t="s">
        <v>4996</v>
      </c>
    </row>
    <row r="2067" spans="1:10" x14ac:dyDescent="0.2">
      <c r="A2067" s="8" t="s">
        <v>56</v>
      </c>
      <c r="B2067" s="8" t="s">
        <v>83</v>
      </c>
      <c r="C2067" s="8" t="s">
        <v>2415</v>
      </c>
      <c r="D2067" s="8" t="s">
        <v>2416</v>
      </c>
      <c r="E2067" s="8" t="s">
        <v>2417</v>
      </c>
      <c r="F2067" s="8">
        <v>-3.9803774000000001</v>
      </c>
      <c r="G2067" s="8">
        <v>-1.5712870999999999</v>
      </c>
      <c r="H2067" s="6" t="str">
        <f t="shared" si="14"/>
        <v>Direct</v>
      </c>
      <c r="I2067" s="6" t="s">
        <v>2418</v>
      </c>
      <c r="J2067" s="8" t="s">
        <v>2419</v>
      </c>
    </row>
    <row r="2068" spans="1:10" x14ac:dyDescent="0.2">
      <c r="A2068" s="8" t="s">
        <v>56</v>
      </c>
      <c r="B2068" s="8" t="s">
        <v>83</v>
      </c>
      <c r="C2068" s="8" t="s">
        <v>3803</v>
      </c>
      <c r="D2068" s="8" t="s">
        <v>3804</v>
      </c>
      <c r="E2068" s="8" t="s">
        <v>3805</v>
      </c>
      <c r="F2068" s="8">
        <v>1.76882374</v>
      </c>
      <c r="G2068" s="8">
        <v>1.99908142</v>
      </c>
      <c r="H2068" s="6" t="str">
        <f t="shared" si="14"/>
        <v>Direct</v>
      </c>
      <c r="I2068" s="6" t="s">
        <v>3806</v>
      </c>
      <c r="J2068" s="8" t="s">
        <v>3806</v>
      </c>
    </row>
    <row r="2069" spans="1:10" x14ac:dyDescent="0.2">
      <c r="A2069" s="8" t="s">
        <v>56</v>
      </c>
      <c r="B2069" s="8" t="s">
        <v>83</v>
      </c>
      <c r="C2069" s="8" t="s">
        <v>3807</v>
      </c>
      <c r="D2069" s="8" t="s">
        <v>3808</v>
      </c>
      <c r="E2069" s="8" t="s">
        <v>3809</v>
      </c>
      <c r="F2069" s="8">
        <v>-1.2466801000000001</v>
      </c>
      <c r="G2069" s="8">
        <v>1.6302541100000001</v>
      </c>
      <c r="H2069" s="6" t="str">
        <f t="shared" si="14"/>
        <v>Inverse</v>
      </c>
      <c r="I2069" s="6" t="s">
        <v>50</v>
      </c>
      <c r="J2069" s="8" t="s">
        <v>50</v>
      </c>
    </row>
    <row r="2070" spans="1:10" x14ac:dyDescent="0.2">
      <c r="A2070" s="8" t="s">
        <v>56</v>
      </c>
      <c r="B2070" s="8" t="s">
        <v>83</v>
      </c>
      <c r="C2070" s="8" t="s">
        <v>3813</v>
      </c>
      <c r="D2070" s="8" t="s">
        <v>3814</v>
      </c>
      <c r="E2070" s="8" t="s">
        <v>3815</v>
      </c>
      <c r="F2070" s="8">
        <v>-1.3986415000000001</v>
      </c>
      <c r="G2070" s="8">
        <v>-1.1155672999999999</v>
      </c>
      <c r="H2070" s="6" t="str">
        <f t="shared" si="14"/>
        <v>Direct</v>
      </c>
      <c r="I2070" s="6" t="s">
        <v>3386</v>
      </c>
      <c r="J2070" s="8" t="s">
        <v>3386</v>
      </c>
    </row>
    <row r="2071" spans="1:10" x14ac:dyDescent="0.2">
      <c r="A2071" s="8" t="s">
        <v>56</v>
      </c>
      <c r="B2071" s="8" t="s">
        <v>83</v>
      </c>
      <c r="C2071" s="8" t="s">
        <v>2432</v>
      </c>
      <c r="D2071" s="8" t="s">
        <v>2433</v>
      </c>
      <c r="E2071" s="8" t="s">
        <v>2434</v>
      </c>
      <c r="F2071" s="8">
        <v>-7.4650981999999999</v>
      </c>
      <c r="G2071" s="8">
        <v>-8.3408852000000007</v>
      </c>
      <c r="H2071" s="6" t="str">
        <f t="shared" si="14"/>
        <v>Direct</v>
      </c>
      <c r="I2071" s="6" t="s">
        <v>2435</v>
      </c>
      <c r="J2071" s="8" t="s">
        <v>2435</v>
      </c>
    </row>
    <row r="2072" spans="1:10" x14ac:dyDescent="0.2">
      <c r="A2072" s="8" t="s">
        <v>56</v>
      </c>
      <c r="B2072" s="8" t="s">
        <v>83</v>
      </c>
      <c r="C2072" s="8" t="s">
        <v>4997</v>
      </c>
      <c r="D2072" s="8" t="s">
        <v>4998</v>
      </c>
      <c r="E2072" s="8" t="s">
        <v>4999</v>
      </c>
      <c r="F2072" s="8">
        <v>2.02203738</v>
      </c>
      <c r="G2072" s="8">
        <v>-2.1005224999999998</v>
      </c>
      <c r="H2072" s="6" t="str">
        <f t="shared" si="14"/>
        <v>Inverse</v>
      </c>
      <c r="I2072" s="6" t="s">
        <v>2836</v>
      </c>
      <c r="J2072" s="8" t="s">
        <v>2836</v>
      </c>
    </row>
    <row r="2073" spans="1:10" x14ac:dyDescent="0.2">
      <c r="A2073" s="8" t="s">
        <v>56</v>
      </c>
      <c r="B2073" s="8" t="s">
        <v>83</v>
      </c>
      <c r="C2073" s="8" t="s">
        <v>5000</v>
      </c>
      <c r="D2073" s="8" t="s">
        <v>5001</v>
      </c>
      <c r="E2073" s="8" t="s">
        <v>5002</v>
      </c>
      <c r="F2073" s="8">
        <v>-10.925374</v>
      </c>
      <c r="G2073" s="8">
        <v>1.2601769599999999</v>
      </c>
      <c r="H2073" s="6" t="str">
        <f t="shared" si="14"/>
        <v>Inverse</v>
      </c>
      <c r="I2073" s="6" t="s">
        <v>5003</v>
      </c>
      <c r="J2073" s="8" t="s">
        <v>5003</v>
      </c>
    </row>
    <row r="2074" spans="1:10" x14ac:dyDescent="0.2">
      <c r="A2074" s="8" t="s">
        <v>56</v>
      </c>
      <c r="B2074" s="8" t="s">
        <v>83</v>
      </c>
      <c r="C2074" s="8" t="s">
        <v>2436</v>
      </c>
      <c r="D2074" s="8" t="s">
        <v>2437</v>
      </c>
      <c r="E2074" s="8" t="s">
        <v>2438</v>
      </c>
      <c r="F2074" s="8">
        <v>-1.0463842999999999</v>
      </c>
      <c r="G2074" s="8">
        <v>-1.0090152999999999</v>
      </c>
      <c r="H2074" s="6" t="str">
        <f t="shared" si="14"/>
        <v>Direct</v>
      </c>
      <c r="I2074" s="6" t="s">
        <v>2439</v>
      </c>
      <c r="J2074" s="8" t="s">
        <v>2439</v>
      </c>
    </row>
    <row r="2075" spans="1:10" x14ac:dyDescent="0.2">
      <c r="A2075" s="8" t="s">
        <v>56</v>
      </c>
      <c r="B2075" s="8" t="s">
        <v>83</v>
      </c>
      <c r="C2075" s="8" t="s">
        <v>2444</v>
      </c>
      <c r="D2075" s="8" t="s">
        <v>2445</v>
      </c>
      <c r="E2075" s="8" t="s">
        <v>2446</v>
      </c>
      <c r="F2075" s="8">
        <v>-13.620983000000001</v>
      </c>
      <c r="G2075" s="8">
        <v>-1.5517996000000001</v>
      </c>
      <c r="H2075" s="6" t="str">
        <f t="shared" si="14"/>
        <v>Direct</v>
      </c>
      <c r="I2075" s="6" t="s">
        <v>2447</v>
      </c>
      <c r="J2075" s="8" t="s">
        <v>2447</v>
      </c>
    </row>
    <row r="2076" spans="1:10" x14ac:dyDescent="0.2">
      <c r="A2076" s="8" t="s">
        <v>56</v>
      </c>
      <c r="B2076" s="8" t="s">
        <v>83</v>
      </c>
      <c r="C2076" s="8" t="s">
        <v>2448</v>
      </c>
      <c r="D2076" s="8" t="s">
        <v>2449</v>
      </c>
      <c r="E2076" s="8" t="s">
        <v>2450</v>
      </c>
      <c r="F2076" s="8">
        <v>-2.7345220000000001</v>
      </c>
      <c r="G2076" s="8">
        <v>-4.3008230000000003</v>
      </c>
      <c r="H2076" s="6" t="str">
        <f t="shared" si="14"/>
        <v>Direct</v>
      </c>
      <c r="I2076" s="6" t="s">
        <v>2451</v>
      </c>
      <c r="J2076" s="8" t="s">
        <v>2452</v>
      </c>
    </row>
    <row r="2077" spans="1:10" x14ac:dyDescent="0.2">
      <c r="A2077" s="8" t="s">
        <v>56</v>
      </c>
      <c r="B2077" s="8" t="s">
        <v>83</v>
      </c>
      <c r="C2077" s="8" t="s">
        <v>3835</v>
      </c>
      <c r="D2077" s="8" t="s">
        <v>3836</v>
      </c>
      <c r="E2077" s="8" t="s">
        <v>3837</v>
      </c>
      <c r="F2077" s="8">
        <v>-4.2557074000000004</v>
      </c>
      <c r="G2077" s="8">
        <v>-2.4665029000000001</v>
      </c>
      <c r="H2077" s="6" t="str">
        <f t="shared" si="14"/>
        <v>Direct</v>
      </c>
      <c r="I2077" s="6" t="s">
        <v>3149</v>
      </c>
      <c r="J2077" s="8" t="s">
        <v>3149</v>
      </c>
    </row>
    <row r="2078" spans="1:10" x14ac:dyDescent="0.2">
      <c r="A2078" s="8" t="s">
        <v>56</v>
      </c>
      <c r="B2078" s="8" t="s">
        <v>83</v>
      </c>
      <c r="C2078" s="8" t="s">
        <v>3842</v>
      </c>
      <c r="D2078" s="8" t="s">
        <v>3843</v>
      </c>
      <c r="E2078" s="8" t="s">
        <v>3844</v>
      </c>
      <c r="F2078" s="8">
        <v>-2.4006365000000001</v>
      </c>
      <c r="G2078" s="8">
        <v>-1.3939463000000001</v>
      </c>
      <c r="H2078" s="6" t="str">
        <f t="shared" si="14"/>
        <v>Direct</v>
      </c>
      <c r="I2078" s="6" t="s">
        <v>1763</v>
      </c>
      <c r="J2078" s="8" t="s">
        <v>1763</v>
      </c>
    </row>
    <row r="2079" spans="1:10" x14ac:dyDescent="0.2">
      <c r="A2079" s="8" t="s">
        <v>56</v>
      </c>
      <c r="B2079" s="8" t="s">
        <v>83</v>
      </c>
      <c r="C2079" s="8" t="s">
        <v>5004</v>
      </c>
      <c r="D2079" s="8" t="s">
        <v>5005</v>
      </c>
      <c r="E2079" s="8" t="s">
        <v>5006</v>
      </c>
      <c r="F2079" s="8">
        <v>-1.1800473</v>
      </c>
      <c r="G2079" s="8">
        <v>-1.4501542000000001</v>
      </c>
      <c r="H2079" s="6" t="str">
        <f t="shared" si="14"/>
        <v>Direct</v>
      </c>
      <c r="I2079" s="6" t="s">
        <v>5007</v>
      </c>
      <c r="J2079" s="8" t="s">
        <v>5007</v>
      </c>
    </row>
    <row r="2080" spans="1:10" x14ac:dyDescent="0.2">
      <c r="A2080" s="8" t="s">
        <v>56</v>
      </c>
      <c r="B2080" s="8" t="s">
        <v>83</v>
      </c>
      <c r="C2080" s="8" t="s">
        <v>2457</v>
      </c>
      <c r="D2080" s="8" t="s">
        <v>2458</v>
      </c>
      <c r="E2080" s="8" t="s">
        <v>2459</v>
      </c>
      <c r="F2080" s="8">
        <v>1.9661649999999999</v>
      </c>
      <c r="G2080" s="8">
        <v>1.8851319200000001</v>
      </c>
      <c r="H2080" s="6" t="str">
        <f t="shared" si="14"/>
        <v>Direct</v>
      </c>
      <c r="I2080" s="6" t="s">
        <v>2460</v>
      </c>
      <c r="J2080" s="8" t="s">
        <v>2460</v>
      </c>
    </row>
    <row r="2081" spans="1:10" x14ac:dyDescent="0.2">
      <c r="A2081" s="8" t="s">
        <v>56</v>
      </c>
      <c r="B2081" s="8" t="s">
        <v>83</v>
      </c>
      <c r="C2081" s="8" t="s">
        <v>3845</v>
      </c>
      <c r="D2081" s="8" t="s">
        <v>3846</v>
      </c>
      <c r="E2081" s="8" t="s">
        <v>3847</v>
      </c>
      <c r="F2081" s="8">
        <v>1.3334900700000001</v>
      </c>
      <c r="G2081" s="8">
        <v>-6.0745481999999997</v>
      </c>
      <c r="H2081" s="6" t="str">
        <f t="shared" si="14"/>
        <v>Inverse</v>
      </c>
      <c r="I2081" s="6" t="s">
        <v>3848</v>
      </c>
      <c r="J2081" s="8" t="s">
        <v>3848</v>
      </c>
    </row>
    <row r="2082" spans="1:10" x14ac:dyDescent="0.2">
      <c r="A2082" s="8" t="s">
        <v>56</v>
      </c>
      <c r="B2082" s="8" t="s">
        <v>83</v>
      </c>
      <c r="C2082" s="8" t="s">
        <v>3849</v>
      </c>
      <c r="D2082" s="8" t="s">
        <v>3850</v>
      </c>
      <c r="E2082" s="8" t="s">
        <v>3851</v>
      </c>
      <c r="F2082" s="8">
        <v>-6.5547241999999999</v>
      </c>
      <c r="G2082" s="8">
        <v>-3.8245073000000001</v>
      </c>
      <c r="H2082" s="6" t="str">
        <f t="shared" si="14"/>
        <v>Direct</v>
      </c>
      <c r="I2082" s="6" t="s">
        <v>639</v>
      </c>
      <c r="J2082" s="8" t="s">
        <v>639</v>
      </c>
    </row>
    <row r="2083" spans="1:10" x14ac:dyDescent="0.2">
      <c r="A2083" s="8" t="s">
        <v>56</v>
      </c>
      <c r="B2083" s="8" t="s">
        <v>83</v>
      </c>
      <c r="C2083" s="8" t="s">
        <v>5008</v>
      </c>
      <c r="D2083" s="8" t="s">
        <v>5009</v>
      </c>
      <c r="E2083" s="8" t="s">
        <v>5010</v>
      </c>
      <c r="F2083" s="8">
        <v>-1.0429938000000001</v>
      </c>
      <c r="G2083" s="8">
        <v>-1.0027317</v>
      </c>
      <c r="H2083" s="6" t="str">
        <f t="shared" si="14"/>
        <v>Direct</v>
      </c>
      <c r="I2083" s="6" t="s">
        <v>1385</v>
      </c>
      <c r="J2083" s="8" t="s">
        <v>1385</v>
      </c>
    </row>
    <row r="2084" spans="1:10" x14ac:dyDescent="0.2">
      <c r="A2084" s="8" t="s">
        <v>56</v>
      </c>
      <c r="B2084" s="8" t="s">
        <v>83</v>
      </c>
      <c r="C2084" s="8" t="s">
        <v>3856</v>
      </c>
      <c r="D2084" s="8" t="s">
        <v>3857</v>
      </c>
      <c r="E2084" s="8" t="s">
        <v>3858</v>
      </c>
      <c r="F2084" s="8">
        <v>1.2843131999999999</v>
      </c>
      <c r="G2084" s="8">
        <v>1.3094807900000001</v>
      </c>
      <c r="H2084" s="6" t="str">
        <f t="shared" si="14"/>
        <v>Direct</v>
      </c>
      <c r="I2084" s="6" t="s">
        <v>542</v>
      </c>
      <c r="J2084" s="8" t="s">
        <v>542</v>
      </c>
    </row>
    <row r="2085" spans="1:10" x14ac:dyDescent="0.2">
      <c r="A2085" s="8" t="s">
        <v>56</v>
      </c>
      <c r="B2085" s="8" t="s">
        <v>83</v>
      </c>
      <c r="C2085" s="8" t="s">
        <v>3863</v>
      </c>
      <c r="D2085" s="8" t="s">
        <v>3864</v>
      </c>
      <c r="E2085" s="8" t="s">
        <v>3865</v>
      </c>
      <c r="F2085" s="8">
        <v>-1.8060754000000001</v>
      </c>
      <c r="G2085" s="8">
        <v>-2.5778653</v>
      </c>
      <c r="H2085" s="6" t="str">
        <f t="shared" si="14"/>
        <v>Direct</v>
      </c>
      <c r="I2085" s="6" t="s">
        <v>3866</v>
      </c>
      <c r="J2085" s="8" t="s">
        <v>3866</v>
      </c>
    </row>
    <row r="2086" spans="1:10" x14ac:dyDescent="0.2">
      <c r="A2086" s="8" t="s">
        <v>56</v>
      </c>
      <c r="B2086" s="8" t="s">
        <v>83</v>
      </c>
      <c r="C2086" s="8" t="s">
        <v>2465</v>
      </c>
      <c r="D2086" s="8" t="s">
        <v>2466</v>
      </c>
      <c r="E2086" s="8" t="s">
        <v>2467</v>
      </c>
      <c r="F2086" s="8">
        <v>-1.2817925999999999</v>
      </c>
      <c r="G2086" s="8">
        <v>-2.0517482999999999</v>
      </c>
      <c r="H2086" s="6" t="str">
        <f t="shared" si="14"/>
        <v>Direct</v>
      </c>
      <c r="I2086" s="6" t="s">
        <v>1449</v>
      </c>
      <c r="J2086" s="8" t="s">
        <v>1449</v>
      </c>
    </row>
    <row r="2087" spans="1:10" x14ac:dyDescent="0.2">
      <c r="A2087" s="8" t="s">
        <v>56</v>
      </c>
      <c r="B2087" s="8" t="s">
        <v>83</v>
      </c>
      <c r="C2087" s="8" t="s">
        <v>689</v>
      </c>
      <c r="D2087" s="8" t="s">
        <v>690</v>
      </c>
      <c r="E2087" s="8" t="s">
        <v>691</v>
      </c>
      <c r="F2087" s="8">
        <v>2.36334</v>
      </c>
      <c r="G2087" s="8">
        <v>-2.1977473000000001</v>
      </c>
      <c r="H2087" s="6" t="str">
        <f t="shared" si="14"/>
        <v>Inverse</v>
      </c>
      <c r="I2087" s="6" t="s">
        <v>692</v>
      </c>
      <c r="J2087" s="8" t="s">
        <v>692</v>
      </c>
    </row>
    <row r="2088" spans="1:10" x14ac:dyDescent="0.2">
      <c r="A2088" s="8" t="s">
        <v>56</v>
      </c>
      <c r="B2088" s="8" t="s">
        <v>83</v>
      </c>
      <c r="C2088" s="8" t="s">
        <v>3879</v>
      </c>
      <c r="D2088" s="8" t="s">
        <v>3880</v>
      </c>
      <c r="E2088" s="8" t="s">
        <v>3881</v>
      </c>
      <c r="F2088" s="8">
        <v>1.71492657</v>
      </c>
      <c r="G2088" s="8">
        <v>5.2053502399999996</v>
      </c>
      <c r="H2088" s="6" t="str">
        <f t="shared" si="14"/>
        <v>Direct</v>
      </c>
      <c r="I2088" s="6" t="s">
        <v>3882</v>
      </c>
      <c r="J2088" s="8" t="s">
        <v>3882</v>
      </c>
    </row>
    <row r="2089" spans="1:10" x14ac:dyDescent="0.2">
      <c r="A2089" s="8" t="s">
        <v>56</v>
      </c>
      <c r="B2089" s="8" t="s">
        <v>83</v>
      </c>
      <c r="C2089" s="8" t="s">
        <v>5011</v>
      </c>
      <c r="D2089" s="8" t="s">
        <v>5012</v>
      </c>
      <c r="E2089" s="8" t="s">
        <v>5013</v>
      </c>
      <c r="F2089" s="8">
        <v>-1.039023</v>
      </c>
      <c r="G2089" s="8">
        <v>-2.7205262000000001</v>
      </c>
      <c r="H2089" s="6" t="str">
        <f t="shared" si="14"/>
        <v>Direct</v>
      </c>
      <c r="I2089" s="6" t="s">
        <v>5014</v>
      </c>
      <c r="J2089" s="8" t="s">
        <v>5014</v>
      </c>
    </row>
    <row r="2090" spans="1:10" x14ac:dyDescent="0.2">
      <c r="A2090" s="8" t="s">
        <v>56</v>
      </c>
      <c r="B2090" s="8" t="s">
        <v>83</v>
      </c>
      <c r="C2090" s="8" t="s">
        <v>3890</v>
      </c>
      <c r="D2090" s="8" t="s">
        <v>3891</v>
      </c>
      <c r="E2090" s="8" t="s">
        <v>3892</v>
      </c>
      <c r="F2090" s="8">
        <v>-1.1299779000000001</v>
      </c>
      <c r="G2090" s="8">
        <v>-3.1359899000000002</v>
      </c>
      <c r="H2090" s="6" t="str">
        <f t="shared" si="14"/>
        <v>Direct</v>
      </c>
      <c r="I2090" s="6" t="s">
        <v>1621</v>
      </c>
      <c r="J2090" s="8" t="s">
        <v>1621</v>
      </c>
    </row>
    <row r="2091" spans="1:10" x14ac:dyDescent="0.2">
      <c r="A2091" s="8" t="s">
        <v>56</v>
      </c>
      <c r="B2091" s="8" t="s">
        <v>83</v>
      </c>
      <c r="C2091" s="8" t="s">
        <v>5015</v>
      </c>
      <c r="D2091" s="8" t="s">
        <v>5016</v>
      </c>
      <c r="E2091" s="8" t="s">
        <v>5017</v>
      </c>
      <c r="F2091" s="8">
        <v>3.2396948700000001</v>
      </c>
      <c r="G2091" s="8">
        <v>-1.2655000000000001</v>
      </c>
      <c r="H2091" s="6" t="str">
        <f t="shared" si="14"/>
        <v>Inverse</v>
      </c>
      <c r="I2091" s="6" t="s">
        <v>5018</v>
      </c>
      <c r="J2091" s="8" t="s">
        <v>5018</v>
      </c>
    </row>
    <row r="2092" spans="1:10" x14ac:dyDescent="0.2">
      <c r="A2092" s="8" t="s">
        <v>56</v>
      </c>
      <c r="B2092" s="8" t="s">
        <v>83</v>
      </c>
      <c r="C2092" s="8" t="s">
        <v>5019</v>
      </c>
      <c r="D2092" s="8" t="s">
        <v>5020</v>
      </c>
      <c r="E2092" s="8" t="s">
        <v>5021</v>
      </c>
      <c r="F2092" s="8">
        <v>-1.4590236000000001</v>
      </c>
      <c r="G2092" s="8">
        <v>2.07061443</v>
      </c>
      <c r="H2092" s="6" t="str">
        <f t="shared" si="14"/>
        <v>Inverse</v>
      </c>
      <c r="I2092" s="6" t="s">
        <v>5022</v>
      </c>
      <c r="J2092" s="8" t="s">
        <v>5022</v>
      </c>
    </row>
    <row r="2093" spans="1:10" x14ac:dyDescent="0.2">
      <c r="A2093" s="8" t="s">
        <v>56</v>
      </c>
      <c r="B2093" s="8" t="s">
        <v>83</v>
      </c>
      <c r="C2093" s="8" t="s">
        <v>3897</v>
      </c>
      <c r="D2093" s="8" t="s">
        <v>3898</v>
      </c>
      <c r="E2093" s="8" t="s">
        <v>3899</v>
      </c>
      <c r="F2093" s="8">
        <v>-1.2710336</v>
      </c>
      <c r="G2093" s="8">
        <v>-1.5663419999999999</v>
      </c>
      <c r="H2093" s="6" t="str">
        <f t="shared" si="14"/>
        <v>Direct</v>
      </c>
      <c r="I2093" s="6" t="s">
        <v>1039</v>
      </c>
      <c r="J2093" s="8" t="s">
        <v>1039</v>
      </c>
    </row>
    <row r="2094" spans="1:10" x14ac:dyDescent="0.2">
      <c r="A2094" s="8" t="s">
        <v>56</v>
      </c>
      <c r="B2094" s="8" t="s">
        <v>83</v>
      </c>
      <c r="C2094" s="8" t="s">
        <v>3904</v>
      </c>
      <c r="D2094" s="8" t="s">
        <v>3905</v>
      </c>
      <c r="E2094" s="8" t="s">
        <v>3906</v>
      </c>
      <c r="F2094" s="8">
        <v>-4.1415220000000001</v>
      </c>
      <c r="G2094" s="8">
        <v>2.7349705000000002</v>
      </c>
      <c r="H2094" s="6" t="str">
        <f t="shared" si="14"/>
        <v>Inverse</v>
      </c>
      <c r="I2094" s="6" t="s">
        <v>3907</v>
      </c>
      <c r="J2094" s="8" t="s">
        <v>3907</v>
      </c>
    </row>
    <row r="2095" spans="1:10" x14ac:dyDescent="0.2">
      <c r="A2095" s="8" t="s">
        <v>56</v>
      </c>
      <c r="B2095" s="8" t="s">
        <v>83</v>
      </c>
      <c r="C2095" s="8" t="s">
        <v>5023</v>
      </c>
      <c r="D2095" s="8" t="s">
        <v>5024</v>
      </c>
      <c r="E2095" s="8" t="s">
        <v>5025</v>
      </c>
      <c r="F2095" s="8">
        <v>-1.0057929999999999</v>
      </c>
      <c r="G2095" s="8">
        <v>-4.3205783000000002</v>
      </c>
      <c r="H2095" s="6" t="str">
        <f t="shared" si="14"/>
        <v>Direct</v>
      </c>
      <c r="I2095" s="6" t="s">
        <v>5026</v>
      </c>
      <c r="J2095" s="8" t="s">
        <v>5026</v>
      </c>
    </row>
    <row r="2096" spans="1:10" x14ac:dyDescent="0.2">
      <c r="A2096" s="8" t="s">
        <v>56</v>
      </c>
      <c r="B2096" s="8" t="s">
        <v>83</v>
      </c>
      <c r="C2096" s="8" t="s">
        <v>3908</v>
      </c>
      <c r="D2096" s="8" t="s">
        <v>3909</v>
      </c>
      <c r="E2096" s="8" t="s">
        <v>3910</v>
      </c>
      <c r="F2096" s="8">
        <v>-5.1559654000000004</v>
      </c>
      <c r="G2096" s="8">
        <v>-3.4410031000000001</v>
      </c>
      <c r="H2096" s="6" t="str">
        <f t="shared" si="14"/>
        <v>Direct</v>
      </c>
      <c r="I2096" s="6" t="s">
        <v>3911</v>
      </c>
      <c r="J2096" s="8" t="s">
        <v>3911</v>
      </c>
    </row>
    <row r="2097" spans="1:10" x14ac:dyDescent="0.2">
      <c r="A2097" s="8" t="s">
        <v>56</v>
      </c>
      <c r="B2097" s="8" t="s">
        <v>83</v>
      </c>
      <c r="C2097" s="8" t="s">
        <v>5027</v>
      </c>
      <c r="D2097" s="8" t="s">
        <v>5028</v>
      </c>
      <c r="E2097" s="8" t="s">
        <v>5029</v>
      </c>
      <c r="F2097" s="8">
        <v>-1.0099054000000001</v>
      </c>
      <c r="G2097" s="8">
        <v>-5.9105261999999996</v>
      </c>
      <c r="H2097" s="6" t="str">
        <f t="shared" si="14"/>
        <v>Direct</v>
      </c>
      <c r="I2097" s="6" t="s">
        <v>5030</v>
      </c>
      <c r="J2097" s="8" t="s">
        <v>5030</v>
      </c>
    </row>
    <row r="2098" spans="1:10" x14ac:dyDescent="0.2">
      <c r="A2098" s="8" t="s">
        <v>56</v>
      </c>
      <c r="B2098" s="8" t="s">
        <v>83</v>
      </c>
      <c r="C2098" s="8" t="s">
        <v>3912</v>
      </c>
      <c r="D2098" s="8" t="s">
        <v>3913</v>
      </c>
      <c r="E2098" s="8" t="s">
        <v>3914</v>
      </c>
      <c r="F2098" s="8">
        <v>1.7651801499999999</v>
      </c>
      <c r="G2098" s="8">
        <v>3.7157066599999999</v>
      </c>
      <c r="H2098" s="6" t="str">
        <f t="shared" si="14"/>
        <v>Direct</v>
      </c>
      <c r="I2098" s="6" t="s">
        <v>1854</v>
      </c>
      <c r="J2098" s="8" t="s">
        <v>1854</v>
      </c>
    </row>
    <row r="2099" spans="1:10" x14ac:dyDescent="0.2">
      <c r="A2099" s="8" t="s">
        <v>56</v>
      </c>
      <c r="B2099" s="8" t="s">
        <v>83</v>
      </c>
      <c r="C2099" s="8" t="s">
        <v>3915</v>
      </c>
      <c r="D2099" s="8" t="s">
        <v>3916</v>
      </c>
      <c r="E2099" s="8" t="s">
        <v>3917</v>
      </c>
      <c r="F2099" s="8">
        <v>-4.4413960000000001</v>
      </c>
      <c r="G2099" s="8">
        <v>-3.0122431999999999</v>
      </c>
      <c r="H2099" s="6" t="str">
        <f t="shared" si="14"/>
        <v>Direct</v>
      </c>
      <c r="I2099" s="6" t="s">
        <v>3149</v>
      </c>
      <c r="J2099" s="8" t="s">
        <v>3149</v>
      </c>
    </row>
    <row r="2100" spans="1:10" x14ac:dyDescent="0.2">
      <c r="A2100" s="8" t="s">
        <v>56</v>
      </c>
      <c r="B2100" s="8" t="s">
        <v>83</v>
      </c>
      <c r="C2100" s="8" t="s">
        <v>5031</v>
      </c>
      <c r="D2100" s="8" t="s">
        <v>5032</v>
      </c>
      <c r="E2100" s="8" t="s">
        <v>5033</v>
      </c>
      <c r="F2100" s="8">
        <v>-1.7593217000000001</v>
      </c>
      <c r="G2100" s="8">
        <v>1.7584005899999999</v>
      </c>
      <c r="H2100" s="6" t="str">
        <f t="shared" si="14"/>
        <v>Inverse</v>
      </c>
      <c r="I2100" s="6" t="s">
        <v>5034</v>
      </c>
      <c r="J2100" s="8" t="s">
        <v>5034</v>
      </c>
    </row>
    <row r="2101" spans="1:10" x14ac:dyDescent="0.2">
      <c r="A2101" s="8" t="s">
        <v>56</v>
      </c>
      <c r="B2101" s="8" t="s">
        <v>83</v>
      </c>
      <c r="C2101" s="8" t="s">
        <v>3921</v>
      </c>
      <c r="D2101" s="8" t="s">
        <v>3922</v>
      </c>
      <c r="E2101" s="8" t="s">
        <v>3923</v>
      </c>
      <c r="F2101" s="8">
        <v>1.3333440999999999</v>
      </c>
      <c r="G2101" s="8">
        <v>-2.9525193000000001</v>
      </c>
      <c r="H2101" s="6" t="str">
        <f t="shared" si="14"/>
        <v>Inverse</v>
      </c>
      <c r="I2101" s="6" t="s">
        <v>116</v>
      </c>
      <c r="J2101" s="8" t="s">
        <v>3924</v>
      </c>
    </row>
    <row r="2102" spans="1:10" x14ac:dyDescent="0.2">
      <c r="A2102" s="8" t="s">
        <v>56</v>
      </c>
      <c r="B2102" s="8" t="s">
        <v>83</v>
      </c>
      <c r="C2102" s="8" t="s">
        <v>3929</v>
      </c>
      <c r="D2102" s="8" t="s">
        <v>3930</v>
      </c>
      <c r="E2102" s="8" t="s">
        <v>3931</v>
      </c>
      <c r="F2102" s="8">
        <v>-3.9290370000000001</v>
      </c>
      <c r="G2102" s="8">
        <v>-1.0253753999999999</v>
      </c>
      <c r="H2102" s="6" t="str">
        <f t="shared" si="14"/>
        <v>Direct</v>
      </c>
      <c r="I2102" s="6" t="s">
        <v>2183</v>
      </c>
      <c r="J2102" s="8" t="s">
        <v>2183</v>
      </c>
    </row>
    <row r="2103" spans="1:10" x14ac:dyDescent="0.2">
      <c r="A2103" s="8" t="s">
        <v>56</v>
      </c>
      <c r="B2103" s="8" t="s">
        <v>83</v>
      </c>
      <c r="C2103" s="8" t="s">
        <v>2480</v>
      </c>
      <c r="D2103" s="8" t="s">
        <v>2481</v>
      </c>
      <c r="E2103" s="8" t="s">
        <v>2482</v>
      </c>
      <c r="F2103" s="8">
        <v>-2.5077205999999999</v>
      </c>
      <c r="G2103" s="8">
        <v>-2.3930631999999998</v>
      </c>
      <c r="H2103" s="6" t="str">
        <f t="shared" si="14"/>
        <v>Direct</v>
      </c>
      <c r="I2103" s="6" t="s">
        <v>2483</v>
      </c>
      <c r="J2103" s="8" t="s">
        <v>2483</v>
      </c>
    </row>
    <row r="2104" spans="1:10" x14ac:dyDescent="0.2">
      <c r="A2104" s="8" t="s">
        <v>56</v>
      </c>
      <c r="B2104" s="8" t="s">
        <v>83</v>
      </c>
      <c r="C2104" s="8" t="s">
        <v>3936</v>
      </c>
      <c r="D2104" s="8" t="s">
        <v>3937</v>
      </c>
      <c r="E2104" s="8" t="s">
        <v>3938</v>
      </c>
      <c r="F2104" s="8">
        <v>-2.5776319000000001</v>
      </c>
      <c r="G2104" s="8">
        <v>-1.2363987000000001</v>
      </c>
      <c r="H2104" s="6" t="str">
        <f t="shared" si="14"/>
        <v>Direct</v>
      </c>
      <c r="I2104" s="6" t="s">
        <v>3939</v>
      </c>
      <c r="J2104" s="8" t="s">
        <v>3939</v>
      </c>
    </row>
    <row r="2105" spans="1:10" x14ac:dyDescent="0.2">
      <c r="A2105" s="8" t="s">
        <v>56</v>
      </c>
      <c r="B2105" s="8" t="s">
        <v>83</v>
      </c>
      <c r="C2105" s="8" t="s">
        <v>5035</v>
      </c>
      <c r="D2105" s="8" t="s">
        <v>5036</v>
      </c>
      <c r="E2105" s="8" t="s">
        <v>5037</v>
      </c>
      <c r="F2105" s="8">
        <v>-2.5824791</v>
      </c>
      <c r="G2105" s="8">
        <v>1.33687785</v>
      </c>
      <c r="H2105" s="6" t="str">
        <f t="shared" si="14"/>
        <v>Inverse</v>
      </c>
      <c r="I2105" s="6" t="s">
        <v>5038</v>
      </c>
      <c r="J2105" s="8" t="s">
        <v>5038</v>
      </c>
    </row>
    <row r="2106" spans="1:10" x14ac:dyDescent="0.2">
      <c r="A2106" s="8" t="s">
        <v>56</v>
      </c>
      <c r="B2106" s="8" t="s">
        <v>83</v>
      </c>
      <c r="C2106" s="8" t="s">
        <v>3943</v>
      </c>
      <c r="D2106" s="8" t="s">
        <v>3944</v>
      </c>
      <c r="E2106" s="8" t="s">
        <v>3945</v>
      </c>
      <c r="F2106" s="8">
        <v>-2.2476623</v>
      </c>
      <c r="G2106" s="8">
        <v>1.9077637199999999</v>
      </c>
      <c r="H2106" s="6" t="str">
        <f t="shared" si="14"/>
        <v>Inverse</v>
      </c>
      <c r="I2106" s="6" t="s">
        <v>3946</v>
      </c>
      <c r="J2106" s="8" t="s">
        <v>3946</v>
      </c>
    </row>
    <row r="2107" spans="1:10" x14ac:dyDescent="0.2">
      <c r="A2107" s="8" t="s">
        <v>56</v>
      </c>
      <c r="B2107" s="8" t="s">
        <v>83</v>
      </c>
      <c r="C2107" s="8" t="s">
        <v>5039</v>
      </c>
      <c r="D2107" s="8" t="s">
        <v>5040</v>
      </c>
      <c r="E2107" s="8" t="s">
        <v>5041</v>
      </c>
      <c r="F2107" s="8">
        <v>1.42603474</v>
      </c>
      <c r="G2107" s="8">
        <v>1.4286504900000001</v>
      </c>
      <c r="H2107" s="6" t="str">
        <f t="shared" si="14"/>
        <v>Direct</v>
      </c>
      <c r="I2107" s="6" t="s">
        <v>5042</v>
      </c>
      <c r="J2107" s="8" t="s">
        <v>5042</v>
      </c>
    </row>
    <row r="2108" spans="1:10" x14ac:dyDescent="0.2">
      <c r="A2108" s="8" t="s">
        <v>56</v>
      </c>
      <c r="B2108" s="8" t="s">
        <v>83</v>
      </c>
      <c r="C2108" s="8" t="s">
        <v>1382</v>
      </c>
      <c r="D2108" s="8" t="s">
        <v>1383</v>
      </c>
      <c r="E2108" s="8" t="s">
        <v>1384</v>
      </c>
      <c r="F2108" s="8">
        <v>-1.2074077999999999</v>
      </c>
      <c r="G2108" s="8">
        <v>2.6841913599999998</v>
      </c>
      <c r="H2108" s="6" t="str">
        <f t="shared" si="14"/>
        <v>Inverse</v>
      </c>
      <c r="I2108" s="6" t="s">
        <v>50</v>
      </c>
      <c r="J2108" s="8" t="s">
        <v>1385</v>
      </c>
    </row>
    <row r="2109" spans="1:10" x14ac:dyDescent="0.2">
      <c r="A2109" s="8" t="s">
        <v>56</v>
      </c>
      <c r="B2109" s="8" t="s">
        <v>83</v>
      </c>
      <c r="C2109" s="8" t="s">
        <v>3947</v>
      </c>
      <c r="D2109" s="8" t="s">
        <v>3948</v>
      </c>
      <c r="E2109" s="8" t="s">
        <v>3949</v>
      </c>
      <c r="F2109" s="8">
        <v>1.0046689600000001</v>
      </c>
      <c r="G2109" s="8">
        <v>1.1432173000000001</v>
      </c>
      <c r="H2109" s="6" t="str">
        <f t="shared" si="14"/>
        <v>Direct</v>
      </c>
      <c r="I2109" s="6" t="s">
        <v>3950</v>
      </c>
      <c r="J2109" s="8" t="s">
        <v>3950</v>
      </c>
    </row>
    <row r="2110" spans="1:10" x14ac:dyDescent="0.2">
      <c r="A2110" s="8" t="s">
        <v>56</v>
      </c>
      <c r="B2110" s="8" t="s">
        <v>83</v>
      </c>
      <c r="C2110" s="8" t="s">
        <v>1588</v>
      </c>
      <c r="D2110" s="8" t="s">
        <v>1589</v>
      </c>
      <c r="E2110" s="8" t="s">
        <v>1590</v>
      </c>
      <c r="F2110" s="8">
        <v>-2.8383908999999998</v>
      </c>
      <c r="G2110" s="8">
        <v>1.34417429</v>
      </c>
      <c r="H2110" s="6" t="str">
        <f t="shared" si="14"/>
        <v>Inverse</v>
      </c>
      <c r="I2110" s="6" t="s">
        <v>1591</v>
      </c>
      <c r="J2110" s="8" t="s">
        <v>1592</v>
      </c>
    </row>
    <row r="2111" spans="1:10" x14ac:dyDescent="0.2">
      <c r="A2111" s="8" t="s">
        <v>56</v>
      </c>
      <c r="B2111" s="8" t="s">
        <v>83</v>
      </c>
      <c r="C2111" s="8" t="s">
        <v>3951</v>
      </c>
      <c r="D2111" s="8" t="s">
        <v>3952</v>
      </c>
      <c r="E2111" s="8" t="s">
        <v>3953</v>
      </c>
      <c r="F2111" s="8">
        <v>-1.1439343</v>
      </c>
      <c r="G2111" s="8">
        <v>-1.8044699</v>
      </c>
      <c r="H2111" s="6" t="str">
        <f t="shared" si="14"/>
        <v>Direct</v>
      </c>
      <c r="I2111" s="6" t="s">
        <v>3954</v>
      </c>
      <c r="J2111" s="8" t="s">
        <v>3954</v>
      </c>
    </row>
    <row r="2112" spans="1:10" x14ac:dyDescent="0.2">
      <c r="A2112" s="8" t="s">
        <v>56</v>
      </c>
      <c r="B2112" s="8" t="s">
        <v>83</v>
      </c>
      <c r="C2112" s="8" t="s">
        <v>5043</v>
      </c>
      <c r="D2112" s="8" t="s">
        <v>5044</v>
      </c>
      <c r="E2112" s="8" t="s">
        <v>5045</v>
      </c>
      <c r="F2112" s="8">
        <v>1.09835555</v>
      </c>
      <c r="G2112" s="8">
        <v>-2.7205262000000001</v>
      </c>
      <c r="H2112" s="6" t="str">
        <f t="shared" si="14"/>
        <v>Inverse</v>
      </c>
      <c r="I2112" s="6" t="s">
        <v>50</v>
      </c>
      <c r="J2112" s="8" t="s">
        <v>5046</v>
      </c>
    </row>
    <row r="2113" spans="1:10" x14ac:dyDescent="0.2">
      <c r="A2113" s="8" t="s">
        <v>56</v>
      </c>
      <c r="B2113" s="8" t="s">
        <v>83</v>
      </c>
      <c r="C2113" s="8" t="s">
        <v>5047</v>
      </c>
      <c r="D2113" s="8" t="s">
        <v>5048</v>
      </c>
      <c r="E2113" s="8" t="s">
        <v>5049</v>
      </c>
      <c r="F2113" s="8">
        <v>-1.1899227000000001</v>
      </c>
      <c r="G2113" s="8">
        <v>-1.6560257</v>
      </c>
      <c r="H2113" s="6" t="str">
        <f t="shared" si="14"/>
        <v>Direct</v>
      </c>
      <c r="I2113" s="6" t="s">
        <v>50</v>
      </c>
      <c r="J2113" s="8" t="s">
        <v>50</v>
      </c>
    </row>
    <row r="2114" spans="1:10" x14ac:dyDescent="0.2">
      <c r="A2114" s="8" t="s">
        <v>56</v>
      </c>
      <c r="B2114" s="8" t="s">
        <v>83</v>
      </c>
      <c r="C2114" s="8" t="s">
        <v>5050</v>
      </c>
      <c r="D2114" s="8" t="s">
        <v>5051</v>
      </c>
      <c r="E2114" s="8" t="s">
        <v>5052</v>
      </c>
      <c r="F2114" s="8">
        <v>1.0668168600000001</v>
      </c>
      <c r="G2114" s="8">
        <v>-1.0947616</v>
      </c>
      <c r="H2114" s="6" t="str">
        <f t="shared" si="14"/>
        <v>Inverse</v>
      </c>
      <c r="I2114" s="6" t="s">
        <v>1711</v>
      </c>
      <c r="J2114" s="8" t="s">
        <v>1711</v>
      </c>
    </row>
    <row r="2115" spans="1:10" x14ac:dyDescent="0.2">
      <c r="A2115" s="8" t="s">
        <v>56</v>
      </c>
      <c r="B2115" s="8" t="s">
        <v>83</v>
      </c>
      <c r="C2115" s="8" t="s">
        <v>724</v>
      </c>
      <c r="D2115" s="8" t="s">
        <v>725</v>
      </c>
      <c r="E2115" s="8" t="s">
        <v>726</v>
      </c>
      <c r="F2115" s="8">
        <v>12.687360999999999</v>
      </c>
      <c r="G2115" s="8">
        <v>3.0761819500000001</v>
      </c>
      <c r="H2115" s="6" t="str">
        <f t="shared" si="14"/>
        <v>Direct</v>
      </c>
      <c r="I2115" s="6" t="s">
        <v>727</v>
      </c>
      <c r="J2115" s="8" t="s">
        <v>727</v>
      </c>
    </row>
    <row r="2116" spans="1:10" x14ac:dyDescent="0.2">
      <c r="A2116" s="8" t="s">
        <v>56</v>
      </c>
      <c r="B2116" s="8" t="s">
        <v>83</v>
      </c>
      <c r="C2116" s="8" t="s">
        <v>3959</v>
      </c>
      <c r="D2116" s="8" t="s">
        <v>3960</v>
      </c>
      <c r="E2116" s="8" t="s">
        <v>3961</v>
      </c>
      <c r="F2116" s="8">
        <v>-3.8351128999999999</v>
      </c>
      <c r="G2116" s="8">
        <v>-1.3206815999999999</v>
      </c>
      <c r="H2116" s="6" t="str">
        <f t="shared" si="14"/>
        <v>Direct</v>
      </c>
      <c r="I2116" s="6" t="s">
        <v>3962</v>
      </c>
      <c r="J2116" s="8" t="s">
        <v>3962</v>
      </c>
    </row>
    <row r="2117" spans="1:10" x14ac:dyDescent="0.2">
      <c r="A2117" s="8" t="s">
        <v>56</v>
      </c>
      <c r="B2117" s="8" t="s">
        <v>83</v>
      </c>
      <c r="C2117" s="8" t="s">
        <v>3967</v>
      </c>
      <c r="D2117" s="8" t="s">
        <v>3968</v>
      </c>
      <c r="E2117" s="8" t="s">
        <v>3969</v>
      </c>
      <c r="F2117" s="8">
        <v>3.500534</v>
      </c>
      <c r="G2117" s="8">
        <v>2.2443490599999998</v>
      </c>
      <c r="H2117" s="6" t="str">
        <f t="shared" si="14"/>
        <v>Direct</v>
      </c>
      <c r="I2117" s="6" t="s">
        <v>3970</v>
      </c>
      <c r="J2117" s="8" t="s">
        <v>3971</v>
      </c>
    </row>
    <row r="2118" spans="1:10" x14ac:dyDescent="0.2">
      <c r="A2118" s="8" t="s">
        <v>56</v>
      </c>
      <c r="B2118" s="8" t="s">
        <v>83</v>
      </c>
      <c r="C2118" s="8" t="s">
        <v>5053</v>
      </c>
      <c r="D2118" s="8" t="s">
        <v>5054</v>
      </c>
      <c r="E2118" s="8" t="s">
        <v>5055</v>
      </c>
      <c r="F2118" s="8">
        <v>-1.5540311</v>
      </c>
      <c r="G2118" s="8">
        <v>-2.9474572999999999</v>
      </c>
      <c r="H2118" s="6" t="str">
        <f t="shared" si="14"/>
        <v>Direct</v>
      </c>
      <c r="I2118" s="6" t="s">
        <v>5056</v>
      </c>
      <c r="J2118" s="8" t="s">
        <v>5056</v>
      </c>
    </row>
    <row r="2119" spans="1:10" x14ac:dyDescent="0.2">
      <c r="A2119" s="8" t="s">
        <v>56</v>
      </c>
      <c r="B2119" s="8" t="s">
        <v>83</v>
      </c>
      <c r="C2119" s="8" t="s">
        <v>4533</v>
      </c>
      <c r="D2119" s="8" t="s">
        <v>4534</v>
      </c>
      <c r="E2119" s="8" t="s">
        <v>4535</v>
      </c>
      <c r="F2119" s="8">
        <v>-1.0347634999999999</v>
      </c>
      <c r="G2119" s="8">
        <v>-3.4229900999999998</v>
      </c>
      <c r="H2119" s="6" t="str">
        <f t="shared" si="14"/>
        <v>Direct</v>
      </c>
      <c r="I2119" s="6" t="s">
        <v>4536</v>
      </c>
      <c r="J2119" s="8" t="s">
        <v>4536</v>
      </c>
    </row>
    <row r="2120" spans="1:10" x14ac:dyDescent="0.2">
      <c r="A2120" s="8" t="s">
        <v>56</v>
      </c>
      <c r="B2120" s="8" t="s">
        <v>83</v>
      </c>
      <c r="C2120" s="8" t="s">
        <v>3976</v>
      </c>
      <c r="D2120" s="8" t="s">
        <v>3977</v>
      </c>
      <c r="E2120" s="8" t="s">
        <v>3978</v>
      </c>
      <c r="F2120" s="8">
        <v>-9.0386991000000005</v>
      </c>
      <c r="G2120" s="8">
        <v>-2.7583429000000002</v>
      </c>
      <c r="H2120" s="6" t="str">
        <f t="shared" si="14"/>
        <v>Direct</v>
      </c>
      <c r="I2120" s="6" t="s">
        <v>3979</v>
      </c>
      <c r="J2120" s="8" t="s">
        <v>3979</v>
      </c>
    </row>
    <row r="2121" spans="1:10" x14ac:dyDescent="0.2">
      <c r="A2121" s="8" t="s">
        <v>56</v>
      </c>
      <c r="B2121" s="8" t="s">
        <v>83</v>
      </c>
      <c r="C2121" s="8" t="s">
        <v>5057</v>
      </c>
      <c r="D2121" s="8" t="s">
        <v>5058</v>
      </c>
      <c r="E2121" s="8" t="s">
        <v>5059</v>
      </c>
      <c r="F2121" s="8">
        <v>2.0557470800000002</v>
      </c>
      <c r="G2121" s="8">
        <v>-1.121866</v>
      </c>
      <c r="H2121" s="6" t="str">
        <f t="shared" si="14"/>
        <v>Inverse</v>
      </c>
      <c r="I2121" s="6" t="s">
        <v>50</v>
      </c>
      <c r="J2121" s="8" t="s">
        <v>445</v>
      </c>
    </row>
    <row r="2122" spans="1:10" x14ac:dyDescent="0.2">
      <c r="A2122" s="8" t="s">
        <v>56</v>
      </c>
      <c r="B2122" s="8" t="s">
        <v>83</v>
      </c>
      <c r="C2122" s="8" t="s">
        <v>735</v>
      </c>
      <c r="D2122" s="8" t="s">
        <v>736</v>
      </c>
      <c r="E2122" s="8" t="s">
        <v>737</v>
      </c>
      <c r="F2122" s="8">
        <v>-1.7873226</v>
      </c>
      <c r="G2122" s="8">
        <v>-1.3485066999999999</v>
      </c>
      <c r="H2122" s="6" t="str">
        <f t="shared" si="14"/>
        <v>Direct</v>
      </c>
      <c r="I2122" s="6" t="s">
        <v>738</v>
      </c>
      <c r="J2122" s="8" t="s">
        <v>739</v>
      </c>
    </row>
    <row r="2123" spans="1:10" x14ac:dyDescent="0.2">
      <c r="A2123" s="8" t="s">
        <v>56</v>
      </c>
      <c r="B2123" s="8" t="s">
        <v>83</v>
      </c>
      <c r="C2123" s="8" t="s">
        <v>2514</v>
      </c>
      <c r="D2123" s="8" t="s">
        <v>2515</v>
      </c>
      <c r="E2123" s="8" t="s">
        <v>2516</v>
      </c>
      <c r="F2123" s="8">
        <v>-6.2068162999999998</v>
      </c>
      <c r="G2123" s="8">
        <v>-1.3967026</v>
      </c>
      <c r="H2123" s="6" t="str">
        <f t="shared" si="14"/>
        <v>Direct</v>
      </c>
      <c r="I2123" s="6" t="s">
        <v>2517</v>
      </c>
      <c r="J2123" s="8" t="s">
        <v>2517</v>
      </c>
    </row>
    <row r="2124" spans="1:10" x14ac:dyDescent="0.2">
      <c r="A2124" s="8" t="s">
        <v>56</v>
      </c>
      <c r="B2124" s="8" t="s">
        <v>83</v>
      </c>
      <c r="C2124" s="8" t="s">
        <v>3983</v>
      </c>
      <c r="D2124" s="8" t="s">
        <v>3984</v>
      </c>
      <c r="E2124" s="8" t="s">
        <v>3985</v>
      </c>
      <c r="F2124" s="8">
        <v>-2.0957911999999999</v>
      </c>
      <c r="G2124" s="8">
        <v>1.7457583400000001</v>
      </c>
      <c r="H2124" s="6" t="str">
        <f t="shared" si="14"/>
        <v>Inverse</v>
      </c>
      <c r="I2124" s="6" t="s">
        <v>3986</v>
      </c>
      <c r="J2124" s="8" t="s">
        <v>3986</v>
      </c>
    </row>
    <row r="2125" spans="1:10" x14ac:dyDescent="0.2">
      <c r="A2125" s="8" t="s">
        <v>56</v>
      </c>
      <c r="B2125" s="8" t="s">
        <v>83</v>
      </c>
      <c r="C2125" s="8" t="s">
        <v>3987</v>
      </c>
      <c r="D2125" s="8" t="s">
        <v>3988</v>
      </c>
      <c r="E2125" s="8" t="s">
        <v>3989</v>
      </c>
      <c r="F2125" s="8">
        <v>-3.6873806</v>
      </c>
      <c r="G2125" s="8">
        <v>-1.8782000000000001</v>
      </c>
      <c r="H2125" s="6" t="str">
        <f t="shared" si="14"/>
        <v>Direct</v>
      </c>
      <c r="I2125" s="6" t="s">
        <v>3990</v>
      </c>
      <c r="J2125" s="8" t="s">
        <v>3990</v>
      </c>
    </row>
    <row r="2126" spans="1:10" x14ac:dyDescent="0.2">
      <c r="A2126" s="8" t="s">
        <v>56</v>
      </c>
      <c r="B2126" s="8" t="s">
        <v>83</v>
      </c>
      <c r="C2126" s="8" t="s">
        <v>2518</v>
      </c>
      <c r="D2126" s="8" t="s">
        <v>2519</v>
      </c>
      <c r="E2126" s="8" t="s">
        <v>2520</v>
      </c>
      <c r="F2126" s="8">
        <v>-1.3587555</v>
      </c>
      <c r="G2126" s="8">
        <v>-1.4736467</v>
      </c>
      <c r="H2126" s="6" t="str">
        <f t="shared" si="14"/>
        <v>Direct</v>
      </c>
      <c r="I2126" s="6" t="s">
        <v>2521</v>
      </c>
      <c r="J2126" s="8" t="s">
        <v>2521</v>
      </c>
    </row>
    <row r="2127" spans="1:10" x14ac:dyDescent="0.2">
      <c r="A2127" s="8" t="s">
        <v>56</v>
      </c>
      <c r="B2127" s="8" t="s">
        <v>83</v>
      </c>
      <c r="C2127" s="8" t="s">
        <v>3991</v>
      </c>
      <c r="D2127" s="8" t="s">
        <v>3992</v>
      </c>
      <c r="E2127" s="8" t="s">
        <v>3993</v>
      </c>
      <c r="F2127" s="8">
        <v>-2.2030832</v>
      </c>
      <c r="G2127" s="8">
        <v>-5.783067</v>
      </c>
      <c r="H2127" s="6" t="str">
        <f t="shared" si="14"/>
        <v>Direct</v>
      </c>
      <c r="I2127" s="6" t="s">
        <v>3994</v>
      </c>
      <c r="J2127" s="8" t="s">
        <v>3994</v>
      </c>
    </row>
    <row r="2128" spans="1:10" x14ac:dyDescent="0.2">
      <c r="A2128" s="8" t="s">
        <v>56</v>
      </c>
      <c r="B2128" s="8" t="s">
        <v>83</v>
      </c>
      <c r="C2128" s="8" t="s">
        <v>5060</v>
      </c>
      <c r="D2128" s="8" t="s">
        <v>5061</v>
      </c>
      <c r="E2128" s="8" t="s">
        <v>5062</v>
      </c>
      <c r="F2128" s="8">
        <v>-1.2738406</v>
      </c>
      <c r="G2128" s="8">
        <v>-1.7184162999999999</v>
      </c>
      <c r="H2128" s="6" t="str">
        <f t="shared" si="14"/>
        <v>Direct</v>
      </c>
      <c r="I2128" s="6" t="s">
        <v>5063</v>
      </c>
      <c r="J2128" s="8" t="s">
        <v>5063</v>
      </c>
    </row>
    <row r="2129" spans="1:10" x14ac:dyDescent="0.2">
      <c r="A2129" s="8" t="s">
        <v>56</v>
      </c>
      <c r="B2129" s="8" t="s">
        <v>83</v>
      </c>
      <c r="C2129" s="8" t="s">
        <v>3995</v>
      </c>
      <c r="D2129" s="8" t="s">
        <v>3996</v>
      </c>
      <c r="E2129" s="8" t="s">
        <v>3997</v>
      </c>
      <c r="F2129" s="8">
        <v>1.0790227400000001</v>
      </c>
      <c r="G2129" s="8">
        <v>6.42395914</v>
      </c>
      <c r="H2129" s="6" t="str">
        <f t="shared" si="14"/>
        <v>Direct</v>
      </c>
      <c r="I2129" s="6" t="s">
        <v>3998</v>
      </c>
      <c r="J2129" s="8" t="s">
        <v>3998</v>
      </c>
    </row>
    <row r="2130" spans="1:10" x14ac:dyDescent="0.2">
      <c r="A2130" s="8" t="s">
        <v>56</v>
      </c>
      <c r="B2130" s="8" t="s">
        <v>83</v>
      </c>
      <c r="C2130" s="8" t="s">
        <v>4541</v>
      </c>
      <c r="D2130" s="8" t="s">
        <v>4542</v>
      </c>
      <c r="E2130" s="8" t="s">
        <v>4543</v>
      </c>
      <c r="F2130" s="8">
        <v>-1.8134631000000001</v>
      </c>
      <c r="G2130" s="8">
        <v>-1.0798711999999999</v>
      </c>
      <c r="H2130" s="6" t="str">
        <f t="shared" si="14"/>
        <v>Direct</v>
      </c>
      <c r="I2130" s="6" t="s">
        <v>4544</v>
      </c>
      <c r="J2130" s="8" t="s">
        <v>4544</v>
      </c>
    </row>
    <row r="2131" spans="1:10" x14ac:dyDescent="0.2">
      <c r="A2131" s="8" t="s">
        <v>56</v>
      </c>
      <c r="B2131" s="8" t="s">
        <v>83</v>
      </c>
      <c r="C2131" s="8" t="s">
        <v>5064</v>
      </c>
      <c r="D2131" s="8" t="s">
        <v>5065</v>
      </c>
      <c r="E2131" s="8" t="s">
        <v>5066</v>
      </c>
      <c r="F2131" s="8">
        <v>-2.5355796000000002</v>
      </c>
      <c r="G2131" s="8">
        <v>-1.4667870999999999</v>
      </c>
      <c r="H2131" s="6" t="str">
        <f t="shared" si="14"/>
        <v>Direct</v>
      </c>
      <c r="I2131" s="6" t="s">
        <v>50</v>
      </c>
      <c r="J2131" s="8" t="s">
        <v>4176</v>
      </c>
    </row>
    <row r="2132" spans="1:10" x14ac:dyDescent="0.2">
      <c r="A2132" s="8" t="s">
        <v>56</v>
      </c>
      <c r="B2132" s="8" t="s">
        <v>83</v>
      </c>
      <c r="C2132" s="8" t="s">
        <v>2526</v>
      </c>
      <c r="D2132" s="8" t="s">
        <v>2527</v>
      </c>
      <c r="E2132" s="8" t="s">
        <v>2528</v>
      </c>
      <c r="F2132" s="8">
        <v>-4.5493557999999998</v>
      </c>
      <c r="G2132" s="8">
        <v>-2.3016228000000001</v>
      </c>
      <c r="H2132" s="6" t="str">
        <f t="shared" si="14"/>
        <v>Direct</v>
      </c>
      <c r="I2132" s="6" t="s">
        <v>2529</v>
      </c>
      <c r="J2132" s="8" t="s">
        <v>2530</v>
      </c>
    </row>
    <row r="2133" spans="1:10" x14ac:dyDescent="0.2">
      <c r="A2133" s="8" t="s">
        <v>56</v>
      </c>
      <c r="B2133" s="8" t="s">
        <v>83</v>
      </c>
      <c r="C2133" s="8" t="s">
        <v>2534</v>
      </c>
      <c r="D2133" s="8" t="s">
        <v>2535</v>
      </c>
      <c r="E2133" s="8" t="s">
        <v>2536</v>
      </c>
      <c r="F2133" s="8">
        <v>-6.6402083999999997</v>
      </c>
      <c r="G2133" s="8">
        <v>-1.5517996000000001</v>
      </c>
      <c r="H2133" s="6" t="str">
        <f t="shared" si="14"/>
        <v>Direct</v>
      </c>
      <c r="I2133" s="6" t="s">
        <v>2537</v>
      </c>
      <c r="J2133" s="8" t="s">
        <v>2537</v>
      </c>
    </row>
    <row r="2134" spans="1:10" x14ac:dyDescent="0.2">
      <c r="A2134" s="8" t="s">
        <v>56</v>
      </c>
      <c r="B2134" s="8" t="s">
        <v>83</v>
      </c>
      <c r="C2134" s="8" t="s">
        <v>2538</v>
      </c>
      <c r="D2134" s="8" t="s">
        <v>2539</v>
      </c>
      <c r="E2134" s="8" t="s">
        <v>2540</v>
      </c>
      <c r="F2134" s="8">
        <v>-1.5670345999999999</v>
      </c>
      <c r="G2134" s="8">
        <v>3.5649448800000001</v>
      </c>
      <c r="H2134" s="6" t="str">
        <f t="shared" si="14"/>
        <v>Inverse</v>
      </c>
      <c r="I2134" s="6" t="s">
        <v>2541</v>
      </c>
      <c r="J2134" s="8" t="s">
        <v>2541</v>
      </c>
    </row>
    <row r="2135" spans="1:10" x14ac:dyDescent="0.2">
      <c r="A2135" s="8" t="s">
        <v>56</v>
      </c>
      <c r="B2135" s="8" t="s">
        <v>83</v>
      </c>
      <c r="C2135" s="8" t="s">
        <v>1485</v>
      </c>
      <c r="D2135" s="8" t="s">
        <v>1486</v>
      </c>
      <c r="E2135" s="8" t="s">
        <v>1487</v>
      </c>
      <c r="F2135" s="8">
        <v>-1.6646491000000001</v>
      </c>
      <c r="G2135" s="8">
        <v>-2.1665139999999998</v>
      </c>
      <c r="H2135" s="6" t="str">
        <f t="shared" si="14"/>
        <v>Direct</v>
      </c>
      <c r="I2135" s="6" t="s">
        <v>50</v>
      </c>
      <c r="J2135" s="8" t="s">
        <v>1488</v>
      </c>
    </row>
    <row r="2136" spans="1:10" x14ac:dyDescent="0.2">
      <c r="A2136" s="8" t="s">
        <v>56</v>
      </c>
      <c r="B2136" s="8" t="s">
        <v>83</v>
      </c>
      <c r="C2136" s="8" t="s">
        <v>4548</v>
      </c>
      <c r="D2136" s="8" t="s">
        <v>4549</v>
      </c>
      <c r="E2136" s="8" t="s">
        <v>4550</v>
      </c>
      <c r="F2136" s="8">
        <v>-1.6051622999999999</v>
      </c>
      <c r="G2136" s="8">
        <v>-9.2385993000000006</v>
      </c>
      <c r="H2136" s="6" t="str">
        <f t="shared" si="14"/>
        <v>Direct</v>
      </c>
      <c r="I2136" s="6" t="s">
        <v>4551</v>
      </c>
      <c r="J2136" s="8" t="s">
        <v>4551</v>
      </c>
    </row>
    <row r="2137" spans="1:10" x14ac:dyDescent="0.2">
      <c r="A2137" s="8" t="s">
        <v>56</v>
      </c>
      <c r="B2137" s="8" t="s">
        <v>83</v>
      </c>
      <c r="C2137" s="8" t="s">
        <v>2546</v>
      </c>
      <c r="D2137" s="8" t="s">
        <v>2547</v>
      </c>
      <c r="E2137" s="8" t="s">
        <v>2548</v>
      </c>
      <c r="F2137" s="8">
        <v>-6.7036851000000004</v>
      </c>
      <c r="G2137" s="8">
        <v>-1.5957835</v>
      </c>
      <c r="H2137" s="6" t="str">
        <f t="shared" si="14"/>
        <v>Direct</v>
      </c>
      <c r="I2137" s="6" t="s">
        <v>2549</v>
      </c>
      <c r="J2137" s="8" t="s">
        <v>2549</v>
      </c>
    </row>
    <row r="2138" spans="1:10" x14ac:dyDescent="0.2">
      <c r="A2138" s="8" t="s">
        <v>56</v>
      </c>
      <c r="B2138" s="8" t="s">
        <v>83</v>
      </c>
      <c r="C2138" s="8" t="s">
        <v>4011</v>
      </c>
      <c r="D2138" s="8" t="s">
        <v>4012</v>
      </c>
      <c r="E2138" s="8" t="s">
        <v>4013</v>
      </c>
      <c r="F2138" s="8">
        <v>1.10435003</v>
      </c>
      <c r="G2138" s="8">
        <v>3.3110008899999999</v>
      </c>
      <c r="H2138" s="6" t="str">
        <f t="shared" si="14"/>
        <v>Direct</v>
      </c>
      <c r="I2138" s="6" t="s">
        <v>4014</v>
      </c>
      <c r="J2138" s="8" t="s">
        <v>4014</v>
      </c>
    </row>
    <row r="2139" spans="1:10" x14ac:dyDescent="0.2">
      <c r="A2139" s="8" t="s">
        <v>56</v>
      </c>
      <c r="B2139" s="8" t="s">
        <v>83</v>
      </c>
      <c r="C2139" s="8" t="s">
        <v>4015</v>
      </c>
      <c r="D2139" s="8" t="s">
        <v>4016</v>
      </c>
      <c r="E2139" s="8" t="s">
        <v>4017</v>
      </c>
      <c r="F2139" s="8">
        <v>-1.1817266</v>
      </c>
      <c r="G2139" s="8">
        <v>-12.240216999999999</v>
      </c>
      <c r="H2139" s="6" t="str">
        <f t="shared" si="14"/>
        <v>Direct</v>
      </c>
      <c r="I2139" s="6" t="s">
        <v>87</v>
      </c>
      <c r="J2139" s="8" t="s">
        <v>87</v>
      </c>
    </row>
    <row r="2140" spans="1:10" x14ac:dyDescent="0.2">
      <c r="A2140" s="8" t="s">
        <v>56</v>
      </c>
      <c r="B2140" s="8" t="s">
        <v>83</v>
      </c>
      <c r="C2140" s="8" t="s">
        <v>5067</v>
      </c>
      <c r="D2140" s="8" t="s">
        <v>5068</v>
      </c>
      <c r="E2140" s="8" t="s">
        <v>5069</v>
      </c>
      <c r="F2140" s="8">
        <v>-1.2210559999999999</v>
      </c>
      <c r="G2140" s="8">
        <v>-2.3198438000000001</v>
      </c>
      <c r="H2140" s="6" t="str">
        <f t="shared" si="14"/>
        <v>Direct</v>
      </c>
      <c r="I2140" s="6" t="s">
        <v>5070</v>
      </c>
      <c r="J2140" s="8" t="s">
        <v>5070</v>
      </c>
    </row>
    <row r="2141" spans="1:10" x14ac:dyDescent="0.2">
      <c r="A2141" s="8" t="s">
        <v>56</v>
      </c>
      <c r="B2141" s="8" t="s">
        <v>83</v>
      </c>
      <c r="C2141" s="8" t="s">
        <v>4018</v>
      </c>
      <c r="D2141" s="8" t="s">
        <v>4019</v>
      </c>
      <c r="E2141" s="8" t="s">
        <v>4020</v>
      </c>
      <c r="F2141" s="8">
        <v>-1.5482457999999999</v>
      </c>
      <c r="G2141" s="8">
        <v>-3.3620055</v>
      </c>
      <c r="H2141" s="6" t="str">
        <f t="shared" si="14"/>
        <v>Direct</v>
      </c>
      <c r="I2141" s="6" t="s">
        <v>4021</v>
      </c>
      <c r="J2141" s="8" t="s">
        <v>4021</v>
      </c>
    </row>
    <row r="2142" spans="1:10" x14ac:dyDescent="0.2">
      <c r="A2142" s="8" t="s">
        <v>56</v>
      </c>
      <c r="B2142" s="8" t="s">
        <v>83</v>
      </c>
      <c r="C2142" s="8" t="s">
        <v>2558</v>
      </c>
      <c r="D2142" s="8" t="s">
        <v>2559</v>
      </c>
      <c r="E2142" s="8" t="s">
        <v>2560</v>
      </c>
      <c r="F2142" s="8">
        <v>-8.3259874000000007</v>
      </c>
      <c r="G2142" s="8">
        <v>-3.0764106</v>
      </c>
      <c r="H2142" s="6" t="str">
        <f t="shared" si="14"/>
        <v>Direct</v>
      </c>
      <c r="I2142" s="6" t="s">
        <v>2561</v>
      </c>
      <c r="J2142" s="8" t="s">
        <v>2561</v>
      </c>
    </row>
    <row r="2143" spans="1:10" x14ac:dyDescent="0.2">
      <c r="A2143" s="8" t="s">
        <v>56</v>
      </c>
      <c r="B2143" s="8" t="s">
        <v>83</v>
      </c>
      <c r="C2143" s="8" t="s">
        <v>2562</v>
      </c>
      <c r="D2143" s="8" t="s">
        <v>2563</v>
      </c>
      <c r="E2143" s="8" t="s">
        <v>2564</v>
      </c>
      <c r="F2143" s="8">
        <v>1.95390123</v>
      </c>
      <c r="G2143" s="8">
        <v>2.72271843</v>
      </c>
      <c r="H2143" s="6" t="str">
        <f t="shared" si="14"/>
        <v>Direct</v>
      </c>
      <c r="I2143" s="6" t="s">
        <v>2565</v>
      </c>
      <c r="J2143" s="8" t="s">
        <v>2565</v>
      </c>
    </row>
    <row r="2144" spans="1:10" x14ac:dyDescent="0.2">
      <c r="A2144" s="8" t="s">
        <v>56</v>
      </c>
      <c r="B2144" s="8" t="s">
        <v>83</v>
      </c>
      <c r="C2144" s="8" t="s">
        <v>4030</v>
      </c>
      <c r="D2144" s="8" t="s">
        <v>4031</v>
      </c>
      <c r="E2144" s="8" t="s">
        <v>4032</v>
      </c>
      <c r="F2144" s="8">
        <v>-3.0553324000000002</v>
      </c>
      <c r="G2144" s="8">
        <v>-5.9669352</v>
      </c>
      <c r="H2144" s="6" t="str">
        <f t="shared" si="14"/>
        <v>Direct</v>
      </c>
      <c r="I2144" s="6" t="s">
        <v>554</v>
      </c>
      <c r="J2144" s="8" t="s">
        <v>554</v>
      </c>
    </row>
    <row r="2145" spans="1:10" x14ac:dyDescent="0.2">
      <c r="A2145" s="8" t="s">
        <v>56</v>
      </c>
      <c r="B2145" s="8" t="s">
        <v>83</v>
      </c>
      <c r="C2145" s="8" t="s">
        <v>2570</v>
      </c>
      <c r="D2145" s="8" t="s">
        <v>2571</v>
      </c>
      <c r="E2145" s="8" t="s">
        <v>2572</v>
      </c>
      <c r="F2145" s="8">
        <v>-15.761632000000001</v>
      </c>
      <c r="G2145" s="8">
        <v>-2.8672689999999998</v>
      </c>
      <c r="H2145" s="6" t="str">
        <f t="shared" si="14"/>
        <v>Direct</v>
      </c>
      <c r="I2145" s="6" t="s">
        <v>2573</v>
      </c>
      <c r="J2145" s="8" t="s">
        <v>2573</v>
      </c>
    </row>
    <row r="2146" spans="1:10" x14ac:dyDescent="0.2">
      <c r="A2146" s="8" t="s">
        <v>56</v>
      </c>
      <c r="B2146" s="8" t="s">
        <v>83</v>
      </c>
      <c r="C2146" s="8" t="s">
        <v>4559</v>
      </c>
      <c r="D2146" s="8" t="s">
        <v>4560</v>
      </c>
      <c r="E2146" s="8" t="s">
        <v>4561</v>
      </c>
      <c r="F2146" s="8">
        <v>1.5510038399999999</v>
      </c>
      <c r="G2146" s="8">
        <v>4.3575130499999997</v>
      </c>
      <c r="H2146" s="6" t="str">
        <f t="shared" si="14"/>
        <v>Direct</v>
      </c>
      <c r="I2146" s="6" t="s">
        <v>4562</v>
      </c>
      <c r="J2146" s="8" t="s">
        <v>4562</v>
      </c>
    </row>
    <row r="2147" spans="1:10" x14ac:dyDescent="0.2">
      <c r="A2147" s="8" t="s">
        <v>56</v>
      </c>
      <c r="B2147" s="8" t="s">
        <v>83</v>
      </c>
      <c r="C2147" s="8" t="s">
        <v>4033</v>
      </c>
      <c r="D2147" s="8" t="s">
        <v>4034</v>
      </c>
      <c r="E2147" s="8" t="s">
        <v>4035</v>
      </c>
      <c r="F2147" s="8">
        <v>-2.3013674000000002</v>
      </c>
      <c r="G2147" s="8">
        <v>-2.3757290000000002</v>
      </c>
      <c r="H2147" s="6" t="str">
        <f t="shared" si="14"/>
        <v>Direct</v>
      </c>
      <c r="I2147" s="6" t="s">
        <v>4036</v>
      </c>
      <c r="J2147" s="8" t="s">
        <v>4036</v>
      </c>
    </row>
    <row r="2148" spans="1:10" x14ac:dyDescent="0.2">
      <c r="A2148" s="8" t="s">
        <v>56</v>
      </c>
      <c r="B2148" s="8" t="s">
        <v>83</v>
      </c>
      <c r="C2148" s="8" t="s">
        <v>4567</v>
      </c>
      <c r="D2148" s="8" t="s">
        <v>4568</v>
      </c>
      <c r="E2148" s="8" t="s">
        <v>4569</v>
      </c>
      <c r="F2148" s="8">
        <v>-9.7458933999999999</v>
      </c>
      <c r="G2148" s="8">
        <v>-1.0459361</v>
      </c>
      <c r="H2148" s="6" t="str">
        <f t="shared" si="14"/>
        <v>Direct</v>
      </c>
      <c r="I2148" s="6" t="s">
        <v>4570</v>
      </c>
      <c r="J2148" s="8" t="s">
        <v>4570</v>
      </c>
    </row>
    <row r="2149" spans="1:10" x14ac:dyDescent="0.2">
      <c r="A2149" s="8" t="s">
        <v>56</v>
      </c>
      <c r="B2149" s="8" t="s">
        <v>83</v>
      </c>
      <c r="C2149" s="8" t="s">
        <v>5071</v>
      </c>
      <c r="D2149" s="8" t="s">
        <v>5072</v>
      </c>
      <c r="E2149" s="8" t="s">
        <v>5073</v>
      </c>
      <c r="F2149" s="8">
        <v>-1.0295856000000001</v>
      </c>
      <c r="G2149" s="8">
        <v>-1.0668820999999999</v>
      </c>
      <c r="H2149" s="6" t="str">
        <f t="shared" si="14"/>
        <v>Direct</v>
      </c>
      <c r="I2149" s="6" t="s">
        <v>5074</v>
      </c>
      <c r="J2149" s="8" t="s">
        <v>5074</v>
      </c>
    </row>
    <row r="2150" spans="1:10" x14ac:dyDescent="0.2">
      <c r="A2150" s="8" t="s">
        <v>56</v>
      </c>
      <c r="B2150" s="8" t="s">
        <v>83</v>
      </c>
      <c r="C2150" s="8" t="s">
        <v>5075</v>
      </c>
      <c r="D2150" s="8" t="s">
        <v>5076</v>
      </c>
      <c r="E2150" s="8" t="s">
        <v>5077</v>
      </c>
      <c r="F2150" s="8">
        <v>1.5499610699999999</v>
      </c>
      <c r="G2150" s="8">
        <v>1.15230546</v>
      </c>
      <c r="H2150" s="6" t="str">
        <f t="shared" si="14"/>
        <v>Direct</v>
      </c>
      <c r="I2150" s="6" t="s">
        <v>5078</v>
      </c>
      <c r="J2150" s="8" t="s">
        <v>5078</v>
      </c>
    </row>
    <row r="2151" spans="1:10" x14ac:dyDescent="0.2">
      <c r="A2151" s="8" t="s">
        <v>56</v>
      </c>
      <c r="B2151" s="8" t="s">
        <v>83</v>
      </c>
      <c r="C2151" s="8" t="s">
        <v>4037</v>
      </c>
      <c r="D2151" s="8" t="s">
        <v>4038</v>
      </c>
      <c r="E2151" s="8" t="s">
        <v>4039</v>
      </c>
      <c r="F2151" s="8">
        <v>-3.4120441000000001</v>
      </c>
      <c r="G2151" s="8">
        <v>2.1931104499999998</v>
      </c>
      <c r="H2151" s="6" t="str">
        <f t="shared" si="14"/>
        <v>Inverse</v>
      </c>
      <c r="I2151" s="6" t="s">
        <v>4040</v>
      </c>
      <c r="J2151" s="8" t="s">
        <v>4040</v>
      </c>
    </row>
    <row r="2152" spans="1:10" x14ac:dyDescent="0.2">
      <c r="A2152" s="8" t="s">
        <v>56</v>
      </c>
      <c r="B2152" s="8" t="s">
        <v>83</v>
      </c>
      <c r="C2152" s="8" t="s">
        <v>2578</v>
      </c>
      <c r="D2152" s="8" t="s">
        <v>2579</v>
      </c>
      <c r="E2152" s="8" t="s">
        <v>2580</v>
      </c>
      <c r="F2152" s="8">
        <v>-1.4146538</v>
      </c>
      <c r="G2152" s="8">
        <v>-2.4189384999999999</v>
      </c>
      <c r="H2152" s="6" t="str">
        <f t="shared" si="14"/>
        <v>Direct</v>
      </c>
      <c r="I2152" s="6" t="s">
        <v>2581</v>
      </c>
      <c r="J2152" s="8" t="s">
        <v>2581</v>
      </c>
    </row>
    <row r="2153" spans="1:10" x14ac:dyDescent="0.2">
      <c r="A2153" s="8" t="s">
        <v>56</v>
      </c>
      <c r="B2153" s="8" t="s">
        <v>83</v>
      </c>
      <c r="C2153" s="8" t="s">
        <v>4047</v>
      </c>
      <c r="D2153" s="8" t="s">
        <v>4048</v>
      </c>
      <c r="E2153" s="8" t="s">
        <v>4049</v>
      </c>
      <c r="F2153" s="8">
        <v>-1.4150957</v>
      </c>
      <c r="G2153" s="8">
        <v>-1.8553154000000001</v>
      </c>
      <c r="H2153" s="6" t="str">
        <f t="shared" si="14"/>
        <v>Direct</v>
      </c>
      <c r="I2153" s="6" t="s">
        <v>4050</v>
      </c>
      <c r="J2153" s="8" t="s">
        <v>4051</v>
      </c>
    </row>
    <row r="2154" spans="1:10" x14ac:dyDescent="0.2">
      <c r="A2154" s="8" t="s">
        <v>56</v>
      </c>
      <c r="B2154" s="8" t="s">
        <v>83</v>
      </c>
      <c r="C2154" s="8" t="s">
        <v>5079</v>
      </c>
      <c r="D2154" s="8" t="s">
        <v>5080</v>
      </c>
      <c r="E2154" s="8" t="s">
        <v>5081</v>
      </c>
      <c r="F2154" s="8">
        <v>-1.008559</v>
      </c>
      <c r="G2154" s="8">
        <v>1.6139081099999999</v>
      </c>
      <c r="H2154" s="6" t="str">
        <f t="shared" si="14"/>
        <v>Inverse</v>
      </c>
      <c r="I2154" s="6" t="s">
        <v>5082</v>
      </c>
      <c r="J2154" s="8" t="s">
        <v>5082</v>
      </c>
    </row>
    <row r="2155" spans="1:10" x14ac:dyDescent="0.2">
      <c r="A2155" s="8" t="s">
        <v>56</v>
      </c>
      <c r="B2155" s="8" t="s">
        <v>83</v>
      </c>
      <c r="C2155" s="8" t="s">
        <v>5083</v>
      </c>
      <c r="D2155" s="8" t="s">
        <v>5084</v>
      </c>
      <c r="E2155" s="8" t="s">
        <v>5085</v>
      </c>
      <c r="F2155" s="8">
        <v>1.4866225399999999</v>
      </c>
      <c r="G2155" s="8">
        <v>1.90370146</v>
      </c>
      <c r="H2155" s="6" t="str">
        <f t="shared" si="14"/>
        <v>Direct</v>
      </c>
      <c r="I2155" s="6" t="s">
        <v>5086</v>
      </c>
      <c r="J2155" s="8" t="s">
        <v>5086</v>
      </c>
    </row>
    <row r="2156" spans="1:10" x14ac:dyDescent="0.2">
      <c r="A2156" s="8" t="s">
        <v>56</v>
      </c>
      <c r="B2156" s="8" t="s">
        <v>83</v>
      </c>
      <c r="C2156" s="8" t="s">
        <v>5087</v>
      </c>
      <c r="D2156" s="8" t="s">
        <v>5088</v>
      </c>
      <c r="E2156" s="8" t="s">
        <v>5089</v>
      </c>
      <c r="F2156" s="8">
        <v>-1.166884</v>
      </c>
      <c r="G2156" s="8">
        <v>-9.1595413000000008</v>
      </c>
      <c r="H2156" s="6" t="str">
        <f t="shared" si="14"/>
        <v>Direct</v>
      </c>
      <c r="I2156" s="6" t="s">
        <v>288</v>
      </c>
      <c r="J2156" s="8" t="s">
        <v>288</v>
      </c>
    </row>
    <row r="2157" spans="1:10" x14ac:dyDescent="0.2">
      <c r="A2157" s="8" t="s">
        <v>56</v>
      </c>
      <c r="B2157" s="8" t="s">
        <v>83</v>
      </c>
      <c r="C2157" s="8" t="s">
        <v>2586</v>
      </c>
      <c r="D2157" s="8" t="s">
        <v>2587</v>
      </c>
      <c r="E2157" s="8" t="s">
        <v>2588</v>
      </c>
      <c r="F2157" s="8">
        <v>-2.1288900000000002</v>
      </c>
      <c r="G2157" s="8">
        <v>-9.5255469999999995</v>
      </c>
      <c r="H2157" s="6" t="str">
        <f t="shared" si="14"/>
        <v>Direct</v>
      </c>
      <c r="I2157" s="6" t="s">
        <v>2589</v>
      </c>
      <c r="J2157" s="8" t="s">
        <v>2590</v>
      </c>
    </row>
    <row r="2158" spans="1:10" x14ac:dyDescent="0.2">
      <c r="A2158" s="8" t="s">
        <v>56</v>
      </c>
      <c r="B2158" s="8" t="s">
        <v>83</v>
      </c>
      <c r="C2158" s="8" t="s">
        <v>4575</v>
      </c>
      <c r="D2158" s="8" t="s">
        <v>4576</v>
      </c>
      <c r="E2158" s="8" t="s">
        <v>4577</v>
      </c>
      <c r="F2158" s="8">
        <v>-6.7329533000000001</v>
      </c>
      <c r="G2158" s="8">
        <v>-1.5295551000000001</v>
      </c>
      <c r="H2158" s="6" t="str">
        <f t="shared" si="14"/>
        <v>Direct</v>
      </c>
      <c r="I2158" s="6" t="s">
        <v>4578</v>
      </c>
      <c r="J2158" s="8" t="s">
        <v>4578</v>
      </c>
    </row>
    <row r="2159" spans="1:10" x14ac:dyDescent="0.2">
      <c r="A2159" s="8" t="s">
        <v>56</v>
      </c>
      <c r="B2159" s="8" t="s">
        <v>83</v>
      </c>
      <c r="C2159" s="8" t="s">
        <v>5090</v>
      </c>
      <c r="D2159" s="8" t="s">
        <v>5091</v>
      </c>
      <c r="E2159" s="8" t="s">
        <v>5092</v>
      </c>
      <c r="F2159" s="8">
        <v>-3.0330878999999999</v>
      </c>
      <c r="G2159" s="8">
        <v>-1.0253356</v>
      </c>
      <c r="H2159" s="6" t="str">
        <f t="shared" si="14"/>
        <v>Direct</v>
      </c>
      <c r="I2159" s="6" t="s">
        <v>5093</v>
      </c>
      <c r="J2159" s="8" t="s">
        <v>5093</v>
      </c>
    </row>
    <row r="2160" spans="1:10" x14ac:dyDescent="0.2">
      <c r="A2160" s="8" t="s">
        <v>56</v>
      </c>
      <c r="B2160" s="8" t="s">
        <v>83</v>
      </c>
      <c r="C2160" s="8" t="s">
        <v>4063</v>
      </c>
      <c r="D2160" s="8" t="s">
        <v>4064</v>
      </c>
      <c r="E2160" s="8" t="s">
        <v>4065</v>
      </c>
      <c r="F2160" s="8">
        <v>-1.5523644999999999</v>
      </c>
      <c r="G2160" s="8">
        <v>2.08417494</v>
      </c>
      <c r="H2160" s="6" t="str">
        <f t="shared" si="14"/>
        <v>Inverse</v>
      </c>
      <c r="I2160" s="6" t="s">
        <v>50</v>
      </c>
      <c r="J2160" s="8" t="s">
        <v>272</v>
      </c>
    </row>
    <row r="2161" spans="1:10" x14ac:dyDescent="0.2">
      <c r="A2161" s="8" t="s">
        <v>56</v>
      </c>
      <c r="B2161" s="8" t="s">
        <v>83</v>
      </c>
      <c r="C2161" s="8" t="s">
        <v>4066</v>
      </c>
      <c r="D2161" s="8" t="s">
        <v>4067</v>
      </c>
      <c r="E2161" s="8" t="s">
        <v>4068</v>
      </c>
      <c r="F2161" s="8">
        <v>-2.5394749000000001</v>
      </c>
      <c r="G2161" s="8">
        <v>-1.4844339</v>
      </c>
      <c r="H2161" s="6" t="str">
        <f t="shared" si="14"/>
        <v>Direct</v>
      </c>
      <c r="I2161" s="6" t="s">
        <v>4069</v>
      </c>
      <c r="J2161" s="8" t="s">
        <v>4069</v>
      </c>
    </row>
    <row r="2162" spans="1:10" x14ac:dyDescent="0.2">
      <c r="A2162" s="8" t="s">
        <v>56</v>
      </c>
      <c r="B2162" s="8" t="s">
        <v>83</v>
      </c>
      <c r="C2162" s="8" t="s">
        <v>4070</v>
      </c>
      <c r="D2162" s="8" t="s">
        <v>4071</v>
      </c>
      <c r="E2162" s="8" t="s">
        <v>4072</v>
      </c>
      <c r="F2162" s="8">
        <v>-1.2787183</v>
      </c>
      <c r="G2162" s="8">
        <v>-1.9418901</v>
      </c>
      <c r="H2162" s="6" t="str">
        <f t="shared" si="14"/>
        <v>Direct</v>
      </c>
      <c r="I2162" s="6" t="s">
        <v>4073</v>
      </c>
      <c r="J2162" s="8" t="s">
        <v>4073</v>
      </c>
    </row>
    <row r="2163" spans="1:10" x14ac:dyDescent="0.2">
      <c r="A2163" s="8" t="s">
        <v>56</v>
      </c>
      <c r="B2163" s="8" t="s">
        <v>83</v>
      </c>
      <c r="C2163" s="8" t="s">
        <v>2591</v>
      </c>
      <c r="D2163" s="8" t="s">
        <v>2592</v>
      </c>
      <c r="E2163" s="8" t="s">
        <v>2593</v>
      </c>
      <c r="F2163" s="8">
        <v>-2.3701102999999999</v>
      </c>
      <c r="G2163" s="8">
        <v>-6.2233597999999999</v>
      </c>
      <c r="H2163" s="6" t="str">
        <f t="shared" si="14"/>
        <v>Direct</v>
      </c>
      <c r="I2163" s="6" t="s">
        <v>2066</v>
      </c>
      <c r="J2163" s="8" t="s">
        <v>2066</v>
      </c>
    </row>
    <row r="2164" spans="1:10" x14ac:dyDescent="0.2">
      <c r="A2164" s="8" t="s">
        <v>56</v>
      </c>
      <c r="B2164" s="8" t="s">
        <v>83</v>
      </c>
      <c r="C2164" s="8" t="s">
        <v>4078</v>
      </c>
      <c r="D2164" s="8" t="s">
        <v>4079</v>
      </c>
      <c r="E2164" s="8" t="s">
        <v>4080</v>
      </c>
      <c r="F2164" s="8">
        <v>2.3933528900000001</v>
      </c>
      <c r="G2164" s="8">
        <v>-5.5515762000000004</v>
      </c>
      <c r="H2164" s="6" t="str">
        <f t="shared" si="14"/>
        <v>Inverse</v>
      </c>
      <c r="I2164" s="6" t="s">
        <v>50</v>
      </c>
      <c r="J2164" s="8" t="s">
        <v>50</v>
      </c>
    </row>
    <row r="2165" spans="1:10" x14ac:dyDescent="0.2">
      <c r="A2165" s="8" t="s">
        <v>56</v>
      </c>
      <c r="B2165" s="8" t="s">
        <v>83</v>
      </c>
      <c r="C2165" s="8" t="s">
        <v>2594</v>
      </c>
      <c r="D2165" s="8" t="s">
        <v>2595</v>
      </c>
      <c r="E2165" s="8" t="s">
        <v>2596</v>
      </c>
      <c r="F2165" s="8">
        <v>-5.0435981999999999</v>
      </c>
      <c r="G2165" s="8">
        <v>-8.1046823999999997</v>
      </c>
      <c r="H2165" s="6" t="str">
        <f t="shared" si="14"/>
        <v>Direct</v>
      </c>
      <c r="I2165" s="6" t="s">
        <v>2597</v>
      </c>
      <c r="J2165" s="8" t="s">
        <v>2597</v>
      </c>
    </row>
    <row r="2166" spans="1:10" x14ac:dyDescent="0.2">
      <c r="A2166" s="8" t="s">
        <v>56</v>
      </c>
      <c r="B2166" s="8" t="s">
        <v>83</v>
      </c>
      <c r="C2166" s="8" t="s">
        <v>4081</v>
      </c>
      <c r="D2166" s="8" t="s">
        <v>4082</v>
      </c>
      <c r="E2166" s="8" t="s">
        <v>4083</v>
      </c>
      <c r="F2166" s="8">
        <v>-4.5270511000000004</v>
      </c>
      <c r="G2166" s="8">
        <v>-1.3100145000000001</v>
      </c>
      <c r="H2166" s="6" t="str">
        <f t="shared" si="14"/>
        <v>Direct</v>
      </c>
      <c r="I2166" s="6" t="s">
        <v>4084</v>
      </c>
      <c r="J2166" s="8" t="s">
        <v>4084</v>
      </c>
    </row>
    <row r="2167" spans="1:10" x14ac:dyDescent="0.2">
      <c r="A2167" s="8" t="s">
        <v>56</v>
      </c>
      <c r="B2167" s="8" t="s">
        <v>83</v>
      </c>
      <c r="C2167" s="8" t="s">
        <v>2598</v>
      </c>
      <c r="D2167" s="8" t="s">
        <v>2599</v>
      </c>
      <c r="E2167" s="8" t="s">
        <v>2600</v>
      </c>
      <c r="F2167" s="8">
        <v>-3.4575860999999999</v>
      </c>
      <c r="G2167" s="8">
        <v>-16.952686</v>
      </c>
      <c r="H2167" s="6" t="str">
        <f t="shared" si="14"/>
        <v>Direct</v>
      </c>
      <c r="I2167" s="6" t="s">
        <v>2601</v>
      </c>
      <c r="J2167" s="8" t="s">
        <v>2601</v>
      </c>
    </row>
    <row r="2168" spans="1:10" x14ac:dyDescent="0.2">
      <c r="A2168" s="8" t="s">
        <v>56</v>
      </c>
      <c r="B2168" s="8" t="s">
        <v>83</v>
      </c>
      <c r="C2168" s="8" t="s">
        <v>2602</v>
      </c>
      <c r="D2168" s="8" t="s">
        <v>2603</v>
      </c>
      <c r="E2168" s="8" t="s">
        <v>2604</v>
      </c>
      <c r="F2168" s="8">
        <v>-8.7138618000000001</v>
      </c>
      <c r="G2168" s="8">
        <v>-1.6092337999999999</v>
      </c>
      <c r="H2168" s="6" t="str">
        <f t="shared" si="14"/>
        <v>Direct</v>
      </c>
      <c r="I2168" s="6" t="s">
        <v>2605</v>
      </c>
      <c r="J2168" s="8" t="s">
        <v>2605</v>
      </c>
    </row>
    <row r="2169" spans="1:10" x14ac:dyDescent="0.2">
      <c r="A2169" s="8" t="s">
        <v>56</v>
      </c>
      <c r="B2169" s="8" t="s">
        <v>83</v>
      </c>
      <c r="C2169" s="8" t="s">
        <v>5094</v>
      </c>
      <c r="D2169" s="8" t="s">
        <v>5095</v>
      </c>
      <c r="E2169" s="8" t="s">
        <v>5096</v>
      </c>
      <c r="F2169" s="8">
        <v>-1.2919738000000001</v>
      </c>
      <c r="G2169" s="8">
        <v>-4.5678185999999998</v>
      </c>
      <c r="H2169" s="6" t="str">
        <f t="shared" si="14"/>
        <v>Direct</v>
      </c>
      <c r="I2169" s="6" t="s">
        <v>2018</v>
      </c>
      <c r="J2169" s="8" t="s">
        <v>2018</v>
      </c>
    </row>
    <row r="2170" spans="1:10" x14ac:dyDescent="0.2">
      <c r="A2170" s="8" t="s">
        <v>56</v>
      </c>
      <c r="B2170" s="8" t="s">
        <v>83</v>
      </c>
      <c r="C2170" s="8" t="s">
        <v>4085</v>
      </c>
      <c r="D2170" s="8" t="s">
        <v>4086</v>
      </c>
      <c r="E2170" s="8" t="s">
        <v>4087</v>
      </c>
      <c r="F2170" s="8">
        <v>-2.1344234000000002</v>
      </c>
      <c r="G2170" s="8">
        <v>-1.5931497999999999</v>
      </c>
      <c r="H2170" s="6" t="str">
        <f t="shared" si="14"/>
        <v>Direct</v>
      </c>
      <c r="I2170" s="6" t="s">
        <v>4088</v>
      </c>
      <c r="J2170" s="8" t="s">
        <v>4088</v>
      </c>
    </row>
    <row r="2171" spans="1:10" x14ac:dyDescent="0.2">
      <c r="A2171" s="8"/>
      <c r="B2171" s="8"/>
      <c r="C2171" s="8"/>
      <c r="D2171" s="8"/>
      <c r="E2171" s="8"/>
      <c r="F2171" s="8"/>
      <c r="G2171" s="8"/>
      <c r="H2171" s="6"/>
      <c r="I2171" s="8">
        <f t="shared" ref="I2171:J2171" si="15">COUNTIF(I2:I2170,"NA")</f>
        <v>229</v>
      </c>
      <c r="J2171" s="8">
        <f t="shared" si="15"/>
        <v>39</v>
      </c>
    </row>
    <row r="2172" spans="1:10" x14ac:dyDescent="0.2">
      <c r="A2172" s="8"/>
      <c r="B2172" s="8"/>
      <c r="E2172" s="8"/>
      <c r="F2172" s="8"/>
      <c r="G2172" s="8"/>
      <c r="H2172" s="6"/>
      <c r="I2172" s="8"/>
      <c r="J2172" s="8"/>
    </row>
    <row r="2173" spans="1:10" x14ac:dyDescent="0.2">
      <c r="A2173" s="8"/>
      <c r="B2173" s="8"/>
      <c r="E2173" s="8"/>
      <c r="F2173" s="8"/>
      <c r="G2173" s="8"/>
      <c r="H2173" s="6"/>
      <c r="I2173" s="8"/>
      <c r="J2173" s="8"/>
    </row>
  </sheetData>
  <conditionalFormatting sqref="F2:G2173">
    <cfRule type="cellIs" dxfId="1" priority="1" operator="greaterThan">
      <formula>0</formula>
    </cfRule>
    <cfRule type="cellIs" dxfId="0" priority="2" operator="lessThan">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Studivan</dc:creator>
  <cp:lastModifiedBy>Michael Studivan</cp:lastModifiedBy>
  <dcterms:created xsi:type="dcterms:W3CDTF">2026-04-03T19:17:51Z</dcterms:created>
  <dcterms:modified xsi:type="dcterms:W3CDTF">2026-04-03T19:18:05Z</dcterms:modified>
</cp:coreProperties>
</file>